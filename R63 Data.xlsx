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BC259EF0-91B8-422B-884D-DDFC6B685E69}" xr6:coauthVersionLast="47" xr6:coauthVersionMax="47" xr10:uidLastSave="{00000000-0000-0000-0000-000000000000}"/>
  <bookViews>
    <workbookView xWindow="-28920" yWindow="-120" windowWidth="29040" windowHeight="15720" firstSheet="1" activeTab="14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Events" sheetId="20" r:id="rId15"/>
    <sheet name="BA comments" sheetId="6" state="hidden" r:id="rId16"/>
    <sheet name="Match Analyzer BA" sheetId="8" state="hidden" r:id="rId17"/>
  </sheets>
  <definedNames>
    <definedName name="_xlnm._FilterDatabase" localSheetId="8" hidden="1">BA!$A$1:$AH$47</definedName>
    <definedName name="_xlnm._FilterDatabase" localSheetId="9" hidden="1">'BA History'!$A$1:$AK$901</definedName>
    <definedName name="_xlnm._FilterDatabase" localSheetId="11" hidden="1">'BA History S2'!$A$1:$AK$339</definedName>
    <definedName name="_xlnm._FilterDatabase" localSheetId="10" hidden="1">'BA S2'!$A$1:$AN$39</definedName>
    <definedName name="_xlnm._FilterDatabase" localSheetId="7" hidden="1">'BA v2'!$A$1:$AN$61</definedName>
    <definedName name="_xlnm._FilterDatabase" localSheetId="1" hidden="1">'OB History'!$A$1:$AD$958</definedName>
    <definedName name="_xlnm._FilterDatabase" localSheetId="3" hidden="1">'OB History S2'!$A$1:$AD$554</definedName>
    <definedName name="_xlnm._FilterDatabase" localSheetId="2" hidden="1">'OB Season 2'!$A$1:$AI$49</definedName>
    <definedName name="_xlnm._FilterDatabase" localSheetId="4" hidden="1">'Old Bow'!$A$1:$AD$37</definedName>
    <definedName name="_xlnm._FilterDatabase" localSheetId="0" hidden="1">'Old Bow v2'!$A$1:$AI$56</definedName>
    <definedName name="_xlnm._FilterDatabase" localSheetId="12" hidden="1">'Tourney History'!$A$1:$AD$159</definedName>
    <definedName name="_xlnm._FilterDatabase" localSheetId="13" hidden="1">'Tourney Stats'!$A$1:$AE$41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208" i="18" l="1"/>
  <c r="AB208" i="18"/>
  <c r="AC208" i="18"/>
  <c r="AD208" i="18"/>
  <c r="AA209" i="18"/>
  <c r="AB209" i="18"/>
  <c r="AC209" i="18"/>
  <c r="AD209" i="18"/>
  <c r="AA210" i="18"/>
  <c r="AB210" i="18"/>
  <c r="AC210" i="18"/>
  <c r="AD210" i="18"/>
  <c r="AA211" i="18"/>
  <c r="AB211" i="18"/>
  <c r="AC211" i="18"/>
  <c r="AD211" i="18"/>
  <c r="AA212" i="18"/>
  <c r="AB212" i="18"/>
  <c r="AC212" i="18"/>
  <c r="AD212" i="18"/>
  <c r="AA213" i="18"/>
  <c r="AB213" i="18"/>
  <c r="AC213" i="18"/>
  <c r="AD213" i="18"/>
  <c r="AA214" i="18"/>
  <c r="AB214" i="18"/>
  <c r="AC214" i="18"/>
  <c r="AD214" i="18"/>
  <c r="AA215" i="18"/>
  <c r="AB215" i="18"/>
  <c r="AC215" i="18"/>
  <c r="AD215" i="18"/>
  <c r="AA216" i="18"/>
  <c r="AB216" i="18"/>
  <c r="AC216" i="18"/>
  <c r="AD216" i="18"/>
  <c r="AA217" i="18"/>
  <c r="AB217" i="18"/>
  <c r="AC217" i="18"/>
  <c r="AD217" i="18"/>
  <c r="AA218" i="18"/>
  <c r="AB218" i="18"/>
  <c r="AC218" i="18"/>
  <c r="AD218" i="18"/>
  <c r="AA219" i="18"/>
  <c r="AB219" i="18"/>
  <c r="AC219" i="18"/>
  <c r="AD219" i="18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T28" i="13"/>
  <c r="H28" i="13"/>
  <c r="I28" i="13"/>
  <c r="J28" i="13" a="1"/>
  <c r="J28" i="13" s="1"/>
  <c r="K28" i="13"/>
  <c r="L28" i="13"/>
  <c r="M28" i="13"/>
  <c r="N28" i="13"/>
  <c r="O28" i="13" s="1"/>
  <c r="P28" i="13"/>
  <c r="Q28" i="13"/>
  <c r="R28" i="13" s="1"/>
  <c r="S28" i="13"/>
  <c r="AA543" i="15"/>
  <c r="AB543" i="15"/>
  <c r="AC543" i="15"/>
  <c r="AD543" i="15"/>
  <c r="AA544" i="15"/>
  <c r="AB544" i="15"/>
  <c r="AC544" i="15"/>
  <c r="AD544" i="15"/>
  <c r="AA545" i="15"/>
  <c r="AB545" i="15"/>
  <c r="AC545" i="15"/>
  <c r="AD545" i="15"/>
  <c r="AA546" i="15"/>
  <c r="AB546" i="15"/>
  <c r="AC546" i="15"/>
  <c r="AD546" i="15"/>
  <c r="AA547" i="15"/>
  <c r="AB547" i="15"/>
  <c r="AC547" i="15"/>
  <c r="AD547" i="15"/>
  <c r="AA548" i="15"/>
  <c r="AB548" i="15"/>
  <c r="AC548" i="15"/>
  <c r="AD548" i="15"/>
  <c r="AA549" i="15"/>
  <c r="AB549" i="15"/>
  <c r="AC549" i="15"/>
  <c r="AD549" i="15"/>
  <c r="AA550" i="15"/>
  <c r="AB550" i="15"/>
  <c r="AC550" i="15"/>
  <c r="AD550" i="15"/>
  <c r="AA551" i="15"/>
  <c r="AB551" i="15"/>
  <c r="AC551" i="15"/>
  <c r="AD551" i="15"/>
  <c r="AA552" i="15"/>
  <c r="AB552" i="15"/>
  <c r="AC552" i="15"/>
  <c r="AD552" i="15"/>
  <c r="AA553" i="15"/>
  <c r="AB553" i="15"/>
  <c r="AC553" i="15"/>
  <c r="AD553" i="15"/>
  <c r="AA554" i="15"/>
  <c r="AB554" i="15"/>
  <c r="AC554" i="15"/>
  <c r="AD554" i="15"/>
  <c r="AA1031" i="10"/>
  <c r="AB1031" i="10"/>
  <c r="AC1031" i="10"/>
  <c r="AD1031" i="10"/>
  <c r="AA1032" i="10"/>
  <c r="AB1032" i="10"/>
  <c r="AC1032" i="10"/>
  <c r="AD1032" i="10"/>
  <c r="AA1033" i="10"/>
  <c r="AB1033" i="10"/>
  <c r="AC1033" i="10"/>
  <c r="AD1033" i="10"/>
  <c r="AA1034" i="10"/>
  <c r="AB1034" i="10"/>
  <c r="AC1034" i="10"/>
  <c r="AD1034" i="10"/>
  <c r="AA1035" i="10"/>
  <c r="AB1035" i="10"/>
  <c r="AC1035" i="10"/>
  <c r="AD1035" i="10"/>
  <c r="AA1036" i="10"/>
  <c r="AB1036" i="10"/>
  <c r="AC1036" i="10"/>
  <c r="AD1036" i="10"/>
  <c r="AA1037" i="10"/>
  <c r="AB1037" i="10"/>
  <c r="AC1037" i="10"/>
  <c r="AD1037" i="10"/>
  <c r="AA1038" i="10"/>
  <c r="AB1038" i="10"/>
  <c r="AC1038" i="10"/>
  <c r="AD1038" i="10"/>
  <c r="AA1039" i="10"/>
  <c r="AB1039" i="10"/>
  <c r="AC1039" i="10"/>
  <c r="AD1039" i="10"/>
  <c r="AA1040" i="10"/>
  <c r="AB1040" i="10"/>
  <c r="AC1040" i="10"/>
  <c r="AD1040" i="10"/>
  <c r="AA1041" i="10"/>
  <c r="AB1041" i="10"/>
  <c r="AC1041" i="10"/>
  <c r="AD1041" i="10"/>
  <c r="AA1042" i="10"/>
  <c r="AB1042" i="10"/>
  <c r="AC1042" i="10"/>
  <c r="AD1042" i="10"/>
  <c r="AH11" i="12"/>
  <c r="AI11" i="12"/>
  <c r="AJ11" i="12"/>
  <c r="AK11" i="12"/>
  <c r="AL11" i="12"/>
  <c r="AM11" i="12"/>
  <c r="AN11" i="12"/>
  <c r="AA1017" i="10"/>
  <c r="AB1017" i="10"/>
  <c r="AC1017" i="10"/>
  <c r="AD1017" i="10"/>
  <c r="AA1018" i="10"/>
  <c r="AB1018" i="10"/>
  <c r="AC1018" i="10"/>
  <c r="AD1018" i="10"/>
  <c r="AA1019" i="10"/>
  <c r="AB1019" i="10"/>
  <c r="AC1019" i="10"/>
  <c r="AD1019" i="10"/>
  <c r="AA1020" i="10"/>
  <c r="AB1020" i="10"/>
  <c r="AC1020" i="10"/>
  <c r="AD1020" i="10"/>
  <c r="AA1021" i="10"/>
  <c r="AB1021" i="10"/>
  <c r="AC1021" i="10"/>
  <c r="AD1021" i="10"/>
  <c r="AA1022" i="10"/>
  <c r="AB1022" i="10"/>
  <c r="AC1022" i="10"/>
  <c r="AD1022" i="10"/>
  <c r="AA1023" i="10"/>
  <c r="AB1023" i="10"/>
  <c r="AC1023" i="10"/>
  <c r="AD1023" i="10"/>
  <c r="AA1024" i="10"/>
  <c r="AB1024" i="10"/>
  <c r="AC1024" i="10"/>
  <c r="AD1024" i="10"/>
  <c r="AA1025" i="10"/>
  <c r="AB1025" i="10"/>
  <c r="AC1025" i="10"/>
  <c r="AD1025" i="10"/>
  <c r="AA1026" i="10"/>
  <c r="AB1026" i="10"/>
  <c r="AC1026" i="10"/>
  <c r="AD1026" i="10"/>
  <c r="AA1027" i="10"/>
  <c r="AB1027" i="10"/>
  <c r="AC1027" i="10"/>
  <c r="AD1027" i="10"/>
  <c r="AA1028" i="10"/>
  <c r="AB1028" i="10"/>
  <c r="AC1028" i="10"/>
  <c r="AD1028" i="10"/>
  <c r="AA1029" i="10"/>
  <c r="AB1029" i="10"/>
  <c r="AC1029" i="10"/>
  <c r="AD1029" i="10"/>
  <c r="AA1030" i="10"/>
  <c r="AB1030" i="10"/>
  <c r="AC1030" i="10"/>
  <c r="AD1030" i="10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T25" i="13"/>
  <c r="H25" i="13"/>
  <c r="I25" i="13"/>
  <c r="J25" i="13" a="1"/>
  <c r="J25" i="13" s="1"/>
  <c r="K25" i="13"/>
  <c r="L25" i="13"/>
  <c r="M25" i="13"/>
  <c r="N25" i="13"/>
  <c r="O25" i="13" s="1"/>
  <c r="P25" i="13"/>
  <c r="Q25" i="13"/>
  <c r="R25" i="13" s="1"/>
  <c r="S25" i="13"/>
  <c r="AA529" i="15"/>
  <c r="AB529" i="15"/>
  <c r="AC529" i="15"/>
  <c r="AD529" i="15"/>
  <c r="AA530" i="15"/>
  <c r="AB530" i="15"/>
  <c r="AC530" i="15"/>
  <c r="AD530" i="15"/>
  <c r="AA531" i="15"/>
  <c r="AB531" i="15"/>
  <c r="AC531" i="15"/>
  <c r="AD531" i="15"/>
  <c r="AA532" i="15"/>
  <c r="AB532" i="15"/>
  <c r="AC532" i="15"/>
  <c r="AD532" i="15"/>
  <c r="AA533" i="15"/>
  <c r="AB533" i="15"/>
  <c r="AC533" i="15"/>
  <c r="AD533" i="15"/>
  <c r="AA534" i="15"/>
  <c r="AB534" i="15"/>
  <c r="AC534" i="15"/>
  <c r="AD534" i="15"/>
  <c r="AA535" i="15"/>
  <c r="AB535" i="15"/>
  <c r="AC535" i="15"/>
  <c r="AD535" i="15"/>
  <c r="AA536" i="15"/>
  <c r="AB536" i="15"/>
  <c r="AC536" i="15"/>
  <c r="AD536" i="15"/>
  <c r="AA537" i="15"/>
  <c r="AB537" i="15"/>
  <c r="AC537" i="15"/>
  <c r="AD537" i="15"/>
  <c r="AA538" i="15"/>
  <c r="AB538" i="15"/>
  <c r="AC538" i="15"/>
  <c r="AD538" i="15"/>
  <c r="AA539" i="15"/>
  <c r="AB539" i="15"/>
  <c r="AC539" i="15"/>
  <c r="AD539" i="15"/>
  <c r="AA540" i="15"/>
  <c r="AB540" i="15"/>
  <c r="AC540" i="15"/>
  <c r="AD540" i="15"/>
  <c r="AA541" i="15"/>
  <c r="AB541" i="15"/>
  <c r="AC541" i="15"/>
  <c r="AD541" i="15"/>
  <c r="AA542" i="15"/>
  <c r="AB542" i="15"/>
  <c r="AC542" i="15"/>
  <c r="AD542" i="15"/>
  <c r="AA515" i="15"/>
  <c r="AB515" i="15"/>
  <c r="AC515" i="15"/>
  <c r="AD515" i="15"/>
  <c r="AA516" i="15"/>
  <c r="AB516" i="15"/>
  <c r="AC516" i="15"/>
  <c r="AD516" i="15"/>
  <c r="AA517" i="15"/>
  <c r="AB517" i="15"/>
  <c r="AC517" i="15"/>
  <c r="AD517" i="15"/>
  <c r="AA518" i="15"/>
  <c r="AB518" i="15"/>
  <c r="AC518" i="15"/>
  <c r="AD518" i="15"/>
  <c r="AA519" i="15"/>
  <c r="AB519" i="15"/>
  <c r="AC519" i="15"/>
  <c r="AD519" i="15"/>
  <c r="AA520" i="15"/>
  <c r="AB520" i="15"/>
  <c r="AC520" i="15"/>
  <c r="AD520" i="15"/>
  <c r="AA521" i="15"/>
  <c r="AB521" i="15"/>
  <c r="AC521" i="15"/>
  <c r="AD521" i="15"/>
  <c r="AA522" i="15"/>
  <c r="AB522" i="15"/>
  <c r="AC522" i="15"/>
  <c r="AD522" i="15"/>
  <c r="AA523" i="15"/>
  <c r="AB523" i="15"/>
  <c r="AC523" i="15"/>
  <c r="AD523" i="15"/>
  <c r="AA524" i="15"/>
  <c r="AB524" i="15"/>
  <c r="AC524" i="15"/>
  <c r="AD524" i="15"/>
  <c r="AA525" i="15"/>
  <c r="AB525" i="15"/>
  <c r="AC525" i="15"/>
  <c r="AD525" i="15"/>
  <c r="AA526" i="15"/>
  <c r="AB526" i="15"/>
  <c r="AC526" i="15"/>
  <c r="AD526" i="15"/>
  <c r="AA527" i="15"/>
  <c r="AB527" i="15"/>
  <c r="AC527" i="15"/>
  <c r="AD527" i="15"/>
  <c r="AA528" i="15"/>
  <c r="AB528" i="15"/>
  <c r="AC528" i="15"/>
  <c r="AD528" i="15"/>
  <c r="AA1003" i="10"/>
  <c r="AB1003" i="10"/>
  <c r="AC1003" i="10"/>
  <c r="AD1003" i="10"/>
  <c r="AA1004" i="10"/>
  <c r="AB1004" i="10"/>
  <c r="AC1004" i="10"/>
  <c r="AD1004" i="10"/>
  <c r="AA1005" i="10"/>
  <c r="AB1005" i="10"/>
  <c r="AC1005" i="10"/>
  <c r="AD1005" i="10"/>
  <c r="AA1006" i="10"/>
  <c r="AB1006" i="10"/>
  <c r="AC1006" i="10"/>
  <c r="AD1006" i="10"/>
  <c r="AA1007" i="10"/>
  <c r="AB1007" i="10"/>
  <c r="AC1007" i="10"/>
  <c r="AD1007" i="10"/>
  <c r="AA1008" i="10"/>
  <c r="AB1008" i="10"/>
  <c r="AC1008" i="10"/>
  <c r="AD1008" i="10"/>
  <c r="AA1009" i="10"/>
  <c r="AB1009" i="10"/>
  <c r="AC1009" i="10"/>
  <c r="AD1009" i="10"/>
  <c r="AA1010" i="10"/>
  <c r="AB1010" i="10"/>
  <c r="AC1010" i="10"/>
  <c r="AD1010" i="10"/>
  <c r="AA1011" i="10"/>
  <c r="AB1011" i="10"/>
  <c r="AC1011" i="10"/>
  <c r="AD1011" i="10"/>
  <c r="AA1012" i="10"/>
  <c r="AB1012" i="10"/>
  <c r="AC1012" i="10"/>
  <c r="AD1012" i="10"/>
  <c r="AA1013" i="10"/>
  <c r="AB1013" i="10"/>
  <c r="AC1013" i="10"/>
  <c r="AD1013" i="10"/>
  <c r="AA1014" i="10"/>
  <c r="AB1014" i="10"/>
  <c r="AC1014" i="10"/>
  <c r="AD1014" i="10"/>
  <c r="AA1015" i="10"/>
  <c r="AB1015" i="10"/>
  <c r="AC1015" i="10"/>
  <c r="AD1015" i="10"/>
  <c r="AA1016" i="10"/>
  <c r="AB1016" i="10"/>
  <c r="AC1016" i="10"/>
  <c r="AD1016" i="10"/>
  <c r="AA499" i="15"/>
  <c r="AB499" i="15"/>
  <c r="AC499" i="15"/>
  <c r="AD499" i="15"/>
  <c r="AA500" i="15"/>
  <c r="AB500" i="15"/>
  <c r="AC500" i="15"/>
  <c r="AD500" i="15"/>
  <c r="AA501" i="15"/>
  <c r="AB501" i="15"/>
  <c r="AC501" i="15"/>
  <c r="AD501" i="15"/>
  <c r="AA502" i="15"/>
  <c r="AB502" i="15"/>
  <c r="AC502" i="15"/>
  <c r="AD502" i="15"/>
  <c r="AA503" i="15"/>
  <c r="AB503" i="15"/>
  <c r="AC503" i="15"/>
  <c r="AD503" i="15"/>
  <c r="AA504" i="15"/>
  <c r="AB504" i="15"/>
  <c r="AC504" i="15"/>
  <c r="AD504" i="15"/>
  <c r="AA505" i="15"/>
  <c r="AB505" i="15"/>
  <c r="AC505" i="15"/>
  <c r="AD505" i="15"/>
  <c r="AA506" i="15"/>
  <c r="AB506" i="15"/>
  <c r="AC506" i="15"/>
  <c r="AD506" i="15"/>
  <c r="AA507" i="15"/>
  <c r="AB507" i="15"/>
  <c r="AC507" i="15"/>
  <c r="AD507" i="15"/>
  <c r="AA508" i="15"/>
  <c r="AB508" i="15"/>
  <c r="AC508" i="15"/>
  <c r="AD508" i="15"/>
  <c r="AA509" i="15"/>
  <c r="AB509" i="15"/>
  <c r="AC509" i="15"/>
  <c r="AD509" i="15"/>
  <c r="AA510" i="15"/>
  <c r="AB510" i="15"/>
  <c r="AC510" i="15"/>
  <c r="AD510" i="15"/>
  <c r="AA511" i="15"/>
  <c r="AB511" i="15"/>
  <c r="AC511" i="15"/>
  <c r="AD511" i="15"/>
  <c r="AA512" i="15"/>
  <c r="AB512" i="15"/>
  <c r="AC512" i="15"/>
  <c r="AD512" i="15"/>
  <c r="AA513" i="15"/>
  <c r="AB513" i="15"/>
  <c r="AC513" i="15"/>
  <c r="AD513" i="15"/>
  <c r="AA514" i="15"/>
  <c r="AB514" i="15"/>
  <c r="AC514" i="15"/>
  <c r="AD514" i="15"/>
  <c r="AA987" i="10"/>
  <c r="AB987" i="10"/>
  <c r="AC987" i="10"/>
  <c r="AD987" i="10"/>
  <c r="AA988" i="10"/>
  <c r="AB988" i="10"/>
  <c r="AC988" i="10"/>
  <c r="AD988" i="10"/>
  <c r="AA989" i="10"/>
  <c r="AB989" i="10"/>
  <c r="AC989" i="10"/>
  <c r="AD989" i="10"/>
  <c r="AA990" i="10"/>
  <c r="AB990" i="10"/>
  <c r="AC990" i="10"/>
  <c r="AD990" i="10"/>
  <c r="AA991" i="10"/>
  <c r="AB991" i="10"/>
  <c r="AC991" i="10"/>
  <c r="AD991" i="10"/>
  <c r="AA992" i="10"/>
  <c r="AB992" i="10"/>
  <c r="AC992" i="10"/>
  <c r="AD992" i="10"/>
  <c r="AA993" i="10"/>
  <c r="AB993" i="10"/>
  <c r="AC993" i="10"/>
  <c r="AD993" i="10"/>
  <c r="AA994" i="10"/>
  <c r="AB994" i="10"/>
  <c r="AC994" i="10"/>
  <c r="AD994" i="10"/>
  <c r="AA995" i="10"/>
  <c r="AB995" i="10"/>
  <c r="AC995" i="10"/>
  <c r="AD995" i="10"/>
  <c r="AA996" i="10"/>
  <c r="AB996" i="10"/>
  <c r="AC996" i="10"/>
  <c r="AD996" i="10"/>
  <c r="AA997" i="10"/>
  <c r="AB997" i="10"/>
  <c r="AC997" i="10"/>
  <c r="AD997" i="10"/>
  <c r="AA998" i="10"/>
  <c r="AB998" i="10"/>
  <c r="AC998" i="10"/>
  <c r="AD998" i="10"/>
  <c r="AA999" i="10"/>
  <c r="AB999" i="10"/>
  <c r="AC999" i="10"/>
  <c r="AD999" i="10"/>
  <c r="AA1000" i="10"/>
  <c r="AB1000" i="10"/>
  <c r="AC1000" i="10"/>
  <c r="AD1000" i="10"/>
  <c r="AA1001" i="10"/>
  <c r="AB1001" i="10"/>
  <c r="AC1001" i="10"/>
  <c r="AD1001" i="10"/>
  <c r="AA1002" i="10"/>
  <c r="AB1002" i="10"/>
  <c r="AC1002" i="10"/>
  <c r="AD1002" i="10"/>
  <c r="AA483" i="15"/>
  <c r="AB483" i="15"/>
  <c r="AC483" i="15"/>
  <c r="AD483" i="15"/>
  <c r="AA484" i="15"/>
  <c r="AB484" i="15"/>
  <c r="AC484" i="15"/>
  <c r="AD484" i="15"/>
  <c r="AA485" i="15"/>
  <c r="AB485" i="15"/>
  <c r="AC485" i="15"/>
  <c r="AD485" i="15"/>
  <c r="AA486" i="15"/>
  <c r="AB486" i="15"/>
  <c r="AC486" i="15"/>
  <c r="AD486" i="15"/>
  <c r="AA487" i="15"/>
  <c r="AB487" i="15"/>
  <c r="AC487" i="15"/>
  <c r="AD487" i="15"/>
  <c r="AA488" i="15"/>
  <c r="AB488" i="15"/>
  <c r="AC488" i="15"/>
  <c r="AD488" i="15"/>
  <c r="AA489" i="15"/>
  <c r="AB489" i="15"/>
  <c r="AC489" i="15"/>
  <c r="AD489" i="15"/>
  <c r="AA490" i="15"/>
  <c r="AB490" i="15"/>
  <c r="AC490" i="15"/>
  <c r="AD490" i="15"/>
  <c r="AA491" i="15"/>
  <c r="AB491" i="15"/>
  <c r="AC491" i="15"/>
  <c r="AD491" i="15"/>
  <c r="AA492" i="15"/>
  <c r="AB492" i="15"/>
  <c r="AC492" i="15"/>
  <c r="AD492" i="15"/>
  <c r="AA493" i="15"/>
  <c r="AB493" i="15"/>
  <c r="AC493" i="15"/>
  <c r="AD493" i="15"/>
  <c r="AA494" i="15"/>
  <c r="AB494" i="15"/>
  <c r="AC494" i="15"/>
  <c r="AD494" i="15"/>
  <c r="AA495" i="15"/>
  <c r="AB495" i="15"/>
  <c r="AC495" i="15"/>
  <c r="AD495" i="15"/>
  <c r="AA496" i="15"/>
  <c r="AB496" i="15"/>
  <c r="AC496" i="15"/>
  <c r="AD496" i="15"/>
  <c r="AA497" i="15"/>
  <c r="AB497" i="15"/>
  <c r="AC497" i="15"/>
  <c r="AD497" i="15"/>
  <c r="AA498" i="15"/>
  <c r="AB498" i="15"/>
  <c r="AC498" i="15"/>
  <c r="AD498" i="15"/>
  <c r="AA971" i="10"/>
  <c r="AB971" i="10"/>
  <c r="AC971" i="10"/>
  <c r="AD971" i="10"/>
  <c r="AA972" i="10"/>
  <c r="AB972" i="10"/>
  <c r="AC972" i="10"/>
  <c r="AD972" i="10"/>
  <c r="AA973" i="10"/>
  <c r="AB973" i="10"/>
  <c r="AC973" i="10"/>
  <c r="AD973" i="10"/>
  <c r="AA974" i="10"/>
  <c r="AB974" i="10"/>
  <c r="AC974" i="10"/>
  <c r="AD974" i="10"/>
  <c r="AA975" i="10"/>
  <c r="AB975" i="10"/>
  <c r="AC975" i="10"/>
  <c r="AD975" i="10"/>
  <c r="AA976" i="10"/>
  <c r="AB976" i="10"/>
  <c r="AC976" i="10"/>
  <c r="AD976" i="10"/>
  <c r="AA977" i="10"/>
  <c r="AB977" i="10"/>
  <c r="AC977" i="10"/>
  <c r="AD977" i="10"/>
  <c r="AA978" i="10"/>
  <c r="AB978" i="10"/>
  <c r="AC978" i="10"/>
  <c r="AD978" i="10"/>
  <c r="AA979" i="10"/>
  <c r="AB979" i="10"/>
  <c r="AC979" i="10"/>
  <c r="AD979" i="10"/>
  <c r="AA980" i="10"/>
  <c r="AB980" i="10"/>
  <c r="AC980" i="10"/>
  <c r="AD980" i="10"/>
  <c r="AA981" i="10"/>
  <c r="AB981" i="10"/>
  <c r="AC981" i="10"/>
  <c r="AD981" i="10"/>
  <c r="AA982" i="10"/>
  <c r="AB982" i="10"/>
  <c r="AC982" i="10"/>
  <c r="AD982" i="10"/>
  <c r="AA983" i="10"/>
  <c r="AB983" i="10"/>
  <c r="AC983" i="10"/>
  <c r="AD983" i="10"/>
  <c r="AA984" i="10"/>
  <c r="AB984" i="10"/>
  <c r="AC984" i="10"/>
  <c r="AD984" i="10"/>
  <c r="AA985" i="10"/>
  <c r="AB985" i="10"/>
  <c r="AC985" i="10"/>
  <c r="AD985" i="10"/>
  <c r="AA986" i="10"/>
  <c r="AB986" i="10"/>
  <c r="AC986" i="10"/>
  <c r="AD986" i="10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AN8" i="16"/>
  <c r="R8" i="16"/>
  <c r="F8" i="16"/>
  <c r="G8" i="16"/>
  <c r="H8" i="16" a="1"/>
  <c r="H8" i="16" s="1"/>
  <c r="I8" i="16"/>
  <c r="J8" i="16"/>
  <c r="K8" i="16"/>
  <c r="L8" i="16"/>
  <c r="M8" i="16" s="1"/>
  <c r="N8" i="16"/>
  <c r="O8" i="16"/>
  <c r="P8" i="16" s="1"/>
  <c r="Q8" i="16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R11" i="12"/>
  <c r="F11" i="12"/>
  <c r="G11" i="12"/>
  <c r="H11" i="12" a="1"/>
  <c r="H11" i="12" s="1"/>
  <c r="I11" i="12"/>
  <c r="J11" i="12"/>
  <c r="K11" i="12"/>
  <c r="L11" i="12"/>
  <c r="M11" i="12" s="1"/>
  <c r="N11" i="12"/>
  <c r="O11" i="12"/>
  <c r="P11" i="12" s="1"/>
  <c r="Q11" i="12"/>
  <c r="AH353" i="17"/>
  <c r="AI353" i="17"/>
  <c r="AJ353" i="17"/>
  <c r="AK353" i="17"/>
  <c r="AH354" i="17"/>
  <c r="AI354" i="17"/>
  <c r="AJ354" i="17"/>
  <c r="AK354" i="17"/>
  <c r="AH355" i="17"/>
  <c r="AI355" i="17"/>
  <c r="AJ355" i="17"/>
  <c r="AK355" i="17"/>
  <c r="AH356" i="17"/>
  <c r="AI356" i="17"/>
  <c r="AJ356" i="17"/>
  <c r="AK356" i="17"/>
  <c r="AH357" i="17"/>
  <c r="AI357" i="17"/>
  <c r="AJ357" i="17"/>
  <c r="AK357" i="17"/>
  <c r="AH358" i="17"/>
  <c r="AI358" i="17"/>
  <c r="AJ358" i="17"/>
  <c r="AK358" i="17"/>
  <c r="AH359" i="17"/>
  <c r="AI359" i="17"/>
  <c r="AJ359" i="17"/>
  <c r="AK359" i="17"/>
  <c r="AH360" i="17"/>
  <c r="AI360" i="17"/>
  <c r="AJ360" i="17"/>
  <c r="AK360" i="17"/>
  <c r="AH361" i="17"/>
  <c r="AI361" i="17"/>
  <c r="AJ361" i="17"/>
  <c r="AK361" i="17"/>
  <c r="AH362" i="17"/>
  <c r="AI362" i="17"/>
  <c r="AJ362" i="17"/>
  <c r="AK362" i="17"/>
  <c r="AH363" i="17"/>
  <c r="AI363" i="17"/>
  <c r="AJ363" i="17"/>
  <c r="AK363" i="17"/>
  <c r="AH364" i="17"/>
  <c r="AI364" i="17"/>
  <c r="AJ364" i="17"/>
  <c r="AK364" i="17"/>
  <c r="AH1057" i="9"/>
  <c r="AI1057" i="9"/>
  <c r="AJ1057" i="9"/>
  <c r="AK1057" i="9"/>
  <c r="AH1058" i="9"/>
  <c r="AI1058" i="9"/>
  <c r="AJ1058" i="9"/>
  <c r="AK1058" i="9"/>
  <c r="AH1059" i="9"/>
  <c r="AI1059" i="9"/>
  <c r="AJ1059" i="9"/>
  <c r="AK1059" i="9"/>
  <c r="AH1060" i="9"/>
  <c r="AI1060" i="9"/>
  <c r="AJ1060" i="9"/>
  <c r="AK1060" i="9"/>
  <c r="AH1061" i="9"/>
  <c r="AI1061" i="9"/>
  <c r="AJ1061" i="9"/>
  <c r="AK1061" i="9"/>
  <c r="AH1062" i="9"/>
  <c r="AI1062" i="9"/>
  <c r="AJ1062" i="9"/>
  <c r="AK1062" i="9"/>
  <c r="AH1063" i="9"/>
  <c r="AI1063" i="9"/>
  <c r="AJ1063" i="9"/>
  <c r="AK1063" i="9"/>
  <c r="AH1064" i="9"/>
  <c r="AI1064" i="9"/>
  <c r="AJ1064" i="9"/>
  <c r="AK1064" i="9"/>
  <c r="AH1065" i="9"/>
  <c r="AI1065" i="9"/>
  <c r="AJ1065" i="9"/>
  <c r="AK1065" i="9"/>
  <c r="AH1066" i="9"/>
  <c r="AI1066" i="9"/>
  <c r="AJ1066" i="9"/>
  <c r="AK1066" i="9"/>
  <c r="AH1067" i="9"/>
  <c r="AI1067" i="9"/>
  <c r="AJ1067" i="9"/>
  <c r="AK1067" i="9"/>
  <c r="AH1068" i="9"/>
  <c r="AI1068" i="9"/>
  <c r="AJ1068" i="9"/>
  <c r="AK1068" i="9"/>
  <c r="AH340" i="17"/>
  <c r="AI340" i="17"/>
  <c r="AJ340" i="17"/>
  <c r="AK340" i="17"/>
  <c r="AH341" i="17"/>
  <c r="AI341" i="17"/>
  <c r="AJ341" i="17"/>
  <c r="AK341" i="17"/>
  <c r="AH342" i="17"/>
  <c r="AI342" i="17"/>
  <c r="AJ342" i="17"/>
  <c r="AK342" i="17"/>
  <c r="AH343" i="17"/>
  <c r="AI343" i="17"/>
  <c r="AJ343" i="17"/>
  <c r="AK343" i="17"/>
  <c r="AH344" i="17"/>
  <c r="AI344" i="17"/>
  <c r="AJ344" i="17"/>
  <c r="AK344" i="17"/>
  <c r="AH345" i="17"/>
  <c r="AI345" i="17"/>
  <c r="AJ345" i="17"/>
  <c r="AK345" i="17"/>
  <c r="AH346" i="17"/>
  <c r="AI346" i="17"/>
  <c r="AJ346" i="17"/>
  <c r="AK346" i="17"/>
  <c r="AH347" i="17"/>
  <c r="AI347" i="17"/>
  <c r="AJ347" i="17"/>
  <c r="AK347" i="17"/>
  <c r="AH348" i="17"/>
  <c r="AI348" i="17"/>
  <c r="AJ348" i="17"/>
  <c r="AK348" i="17"/>
  <c r="AH349" i="17"/>
  <c r="AI349" i="17"/>
  <c r="AJ349" i="17"/>
  <c r="AK349" i="17"/>
  <c r="AH350" i="17"/>
  <c r="AI350" i="17"/>
  <c r="AJ350" i="17"/>
  <c r="AK350" i="17"/>
  <c r="AH351" i="17"/>
  <c r="AI351" i="17"/>
  <c r="AJ351" i="17"/>
  <c r="AK351" i="17"/>
  <c r="AH352" i="17"/>
  <c r="AI352" i="17"/>
  <c r="AJ352" i="17"/>
  <c r="AK352" i="17"/>
  <c r="AH3" i="16"/>
  <c r="AH4" i="16"/>
  <c r="AH5" i="16"/>
  <c r="AH6" i="16"/>
  <c r="AH7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2" i="16"/>
  <c r="AH3" i="12"/>
  <c r="AH4" i="12"/>
  <c r="AH5" i="12"/>
  <c r="AH6" i="12"/>
  <c r="AH7" i="12"/>
  <c r="AH8" i="12"/>
  <c r="AH9" i="12"/>
  <c r="AH10" i="12"/>
  <c r="AH12" i="12"/>
  <c r="AH13" i="12"/>
  <c r="AH14" i="12"/>
  <c r="AH15" i="12"/>
  <c r="AH16" i="12"/>
  <c r="AH17" i="12"/>
  <c r="AH18" i="12"/>
  <c r="AH19" i="12"/>
  <c r="AH20" i="12"/>
  <c r="AH21" i="12"/>
  <c r="AH22" i="12"/>
  <c r="AH23" i="12"/>
  <c r="AH24" i="12"/>
  <c r="AH25" i="12"/>
  <c r="AH26" i="12"/>
  <c r="AH27" i="12"/>
  <c r="AH28" i="12"/>
  <c r="AH29" i="12"/>
  <c r="AH30" i="12"/>
  <c r="AH31" i="12"/>
  <c r="AH32" i="12"/>
  <c r="AH33" i="12"/>
  <c r="AH34" i="12"/>
  <c r="AH35" i="12"/>
  <c r="AH36" i="12"/>
  <c r="AH37" i="12"/>
  <c r="AH38" i="12"/>
  <c r="AH39" i="12"/>
  <c r="AH40" i="12"/>
  <c r="AH41" i="12"/>
  <c r="AH42" i="12"/>
  <c r="AH43" i="12"/>
  <c r="AH44" i="12"/>
  <c r="AH45" i="12"/>
  <c r="AH46" i="12"/>
  <c r="AH47" i="12"/>
  <c r="AH48" i="12"/>
  <c r="AH49" i="12"/>
  <c r="AH50" i="12"/>
  <c r="AH51" i="12"/>
  <c r="AH52" i="12"/>
  <c r="AH53" i="12"/>
  <c r="AH54" i="12"/>
  <c r="AH55" i="12"/>
  <c r="AH56" i="12"/>
  <c r="AH57" i="12"/>
  <c r="AH58" i="12"/>
  <c r="AH59" i="12"/>
  <c r="AH60" i="12"/>
  <c r="AH61" i="12"/>
  <c r="AH2" i="12"/>
  <c r="AH1044" i="9"/>
  <c r="AI1044" i="9"/>
  <c r="AJ1044" i="9"/>
  <c r="AK1044" i="9"/>
  <c r="AH1045" i="9"/>
  <c r="AI1045" i="9"/>
  <c r="AJ1045" i="9"/>
  <c r="AK1045" i="9"/>
  <c r="AH1046" i="9"/>
  <c r="AI1046" i="9"/>
  <c r="AJ1046" i="9"/>
  <c r="AK1046" i="9"/>
  <c r="AH1047" i="9"/>
  <c r="AI1047" i="9"/>
  <c r="AJ1047" i="9"/>
  <c r="AK1047" i="9"/>
  <c r="AH1048" i="9"/>
  <c r="AI1048" i="9"/>
  <c r="AJ1048" i="9"/>
  <c r="AK1048" i="9"/>
  <c r="AH1049" i="9"/>
  <c r="AI1049" i="9"/>
  <c r="AJ1049" i="9"/>
  <c r="AK1049" i="9"/>
  <c r="AH1050" i="9"/>
  <c r="AI1050" i="9"/>
  <c r="AJ1050" i="9"/>
  <c r="AK1050" i="9"/>
  <c r="AH1051" i="9"/>
  <c r="AI1051" i="9"/>
  <c r="AJ1051" i="9"/>
  <c r="AK1051" i="9"/>
  <c r="AH1052" i="9"/>
  <c r="AI1052" i="9"/>
  <c r="AJ1052" i="9"/>
  <c r="AK1052" i="9"/>
  <c r="AH1053" i="9"/>
  <c r="AI1053" i="9"/>
  <c r="AJ1053" i="9"/>
  <c r="AK1053" i="9"/>
  <c r="AH1054" i="9"/>
  <c r="AI1054" i="9"/>
  <c r="AJ1054" i="9"/>
  <c r="AK1054" i="9"/>
  <c r="AH1055" i="9"/>
  <c r="AI1055" i="9"/>
  <c r="AJ1055" i="9"/>
  <c r="AK1055" i="9"/>
  <c r="AH1056" i="9"/>
  <c r="AI1056" i="9"/>
  <c r="AJ1056" i="9"/>
  <c r="AK1056" i="9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T11" i="13"/>
  <c r="H11" i="13"/>
  <c r="I11" i="13"/>
  <c r="J11" i="13" a="1"/>
  <c r="J11" i="13" s="1"/>
  <c r="K11" i="13"/>
  <c r="L11" i="13"/>
  <c r="M11" i="13"/>
  <c r="N11" i="13"/>
  <c r="O11" i="13" s="1"/>
  <c r="P11" i="13"/>
  <c r="Q11" i="13"/>
  <c r="R11" i="13" s="1"/>
  <c r="S11" i="13"/>
  <c r="U11" i="11"/>
  <c r="V11" i="11"/>
  <c r="W11" i="11"/>
  <c r="X11" i="11"/>
  <c r="Y11" i="11"/>
  <c r="Z11" i="11"/>
  <c r="AA11" i="11"/>
  <c r="AB11" i="11"/>
  <c r="AC11" i="11"/>
  <c r="AD11" i="11"/>
  <c r="AE11" i="11"/>
  <c r="AF11" i="11"/>
  <c r="AG11" i="11"/>
  <c r="AH11" i="11"/>
  <c r="AI11" i="11"/>
  <c r="T11" i="11"/>
  <c r="H11" i="11"/>
  <c r="I11" i="11"/>
  <c r="J11" i="11" a="1"/>
  <c r="J11" i="11" s="1"/>
  <c r="K11" i="11"/>
  <c r="L11" i="11"/>
  <c r="N11" i="11"/>
  <c r="O11" i="11" s="1"/>
  <c r="P11" i="11"/>
  <c r="Q11" i="11"/>
  <c r="R11" i="11" s="1"/>
  <c r="S11" i="11"/>
  <c r="AA474" i="15"/>
  <c r="AB474" i="15"/>
  <c r="AC474" i="15"/>
  <c r="AD474" i="15"/>
  <c r="AA475" i="15"/>
  <c r="AB475" i="15"/>
  <c r="AC475" i="15"/>
  <c r="AD475" i="15"/>
  <c r="AA476" i="15"/>
  <c r="AB476" i="15"/>
  <c r="AC476" i="15"/>
  <c r="AD476" i="15"/>
  <c r="AA477" i="15"/>
  <c r="AB477" i="15"/>
  <c r="AC477" i="15"/>
  <c r="AD477" i="15"/>
  <c r="AA478" i="15"/>
  <c r="AB478" i="15"/>
  <c r="AC478" i="15"/>
  <c r="AD478" i="15"/>
  <c r="AA479" i="15"/>
  <c r="AB479" i="15"/>
  <c r="AC479" i="15"/>
  <c r="AD479" i="15"/>
  <c r="AA480" i="15"/>
  <c r="AB480" i="15"/>
  <c r="AC480" i="15"/>
  <c r="AD480" i="15"/>
  <c r="AA481" i="15"/>
  <c r="AB481" i="15"/>
  <c r="AC481" i="15"/>
  <c r="AD481" i="15"/>
  <c r="AA482" i="15"/>
  <c r="AB482" i="15"/>
  <c r="AC482" i="15"/>
  <c r="AD482" i="15"/>
  <c r="AA959" i="10"/>
  <c r="AB959" i="10"/>
  <c r="AC959" i="10"/>
  <c r="AD959" i="10"/>
  <c r="AA960" i="10"/>
  <c r="AB960" i="10"/>
  <c r="AC960" i="10"/>
  <c r="AD960" i="10"/>
  <c r="AA961" i="10"/>
  <c r="AB961" i="10"/>
  <c r="AC961" i="10"/>
  <c r="AD961" i="10"/>
  <c r="M11" i="11" s="1"/>
  <c r="AA962" i="10"/>
  <c r="AB962" i="10"/>
  <c r="AC962" i="10"/>
  <c r="AD962" i="10"/>
  <c r="AA963" i="10"/>
  <c r="AB963" i="10"/>
  <c r="AC963" i="10"/>
  <c r="AD963" i="10"/>
  <c r="AA964" i="10"/>
  <c r="AB964" i="10"/>
  <c r="AC964" i="10"/>
  <c r="AD964" i="10"/>
  <c r="AA965" i="10"/>
  <c r="AB965" i="10"/>
  <c r="AC965" i="10"/>
  <c r="AD965" i="10"/>
  <c r="AA966" i="10"/>
  <c r="AB966" i="10"/>
  <c r="AC966" i="10"/>
  <c r="AD966" i="10"/>
  <c r="AA967" i="10"/>
  <c r="AB967" i="10"/>
  <c r="AC967" i="10"/>
  <c r="AD967" i="10"/>
  <c r="AA968" i="10"/>
  <c r="AB968" i="10"/>
  <c r="AC968" i="10"/>
  <c r="AD968" i="10"/>
  <c r="AA969" i="10"/>
  <c r="AB969" i="10"/>
  <c r="AC969" i="10"/>
  <c r="AD969" i="10"/>
  <c r="AA970" i="10"/>
  <c r="AB970" i="10"/>
  <c r="AC970" i="10"/>
  <c r="AD970" i="10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Q3" i="19"/>
  <c r="R3" i="19"/>
  <c r="S3" i="19"/>
  <c r="T3" i="19"/>
  <c r="U3" i="19"/>
  <c r="V3" i="19"/>
  <c r="W3" i="19"/>
  <c r="X3" i="19"/>
  <c r="Y3" i="19"/>
  <c r="Z3" i="19"/>
  <c r="AA3" i="19"/>
  <c r="AB3" i="19"/>
  <c r="AC3" i="19"/>
  <c r="AD3" i="19"/>
  <c r="AE3" i="19"/>
  <c r="P3" i="19"/>
  <c r="D3" i="19"/>
  <c r="E3" i="19"/>
  <c r="F3" i="19" a="1"/>
  <c r="F3" i="19" s="1"/>
  <c r="G3" i="19"/>
  <c r="H3" i="19"/>
  <c r="I3" i="19"/>
  <c r="J3" i="19"/>
  <c r="K3" i="19" s="1"/>
  <c r="L3" i="19"/>
  <c r="M3" i="19"/>
  <c r="N3" i="19" s="1"/>
  <c r="O3" i="19"/>
  <c r="U18" i="11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T18" i="11"/>
  <c r="H18" i="11"/>
  <c r="I18" i="11"/>
  <c r="J18" i="11" a="1"/>
  <c r="J18" i="11" s="1"/>
  <c r="K18" i="11"/>
  <c r="L18" i="11"/>
  <c r="M18" i="11"/>
  <c r="N18" i="11"/>
  <c r="O18" i="11" s="1"/>
  <c r="P18" i="11"/>
  <c r="Q18" i="11"/>
  <c r="R18" i="11" s="1"/>
  <c r="S18" i="11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T18" i="13"/>
  <c r="H18" i="13"/>
  <c r="I18" i="13"/>
  <c r="J18" i="13" a="1"/>
  <c r="J18" i="13" s="1"/>
  <c r="K18" i="13"/>
  <c r="L18" i="13"/>
  <c r="N18" i="13"/>
  <c r="O18" i="13" s="1"/>
  <c r="Q18" i="13"/>
  <c r="R18" i="13" s="1"/>
  <c r="S18" i="13"/>
  <c r="AA458" i="15"/>
  <c r="AB458" i="15"/>
  <c r="AC458" i="15"/>
  <c r="AD458" i="15"/>
  <c r="AA459" i="15"/>
  <c r="AB459" i="15"/>
  <c r="AC459" i="15"/>
  <c r="AD459" i="15"/>
  <c r="AA460" i="15"/>
  <c r="AB460" i="15"/>
  <c r="AC460" i="15"/>
  <c r="AD460" i="15"/>
  <c r="AA461" i="15"/>
  <c r="AB461" i="15"/>
  <c r="AC461" i="15"/>
  <c r="AD461" i="15"/>
  <c r="AA462" i="15"/>
  <c r="AB462" i="15"/>
  <c r="AC462" i="15"/>
  <c r="AD462" i="15"/>
  <c r="AA463" i="15"/>
  <c r="AB463" i="15"/>
  <c r="AC463" i="15"/>
  <c r="AD463" i="15"/>
  <c r="AA464" i="15"/>
  <c r="AB464" i="15"/>
  <c r="AC464" i="15"/>
  <c r="AD464" i="15"/>
  <c r="AA465" i="15"/>
  <c r="AB465" i="15"/>
  <c r="AC465" i="15"/>
  <c r="AD465" i="15"/>
  <c r="AA466" i="15"/>
  <c r="AB466" i="15"/>
  <c r="AC466" i="15"/>
  <c r="AD466" i="15"/>
  <c r="AA467" i="15"/>
  <c r="AB467" i="15"/>
  <c r="AC467" i="15"/>
  <c r="AD467" i="15"/>
  <c r="AA468" i="15"/>
  <c r="AB468" i="15"/>
  <c r="AC468" i="15"/>
  <c r="AD468" i="15"/>
  <c r="AA469" i="15"/>
  <c r="AB469" i="15"/>
  <c r="AC469" i="15"/>
  <c r="AD469" i="15"/>
  <c r="AA470" i="15"/>
  <c r="AB470" i="15"/>
  <c r="AC470" i="15"/>
  <c r="AD470" i="15"/>
  <c r="AA471" i="15"/>
  <c r="AB471" i="15"/>
  <c r="AC471" i="15"/>
  <c r="AD471" i="15"/>
  <c r="AA472" i="15"/>
  <c r="AB472" i="15"/>
  <c r="AC472" i="15"/>
  <c r="AD472" i="15"/>
  <c r="AA473" i="15"/>
  <c r="AB473" i="15"/>
  <c r="P18" i="13" s="1"/>
  <c r="AC473" i="15"/>
  <c r="AD473" i="15"/>
  <c r="M18" i="13" s="1"/>
  <c r="AA943" i="10"/>
  <c r="AB943" i="10"/>
  <c r="AC943" i="10"/>
  <c r="AD943" i="10"/>
  <c r="AA944" i="10"/>
  <c r="AB944" i="10"/>
  <c r="AC944" i="10"/>
  <c r="AD944" i="10"/>
  <c r="AA945" i="10"/>
  <c r="AB945" i="10"/>
  <c r="AC945" i="10"/>
  <c r="AD945" i="10"/>
  <c r="AA946" i="10"/>
  <c r="AB946" i="10"/>
  <c r="AC946" i="10"/>
  <c r="AD946" i="10"/>
  <c r="AA947" i="10"/>
  <c r="AB947" i="10"/>
  <c r="AC947" i="10"/>
  <c r="AD947" i="10"/>
  <c r="AA948" i="10"/>
  <c r="AB948" i="10"/>
  <c r="AC948" i="10"/>
  <c r="AD948" i="10"/>
  <c r="AA949" i="10"/>
  <c r="AB949" i="10"/>
  <c r="AC949" i="10"/>
  <c r="AD949" i="10"/>
  <c r="AA950" i="10"/>
  <c r="AB950" i="10"/>
  <c r="AC950" i="10"/>
  <c r="AD950" i="10"/>
  <c r="AA951" i="10"/>
  <c r="AB951" i="10"/>
  <c r="AC951" i="10"/>
  <c r="AD951" i="10"/>
  <c r="AA952" i="10"/>
  <c r="AB952" i="10"/>
  <c r="AC952" i="10"/>
  <c r="AD952" i="10"/>
  <c r="AA953" i="10"/>
  <c r="AB953" i="10"/>
  <c r="AC953" i="10"/>
  <c r="AD953" i="10"/>
  <c r="AA954" i="10"/>
  <c r="AB954" i="10"/>
  <c r="AC954" i="10"/>
  <c r="AD954" i="10"/>
  <c r="AA955" i="10"/>
  <c r="AB955" i="10"/>
  <c r="AC955" i="10"/>
  <c r="AD955" i="10"/>
  <c r="AA956" i="10"/>
  <c r="AB956" i="10"/>
  <c r="AC956" i="10"/>
  <c r="AD956" i="10"/>
  <c r="AA957" i="10"/>
  <c r="AB957" i="10"/>
  <c r="AC957" i="10"/>
  <c r="AD957" i="10"/>
  <c r="AA958" i="10"/>
  <c r="AB958" i="10"/>
  <c r="AC958" i="10"/>
  <c r="AD958" i="10"/>
  <c r="AA446" i="15"/>
  <c r="AB446" i="15"/>
  <c r="AC446" i="15"/>
  <c r="AD446" i="15"/>
  <c r="AA447" i="15"/>
  <c r="AB447" i="15"/>
  <c r="AC447" i="15"/>
  <c r="AD447" i="15"/>
  <c r="AA448" i="15"/>
  <c r="AB448" i="15"/>
  <c r="AC448" i="15"/>
  <c r="AD448" i="15"/>
  <c r="AA449" i="15"/>
  <c r="AB449" i="15"/>
  <c r="AC449" i="15"/>
  <c r="AD449" i="15"/>
  <c r="AA450" i="15"/>
  <c r="AB450" i="15"/>
  <c r="AC450" i="15"/>
  <c r="AD450" i="15"/>
  <c r="AA451" i="15"/>
  <c r="AB451" i="15"/>
  <c r="AC451" i="15"/>
  <c r="AD451" i="15"/>
  <c r="AA452" i="15"/>
  <c r="AB452" i="15"/>
  <c r="AC452" i="15"/>
  <c r="AD452" i="15"/>
  <c r="AA453" i="15"/>
  <c r="AB453" i="15"/>
  <c r="AC453" i="15"/>
  <c r="AD453" i="15"/>
  <c r="AA454" i="15"/>
  <c r="AB454" i="15"/>
  <c r="AC454" i="15"/>
  <c r="AD454" i="15"/>
  <c r="AA455" i="15"/>
  <c r="AB455" i="15"/>
  <c r="AC455" i="15"/>
  <c r="AD455" i="15"/>
  <c r="AA456" i="15"/>
  <c r="AB456" i="15"/>
  <c r="AC456" i="15"/>
  <c r="AD456" i="15"/>
  <c r="AA457" i="15"/>
  <c r="AB457" i="15"/>
  <c r="AC457" i="15"/>
  <c r="AD457" i="15"/>
  <c r="AA931" i="10"/>
  <c r="AB931" i="10"/>
  <c r="AC931" i="10"/>
  <c r="AD931" i="10"/>
  <c r="AA932" i="10"/>
  <c r="AB932" i="10"/>
  <c r="AC932" i="10"/>
  <c r="AD932" i="10"/>
  <c r="AA933" i="10"/>
  <c r="AB933" i="10"/>
  <c r="AC933" i="10"/>
  <c r="AD933" i="10"/>
  <c r="AA934" i="10"/>
  <c r="AB934" i="10"/>
  <c r="AC934" i="10"/>
  <c r="AD934" i="10"/>
  <c r="AA935" i="10"/>
  <c r="AB935" i="10"/>
  <c r="AC935" i="10"/>
  <c r="AD935" i="10"/>
  <c r="AA936" i="10"/>
  <c r="AB936" i="10"/>
  <c r="AC936" i="10"/>
  <c r="AD936" i="10"/>
  <c r="AA937" i="10"/>
  <c r="AB937" i="10"/>
  <c r="AC937" i="10"/>
  <c r="AD937" i="10"/>
  <c r="AA938" i="10"/>
  <c r="AB938" i="10"/>
  <c r="AC938" i="10"/>
  <c r="AD938" i="10"/>
  <c r="AA939" i="10"/>
  <c r="AB939" i="10"/>
  <c r="AC939" i="10"/>
  <c r="AD939" i="10"/>
  <c r="AA940" i="10"/>
  <c r="AB940" i="10"/>
  <c r="AC940" i="10"/>
  <c r="AD940" i="10"/>
  <c r="AA941" i="10"/>
  <c r="AB941" i="10"/>
  <c r="AC941" i="10"/>
  <c r="AD941" i="10"/>
  <c r="AA942" i="10"/>
  <c r="AB942" i="10"/>
  <c r="AC942" i="10"/>
  <c r="AD942" i="10"/>
  <c r="AA196" i="18"/>
  <c r="AB196" i="18"/>
  <c r="AC196" i="18"/>
  <c r="AD196" i="18"/>
  <c r="AA197" i="18"/>
  <c r="AB197" i="18"/>
  <c r="AC197" i="18"/>
  <c r="AD197" i="18"/>
  <c r="AA198" i="18"/>
  <c r="AB198" i="18"/>
  <c r="AC198" i="18"/>
  <c r="AD198" i="18"/>
  <c r="AA199" i="18"/>
  <c r="AB199" i="18"/>
  <c r="AC199" i="18"/>
  <c r="AD199" i="18"/>
  <c r="AA200" i="18"/>
  <c r="AB200" i="18"/>
  <c r="AC200" i="18"/>
  <c r="AD200" i="18"/>
  <c r="AA201" i="18"/>
  <c r="AB201" i="18"/>
  <c r="AC201" i="18"/>
  <c r="AD201" i="18"/>
  <c r="AA202" i="18"/>
  <c r="AB202" i="18"/>
  <c r="AC202" i="18"/>
  <c r="AD202" i="18"/>
  <c r="AA203" i="18"/>
  <c r="AB203" i="18"/>
  <c r="AC203" i="18"/>
  <c r="AD203" i="18"/>
  <c r="AA204" i="18"/>
  <c r="AB204" i="18"/>
  <c r="AC204" i="18"/>
  <c r="AD204" i="18"/>
  <c r="AA205" i="18"/>
  <c r="AB205" i="18"/>
  <c r="AC205" i="18"/>
  <c r="AD205" i="18"/>
  <c r="AA206" i="18"/>
  <c r="AB206" i="18"/>
  <c r="AC206" i="18"/>
  <c r="AD206" i="18"/>
  <c r="AA207" i="18"/>
  <c r="AB207" i="18"/>
  <c r="AC207" i="18"/>
  <c r="AD207" i="18"/>
  <c r="AA434" i="15"/>
  <c r="AB434" i="15"/>
  <c r="AC434" i="15"/>
  <c r="AD434" i="15"/>
  <c r="AA435" i="15"/>
  <c r="AB435" i="15"/>
  <c r="AC435" i="15"/>
  <c r="AD435" i="15"/>
  <c r="AA436" i="15"/>
  <c r="AB436" i="15"/>
  <c r="AC436" i="15"/>
  <c r="AD436" i="15"/>
  <c r="AA437" i="15"/>
  <c r="AB437" i="15"/>
  <c r="AC437" i="15"/>
  <c r="AD437" i="15"/>
  <c r="AA438" i="15"/>
  <c r="AB438" i="15"/>
  <c r="AC438" i="15"/>
  <c r="AD438" i="15"/>
  <c r="AA439" i="15"/>
  <c r="AB439" i="15"/>
  <c r="AC439" i="15"/>
  <c r="AD439" i="15"/>
  <c r="AA440" i="15"/>
  <c r="AB440" i="15"/>
  <c r="AC440" i="15"/>
  <c r="AD440" i="15"/>
  <c r="AA441" i="15"/>
  <c r="AB441" i="15"/>
  <c r="AC441" i="15"/>
  <c r="AD441" i="15"/>
  <c r="AA442" i="15"/>
  <c r="AB442" i="15"/>
  <c r="AC442" i="15"/>
  <c r="AD442" i="15"/>
  <c r="AA443" i="15"/>
  <c r="AB443" i="15"/>
  <c r="AC443" i="15"/>
  <c r="AD443" i="15"/>
  <c r="AA444" i="15"/>
  <c r="AB444" i="15"/>
  <c r="AC444" i="15"/>
  <c r="AD444" i="15"/>
  <c r="AA445" i="15"/>
  <c r="AB445" i="15"/>
  <c r="AC445" i="15"/>
  <c r="AD445" i="15"/>
  <c r="AA919" i="10"/>
  <c r="AB919" i="10"/>
  <c r="AC919" i="10"/>
  <c r="AD919" i="10"/>
  <c r="AA920" i="10"/>
  <c r="AB920" i="10"/>
  <c r="AC920" i="10"/>
  <c r="AD920" i="10"/>
  <c r="AA921" i="10"/>
  <c r="AB921" i="10"/>
  <c r="AC921" i="10"/>
  <c r="AD921" i="10"/>
  <c r="AA922" i="10"/>
  <c r="AB922" i="10"/>
  <c r="AC922" i="10"/>
  <c r="AD922" i="10"/>
  <c r="AA923" i="10"/>
  <c r="AB923" i="10"/>
  <c r="AC923" i="10"/>
  <c r="AD923" i="10"/>
  <c r="AA924" i="10"/>
  <c r="AB924" i="10"/>
  <c r="AC924" i="10"/>
  <c r="AD924" i="10"/>
  <c r="AA925" i="10"/>
  <c r="AB925" i="10"/>
  <c r="AC925" i="10"/>
  <c r="AD925" i="10"/>
  <c r="AA926" i="10"/>
  <c r="AB926" i="10"/>
  <c r="AC926" i="10"/>
  <c r="AD926" i="10"/>
  <c r="AA927" i="10"/>
  <c r="AB927" i="10"/>
  <c r="AC927" i="10"/>
  <c r="AD927" i="10"/>
  <c r="AA928" i="10"/>
  <c r="AB928" i="10"/>
  <c r="AC928" i="10"/>
  <c r="AD928" i="10"/>
  <c r="AA929" i="10"/>
  <c r="AB929" i="10"/>
  <c r="AC929" i="10"/>
  <c r="AD929" i="10"/>
  <c r="AA930" i="10"/>
  <c r="AB930" i="10"/>
  <c r="AC930" i="10"/>
  <c r="AD930" i="10"/>
  <c r="AA420" i="15"/>
  <c r="AB420" i="15"/>
  <c r="AC420" i="15"/>
  <c r="AD420" i="15"/>
  <c r="AA421" i="15"/>
  <c r="AB421" i="15"/>
  <c r="AC421" i="15"/>
  <c r="AD421" i="15"/>
  <c r="AA422" i="15"/>
  <c r="AB422" i="15"/>
  <c r="AC422" i="15"/>
  <c r="AD422" i="15"/>
  <c r="AA423" i="15"/>
  <c r="AB423" i="15"/>
  <c r="AC423" i="15"/>
  <c r="AD423" i="15"/>
  <c r="AA424" i="15"/>
  <c r="AB424" i="15"/>
  <c r="AC424" i="15"/>
  <c r="AD424" i="15"/>
  <c r="AA425" i="15"/>
  <c r="AB425" i="15"/>
  <c r="AC425" i="15"/>
  <c r="AD425" i="15"/>
  <c r="AA426" i="15"/>
  <c r="AB426" i="15"/>
  <c r="AC426" i="15"/>
  <c r="AD426" i="15"/>
  <c r="AA427" i="15"/>
  <c r="AB427" i="15"/>
  <c r="AC427" i="15"/>
  <c r="AD427" i="15"/>
  <c r="AA428" i="15"/>
  <c r="AB428" i="15"/>
  <c r="AC428" i="15"/>
  <c r="AD428" i="15"/>
  <c r="AA429" i="15"/>
  <c r="AB429" i="15"/>
  <c r="AC429" i="15"/>
  <c r="AD429" i="15"/>
  <c r="AA430" i="15"/>
  <c r="AB430" i="15"/>
  <c r="AC430" i="15"/>
  <c r="AD430" i="15"/>
  <c r="AA431" i="15"/>
  <c r="AB431" i="15"/>
  <c r="AC431" i="15"/>
  <c r="AD431" i="15"/>
  <c r="AA432" i="15"/>
  <c r="AB432" i="15"/>
  <c r="AC432" i="15"/>
  <c r="AD432" i="15"/>
  <c r="AA433" i="15"/>
  <c r="AB433" i="15"/>
  <c r="AC433" i="15"/>
  <c r="AD433" i="15"/>
  <c r="AA905" i="10"/>
  <c r="AB905" i="10"/>
  <c r="AC905" i="10"/>
  <c r="AD905" i="10"/>
  <c r="AA906" i="10"/>
  <c r="AB906" i="10"/>
  <c r="AC906" i="10"/>
  <c r="AD906" i="10"/>
  <c r="AA907" i="10"/>
  <c r="AB907" i="10"/>
  <c r="AC907" i="10"/>
  <c r="AD907" i="10"/>
  <c r="AA908" i="10"/>
  <c r="AB908" i="10"/>
  <c r="AC908" i="10"/>
  <c r="AD908" i="10"/>
  <c r="AA909" i="10"/>
  <c r="AB909" i="10"/>
  <c r="AC909" i="10"/>
  <c r="AD909" i="10"/>
  <c r="AA910" i="10"/>
  <c r="AB910" i="10"/>
  <c r="AC910" i="10"/>
  <c r="AD910" i="10"/>
  <c r="AA911" i="10"/>
  <c r="AB911" i="10"/>
  <c r="AC911" i="10"/>
  <c r="AD911" i="10"/>
  <c r="AA912" i="10"/>
  <c r="AB912" i="10"/>
  <c r="AC912" i="10"/>
  <c r="AD912" i="10"/>
  <c r="AA913" i="10"/>
  <c r="AB913" i="10"/>
  <c r="AC913" i="10"/>
  <c r="AD913" i="10"/>
  <c r="AA914" i="10"/>
  <c r="AB914" i="10"/>
  <c r="AC914" i="10"/>
  <c r="AD914" i="10"/>
  <c r="AA915" i="10"/>
  <c r="AB915" i="10"/>
  <c r="AC915" i="10"/>
  <c r="AD915" i="10"/>
  <c r="AA916" i="10"/>
  <c r="AB916" i="10"/>
  <c r="AC916" i="10"/>
  <c r="AD916" i="10"/>
  <c r="AA917" i="10"/>
  <c r="AB917" i="10"/>
  <c r="AC917" i="10"/>
  <c r="AD917" i="10"/>
  <c r="AA918" i="10"/>
  <c r="AB918" i="10"/>
  <c r="AC918" i="10"/>
  <c r="AD918" i="10"/>
  <c r="AA404" i="15"/>
  <c r="AB404" i="15"/>
  <c r="AC404" i="15"/>
  <c r="AD404" i="15"/>
  <c r="AA405" i="15"/>
  <c r="AB405" i="15"/>
  <c r="AC405" i="15"/>
  <c r="AD405" i="15"/>
  <c r="AA406" i="15"/>
  <c r="AB406" i="15"/>
  <c r="AC406" i="15"/>
  <c r="AD406" i="15"/>
  <c r="AA407" i="15"/>
  <c r="AB407" i="15"/>
  <c r="AC407" i="15"/>
  <c r="AD407" i="15"/>
  <c r="AA408" i="15"/>
  <c r="AB408" i="15"/>
  <c r="AC408" i="15"/>
  <c r="AD408" i="15"/>
  <c r="AA409" i="15"/>
  <c r="AB409" i="15"/>
  <c r="AC409" i="15"/>
  <c r="AD409" i="15"/>
  <c r="AA410" i="15"/>
  <c r="AB410" i="15"/>
  <c r="AC410" i="15"/>
  <c r="AD410" i="15"/>
  <c r="AA411" i="15"/>
  <c r="AB411" i="15"/>
  <c r="AC411" i="15"/>
  <c r="AD411" i="15"/>
  <c r="AA412" i="15"/>
  <c r="AB412" i="15"/>
  <c r="AC412" i="15"/>
  <c r="AD412" i="15"/>
  <c r="AA413" i="15"/>
  <c r="AB413" i="15"/>
  <c r="AC413" i="15"/>
  <c r="AD413" i="15"/>
  <c r="AA414" i="15"/>
  <c r="AB414" i="15"/>
  <c r="AC414" i="15"/>
  <c r="AD414" i="15"/>
  <c r="AA415" i="15"/>
  <c r="AB415" i="15"/>
  <c r="AC415" i="15"/>
  <c r="AD415" i="15"/>
  <c r="AA416" i="15"/>
  <c r="AB416" i="15"/>
  <c r="AC416" i="15"/>
  <c r="AD416" i="15"/>
  <c r="AA417" i="15"/>
  <c r="AB417" i="15"/>
  <c r="AC417" i="15"/>
  <c r="AD417" i="15"/>
  <c r="AA418" i="15"/>
  <c r="AB418" i="15"/>
  <c r="AC418" i="15"/>
  <c r="AD418" i="15"/>
  <c r="AA419" i="15"/>
  <c r="AB419" i="15"/>
  <c r="AC419" i="15"/>
  <c r="AD419" i="15"/>
  <c r="AA889" i="10"/>
  <c r="AB889" i="10"/>
  <c r="AC889" i="10"/>
  <c r="AD889" i="10"/>
  <c r="AA890" i="10"/>
  <c r="AB890" i="10"/>
  <c r="AC890" i="10"/>
  <c r="AD890" i="10"/>
  <c r="AA891" i="10"/>
  <c r="AB891" i="10"/>
  <c r="AC891" i="10"/>
  <c r="AD891" i="10"/>
  <c r="AA892" i="10"/>
  <c r="AB892" i="10"/>
  <c r="AC892" i="10"/>
  <c r="AD892" i="10"/>
  <c r="AA893" i="10"/>
  <c r="AB893" i="10"/>
  <c r="AC893" i="10"/>
  <c r="AD893" i="10"/>
  <c r="AA894" i="10"/>
  <c r="AB894" i="10"/>
  <c r="AC894" i="10"/>
  <c r="AD894" i="10"/>
  <c r="AA895" i="10"/>
  <c r="AB895" i="10"/>
  <c r="AC895" i="10"/>
  <c r="AD895" i="10"/>
  <c r="AA896" i="10"/>
  <c r="AB896" i="10"/>
  <c r="AC896" i="10"/>
  <c r="AD896" i="10"/>
  <c r="AA897" i="10"/>
  <c r="AB897" i="10"/>
  <c r="AC897" i="10"/>
  <c r="AD897" i="10"/>
  <c r="AA898" i="10"/>
  <c r="AB898" i="10"/>
  <c r="AC898" i="10"/>
  <c r="AD898" i="10"/>
  <c r="AA899" i="10"/>
  <c r="AB899" i="10"/>
  <c r="AC899" i="10"/>
  <c r="AD899" i="10"/>
  <c r="AA900" i="10"/>
  <c r="AB900" i="10"/>
  <c r="AC900" i="10"/>
  <c r="AD900" i="10"/>
  <c r="AA901" i="10"/>
  <c r="AB901" i="10"/>
  <c r="AC901" i="10"/>
  <c r="AD901" i="10"/>
  <c r="AA902" i="10"/>
  <c r="AB902" i="10"/>
  <c r="AC902" i="10"/>
  <c r="AD902" i="10"/>
  <c r="AA903" i="10"/>
  <c r="AB903" i="10"/>
  <c r="AC903" i="10"/>
  <c r="AD903" i="10"/>
  <c r="AA904" i="10"/>
  <c r="AB904" i="10"/>
  <c r="AC904" i="10"/>
  <c r="AD904" i="10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I33" i="16"/>
  <c r="AJ33" i="16"/>
  <c r="AK33" i="16"/>
  <c r="AL33" i="16"/>
  <c r="AM33" i="16"/>
  <c r="AN33" i="16"/>
  <c r="R33" i="16"/>
  <c r="F33" i="16"/>
  <c r="G33" i="16"/>
  <c r="H33" i="16" a="1"/>
  <c r="H33" i="16" s="1"/>
  <c r="I33" i="16"/>
  <c r="J33" i="16"/>
  <c r="K33" i="16"/>
  <c r="L33" i="16"/>
  <c r="M33" i="16" s="1"/>
  <c r="O33" i="16"/>
  <c r="P33" i="16" s="1"/>
  <c r="Q33" i="16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I10" i="12"/>
  <c r="AJ10" i="12"/>
  <c r="AK10" i="12"/>
  <c r="AL10" i="12"/>
  <c r="AM10" i="12"/>
  <c r="AN10" i="12"/>
  <c r="R10" i="12"/>
  <c r="F10" i="12"/>
  <c r="G10" i="12"/>
  <c r="H10" i="12" a="1"/>
  <c r="H10" i="12" s="1"/>
  <c r="I10" i="12"/>
  <c r="J10" i="12"/>
  <c r="K10" i="12"/>
  <c r="L10" i="12"/>
  <c r="M10" i="12" s="1"/>
  <c r="N10" i="12"/>
  <c r="O10" i="12"/>
  <c r="P10" i="12" s="1"/>
  <c r="Q10" i="12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I7" i="16"/>
  <c r="AJ7" i="16"/>
  <c r="AK7" i="16"/>
  <c r="AL7" i="16"/>
  <c r="AM7" i="16"/>
  <c r="AN7" i="16"/>
  <c r="R7" i="16"/>
  <c r="F7" i="16"/>
  <c r="G7" i="16"/>
  <c r="H7" i="16" a="1"/>
  <c r="H7" i="16" s="1"/>
  <c r="I7" i="16"/>
  <c r="J7" i="16"/>
  <c r="L7" i="16"/>
  <c r="M7" i="16" s="1"/>
  <c r="N7" i="16"/>
  <c r="O7" i="16"/>
  <c r="P7" i="16" s="1"/>
  <c r="Q7" i="16"/>
  <c r="AH328" i="17"/>
  <c r="AI328" i="17"/>
  <c r="AJ328" i="17"/>
  <c r="AK328" i="17"/>
  <c r="AH329" i="17"/>
  <c r="AI329" i="17"/>
  <c r="AJ329" i="17"/>
  <c r="AK329" i="17"/>
  <c r="AH330" i="17"/>
  <c r="AI330" i="17"/>
  <c r="AJ330" i="17"/>
  <c r="AK330" i="17"/>
  <c r="AH331" i="17"/>
  <c r="AI331" i="17"/>
  <c r="N33" i="16" s="1"/>
  <c r="AJ331" i="17"/>
  <c r="AK331" i="17"/>
  <c r="AH332" i="17"/>
  <c r="AI332" i="17"/>
  <c r="AJ332" i="17"/>
  <c r="AK332" i="17"/>
  <c r="AH333" i="17"/>
  <c r="AI333" i="17"/>
  <c r="AJ333" i="17"/>
  <c r="AK333" i="17"/>
  <c r="AH334" i="17"/>
  <c r="AI334" i="17"/>
  <c r="AJ334" i="17"/>
  <c r="AK334" i="17"/>
  <c r="AH335" i="17"/>
  <c r="AI335" i="17"/>
  <c r="AJ335" i="17"/>
  <c r="AK335" i="17"/>
  <c r="AH336" i="17"/>
  <c r="AI336" i="17"/>
  <c r="AJ336" i="17"/>
  <c r="AK336" i="17"/>
  <c r="AH337" i="17"/>
  <c r="AI337" i="17"/>
  <c r="AJ337" i="17"/>
  <c r="AK337" i="17"/>
  <c r="AH338" i="17"/>
  <c r="AI338" i="17"/>
  <c r="AJ338" i="17"/>
  <c r="AK338" i="17"/>
  <c r="K7" i="16" s="1"/>
  <c r="AH339" i="17"/>
  <c r="AI339" i="17"/>
  <c r="AJ339" i="17"/>
  <c r="AK339" i="17"/>
  <c r="AH1032" i="9"/>
  <c r="AI1032" i="9"/>
  <c r="AJ1032" i="9"/>
  <c r="AK1032" i="9"/>
  <c r="AH1033" i="9"/>
  <c r="AI1033" i="9"/>
  <c r="AJ1033" i="9"/>
  <c r="AK1033" i="9"/>
  <c r="AH1034" i="9"/>
  <c r="AI1034" i="9"/>
  <c r="AJ1034" i="9"/>
  <c r="AK1034" i="9"/>
  <c r="AH1035" i="9"/>
  <c r="AI1035" i="9"/>
  <c r="AJ1035" i="9"/>
  <c r="AK1035" i="9"/>
  <c r="AH1036" i="9"/>
  <c r="AI1036" i="9"/>
  <c r="AJ1036" i="9"/>
  <c r="AK1036" i="9"/>
  <c r="AH1037" i="9"/>
  <c r="AI1037" i="9"/>
  <c r="AJ1037" i="9"/>
  <c r="AK1037" i="9"/>
  <c r="AH1038" i="9"/>
  <c r="AI1038" i="9"/>
  <c r="AJ1038" i="9"/>
  <c r="AK1038" i="9"/>
  <c r="AH1039" i="9"/>
  <c r="AI1039" i="9"/>
  <c r="AJ1039" i="9"/>
  <c r="AK1039" i="9"/>
  <c r="AH1040" i="9"/>
  <c r="AI1040" i="9"/>
  <c r="AJ1040" i="9"/>
  <c r="AK1040" i="9"/>
  <c r="AH1041" i="9"/>
  <c r="AI1041" i="9"/>
  <c r="AJ1041" i="9"/>
  <c r="AK1041" i="9"/>
  <c r="AH1042" i="9"/>
  <c r="AI1042" i="9"/>
  <c r="AJ1042" i="9"/>
  <c r="AK1042" i="9"/>
  <c r="AH1043" i="9"/>
  <c r="AI1043" i="9"/>
  <c r="AJ1043" i="9"/>
  <c r="AK1043" i="9"/>
  <c r="AH1016" i="9"/>
  <c r="AI1016" i="9"/>
  <c r="AJ1016" i="9"/>
  <c r="AK1016" i="9"/>
  <c r="AH1017" i="9"/>
  <c r="AI1017" i="9"/>
  <c r="AJ1017" i="9"/>
  <c r="AK1017" i="9"/>
  <c r="AH1018" i="9"/>
  <c r="AI1018" i="9"/>
  <c r="AJ1018" i="9"/>
  <c r="AK1018" i="9"/>
  <c r="AH1019" i="9"/>
  <c r="AI1019" i="9"/>
  <c r="AJ1019" i="9"/>
  <c r="AK1019" i="9"/>
  <c r="AH1020" i="9"/>
  <c r="AI1020" i="9"/>
  <c r="AJ1020" i="9"/>
  <c r="AK1020" i="9"/>
  <c r="AH1021" i="9"/>
  <c r="AI1021" i="9"/>
  <c r="AJ1021" i="9"/>
  <c r="AK1021" i="9"/>
  <c r="AH1022" i="9"/>
  <c r="AI1022" i="9"/>
  <c r="AJ1022" i="9"/>
  <c r="AK1022" i="9"/>
  <c r="AH1023" i="9"/>
  <c r="AI1023" i="9"/>
  <c r="AJ1023" i="9"/>
  <c r="AK1023" i="9"/>
  <c r="AH1024" i="9"/>
  <c r="AI1024" i="9"/>
  <c r="AJ1024" i="9"/>
  <c r="AK1024" i="9"/>
  <c r="AH1025" i="9"/>
  <c r="AI1025" i="9"/>
  <c r="AJ1025" i="9"/>
  <c r="AK1025" i="9"/>
  <c r="AH1026" i="9"/>
  <c r="AI1026" i="9"/>
  <c r="AJ1026" i="9"/>
  <c r="AK1026" i="9"/>
  <c r="AH1027" i="9"/>
  <c r="AI1027" i="9"/>
  <c r="AJ1027" i="9"/>
  <c r="AK1027" i="9"/>
  <c r="AH1028" i="9"/>
  <c r="AI1028" i="9"/>
  <c r="AJ1028" i="9"/>
  <c r="AK1028" i="9"/>
  <c r="AH1029" i="9"/>
  <c r="AI1029" i="9"/>
  <c r="AJ1029" i="9"/>
  <c r="AK1029" i="9"/>
  <c r="AH1030" i="9"/>
  <c r="AI1030" i="9"/>
  <c r="AJ1030" i="9"/>
  <c r="AK1030" i="9"/>
  <c r="AH1031" i="9"/>
  <c r="AI1031" i="9"/>
  <c r="AJ1031" i="9"/>
  <c r="AK1031" i="9"/>
  <c r="AH312" i="17"/>
  <c r="AI312" i="17"/>
  <c r="AJ312" i="17"/>
  <c r="AK312" i="17"/>
  <c r="AH313" i="17"/>
  <c r="AI313" i="17"/>
  <c r="AJ313" i="17"/>
  <c r="AK313" i="17"/>
  <c r="AH314" i="17"/>
  <c r="AI314" i="17"/>
  <c r="AJ314" i="17"/>
  <c r="AK314" i="17"/>
  <c r="AH315" i="17"/>
  <c r="AI315" i="17"/>
  <c r="AJ315" i="17"/>
  <c r="AK315" i="17"/>
  <c r="AH316" i="17"/>
  <c r="AI316" i="17"/>
  <c r="AJ316" i="17"/>
  <c r="AK316" i="17"/>
  <c r="AH317" i="17"/>
  <c r="AI317" i="17"/>
  <c r="AJ317" i="17"/>
  <c r="AK317" i="17"/>
  <c r="AH318" i="17"/>
  <c r="AI318" i="17"/>
  <c r="AJ318" i="17"/>
  <c r="AK318" i="17"/>
  <c r="AH319" i="17"/>
  <c r="AI319" i="17"/>
  <c r="AJ319" i="17"/>
  <c r="AK319" i="17"/>
  <c r="AH320" i="17"/>
  <c r="AI320" i="17"/>
  <c r="AJ320" i="17"/>
  <c r="AK320" i="17"/>
  <c r="AH321" i="17"/>
  <c r="AI321" i="17"/>
  <c r="AJ321" i="17"/>
  <c r="AK321" i="17"/>
  <c r="AH322" i="17"/>
  <c r="AI322" i="17"/>
  <c r="AJ322" i="17"/>
  <c r="AK322" i="17"/>
  <c r="AH323" i="17"/>
  <c r="AI323" i="17"/>
  <c r="AJ323" i="17"/>
  <c r="AK323" i="17"/>
  <c r="AH324" i="17"/>
  <c r="AI324" i="17"/>
  <c r="AJ324" i="17"/>
  <c r="AK324" i="17"/>
  <c r="AH325" i="17"/>
  <c r="AI325" i="17"/>
  <c r="AJ325" i="17"/>
  <c r="AK325" i="17"/>
  <c r="AH326" i="17"/>
  <c r="AI326" i="17"/>
  <c r="AJ326" i="17"/>
  <c r="AK326" i="17"/>
  <c r="AH327" i="17"/>
  <c r="AI327" i="17"/>
  <c r="AJ327" i="17"/>
  <c r="AK327" i="17"/>
  <c r="AH300" i="17"/>
  <c r="AI300" i="17"/>
  <c r="AJ300" i="17"/>
  <c r="AK300" i="17"/>
  <c r="AH301" i="17"/>
  <c r="AI301" i="17"/>
  <c r="AJ301" i="17"/>
  <c r="AK301" i="17"/>
  <c r="AH302" i="17"/>
  <c r="AI302" i="17"/>
  <c r="AJ302" i="17"/>
  <c r="AK302" i="17"/>
  <c r="AH303" i="17"/>
  <c r="AI303" i="17"/>
  <c r="AJ303" i="17"/>
  <c r="AK303" i="17"/>
  <c r="AH304" i="17"/>
  <c r="AI304" i="17"/>
  <c r="AJ304" i="17"/>
  <c r="AK304" i="17"/>
  <c r="AH305" i="17"/>
  <c r="AI305" i="17"/>
  <c r="AJ305" i="17"/>
  <c r="AK305" i="17"/>
  <c r="AH306" i="17"/>
  <c r="AI306" i="17"/>
  <c r="AJ306" i="17"/>
  <c r="AK306" i="17"/>
  <c r="AH307" i="17"/>
  <c r="AI307" i="17"/>
  <c r="AJ307" i="17"/>
  <c r="AK307" i="17"/>
  <c r="AH308" i="17"/>
  <c r="AI308" i="17"/>
  <c r="AJ308" i="17"/>
  <c r="AK308" i="17"/>
  <c r="AH309" i="17"/>
  <c r="AI309" i="17"/>
  <c r="AJ309" i="17"/>
  <c r="AK309" i="17"/>
  <c r="AH310" i="17"/>
  <c r="AI310" i="17"/>
  <c r="AJ310" i="17"/>
  <c r="AK310" i="17"/>
  <c r="AH311" i="17"/>
  <c r="AI311" i="17"/>
  <c r="AJ311" i="17"/>
  <c r="AK311" i="17"/>
  <c r="AH1004" i="9"/>
  <c r="AI1004" i="9"/>
  <c r="AJ1004" i="9"/>
  <c r="AK1004" i="9"/>
  <c r="AH1005" i="9"/>
  <c r="AI1005" i="9"/>
  <c r="AJ1005" i="9"/>
  <c r="AK1005" i="9"/>
  <c r="AH1006" i="9"/>
  <c r="AI1006" i="9"/>
  <c r="AJ1006" i="9"/>
  <c r="AK1006" i="9"/>
  <c r="AH1007" i="9"/>
  <c r="AI1007" i="9"/>
  <c r="AJ1007" i="9"/>
  <c r="AK1007" i="9"/>
  <c r="AH1008" i="9"/>
  <c r="AI1008" i="9"/>
  <c r="AJ1008" i="9"/>
  <c r="AK1008" i="9"/>
  <c r="AH1009" i="9"/>
  <c r="AI1009" i="9"/>
  <c r="AJ1009" i="9"/>
  <c r="AK1009" i="9"/>
  <c r="AH1010" i="9"/>
  <c r="AI1010" i="9"/>
  <c r="AJ1010" i="9"/>
  <c r="AK1010" i="9"/>
  <c r="AH1011" i="9"/>
  <c r="AI1011" i="9"/>
  <c r="AJ1011" i="9"/>
  <c r="AK1011" i="9"/>
  <c r="AH1012" i="9"/>
  <c r="AI1012" i="9"/>
  <c r="AJ1012" i="9"/>
  <c r="AK1012" i="9"/>
  <c r="AH1013" i="9"/>
  <c r="AI1013" i="9"/>
  <c r="AJ1013" i="9"/>
  <c r="AK1013" i="9"/>
  <c r="AH1014" i="9"/>
  <c r="AI1014" i="9"/>
  <c r="AJ1014" i="9"/>
  <c r="AK1014" i="9"/>
  <c r="AH1015" i="9"/>
  <c r="AI1015" i="9"/>
  <c r="AJ1015" i="9"/>
  <c r="AK1015" i="9"/>
  <c r="AA390" i="15"/>
  <c r="AB390" i="15"/>
  <c r="AC390" i="15"/>
  <c r="AD390" i="15"/>
  <c r="AA391" i="15"/>
  <c r="AB391" i="15"/>
  <c r="AC391" i="15"/>
  <c r="AD391" i="15"/>
  <c r="AA392" i="15"/>
  <c r="AB392" i="15"/>
  <c r="AC392" i="15"/>
  <c r="AD392" i="15"/>
  <c r="AA393" i="15"/>
  <c r="AB393" i="15"/>
  <c r="AC393" i="15"/>
  <c r="AD393" i="15"/>
  <c r="AA394" i="15"/>
  <c r="AB394" i="15"/>
  <c r="AC394" i="15"/>
  <c r="AD394" i="15"/>
  <c r="AA395" i="15"/>
  <c r="AB395" i="15"/>
  <c r="AC395" i="15"/>
  <c r="AD395" i="15"/>
  <c r="AA396" i="15"/>
  <c r="AB396" i="15"/>
  <c r="AC396" i="15"/>
  <c r="AD396" i="15"/>
  <c r="AA397" i="15"/>
  <c r="AB397" i="15"/>
  <c r="AC397" i="15"/>
  <c r="AD397" i="15"/>
  <c r="AA398" i="15"/>
  <c r="AB398" i="15"/>
  <c r="AC398" i="15"/>
  <c r="AD398" i="15"/>
  <c r="AA399" i="15"/>
  <c r="AB399" i="15"/>
  <c r="AC399" i="15"/>
  <c r="AD399" i="15"/>
  <c r="AA400" i="15"/>
  <c r="AB400" i="15"/>
  <c r="AC400" i="15"/>
  <c r="AD400" i="15"/>
  <c r="AA401" i="15"/>
  <c r="AB401" i="15"/>
  <c r="AC401" i="15"/>
  <c r="AD401" i="15"/>
  <c r="AA402" i="15"/>
  <c r="AB402" i="15"/>
  <c r="AC402" i="15"/>
  <c r="AD402" i="15"/>
  <c r="AA403" i="15"/>
  <c r="AB403" i="15"/>
  <c r="AC403" i="15"/>
  <c r="AD403" i="15"/>
  <c r="AA875" i="10"/>
  <c r="AB875" i="10"/>
  <c r="AC875" i="10"/>
  <c r="AD875" i="10"/>
  <c r="AA876" i="10"/>
  <c r="AB876" i="10"/>
  <c r="AC876" i="10"/>
  <c r="AD876" i="10"/>
  <c r="AA877" i="10"/>
  <c r="AB877" i="10"/>
  <c r="AC877" i="10"/>
  <c r="AD877" i="10"/>
  <c r="AA878" i="10"/>
  <c r="AB878" i="10"/>
  <c r="AC878" i="10"/>
  <c r="AD878" i="10"/>
  <c r="AA879" i="10"/>
  <c r="AB879" i="10"/>
  <c r="AC879" i="10"/>
  <c r="AD879" i="10"/>
  <c r="AA880" i="10"/>
  <c r="AB880" i="10"/>
  <c r="AC880" i="10"/>
  <c r="AD880" i="10"/>
  <c r="AA881" i="10"/>
  <c r="AB881" i="10"/>
  <c r="AC881" i="10"/>
  <c r="AD881" i="10"/>
  <c r="AA882" i="10"/>
  <c r="AB882" i="10"/>
  <c r="AC882" i="10"/>
  <c r="AD882" i="10"/>
  <c r="AA883" i="10"/>
  <c r="AB883" i="10"/>
  <c r="AC883" i="10"/>
  <c r="AD883" i="10"/>
  <c r="AA884" i="10"/>
  <c r="AB884" i="10"/>
  <c r="AC884" i="10"/>
  <c r="AD884" i="10"/>
  <c r="AA885" i="10"/>
  <c r="AB885" i="10"/>
  <c r="AC885" i="10"/>
  <c r="AD885" i="10"/>
  <c r="AA886" i="10"/>
  <c r="AB886" i="10"/>
  <c r="AC886" i="10"/>
  <c r="AD886" i="10"/>
  <c r="AA887" i="10"/>
  <c r="AB887" i="10"/>
  <c r="AC887" i="10"/>
  <c r="AD887" i="10"/>
  <c r="AA888" i="10"/>
  <c r="AB888" i="10"/>
  <c r="AC888" i="10"/>
  <c r="AD888" i="10"/>
  <c r="AA374" i="15"/>
  <c r="AB374" i="15"/>
  <c r="AC374" i="15"/>
  <c r="AD374" i="15"/>
  <c r="AA375" i="15"/>
  <c r="AB375" i="15"/>
  <c r="AC375" i="15"/>
  <c r="AD375" i="15"/>
  <c r="AA376" i="15"/>
  <c r="AB376" i="15"/>
  <c r="AC376" i="15"/>
  <c r="AD376" i="15"/>
  <c r="AA377" i="15"/>
  <c r="AB377" i="15"/>
  <c r="AC377" i="15"/>
  <c r="AD377" i="15"/>
  <c r="AA378" i="15"/>
  <c r="AB378" i="15"/>
  <c r="P33" i="13" s="1"/>
  <c r="AC378" i="15"/>
  <c r="S33" i="13" s="1"/>
  <c r="AD378" i="15"/>
  <c r="AA379" i="15"/>
  <c r="AB379" i="15"/>
  <c r="AC379" i="15"/>
  <c r="AD379" i="15"/>
  <c r="AA380" i="15"/>
  <c r="AB380" i="15"/>
  <c r="AC380" i="15"/>
  <c r="AD380" i="15"/>
  <c r="AA381" i="15"/>
  <c r="AB381" i="15"/>
  <c r="AC381" i="15"/>
  <c r="AD381" i="15"/>
  <c r="AA382" i="15"/>
  <c r="AB382" i="15"/>
  <c r="AC382" i="15"/>
  <c r="AD382" i="15"/>
  <c r="AA383" i="15"/>
  <c r="AB383" i="15"/>
  <c r="AC383" i="15"/>
  <c r="AD383" i="15"/>
  <c r="AA384" i="15"/>
  <c r="AB384" i="15"/>
  <c r="AC384" i="15"/>
  <c r="AD384" i="15"/>
  <c r="AA385" i="15"/>
  <c r="AB385" i="15"/>
  <c r="AC385" i="15"/>
  <c r="AD385" i="15"/>
  <c r="AA386" i="15"/>
  <c r="AB386" i="15"/>
  <c r="AC386" i="15"/>
  <c r="AD386" i="15"/>
  <c r="AA387" i="15"/>
  <c r="AB387" i="15"/>
  <c r="AC387" i="15"/>
  <c r="AD387" i="15"/>
  <c r="AA388" i="15"/>
  <c r="AB388" i="15"/>
  <c r="AC388" i="15"/>
  <c r="AD388" i="15"/>
  <c r="AA389" i="15"/>
  <c r="AB389" i="15"/>
  <c r="AC389" i="15"/>
  <c r="AD389" i="15"/>
  <c r="AA859" i="10"/>
  <c r="AB859" i="10"/>
  <c r="AC859" i="10"/>
  <c r="AD859" i="10"/>
  <c r="AA860" i="10"/>
  <c r="AB860" i="10"/>
  <c r="AC860" i="10"/>
  <c r="AD860" i="10"/>
  <c r="AA861" i="10"/>
  <c r="AB861" i="10"/>
  <c r="AC861" i="10"/>
  <c r="AD861" i="10"/>
  <c r="AA862" i="10"/>
  <c r="AB862" i="10"/>
  <c r="AC862" i="10"/>
  <c r="AD862" i="10"/>
  <c r="AA863" i="10"/>
  <c r="AB863" i="10"/>
  <c r="AC863" i="10"/>
  <c r="S36" i="11" s="1"/>
  <c r="AD863" i="10"/>
  <c r="AA864" i="10"/>
  <c r="AB864" i="10"/>
  <c r="AC864" i="10"/>
  <c r="AD864" i="10"/>
  <c r="AA865" i="10"/>
  <c r="AB865" i="10"/>
  <c r="AC865" i="10"/>
  <c r="AD865" i="10"/>
  <c r="AA866" i="10"/>
  <c r="AB866" i="10"/>
  <c r="AC866" i="10"/>
  <c r="AD866" i="10"/>
  <c r="AA867" i="10"/>
  <c r="AB867" i="10"/>
  <c r="AC867" i="10"/>
  <c r="AD867" i="10"/>
  <c r="AA868" i="10"/>
  <c r="AB868" i="10"/>
  <c r="AC868" i="10"/>
  <c r="AD868" i="10"/>
  <c r="AA869" i="10"/>
  <c r="AB869" i="10"/>
  <c r="AC869" i="10"/>
  <c r="AD869" i="10"/>
  <c r="AA870" i="10"/>
  <c r="AB870" i="10"/>
  <c r="AC870" i="10"/>
  <c r="AD870" i="10"/>
  <c r="AA871" i="10"/>
  <c r="AB871" i="10"/>
  <c r="AC871" i="10"/>
  <c r="AD871" i="10"/>
  <c r="AA872" i="10"/>
  <c r="AB872" i="10"/>
  <c r="AC872" i="10"/>
  <c r="AD872" i="10"/>
  <c r="AA873" i="10"/>
  <c r="AB873" i="10"/>
  <c r="AC873" i="10"/>
  <c r="AD873" i="10"/>
  <c r="AA874" i="10"/>
  <c r="AB874" i="10"/>
  <c r="AC874" i="10"/>
  <c r="AD874" i="10"/>
  <c r="AA843" i="10"/>
  <c r="AB843" i="10"/>
  <c r="AC843" i="10"/>
  <c r="AD843" i="10"/>
  <c r="AA844" i="10"/>
  <c r="AB844" i="10"/>
  <c r="AC844" i="10"/>
  <c r="AD844" i="10"/>
  <c r="AA845" i="10"/>
  <c r="AB845" i="10"/>
  <c r="AC845" i="10"/>
  <c r="AD845" i="10"/>
  <c r="AA846" i="10"/>
  <c r="AB846" i="10"/>
  <c r="AC846" i="10"/>
  <c r="AD846" i="10"/>
  <c r="AA847" i="10"/>
  <c r="AB847" i="10"/>
  <c r="AC847" i="10"/>
  <c r="AD847" i="10"/>
  <c r="AA848" i="10"/>
  <c r="AB848" i="10"/>
  <c r="AC848" i="10"/>
  <c r="AD848" i="10"/>
  <c r="AA849" i="10"/>
  <c r="AB849" i="10"/>
  <c r="AC849" i="10"/>
  <c r="AD849" i="10"/>
  <c r="AA850" i="10"/>
  <c r="AB850" i="10"/>
  <c r="AC850" i="10"/>
  <c r="AD850" i="10"/>
  <c r="AA851" i="10"/>
  <c r="AB851" i="10"/>
  <c r="AC851" i="10"/>
  <c r="AD851" i="10"/>
  <c r="AA852" i="10"/>
  <c r="AB852" i="10"/>
  <c r="AC852" i="10"/>
  <c r="AD852" i="10"/>
  <c r="AA853" i="10"/>
  <c r="AB853" i="10"/>
  <c r="AC853" i="10"/>
  <c r="AD853" i="10"/>
  <c r="AA854" i="10"/>
  <c r="AB854" i="10"/>
  <c r="AC854" i="10"/>
  <c r="AD854" i="10"/>
  <c r="AA855" i="10"/>
  <c r="AB855" i="10"/>
  <c r="AC855" i="10"/>
  <c r="AD855" i="10"/>
  <c r="AA856" i="10"/>
  <c r="AB856" i="10"/>
  <c r="AC856" i="10"/>
  <c r="AD856" i="10"/>
  <c r="AA857" i="10"/>
  <c r="AB857" i="10"/>
  <c r="AC857" i="10"/>
  <c r="AD857" i="10"/>
  <c r="AA858" i="10"/>
  <c r="AB858" i="10"/>
  <c r="AC858" i="10"/>
  <c r="AD858" i="10"/>
  <c r="AA358" i="15"/>
  <c r="AB358" i="15"/>
  <c r="AC358" i="15"/>
  <c r="AD358" i="15"/>
  <c r="AA359" i="15"/>
  <c r="AB359" i="15"/>
  <c r="AC359" i="15"/>
  <c r="AD359" i="15"/>
  <c r="AA360" i="15"/>
  <c r="AB360" i="15"/>
  <c r="AC360" i="15"/>
  <c r="AD360" i="15"/>
  <c r="AA361" i="15"/>
  <c r="AB361" i="15"/>
  <c r="AC361" i="15"/>
  <c r="AD361" i="15"/>
  <c r="AA362" i="15"/>
  <c r="AB362" i="15"/>
  <c r="AC362" i="15"/>
  <c r="AD362" i="15"/>
  <c r="AA363" i="15"/>
  <c r="AB363" i="15"/>
  <c r="AC363" i="15"/>
  <c r="AD363" i="15"/>
  <c r="AA364" i="15"/>
  <c r="AB364" i="15"/>
  <c r="AC364" i="15"/>
  <c r="AD364" i="15"/>
  <c r="AA365" i="15"/>
  <c r="AB365" i="15"/>
  <c r="AC365" i="15"/>
  <c r="AD365" i="15"/>
  <c r="AA366" i="15"/>
  <c r="AB366" i="15"/>
  <c r="AC366" i="15"/>
  <c r="AD366" i="15"/>
  <c r="AA367" i="15"/>
  <c r="AB367" i="15"/>
  <c r="AC367" i="15"/>
  <c r="AD367" i="15"/>
  <c r="AA368" i="15"/>
  <c r="AB368" i="15"/>
  <c r="AC368" i="15"/>
  <c r="AD368" i="15"/>
  <c r="AA369" i="15"/>
  <c r="AB369" i="15"/>
  <c r="AC369" i="15"/>
  <c r="AD369" i="15"/>
  <c r="AA370" i="15"/>
  <c r="AB370" i="15"/>
  <c r="AC370" i="15"/>
  <c r="AD370" i="15"/>
  <c r="AA371" i="15"/>
  <c r="AB371" i="15"/>
  <c r="AC371" i="15"/>
  <c r="AD371" i="15"/>
  <c r="AA372" i="15"/>
  <c r="AB372" i="15"/>
  <c r="AC372" i="15"/>
  <c r="AD372" i="15"/>
  <c r="AA373" i="15"/>
  <c r="AB373" i="15"/>
  <c r="AC373" i="15"/>
  <c r="AD373" i="15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T10" i="13"/>
  <c r="H10" i="13"/>
  <c r="I10" i="13"/>
  <c r="J10" i="13" a="1"/>
  <c r="J10" i="13" s="1"/>
  <c r="K10" i="13"/>
  <c r="L10" i="13"/>
  <c r="M10" i="13"/>
  <c r="N10" i="13"/>
  <c r="O10" i="13" s="1"/>
  <c r="P10" i="13"/>
  <c r="Q10" i="13"/>
  <c r="R10" i="13" s="1"/>
  <c r="S10" i="13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T10" i="11"/>
  <c r="H10" i="11"/>
  <c r="I10" i="11"/>
  <c r="J10" i="11" a="1"/>
  <c r="J10" i="11" s="1"/>
  <c r="K10" i="11"/>
  <c r="L10" i="11"/>
  <c r="N10" i="11"/>
  <c r="O10" i="11" s="1"/>
  <c r="Q10" i="11"/>
  <c r="R10" i="11" s="1"/>
  <c r="S10" i="11"/>
  <c r="AA342" i="15"/>
  <c r="AB342" i="15"/>
  <c r="AC342" i="15"/>
  <c r="AD342" i="15"/>
  <c r="AA343" i="15"/>
  <c r="AB343" i="15"/>
  <c r="AC343" i="15"/>
  <c r="AD343" i="15"/>
  <c r="AA344" i="15"/>
  <c r="AB344" i="15"/>
  <c r="AC344" i="15"/>
  <c r="AD344" i="15"/>
  <c r="AA345" i="15"/>
  <c r="AB345" i="15"/>
  <c r="AC345" i="15"/>
  <c r="AD345" i="15"/>
  <c r="AA346" i="15"/>
  <c r="AB346" i="15"/>
  <c r="AC346" i="15"/>
  <c r="AD346" i="15"/>
  <c r="AA347" i="15"/>
  <c r="AB347" i="15"/>
  <c r="AC347" i="15"/>
  <c r="AD347" i="15"/>
  <c r="AA348" i="15"/>
  <c r="AB348" i="15"/>
  <c r="AC348" i="15"/>
  <c r="AD348" i="15"/>
  <c r="AA349" i="15"/>
  <c r="AB349" i="15"/>
  <c r="AC349" i="15"/>
  <c r="AD349" i="15"/>
  <c r="AA350" i="15"/>
  <c r="AB350" i="15"/>
  <c r="AC350" i="15"/>
  <c r="AD350" i="15"/>
  <c r="AA351" i="15"/>
  <c r="AB351" i="15"/>
  <c r="AC351" i="15"/>
  <c r="AD351" i="15"/>
  <c r="AA352" i="15"/>
  <c r="AB352" i="15"/>
  <c r="AC352" i="15"/>
  <c r="AD352" i="15"/>
  <c r="AA353" i="15"/>
  <c r="AB353" i="15"/>
  <c r="AC353" i="15"/>
  <c r="AD353" i="15"/>
  <c r="AA354" i="15"/>
  <c r="AB354" i="15"/>
  <c r="AC354" i="15"/>
  <c r="AD354" i="15"/>
  <c r="AA355" i="15"/>
  <c r="AB355" i="15"/>
  <c r="AC355" i="15"/>
  <c r="AD355" i="15"/>
  <c r="AA356" i="15"/>
  <c r="AB356" i="15"/>
  <c r="AC356" i="15"/>
  <c r="AD356" i="15"/>
  <c r="AA357" i="15"/>
  <c r="AB357" i="15"/>
  <c r="AC357" i="15"/>
  <c r="AD357" i="15"/>
  <c r="AA827" i="10"/>
  <c r="AB827" i="10"/>
  <c r="AC827" i="10"/>
  <c r="AD827" i="10"/>
  <c r="AA828" i="10"/>
  <c r="AB828" i="10"/>
  <c r="AC828" i="10"/>
  <c r="AD828" i="10"/>
  <c r="AA829" i="10"/>
  <c r="AB829" i="10"/>
  <c r="AC829" i="10"/>
  <c r="AD829" i="10"/>
  <c r="AA830" i="10"/>
  <c r="AB830" i="10"/>
  <c r="AC830" i="10"/>
  <c r="AD830" i="10"/>
  <c r="AA831" i="10"/>
  <c r="AB831" i="10"/>
  <c r="AC831" i="10"/>
  <c r="AD831" i="10"/>
  <c r="AA832" i="10"/>
  <c r="AB832" i="10"/>
  <c r="AC832" i="10"/>
  <c r="AD832" i="10"/>
  <c r="AA833" i="10"/>
  <c r="AB833" i="10"/>
  <c r="AC833" i="10"/>
  <c r="AD833" i="10"/>
  <c r="AA834" i="10"/>
  <c r="AB834" i="10"/>
  <c r="P10" i="11" s="1"/>
  <c r="AC834" i="10"/>
  <c r="AD834" i="10"/>
  <c r="M10" i="11" s="1"/>
  <c r="AA835" i="10"/>
  <c r="AB835" i="10"/>
  <c r="AC835" i="10"/>
  <c r="AD835" i="10"/>
  <c r="AA836" i="10"/>
  <c r="AB836" i="10"/>
  <c r="AC836" i="10"/>
  <c r="AD836" i="10"/>
  <c r="AA837" i="10"/>
  <c r="AB837" i="10"/>
  <c r="AC837" i="10"/>
  <c r="AD837" i="10"/>
  <c r="AA838" i="10"/>
  <c r="AB838" i="10"/>
  <c r="AC838" i="10"/>
  <c r="AD838" i="10"/>
  <c r="AA839" i="10"/>
  <c r="AB839" i="10"/>
  <c r="AC839" i="10"/>
  <c r="AD839" i="10"/>
  <c r="AA840" i="10"/>
  <c r="AB840" i="10"/>
  <c r="AC840" i="10"/>
  <c r="AD840" i="10"/>
  <c r="AA841" i="10"/>
  <c r="AB841" i="10"/>
  <c r="AC841" i="10"/>
  <c r="AD841" i="10"/>
  <c r="AA842" i="10"/>
  <c r="AB842" i="10"/>
  <c r="AC842" i="10"/>
  <c r="AD842" i="10"/>
  <c r="AH990" i="9"/>
  <c r="AI990" i="9"/>
  <c r="AJ990" i="9"/>
  <c r="AK990" i="9"/>
  <c r="AH991" i="9"/>
  <c r="AI991" i="9"/>
  <c r="AJ991" i="9"/>
  <c r="AK991" i="9"/>
  <c r="AH992" i="9"/>
  <c r="AI992" i="9"/>
  <c r="AJ992" i="9"/>
  <c r="AK992" i="9"/>
  <c r="AH993" i="9"/>
  <c r="AI993" i="9"/>
  <c r="AJ993" i="9"/>
  <c r="AK993" i="9"/>
  <c r="AH994" i="9"/>
  <c r="AI994" i="9"/>
  <c r="AJ994" i="9"/>
  <c r="AK994" i="9"/>
  <c r="AH995" i="9"/>
  <c r="AI995" i="9"/>
  <c r="AJ995" i="9"/>
  <c r="AK995" i="9"/>
  <c r="AH996" i="9"/>
  <c r="AI996" i="9"/>
  <c r="AJ996" i="9"/>
  <c r="AK996" i="9"/>
  <c r="AH997" i="9"/>
  <c r="AI997" i="9"/>
  <c r="AJ997" i="9"/>
  <c r="AK997" i="9"/>
  <c r="AH998" i="9"/>
  <c r="AI998" i="9"/>
  <c r="AJ998" i="9"/>
  <c r="AK998" i="9"/>
  <c r="AH999" i="9"/>
  <c r="AI999" i="9"/>
  <c r="AJ999" i="9"/>
  <c r="AK999" i="9"/>
  <c r="AH1000" i="9"/>
  <c r="AI1000" i="9"/>
  <c r="AJ1000" i="9"/>
  <c r="AK1000" i="9"/>
  <c r="AH1001" i="9"/>
  <c r="AI1001" i="9"/>
  <c r="AJ1001" i="9"/>
  <c r="AK1001" i="9"/>
  <c r="AH1002" i="9"/>
  <c r="AI1002" i="9"/>
  <c r="AJ1002" i="9"/>
  <c r="AK1002" i="9"/>
  <c r="AH1003" i="9"/>
  <c r="AI1003" i="9"/>
  <c r="AJ1003" i="9"/>
  <c r="AK1003" i="9"/>
  <c r="AH286" i="17"/>
  <c r="AI286" i="17"/>
  <c r="AJ286" i="17"/>
  <c r="AK286" i="17"/>
  <c r="AH287" i="17"/>
  <c r="AI287" i="17"/>
  <c r="AJ287" i="17"/>
  <c r="AK287" i="17"/>
  <c r="AH288" i="17"/>
  <c r="AI288" i="17"/>
  <c r="AJ288" i="17"/>
  <c r="AK288" i="17"/>
  <c r="AH289" i="17"/>
  <c r="AI289" i="17"/>
  <c r="AJ289" i="17"/>
  <c r="AK289" i="17"/>
  <c r="AH290" i="17"/>
  <c r="AI290" i="17"/>
  <c r="AJ290" i="17"/>
  <c r="AK290" i="17"/>
  <c r="AH291" i="17"/>
  <c r="AI291" i="17"/>
  <c r="AJ291" i="17"/>
  <c r="AK291" i="17"/>
  <c r="AH292" i="17"/>
  <c r="AI292" i="17"/>
  <c r="AJ292" i="17"/>
  <c r="AK292" i="17"/>
  <c r="AH293" i="17"/>
  <c r="AI293" i="17"/>
  <c r="AJ293" i="17"/>
  <c r="AK293" i="17"/>
  <c r="AH294" i="17"/>
  <c r="AI294" i="17"/>
  <c r="AJ294" i="17"/>
  <c r="AK294" i="17"/>
  <c r="AH295" i="17"/>
  <c r="AI295" i="17"/>
  <c r="AJ295" i="17"/>
  <c r="AK295" i="17"/>
  <c r="AH296" i="17"/>
  <c r="AI296" i="17"/>
  <c r="AJ296" i="17"/>
  <c r="AK296" i="17"/>
  <c r="AH297" i="17"/>
  <c r="AI297" i="17"/>
  <c r="AJ297" i="17"/>
  <c r="AK297" i="17"/>
  <c r="AH298" i="17"/>
  <c r="AI298" i="17"/>
  <c r="AJ298" i="17"/>
  <c r="AK298" i="17"/>
  <c r="AH299" i="17"/>
  <c r="AI299" i="17"/>
  <c r="AJ299" i="17"/>
  <c r="AK299" i="17"/>
  <c r="AH274" i="17"/>
  <c r="AI274" i="17"/>
  <c r="AJ274" i="17"/>
  <c r="AK274" i="17"/>
  <c r="AH275" i="17"/>
  <c r="AI275" i="17"/>
  <c r="AJ275" i="17"/>
  <c r="AK275" i="17"/>
  <c r="AH276" i="17"/>
  <c r="AI276" i="17"/>
  <c r="AJ276" i="17"/>
  <c r="AK276" i="17"/>
  <c r="AH277" i="17"/>
  <c r="AI277" i="17"/>
  <c r="AJ277" i="17"/>
  <c r="AK277" i="17"/>
  <c r="AH278" i="17"/>
  <c r="AI278" i="17"/>
  <c r="AJ278" i="17"/>
  <c r="AK278" i="17"/>
  <c r="AH279" i="17"/>
  <c r="AI279" i="17"/>
  <c r="AJ279" i="17"/>
  <c r="AK279" i="17"/>
  <c r="AH280" i="17"/>
  <c r="AI280" i="17"/>
  <c r="AJ280" i="17"/>
  <c r="AK280" i="17"/>
  <c r="AH281" i="17"/>
  <c r="AI281" i="17"/>
  <c r="AJ281" i="17"/>
  <c r="AK281" i="17"/>
  <c r="AH282" i="17"/>
  <c r="AI282" i="17"/>
  <c r="AJ282" i="17"/>
  <c r="AK282" i="17"/>
  <c r="AH283" i="17"/>
  <c r="AI283" i="17"/>
  <c r="AJ283" i="17"/>
  <c r="AK283" i="17"/>
  <c r="AH284" i="17"/>
  <c r="AI284" i="17"/>
  <c r="AJ284" i="17"/>
  <c r="AK284" i="17"/>
  <c r="AH285" i="17"/>
  <c r="AI285" i="17"/>
  <c r="AJ285" i="17"/>
  <c r="AK285" i="17"/>
  <c r="AH978" i="9"/>
  <c r="AI978" i="9"/>
  <c r="AJ978" i="9"/>
  <c r="AK978" i="9"/>
  <c r="AH979" i="9"/>
  <c r="AI979" i="9"/>
  <c r="AJ979" i="9"/>
  <c r="AK979" i="9"/>
  <c r="AH980" i="9"/>
  <c r="AI980" i="9"/>
  <c r="AJ980" i="9"/>
  <c r="AK980" i="9"/>
  <c r="AH981" i="9"/>
  <c r="AI981" i="9"/>
  <c r="AJ981" i="9"/>
  <c r="AK981" i="9"/>
  <c r="AH982" i="9"/>
  <c r="AI982" i="9"/>
  <c r="AJ982" i="9"/>
  <c r="AK982" i="9"/>
  <c r="AH983" i="9"/>
  <c r="AI983" i="9"/>
  <c r="AJ983" i="9"/>
  <c r="AK983" i="9"/>
  <c r="AH984" i="9"/>
  <c r="AI984" i="9"/>
  <c r="AJ984" i="9"/>
  <c r="AK984" i="9"/>
  <c r="AH985" i="9"/>
  <c r="AI985" i="9"/>
  <c r="AJ985" i="9"/>
  <c r="AK985" i="9"/>
  <c r="AH986" i="9"/>
  <c r="AI986" i="9"/>
  <c r="AJ986" i="9"/>
  <c r="AK986" i="9"/>
  <c r="AH987" i="9"/>
  <c r="AI987" i="9"/>
  <c r="AJ987" i="9"/>
  <c r="AK987" i="9"/>
  <c r="AH988" i="9"/>
  <c r="AI988" i="9"/>
  <c r="AJ988" i="9"/>
  <c r="AK988" i="9"/>
  <c r="AH989" i="9"/>
  <c r="AI989" i="9"/>
  <c r="AJ989" i="9"/>
  <c r="AK989" i="9"/>
  <c r="AH966" i="9"/>
  <c r="AI966" i="9"/>
  <c r="AJ966" i="9"/>
  <c r="AK966" i="9"/>
  <c r="AH967" i="9"/>
  <c r="AI967" i="9"/>
  <c r="AJ967" i="9"/>
  <c r="AK967" i="9"/>
  <c r="AH968" i="9"/>
  <c r="AI968" i="9"/>
  <c r="AJ968" i="9"/>
  <c r="AK968" i="9"/>
  <c r="AH969" i="9"/>
  <c r="AI969" i="9"/>
  <c r="AJ969" i="9"/>
  <c r="AK969" i="9"/>
  <c r="AH970" i="9"/>
  <c r="AI970" i="9"/>
  <c r="AJ970" i="9"/>
  <c r="AK970" i="9"/>
  <c r="AH971" i="9"/>
  <c r="AI971" i="9"/>
  <c r="AJ971" i="9"/>
  <c r="AK971" i="9"/>
  <c r="AH972" i="9"/>
  <c r="AI972" i="9"/>
  <c r="AJ972" i="9"/>
  <c r="AK972" i="9"/>
  <c r="AH973" i="9"/>
  <c r="AI973" i="9"/>
  <c r="AJ973" i="9"/>
  <c r="AK973" i="9"/>
  <c r="AH974" i="9"/>
  <c r="AI974" i="9"/>
  <c r="AJ974" i="9"/>
  <c r="AK974" i="9"/>
  <c r="AH975" i="9"/>
  <c r="AI975" i="9"/>
  <c r="AJ975" i="9"/>
  <c r="AK975" i="9"/>
  <c r="AH976" i="9"/>
  <c r="AI976" i="9"/>
  <c r="AJ976" i="9"/>
  <c r="AK976" i="9"/>
  <c r="AH977" i="9"/>
  <c r="AI977" i="9"/>
  <c r="AJ977" i="9"/>
  <c r="AK977" i="9"/>
  <c r="AH262" i="17"/>
  <c r="AI262" i="17"/>
  <c r="AJ262" i="17"/>
  <c r="AK262" i="17"/>
  <c r="AH263" i="17"/>
  <c r="AI263" i="17"/>
  <c r="AJ263" i="17"/>
  <c r="AK263" i="17"/>
  <c r="AH264" i="17"/>
  <c r="AI264" i="17"/>
  <c r="AJ264" i="17"/>
  <c r="AK264" i="17"/>
  <c r="AH265" i="17"/>
  <c r="AI265" i="17"/>
  <c r="AJ265" i="17"/>
  <c r="AK265" i="17"/>
  <c r="AH266" i="17"/>
  <c r="AI266" i="17"/>
  <c r="AJ266" i="17"/>
  <c r="AK266" i="17"/>
  <c r="AH267" i="17"/>
  <c r="AI267" i="17"/>
  <c r="AJ267" i="17"/>
  <c r="AK267" i="17"/>
  <c r="AH268" i="17"/>
  <c r="AI268" i="17"/>
  <c r="AJ268" i="17"/>
  <c r="AK268" i="17"/>
  <c r="AH269" i="17"/>
  <c r="AI269" i="17"/>
  <c r="AJ269" i="17"/>
  <c r="AK269" i="17"/>
  <c r="AH270" i="17"/>
  <c r="AI270" i="17"/>
  <c r="AJ270" i="17"/>
  <c r="AK270" i="17"/>
  <c r="AH271" i="17"/>
  <c r="AI271" i="17"/>
  <c r="AJ271" i="17"/>
  <c r="AK271" i="17"/>
  <c r="AH272" i="17"/>
  <c r="AI272" i="17"/>
  <c r="AJ272" i="17"/>
  <c r="AK272" i="17"/>
  <c r="AH273" i="17"/>
  <c r="AI273" i="17"/>
  <c r="AJ273" i="17"/>
  <c r="AK273" i="17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I10" i="16"/>
  <c r="AJ10" i="16"/>
  <c r="AK10" i="16"/>
  <c r="AL10" i="16"/>
  <c r="AM10" i="16"/>
  <c r="AN10" i="16"/>
  <c r="R10" i="16"/>
  <c r="F10" i="16"/>
  <c r="G10" i="16"/>
  <c r="H10" i="16" a="1"/>
  <c r="H10" i="16" s="1"/>
  <c r="I10" i="16"/>
  <c r="J10" i="16"/>
  <c r="K10" i="16"/>
  <c r="L10" i="16"/>
  <c r="M10" i="16" s="1"/>
  <c r="N10" i="16"/>
  <c r="O10" i="16"/>
  <c r="P10" i="16" s="1"/>
  <c r="Q10" i="16"/>
  <c r="AH250" i="17"/>
  <c r="AI250" i="17"/>
  <c r="AJ250" i="17"/>
  <c r="AK250" i="17"/>
  <c r="AH251" i="17"/>
  <c r="AI251" i="17"/>
  <c r="AJ251" i="17"/>
  <c r="AK251" i="17"/>
  <c r="AH252" i="17"/>
  <c r="AI252" i="17"/>
  <c r="AJ252" i="17"/>
  <c r="AK252" i="17"/>
  <c r="AH253" i="17"/>
  <c r="AI253" i="17"/>
  <c r="AJ253" i="17"/>
  <c r="AK253" i="17"/>
  <c r="AH254" i="17"/>
  <c r="AI254" i="17"/>
  <c r="AJ254" i="17"/>
  <c r="AK254" i="17"/>
  <c r="AH255" i="17"/>
  <c r="AI255" i="17"/>
  <c r="AJ255" i="17"/>
  <c r="AK255" i="17"/>
  <c r="AH256" i="17"/>
  <c r="AI256" i="17"/>
  <c r="AJ256" i="17"/>
  <c r="AK256" i="17"/>
  <c r="AH257" i="17"/>
  <c r="AI257" i="17"/>
  <c r="AJ257" i="17"/>
  <c r="AK257" i="17"/>
  <c r="AH258" i="17"/>
  <c r="AI258" i="17"/>
  <c r="AJ258" i="17"/>
  <c r="AK258" i="17"/>
  <c r="AH259" i="17"/>
  <c r="AI259" i="17"/>
  <c r="AJ259" i="17"/>
  <c r="AK259" i="17"/>
  <c r="AH260" i="17"/>
  <c r="AI260" i="17"/>
  <c r="AJ260" i="17"/>
  <c r="AK260" i="17"/>
  <c r="AH261" i="17"/>
  <c r="AI261" i="17"/>
  <c r="AJ261" i="17"/>
  <c r="AK261" i="17"/>
  <c r="AH954" i="9"/>
  <c r="AI954" i="9"/>
  <c r="AJ954" i="9"/>
  <c r="AK954" i="9"/>
  <c r="AH955" i="9"/>
  <c r="AI955" i="9"/>
  <c r="AJ955" i="9"/>
  <c r="AK955" i="9"/>
  <c r="AH956" i="9"/>
  <c r="AI956" i="9"/>
  <c r="AJ956" i="9"/>
  <c r="AK956" i="9"/>
  <c r="AH957" i="9"/>
  <c r="AI957" i="9"/>
  <c r="AJ957" i="9"/>
  <c r="AK957" i="9"/>
  <c r="AH958" i="9"/>
  <c r="AI958" i="9"/>
  <c r="AJ958" i="9"/>
  <c r="AK958" i="9"/>
  <c r="AH959" i="9"/>
  <c r="AI959" i="9"/>
  <c r="AJ959" i="9"/>
  <c r="AK959" i="9"/>
  <c r="AH960" i="9"/>
  <c r="AI960" i="9"/>
  <c r="AJ960" i="9"/>
  <c r="AK960" i="9"/>
  <c r="AH961" i="9"/>
  <c r="AI961" i="9"/>
  <c r="AJ961" i="9"/>
  <c r="AK961" i="9"/>
  <c r="AH962" i="9"/>
  <c r="AI962" i="9"/>
  <c r="AJ962" i="9"/>
  <c r="AK962" i="9"/>
  <c r="AH963" i="9"/>
  <c r="AI963" i="9"/>
  <c r="AJ963" i="9"/>
  <c r="AK963" i="9"/>
  <c r="AH964" i="9"/>
  <c r="AI964" i="9"/>
  <c r="AJ964" i="9"/>
  <c r="AK964" i="9"/>
  <c r="AH965" i="9"/>
  <c r="AI965" i="9"/>
  <c r="AJ965" i="9"/>
  <c r="AK965" i="9"/>
  <c r="AA332" i="15"/>
  <c r="AB332" i="15"/>
  <c r="AC332" i="15"/>
  <c r="AD332" i="15"/>
  <c r="AA333" i="15"/>
  <c r="AB333" i="15"/>
  <c r="AC333" i="15"/>
  <c r="AD333" i="15"/>
  <c r="AA334" i="15"/>
  <c r="AB334" i="15"/>
  <c r="AC334" i="15"/>
  <c r="AD334" i="15"/>
  <c r="AA335" i="15"/>
  <c r="AB335" i="15"/>
  <c r="AC335" i="15"/>
  <c r="AD335" i="15"/>
  <c r="AA336" i="15"/>
  <c r="AB336" i="15"/>
  <c r="AC336" i="15"/>
  <c r="AD336" i="15"/>
  <c r="AA337" i="15"/>
  <c r="AB337" i="15"/>
  <c r="AC337" i="15"/>
  <c r="AD337" i="15"/>
  <c r="AA338" i="15"/>
  <c r="AB338" i="15"/>
  <c r="AC338" i="15"/>
  <c r="AD338" i="15"/>
  <c r="AA339" i="15"/>
  <c r="AB339" i="15"/>
  <c r="AC339" i="15"/>
  <c r="AD339" i="15"/>
  <c r="AA340" i="15"/>
  <c r="AB340" i="15"/>
  <c r="AC340" i="15"/>
  <c r="AD340" i="15"/>
  <c r="AA341" i="15"/>
  <c r="AB341" i="15"/>
  <c r="AC341" i="15"/>
  <c r="AD341" i="15"/>
  <c r="AA817" i="10"/>
  <c r="AB817" i="10"/>
  <c r="AC817" i="10"/>
  <c r="AD817" i="10"/>
  <c r="AA818" i="10"/>
  <c r="AB818" i="10"/>
  <c r="AC818" i="10"/>
  <c r="AD818" i="10"/>
  <c r="AA819" i="10"/>
  <c r="AB819" i="10"/>
  <c r="AC819" i="10"/>
  <c r="AD819" i="10"/>
  <c r="AA820" i="10"/>
  <c r="AB820" i="10"/>
  <c r="AC820" i="10"/>
  <c r="AD820" i="10"/>
  <c r="AA821" i="10"/>
  <c r="AB821" i="10"/>
  <c r="AC821" i="10"/>
  <c r="AD821" i="10"/>
  <c r="AA822" i="10"/>
  <c r="AB822" i="10"/>
  <c r="AC822" i="10"/>
  <c r="AD822" i="10"/>
  <c r="AA823" i="10"/>
  <c r="AB823" i="10"/>
  <c r="AC823" i="10"/>
  <c r="AD823" i="10"/>
  <c r="AA824" i="10"/>
  <c r="AB824" i="10"/>
  <c r="AC824" i="10"/>
  <c r="AD824" i="10"/>
  <c r="AA825" i="10"/>
  <c r="AB825" i="10"/>
  <c r="AC825" i="10"/>
  <c r="AD825" i="10"/>
  <c r="AA826" i="10"/>
  <c r="AB826" i="10"/>
  <c r="AC826" i="10"/>
  <c r="AD826" i="10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I34" i="16"/>
  <c r="AJ34" i="16"/>
  <c r="AK34" i="16"/>
  <c r="AL34" i="16"/>
  <c r="AM34" i="16"/>
  <c r="AN34" i="16"/>
  <c r="R34" i="16"/>
  <c r="F34" i="16"/>
  <c r="G34" i="16"/>
  <c r="H34" i="16" a="1"/>
  <c r="H34" i="16" s="1"/>
  <c r="I34" i="16"/>
  <c r="J34" i="16"/>
  <c r="K34" i="16"/>
  <c r="L34" i="16"/>
  <c r="M34" i="16" s="1"/>
  <c r="N34" i="16"/>
  <c r="O34" i="16"/>
  <c r="P34" i="16" s="1"/>
  <c r="Q34" i="16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I54" i="12"/>
  <c r="AJ54" i="12"/>
  <c r="AK54" i="12"/>
  <c r="AL54" i="12"/>
  <c r="AM54" i="12"/>
  <c r="AN54" i="12"/>
  <c r="R54" i="12"/>
  <c r="F54" i="12"/>
  <c r="G54" i="12"/>
  <c r="H54" i="12" a="1"/>
  <c r="H54" i="12" s="1"/>
  <c r="I54" i="12"/>
  <c r="J54" i="12"/>
  <c r="K54" i="12"/>
  <c r="L54" i="12"/>
  <c r="M54" i="12" s="1"/>
  <c r="N54" i="12"/>
  <c r="O54" i="12"/>
  <c r="P54" i="12" s="1"/>
  <c r="Q54" i="12"/>
  <c r="AH234" i="17"/>
  <c r="AI234" i="17"/>
  <c r="AJ234" i="17"/>
  <c r="AK234" i="17"/>
  <c r="AH235" i="17"/>
  <c r="AI235" i="17"/>
  <c r="AJ235" i="17"/>
  <c r="AK235" i="17"/>
  <c r="AH236" i="17"/>
  <c r="AI236" i="17"/>
  <c r="AJ236" i="17"/>
  <c r="AK236" i="17"/>
  <c r="AH237" i="17"/>
  <c r="AI237" i="17"/>
  <c r="AJ237" i="17"/>
  <c r="AK237" i="17"/>
  <c r="AH238" i="17"/>
  <c r="AI238" i="17"/>
  <c r="AJ238" i="17"/>
  <c r="AK238" i="17"/>
  <c r="AH239" i="17"/>
  <c r="AI239" i="17"/>
  <c r="AJ239" i="17"/>
  <c r="AK239" i="17"/>
  <c r="AH240" i="17"/>
  <c r="AI240" i="17"/>
  <c r="AJ240" i="17"/>
  <c r="AK240" i="17"/>
  <c r="AH241" i="17"/>
  <c r="AI241" i="17"/>
  <c r="N29" i="16" s="1"/>
  <c r="AJ241" i="17"/>
  <c r="AK241" i="17"/>
  <c r="K29" i="16" s="1"/>
  <c r="AH242" i="17"/>
  <c r="AI242" i="17"/>
  <c r="AJ242" i="17"/>
  <c r="AK242" i="17"/>
  <c r="AH243" i="17"/>
  <c r="AI243" i="17"/>
  <c r="AJ243" i="17"/>
  <c r="AK243" i="17"/>
  <c r="AH244" i="17"/>
  <c r="AI244" i="17"/>
  <c r="AJ244" i="17"/>
  <c r="AK244" i="17"/>
  <c r="AH245" i="17"/>
  <c r="AI245" i="17"/>
  <c r="AJ245" i="17"/>
  <c r="AK245" i="17"/>
  <c r="AH246" i="17"/>
  <c r="AI246" i="17"/>
  <c r="AJ246" i="17"/>
  <c r="AK246" i="17"/>
  <c r="AH247" i="17"/>
  <c r="AI247" i="17"/>
  <c r="AJ247" i="17"/>
  <c r="AK247" i="17"/>
  <c r="AH248" i="17"/>
  <c r="AI248" i="17"/>
  <c r="AJ248" i="17"/>
  <c r="AK248" i="17"/>
  <c r="AH249" i="17"/>
  <c r="AI249" i="17"/>
  <c r="AJ249" i="17"/>
  <c r="AK249" i="17"/>
  <c r="AH938" i="9"/>
  <c r="AI938" i="9"/>
  <c r="AJ938" i="9"/>
  <c r="AK938" i="9"/>
  <c r="AH939" i="9"/>
  <c r="AI939" i="9"/>
  <c r="AJ939" i="9"/>
  <c r="AK939" i="9"/>
  <c r="AH940" i="9"/>
  <c r="AI940" i="9"/>
  <c r="AJ940" i="9"/>
  <c r="AK940" i="9"/>
  <c r="AH941" i="9"/>
  <c r="AI941" i="9"/>
  <c r="AJ941" i="9"/>
  <c r="AK941" i="9"/>
  <c r="AH942" i="9"/>
  <c r="AI942" i="9"/>
  <c r="AJ942" i="9"/>
  <c r="AK942" i="9"/>
  <c r="AH943" i="9"/>
  <c r="AI943" i="9"/>
  <c r="AJ943" i="9"/>
  <c r="AK943" i="9"/>
  <c r="AH944" i="9"/>
  <c r="AI944" i="9"/>
  <c r="AJ944" i="9"/>
  <c r="AK944" i="9"/>
  <c r="AH945" i="9"/>
  <c r="AI945" i="9"/>
  <c r="AJ945" i="9"/>
  <c r="AK945" i="9"/>
  <c r="AH946" i="9"/>
  <c r="AI946" i="9"/>
  <c r="AJ946" i="9"/>
  <c r="AK946" i="9"/>
  <c r="AH947" i="9"/>
  <c r="AI947" i="9"/>
  <c r="AJ947" i="9"/>
  <c r="AK947" i="9"/>
  <c r="AH948" i="9"/>
  <c r="AI948" i="9"/>
  <c r="AJ948" i="9"/>
  <c r="AK948" i="9"/>
  <c r="AH949" i="9"/>
  <c r="AI949" i="9"/>
  <c r="AJ949" i="9"/>
  <c r="AK949" i="9"/>
  <c r="AH950" i="9"/>
  <c r="AI950" i="9"/>
  <c r="AJ950" i="9"/>
  <c r="AK950" i="9"/>
  <c r="AH951" i="9"/>
  <c r="AI951" i="9"/>
  <c r="AJ951" i="9"/>
  <c r="AK951" i="9"/>
  <c r="AH952" i="9"/>
  <c r="AI952" i="9"/>
  <c r="AJ952" i="9"/>
  <c r="AK952" i="9"/>
  <c r="AH953" i="9"/>
  <c r="AI953" i="9"/>
  <c r="AJ953" i="9"/>
  <c r="AK953" i="9"/>
  <c r="AA184" i="18"/>
  <c r="AB184" i="18"/>
  <c r="AC184" i="18"/>
  <c r="AD184" i="18"/>
  <c r="AA185" i="18"/>
  <c r="AB185" i="18"/>
  <c r="AC185" i="18"/>
  <c r="AD185" i="18"/>
  <c r="AA186" i="18"/>
  <c r="AB186" i="18"/>
  <c r="AC186" i="18"/>
  <c r="AD186" i="18"/>
  <c r="AA187" i="18"/>
  <c r="AB187" i="18"/>
  <c r="AC187" i="18"/>
  <c r="AD187" i="18"/>
  <c r="AA188" i="18"/>
  <c r="AB188" i="18"/>
  <c r="AC188" i="18"/>
  <c r="AD188" i="18"/>
  <c r="AA189" i="18"/>
  <c r="AB189" i="18"/>
  <c r="AC189" i="18"/>
  <c r="AD189" i="18"/>
  <c r="AA190" i="18"/>
  <c r="AB190" i="18"/>
  <c r="AC190" i="18"/>
  <c r="AD190" i="18"/>
  <c r="AA191" i="18"/>
  <c r="AB191" i="18"/>
  <c r="AC191" i="18"/>
  <c r="AD191" i="18"/>
  <c r="AA192" i="18"/>
  <c r="AB192" i="18"/>
  <c r="AC192" i="18"/>
  <c r="AD192" i="18"/>
  <c r="AA193" i="18"/>
  <c r="AB193" i="18"/>
  <c r="AC193" i="18"/>
  <c r="AD193" i="18"/>
  <c r="AA194" i="18"/>
  <c r="AB194" i="18"/>
  <c r="AC194" i="18"/>
  <c r="AD194" i="18"/>
  <c r="AA195" i="18"/>
  <c r="AB195" i="18"/>
  <c r="AC195" i="18"/>
  <c r="AD195" i="18"/>
  <c r="AA320" i="15"/>
  <c r="AB320" i="15"/>
  <c r="AC320" i="15"/>
  <c r="AD320" i="15"/>
  <c r="AA321" i="15"/>
  <c r="AB321" i="15"/>
  <c r="AC321" i="15"/>
  <c r="AD321" i="15"/>
  <c r="AA322" i="15"/>
  <c r="AB322" i="15"/>
  <c r="AC322" i="15"/>
  <c r="AD322" i="15"/>
  <c r="AA323" i="15"/>
  <c r="AB323" i="15"/>
  <c r="AC323" i="15"/>
  <c r="AD323" i="15"/>
  <c r="AA324" i="15"/>
  <c r="AB324" i="15"/>
  <c r="AC324" i="15"/>
  <c r="AD324" i="15"/>
  <c r="AA325" i="15"/>
  <c r="AB325" i="15"/>
  <c r="AC325" i="15"/>
  <c r="AD325" i="15"/>
  <c r="AA326" i="15"/>
  <c r="AB326" i="15"/>
  <c r="AC326" i="15"/>
  <c r="AD326" i="15"/>
  <c r="AA327" i="15"/>
  <c r="AB327" i="15"/>
  <c r="AC327" i="15"/>
  <c r="AD327" i="15"/>
  <c r="AA328" i="15"/>
  <c r="AB328" i="15"/>
  <c r="AC328" i="15"/>
  <c r="AD328" i="15"/>
  <c r="AA329" i="15"/>
  <c r="AB329" i="15"/>
  <c r="AC329" i="15"/>
  <c r="AD329" i="15"/>
  <c r="AA330" i="15"/>
  <c r="AB330" i="15"/>
  <c r="AC330" i="15"/>
  <c r="AD330" i="15"/>
  <c r="AA331" i="15"/>
  <c r="AB331" i="15"/>
  <c r="AC331" i="15"/>
  <c r="AD331" i="15"/>
  <c r="M48" i="13" s="1"/>
  <c r="AA805" i="10"/>
  <c r="AB805" i="10"/>
  <c r="AC805" i="10"/>
  <c r="AD805" i="10"/>
  <c r="AA806" i="10"/>
  <c r="AB806" i="10"/>
  <c r="AC806" i="10"/>
  <c r="AD806" i="10"/>
  <c r="AA807" i="10"/>
  <c r="AB807" i="10"/>
  <c r="AC807" i="10"/>
  <c r="AD807" i="10"/>
  <c r="AA808" i="10"/>
  <c r="AB808" i="10"/>
  <c r="AC808" i="10"/>
  <c r="AD808" i="10"/>
  <c r="AA809" i="10"/>
  <c r="AB809" i="10"/>
  <c r="AC809" i="10"/>
  <c r="AD809" i="10"/>
  <c r="AA810" i="10"/>
  <c r="AB810" i="10"/>
  <c r="AC810" i="10"/>
  <c r="AD810" i="10"/>
  <c r="AA811" i="10"/>
  <c r="AB811" i="10"/>
  <c r="AC811" i="10"/>
  <c r="AD811" i="10"/>
  <c r="AA812" i="10"/>
  <c r="AB812" i="10"/>
  <c r="AC812" i="10"/>
  <c r="AD812" i="10"/>
  <c r="AA813" i="10"/>
  <c r="AB813" i="10"/>
  <c r="AC813" i="10"/>
  <c r="AD813" i="10"/>
  <c r="AA814" i="10"/>
  <c r="AB814" i="10"/>
  <c r="AC814" i="10"/>
  <c r="AD814" i="10"/>
  <c r="AA815" i="10"/>
  <c r="AB815" i="10"/>
  <c r="AC815" i="10"/>
  <c r="AD815" i="10"/>
  <c r="AA816" i="10"/>
  <c r="AB816" i="10"/>
  <c r="AC816" i="10"/>
  <c r="AD816" i="10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T33" i="13"/>
  <c r="H33" i="13"/>
  <c r="I33" i="13"/>
  <c r="J33" i="13" a="1"/>
  <c r="J33" i="13" s="1"/>
  <c r="K33" i="13"/>
  <c r="L33" i="13"/>
  <c r="M33" i="13"/>
  <c r="N33" i="13"/>
  <c r="O33" i="13" s="1"/>
  <c r="Q33" i="13"/>
  <c r="R33" i="13" s="1"/>
  <c r="AA310" i="15"/>
  <c r="AB310" i="15"/>
  <c r="AC310" i="15"/>
  <c r="AD310" i="15"/>
  <c r="AA311" i="15"/>
  <c r="AB311" i="15"/>
  <c r="AC311" i="15"/>
  <c r="AD311" i="15"/>
  <c r="AA312" i="15"/>
  <c r="AB312" i="15"/>
  <c r="AC312" i="15"/>
  <c r="AD312" i="15"/>
  <c r="AA313" i="15"/>
  <c r="AB313" i="15"/>
  <c r="AC313" i="15"/>
  <c r="AD313" i="15"/>
  <c r="AA314" i="15"/>
  <c r="AB314" i="15"/>
  <c r="AC314" i="15"/>
  <c r="AD314" i="15"/>
  <c r="AA315" i="15"/>
  <c r="AB315" i="15"/>
  <c r="AC315" i="15"/>
  <c r="AD315" i="15"/>
  <c r="AA316" i="15"/>
  <c r="AB316" i="15"/>
  <c r="AC316" i="15"/>
  <c r="AD316" i="15"/>
  <c r="AA317" i="15"/>
  <c r="AB317" i="15"/>
  <c r="AC317" i="15"/>
  <c r="AD317" i="15"/>
  <c r="AA318" i="15"/>
  <c r="AB318" i="15"/>
  <c r="AC318" i="15"/>
  <c r="AD318" i="15"/>
  <c r="AA319" i="15"/>
  <c r="AB319" i="15"/>
  <c r="AC319" i="15"/>
  <c r="AD319" i="15"/>
  <c r="U36" i="11"/>
  <c r="V36" i="11"/>
  <c r="W36" i="11"/>
  <c r="X36" i="11"/>
  <c r="Y36" i="11"/>
  <c r="Z36" i="11"/>
  <c r="AA36" i="11"/>
  <c r="AB36" i="11"/>
  <c r="AC36" i="11"/>
  <c r="AD36" i="11"/>
  <c r="AE36" i="11"/>
  <c r="AF36" i="11"/>
  <c r="AG36" i="11"/>
  <c r="AH36" i="11"/>
  <c r="AI36" i="11"/>
  <c r="T36" i="11"/>
  <c r="H36" i="11"/>
  <c r="I36" i="11"/>
  <c r="J36" i="11" a="1"/>
  <c r="J36" i="11" s="1"/>
  <c r="K36" i="11"/>
  <c r="L36" i="11"/>
  <c r="M36" i="11"/>
  <c r="N36" i="11"/>
  <c r="O36" i="11" s="1"/>
  <c r="P36" i="11"/>
  <c r="Q36" i="11"/>
  <c r="R36" i="11" s="1"/>
  <c r="AA795" i="10"/>
  <c r="AB795" i="10"/>
  <c r="AC795" i="10"/>
  <c r="AD795" i="10"/>
  <c r="AA796" i="10"/>
  <c r="AB796" i="10"/>
  <c r="AC796" i="10"/>
  <c r="AD796" i="10"/>
  <c r="AA797" i="10"/>
  <c r="AB797" i="10"/>
  <c r="AC797" i="10"/>
  <c r="AD797" i="10"/>
  <c r="AA798" i="10"/>
  <c r="AB798" i="10"/>
  <c r="AC798" i="10"/>
  <c r="AD798" i="10"/>
  <c r="AA799" i="10"/>
  <c r="AB799" i="10"/>
  <c r="AC799" i="10"/>
  <c r="AD799" i="10"/>
  <c r="AA800" i="10"/>
  <c r="AB800" i="10"/>
  <c r="AC800" i="10"/>
  <c r="AD800" i="10"/>
  <c r="AA801" i="10"/>
  <c r="AB801" i="10"/>
  <c r="AC801" i="10"/>
  <c r="AD801" i="10"/>
  <c r="AA802" i="10"/>
  <c r="AB802" i="10"/>
  <c r="AC802" i="10"/>
  <c r="AD802" i="10"/>
  <c r="AA803" i="10"/>
  <c r="AB803" i="10"/>
  <c r="AC803" i="10"/>
  <c r="AD803" i="10"/>
  <c r="AA804" i="10"/>
  <c r="AB804" i="10"/>
  <c r="AC804" i="10"/>
  <c r="AD804" i="10"/>
  <c r="AH222" i="17"/>
  <c r="AI222" i="17"/>
  <c r="AJ222" i="17"/>
  <c r="AK222" i="17"/>
  <c r="AH223" i="17"/>
  <c r="AI223" i="17"/>
  <c r="AJ223" i="17"/>
  <c r="AK223" i="17"/>
  <c r="AH224" i="17"/>
  <c r="AI224" i="17"/>
  <c r="AJ224" i="17"/>
  <c r="AK224" i="17"/>
  <c r="AH225" i="17"/>
  <c r="AI225" i="17"/>
  <c r="AJ225" i="17"/>
  <c r="AK225" i="17"/>
  <c r="AH226" i="17"/>
  <c r="AI226" i="17"/>
  <c r="AJ226" i="17"/>
  <c r="AK226" i="17"/>
  <c r="AH227" i="17"/>
  <c r="AI227" i="17"/>
  <c r="AJ227" i="17"/>
  <c r="AK227" i="17"/>
  <c r="AH228" i="17"/>
  <c r="AI228" i="17"/>
  <c r="AJ228" i="17"/>
  <c r="AK228" i="17"/>
  <c r="AH229" i="17"/>
  <c r="AI229" i="17"/>
  <c r="AJ229" i="17"/>
  <c r="AK229" i="17"/>
  <c r="AH230" i="17"/>
  <c r="AI230" i="17"/>
  <c r="AJ230" i="17"/>
  <c r="AK230" i="17"/>
  <c r="AH231" i="17"/>
  <c r="AI231" i="17"/>
  <c r="AJ231" i="17"/>
  <c r="AK231" i="17"/>
  <c r="AH232" i="17"/>
  <c r="AI232" i="17"/>
  <c r="AJ232" i="17"/>
  <c r="AK232" i="17"/>
  <c r="AH233" i="17"/>
  <c r="AI233" i="17"/>
  <c r="AJ233" i="17"/>
  <c r="AK233" i="17"/>
  <c r="AH926" i="9"/>
  <c r="AI926" i="9"/>
  <c r="AJ926" i="9"/>
  <c r="AK926" i="9"/>
  <c r="AH927" i="9"/>
  <c r="AI927" i="9"/>
  <c r="AJ927" i="9"/>
  <c r="AK927" i="9"/>
  <c r="AH928" i="9"/>
  <c r="AI928" i="9"/>
  <c r="AJ928" i="9"/>
  <c r="AK928" i="9"/>
  <c r="AH929" i="9"/>
  <c r="AI929" i="9"/>
  <c r="AJ929" i="9"/>
  <c r="AK929" i="9"/>
  <c r="AH930" i="9"/>
  <c r="AI930" i="9"/>
  <c r="AJ930" i="9"/>
  <c r="AK930" i="9"/>
  <c r="AH931" i="9"/>
  <c r="AI931" i="9"/>
  <c r="AJ931" i="9"/>
  <c r="AK931" i="9"/>
  <c r="AH932" i="9"/>
  <c r="AI932" i="9"/>
  <c r="AJ932" i="9"/>
  <c r="AK932" i="9"/>
  <c r="AH933" i="9"/>
  <c r="AI933" i="9"/>
  <c r="AJ933" i="9"/>
  <c r="AK933" i="9"/>
  <c r="AH934" i="9"/>
  <c r="AI934" i="9"/>
  <c r="AJ934" i="9"/>
  <c r="AK934" i="9"/>
  <c r="AH935" i="9"/>
  <c r="AI935" i="9"/>
  <c r="AJ935" i="9"/>
  <c r="AK935" i="9"/>
  <c r="AH936" i="9"/>
  <c r="AI936" i="9"/>
  <c r="AJ936" i="9"/>
  <c r="AK936" i="9"/>
  <c r="AH937" i="9"/>
  <c r="AI937" i="9"/>
  <c r="AJ937" i="9"/>
  <c r="AK937" i="9"/>
  <c r="AH914" i="9"/>
  <c r="AI914" i="9"/>
  <c r="AJ914" i="9"/>
  <c r="AK914" i="9"/>
  <c r="AH915" i="9"/>
  <c r="AI915" i="9"/>
  <c r="AJ915" i="9"/>
  <c r="AK915" i="9"/>
  <c r="AH916" i="9"/>
  <c r="AI916" i="9"/>
  <c r="AJ916" i="9"/>
  <c r="AK916" i="9"/>
  <c r="AH917" i="9"/>
  <c r="AI917" i="9"/>
  <c r="AJ917" i="9"/>
  <c r="AK917" i="9"/>
  <c r="AH918" i="9"/>
  <c r="AI918" i="9"/>
  <c r="AJ918" i="9"/>
  <c r="AK918" i="9"/>
  <c r="AH919" i="9"/>
  <c r="AI919" i="9"/>
  <c r="AJ919" i="9"/>
  <c r="AK919" i="9"/>
  <c r="AH920" i="9"/>
  <c r="AI920" i="9"/>
  <c r="AJ920" i="9"/>
  <c r="AK920" i="9"/>
  <c r="AH921" i="9"/>
  <c r="AI921" i="9"/>
  <c r="AJ921" i="9"/>
  <c r="AK921" i="9"/>
  <c r="AH922" i="9"/>
  <c r="AI922" i="9"/>
  <c r="AJ922" i="9"/>
  <c r="AK922" i="9"/>
  <c r="AH923" i="9"/>
  <c r="AI923" i="9"/>
  <c r="AJ923" i="9"/>
  <c r="AK923" i="9"/>
  <c r="AH924" i="9"/>
  <c r="AI924" i="9"/>
  <c r="AJ924" i="9"/>
  <c r="AK924" i="9"/>
  <c r="AH925" i="9"/>
  <c r="AI925" i="9"/>
  <c r="AJ925" i="9"/>
  <c r="AK925" i="9"/>
  <c r="AH210" i="17"/>
  <c r="AI210" i="17"/>
  <c r="AJ210" i="17"/>
  <c r="AK210" i="17"/>
  <c r="AH211" i="17"/>
  <c r="AI211" i="17"/>
  <c r="AJ211" i="17"/>
  <c r="AK211" i="17"/>
  <c r="AH212" i="17"/>
  <c r="AI212" i="17"/>
  <c r="AJ212" i="17"/>
  <c r="AK212" i="17"/>
  <c r="AH213" i="17"/>
  <c r="AI213" i="17"/>
  <c r="AJ213" i="17"/>
  <c r="AK213" i="17"/>
  <c r="AH214" i="17"/>
  <c r="AI214" i="17"/>
  <c r="AJ214" i="17"/>
  <c r="AK214" i="17"/>
  <c r="AH215" i="17"/>
  <c r="AI215" i="17"/>
  <c r="AJ215" i="17"/>
  <c r="AK215" i="17"/>
  <c r="AH216" i="17"/>
  <c r="AI216" i="17"/>
  <c r="AJ216" i="17"/>
  <c r="AK216" i="17"/>
  <c r="AH217" i="17"/>
  <c r="AI217" i="17"/>
  <c r="AJ217" i="17"/>
  <c r="AK217" i="17"/>
  <c r="AH218" i="17"/>
  <c r="AI218" i="17"/>
  <c r="AJ218" i="17"/>
  <c r="AK218" i="17"/>
  <c r="AH219" i="17"/>
  <c r="AI219" i="17"/>
  <c r="AJ219" i="17"/>
  <c r="AK219" i="17"/>
  <c r="AH220" i="17"/>
  <c r="AI220" i="17"/>
  <c r="AJ220" i="17"/>
  <c r="AK220" i="17"/>
  <c r="AH221" i="17"/>
  <c r="AI221" i="17"/>
  <c r="AJ221" i="17"/>
  <c r="AK221" i="17"/>
  <c r="AH198" i="17"/>
  <c r="AI198" i="17"/>
  <c r="AJ198" i="17"/>
  <c r="AK198" i="17"/>
  <c r="AH199" i="17"/>
  <c r="AI199" i="17"/>
  <c r="AJ199" i="17"/>
  <c r="AK199" i="17"/>
  <c r="AH200" i="17"/>
  <c r="AI200" i="17"/>
  <c r="AJ200" i="17"/>
  <c r="AK200" i="17"/>
  <c r="AH201" i="17"/>
  <c r="AI201" i="17"/>
  <c r="AJ201" i="17"/>
  <c r="AK201" i="17"/>
  <c r="AH202" i="17"/>
  <c r="AI202" i="17"/>
  <c r="AJ202" i="17"/>
  <c r="AK202" i="17"/>
  <c r="AH203" i="17"/>
  <c r="AI203" i="17"/>
  <c r="AJ203" i="17"/>
  <c r="AK203" i="17"/>
  <c r="AH204" i="17"/>
  <c r="AI204" i="17"/>
  <c r="AJ204" i="17"/>
  <c r="AK204" i="17"/>
  <c r="AH205" i="17"/>
  <c r="AI205" i="17"/>
  <c r="AJ205" i="17"/>
  <c r="AK205" i="17"/>
  <c r="AH206" i="17"/>
  <c r="AI206" i="17"/>
  <c r="AJ206" i="17"/>
  <c r="AK206" i="17"/>
  <c r="AH207" i="17"/>
  <c r="AI207" i="17"/>
  <c r="AJ207" i="17"/>
  <c r="AK207" i="17"/>
  <c r="AH208" i="17"/>
  <c r="AI208" i="17"/>
  <c r="AJ208" i="17"/>
  <c r="AK208" i="17"/>
  <c r="AH209" i="17"/>
  <c r="AI209" i="17"/>
  <c r="AJ209" i="17"/>
  <c r="AK209" i="17"/>
  <c r="AH902" i="9"/>
  <c r="AI902" i="9"/>
  <c r="AJ902" i="9"/>
  <c r="AK902" i="9"/>
  <c r="AH903" i="9"/>
  <c r="AI903" i="9"/>
  <c r="AJ903" i="9"/>
  <c r="AK903" i="9"/>
  <c r="AH904" i="9"/>
  <c r="AI904" i="9"/>
  <c r="AJ904" i="9"/>
  <c r="AK904" i="9"/>
  <c r="AH905" i="9"/>
  <c r="AI905" i="9"/>
  <c r="AJ905" i="9"/>
  <c r="AK905" i="9"/>
  <c r="AH906" i="9"/>
  <c r="AI906" i="9"/>
  <c r="AJ906" i="9"/>
  <c r="AK906" i="9"/>
  <c r="AH907" i="9"/>
  <c r="AI907" i="9"/>
  <c r="AJ907" i="9"/>
  <c r="AK907" i="9"/>
  <c r="AH908" i="9"/>
  <c r="AI908" i="9"/>
  <c r="AJ908" i="9"/>
  <c r="AK908" i="9"/>
  <c r="AH909" i="9"/>
  <c r="AI909" i="9"/>
  <c r="AJ909" i="9"/>
  <c r="AK909" i="9"/>
  <c r="AH910" i="9"/>
  <c r="AI910" i="9"/>
  <c r="AJ910" i="9"/>
  <c r="AK910" i="9"/>
  <c r="AH911" i="9"/>
  <c r="AI911" i="9"/>
  <c r="AJ911" i="9"/>
  <c r="AK911" i="9"/>
  <c r="AH912" i="9"/>
  <c r="AI912" i="9"/>
  <c r="AJ912" i="9"/>
  <c r="AK912" i="9"/>
  <c r="AH913" i="9"/>
  <c r="AI913" i="9"/>
  <c r="AJ913" i="9"/>
  <c r="AK913" i="9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T46" i="13"/>
  <c r="H46" i="13"/>
  <c r="I46" i="13"/>
  <c r="J46" i="13" a="1"/>
  <c r="J46" i="13" s="1"/>
  <c r="K46" i="13"/>
  <c r="L46" i="13"/>
  <c r="N46" i="13"/>
  <c r="O46" i="13" s="1"/>
  <c r="Q46" i="13"/>
  <c r="R46" i="13" s="1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T16" i="13"/>
  <c r="H16" i="13"/>
  <c r="I16" i="13"/>
  <c r="J16" i="13" a="1"/>
  <c r="J16" i="13" s="1"/>
  <c r="K16" i="13"/>
  <c r="L16" i="13"/>
  <c r="N16" i="13"/>
  <c r="O16" i="13" s="1"/>
  <c r="Q16" i="13"/>
  <c r="R16" i="13" s="1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AI2" i="13"/>
  <c r="T2" i="13"/>
  <c r="H2" i="13"/>
  <c r="I2" i="13"/>
  <c r="J2" i="13" a="1"/>
  <c r="J2" i="13" s="1"/>
  <c r="K2" i="13"/>
  <c r="L2" i="13"/>
  <c r="N2" i="13"/>
  <c r="O2" i="13" s="1"/>
  <c r="Q2" i="13"/>
  <c r="R2" i="13" s="1"/>
  <c r="U52" i="1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T52" i="11"/>
  <c r="H52" i="11"/>
  <c r="I52" i="11"/>
  <c r="J52" i="11" a="1"/>
  <c r="J52" i="11" s="1"/>
  <c r="K52" i="11"/>
  <c r="L52" i="11"/>
  <c r="N52" i="11"/>
  <c r="O52" i="11" s="1"/>
  <c r="Q52" i="11"/>
  <c r="R52" i="11" s="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T16" i="11"/>
  <c r="H16" i="11"/>
  <c r="I16" i="11"/>
  <c r="J16" i="11" a="1"/>
  <c r="J16" i="11" s="1"/>
  <c r="K16" i="11"/>
  <c r="L16" i="11"/>
  <c r="N16" i="11"/>
  <c r="O16" i="11" s="1"/>
  <c r="P16" i="11"/>
  <c r="Q16" i="11"/>
  <c r="R16" i="11" s="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T2" i="11"/>
  <c r="H2" i="11"/>
  <c r="I2" i="11"/>
  <c r="J2" i="11" a="1"/>
  <c r="J2" i="11" s="1"/>
  <c r="K2" i="11"/>
  <c r="L2" i="11"/>
  <c r="N2" i="11"/>
  <c r="O2" i="11" s="1"/>
  <c r="Q2" i="11"/>
  <c r="R2" i="11" s="1"/>
  <c r="S2" i="11"/>
  <c r="AA294" i="15"/>
  <c r="AB294" i="15"/>
  <c r="AC294" i="15"/>
  <c r="AD294" i="15"/>
  <c r="AA295" i="15"/>
  <c r="AB295" i="15"/>
  <c r="AC295" i="15"/>
  <c r="AD295" i="15"/>
  <c r="AA296" i="15"/>
  <c r="AB296" i="15"/>
  <c r="AC296" i="15"/>
  <c r="AD296" i="15"/>
  <c r="AA297" i="15"/>
  <c r="AB297" i="15"/>
  <c r="AC297" i="15"/>
  <c r="AD297" i="15"/>
  <c r="AA298" i="15"/>
  <c r="AB298" i="15"/>
  <c r="AC298" i="15"/>
  <c r="AD298" i="15"/>
  <c r="AA299" i="15"/>
  <c r="AB299" i="15"/>
  <c r="AC299" i="15"/>
  <c r="AD299" i="15"/>
  <c r="AA300" i="15"/>
  <c r="AB300" i="15"/>
  <c r="AC300" i="15"/>
  <c r="AD300" i="15"/>
  <c r="AA301" i="15"/>
  <c r="AB301" i="15"/>
  <c r="P2" i="13" s="1"/>
  <c r="AC301" i="15"/>
  <c r="S2" i="13" s="1"/>
  <c r="AD301" i="15"/>
  <c r="M2" i="13" s="1"/>
  <c r="AA302" i="15"/>
  <c r="AB302" i="15"/>
  <c r="AC302" i="15"/>
  <c r="AD302" i="15"/>
  <c r="AA303" i="15"/>
  <c r="AB303" i="15"/>
  <c r="AC303" i="15"/>
  <c r="AD303" i="15"/>
  <c r="AA304" i="15"/>
  <c r="AB304" i="15"/>
  <c r="AC304" i="15"/>
  <c r="AD304" i="15"/>
  <c r="AA305" i="15"/>
  <c r="AB305" i="15"/>
  <c r="AC305" i="15"/>
  <c r="AD305" i="15"/>
  <c r="AA306" i="15"/>
  <c r="AB306" i="15"/>
  <c r="P16" i="13" s="1"/>
  <c r="AC306" i="15"/>
  <c r="S16" i="13" s="1"/>
  <c r="AD306" i="15"/>
  <c r="M16" i="13" s="1"/>
  <c r="AA307" i="15"/>
  <c r="AB307" i="15"/>
  <c r="AC307" i="15"/>
  <c r="AD307" i="15"/>
  <c r="AA308" i="15"/>
  <c r="AB308" i="15"/>
  <c r="AC308" i="15"/>
  <c r="AD308" i="15"/>
  <c r="AA309" i="15"/>
  <c r="AB309" i="15"/>
  <c r="P46" i="13" s="1"/>
  <c r="AC309" i="15"/>
  <c r="S46" i="13" s="1"/>
  <c r="AD309" i="15"/>
  <c r="M46" i="13" s="1"/>
  <c r="AA779" i="10"/>
  <c r="AB779" i="10"/>
  <c r="AC779" i="10"/>
  <c r="AD779" i="10"/>
  <c r="AA780" i="10"/>
  <c r="AB780" i="10"/>
  <c r="AC780" i="10"/>
  <c r="AD780" i="10"/>
  <c r="AA781" i="10"/>
  <c r="AB781" i="10"/>
  <c r="AC781" i="10"/>
  <c r="AD781" i="10"/>
  <c r="AA782" i="10"/>
  <c r="AB782" i="10"/>
  <c r="AC782" i="10"/>
  <c r="AD782" i="10"/>
  <c r="AA783" i="10"/>
  <c r="AB783" i="10"/>
  <c r="AC783" i="10"/>
  <c r="AD783" i="10"/>
  <c r="AA784" i="10"/>
  <c r="AB784" i="10"/>
  <c r="AC784" i="10"/>
  <c r="AD784" i="10"/>
  <c r="AA785" i="10"/>
  <c r="AB785" i="10"/>
  <c r="AC785" i="10"/>
  <c r="AD785" i="10"/>
  <c r="AA786" i="10"/>
  <c r="AB786" i="10"/>
  <c r="P2" i="11" s="1"/>
  <c r="AC786" i="10"/>
  <c r="AD786" i="10"/>
  <c r="M2" i="11" s="1"/>
  <c r="AA787" i="10"/>
  <c r="AB787" i="10"/>
  <c r="AC787" i="10"/>
  <c r="AD787" i="10"/>
  <c r="AA788" i="10"/>
  <c r="AB788" i="10"/>
  <c r="AC788" i="10"/>
  <c r="AD788" i="10"/>
  <c r="AA789" i="10"/>
  <c r="AB789" i="10"/>
  <c r="AC789" i="10"/>
  <c r="AD789" i="10"/>
  <c r="AA790" i="10"/>
  <c r="AB790" i="10"/>
  <c r="AC790" i="10"/>
  <c r="AD790" i="10"/>
  <c r="AA791" i="10"/>
  <c r="AB791" i="10"/>
  <c r="AC791" i="10"/>
  <c r="S16" i="11" s="1"/>
  <c r="AD791" i="10"/>
  <c r="M16" i="11" s="1"/>
  <c r="AA792" i="10"/>
  <c r="AB792" i="10"/>
  <c r="AC792" i="10"/>
  <c r="AD792" i="10"/>
  <c r="AA793" i="10"/>
  <c r="AB793" i="10"/>
  <c r="AC793" i="10"/>
  <c r="AD793" i="10"/>
  <c r="AA794" i="10"/>
  <c r="AB794" i="10"/>
  <c r="P52" i="11" s="1"/>
  <c r="AC794" i="10"/>
  <c r="S52" i="11" s="1"/>
  <c r="AD794" i="10"/>
  <c r="M52" i="11" s="1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D37" i="19"/>
  <c r="E37" i="19"/>
  <c r="F37" i="19" a="1"/>
  <c r="F37" i="19" s="1"/>
  <c r="G37" i="19"/>
  <c r="H37" i="19"/>
  <c r="I37" i="19"/>
  <c r="J37" i="19"/>
  <c r="K37" i="19" s="1"/>
  <c r="L37" i="19"/>
  <c r="M37" i="19"/>
  <c r="N37" i="19" s="1"/>
  <c r="O37" i="19"/>
  <c r="Q34" i="19"/>
  <c r="R34" i="19"/>
  <c r="S34" i="19"/>
  <c r="T34" i="19"/>
  <c r="U34" i="19"/>
  <c r="V34" i="19"/>
  <c r="W34" i="19"/>
  <c r="X34" i="19"/>
  <c r="Y34" i="19"/>
  <c r="Z34" i="19"/>
  <c r="AA34" i="19"/>
  <c r="AB34" i="19"/>
  <c r="AC34" i="19"/>
  <c r="AD34" i="19"/>
  <c r="AE34" i="19"/>
  <c r="P34" i="19"/>
  <c r="D34" i="19"/>
  <c r="E34" i="19"/>
  <c r="F34" i="19" a="1"/>
  <c r="F34" i="19" s="1"/>
  <c r="G34" i="19"/>
  <c r="H34" i="19"/>
  <c r="I34" i="19"/>
  <c r="J34" i="19"/>
  <c r="K34" i="19" s="1"/>
  <c r="L34" i="19"/>
  <c r="M34" i="19"/>
  <c r="N34" i="19" s="1"/>
  <c r="O34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H186" i="17"/>
  <c r="AI186" i="17"/>
  <c r="AJ186" i="17"/>
  <c r="AK186" i="17"/>
  <c r="AH187" i="17"/>
  <c r="AI187" i="17"/>
  <c r="AJ187" i="17"/>
  <c r="AK187" i="17"/>
  <c r="AH188" i="17"/>
  <c r="AI188" i="17"/>
  <c r="AJ188" i="17"/>
  <c r="AK188" i="17"/>
  <c r="AH189" i="17"/>
  <c r="AI189" i="17"/>
  <c r="AJ189" i="17"/>
  <c r="AK189" i="17"/>
  <c r="AH190" i="17"/>
  <c r="AI190" i="17"/>
  <c r="AJ190" i="17"/>
  <c r="AK190" i="17"/>
  <c r="AH191" i="17"/>
  <c r="AI191" i="17"/>
  <c r="AJ191" i="17"/>
  <c r="AK191" i="17"/>
  <c r="AH192" i="17"/>
  <c r="AI192" i="17"/>
  <c r="AJ192" i="17"/>
  <c r="AK192" i="17"/>
  <c r="AH193" i="17"/>
  <c r="AI193" i="17"/>
  <c r="AJ193" i="17"/>
  <c r="AK193" i="17"/>
  <c r="AH194" i="17"/>
  <c r="AI194" i="17"/>
  <c r="AJ194" i="17"/>
  <c r="AK194" i="17"/>
  <c r="AH195" i="17"/>
  <c r="AI195" i="17"/>
  <c r="AJ195" i="17"/>
  <c r="AK195" i="17"/>
  <c r="AH196" i="17"/>
  <c r="AI196" i="17"/>
  <c r="AJ196" i="17"/>
  <c r="AK196" i="17"/>
  <c r="AH197" i="17"/>
  <c r="AI197" i="17"/>
  <c r="AJ197" i="17"/>
  <c r="AK197" i="17"/>
  <c r="AH890" i="9"/>
  <c r="AI890" i="9"/>
  <c r="AJ890" i="9"/>
  <c r="AK890" i="9"/>
  <c r="AH891" i="9"/>
  <c r="AI891" i="9"/>
  <c r="AJ891" i="9"/>
  <c r="AK891" i="9"/>
  <c r="AH892" i="9"/>
  <c r="AI892" i="9"/>
  <c r="AJ892" i="9"/>
  <c r="AK892" i="9"/>
  <c r="AH893" i="9"/>
  <c r="AI893" i="9"/>
  <c r="AJ893" i="9"/>
  <c r="AK893" i="9"/>
  <c r="AH894" i="9"/>
  <c r="AI894" i="9"/>
  <c r="AJ894" i="9"/>
  <c r="AK894" i="9"/>
  <c r="AH895" i="9"/>
  <c r="AI895" i="9"/>
  <c r="AJ895" i="9"/>
  <c r="AK895" i="9"/>
  <c r="AH896" i="9"/>
  <c r="AI896" i="9"/>
  <c r="AJ896" i="9"/>
  <c r="AK896" i="9"/>
  <c r="AH897" i="9"/>
  <c r="AI897" i="9"/>
  <c r="AJ897" i="9"/>
  <c r="AK897" i="9"/>
  <c r="AH898" i="9"/>
  <c r="AI898" i="9"/>
  <c r="AJ898" i="9"/>
  <c r="AK898" i="9"/>
  <c r="AH899" i="9"/>
  <c r="AI899" i="9"/>
  <c r="AJ899" i="9"/>
  <c r="AK899" i="9"/>
  <c r="AH900" i="9"/>
  <c r="AI900" i="9"/>
  <c r="AJ900" i="9"/>
  <c r="AK900" i="9"/>
  <c r="AH901" i="9"/>
  <c r="AI901" i="9"/>
  <c r="AJ901" i="9"/>
  <c r="AK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T36" i="13"/>
  <c r="H36" i="13"/>
  <c r="I36" i="13"/>
  <c r="J36" i="13" a="1"/>
  <c r="J36" i="13" s="1"/>
  <c r="K36" i="13"/>
  <c r="L36" i="13"/>
  <c r="M36" i="13"/>
  <c r="N36" i="13"/>
  <c r="O36" i="13" s="1"/>
  <c r="P36" i="13"/>
  <c r="Q36" i="13"/>
  <c r="R36" i="13" s="1"/>
  <c r="S36" i="13"/>
  <c r="U35" i="13"/>
  <c r="V35" i="13"/>
  <c r="W35" i="13"/>
  <c r="X35" i="13"/>
  <c r="Y35" i="13"/>
  <c r="Z35" i="13"/>
  <c r="AA35" i="13"/>
  <c r="AB35" i="13"/>
  <c r="AC35" i="13"/>
  <c r="AD35" i="13"/>
  <c r="AE35" i="13"/>
  <c r="AF35" i="13"/>
  <c r="AG35" i="13"/>
  <c r="AH35" i="13"/>
  <c r="AI35" i="13"/>
  <c r="T35" i="13"/>
  <c r="T37" i="13"/>
  <c r="H35" i="13"/>
  <c r="I35" i="13"/>
  <c r="J35" i="13" a="1"/>
  <c r="J35" i="13" s="1"/>
  <c r="K35" i="13"/>
  <c r="L35" i="13"/>
  <c r="M35" i="13"/>
  <c r="N35" i="13"/>
  <c r="O35" i="13" s="1"/>
  <c r="P35" i="13"/>
  <c r="Q35" i="13"/>
  <c r="R35" i="13" s="1"/>
  <c r="S35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H878" i="9"/>
  <c r="AI878" i="9"/>
  <c r="AJ878" i="9"/>
  <c r="AK878" i="9"/>
  <c r="AH879" i="9"/>
  <c r="AI879" i="9"/>
  <c r="AJ879" i="9"/>
  <c r="AK879" i="9"/>
  <c r="AH880" i="9"/>
  <c r="AI880" i="9"/>
  <c r="AJ880" i="9"/>
  <c r="AK880" i="9"/>
  <c r="AH881" i="9"/>
  <c r="AI881" i="9"/>
  <c r="AJ881" i="9"/>
  <c r="AK881" i="9"/>
  <c r="AH882" i="9"/>
  <c r="AI882" i="9"/>
  <c r="AJ882" i="9"/>
  <c r="AK882" i="9"/>
  <c r="AH883" i="9"/>
  <c r="AI883" i="9"/>
  <c r="AJ883" i="9"/>
  <c r="AK883" i="9"/>
  <c r="AH884" i="9"/>
  <c r="AI884" i="9"/>
  <c r="AJ884" i="9"/>
  <c r="AK884" i="9"/>
  <c r="AH885" i="9"/>
  <c r="AI885" i="9"/>
  <c r="AJ885" i="9"/>
  <c r="AK885" i="9"/>
  <c r="AH886" i="9"/>
  <c r="AI886" i="9"/>
  <c r="AJ886" i="9"/>
  <c r="AK886" i="9"/>
  <c r="AH887" i="9"/>
  <c r="AI887" i="9"/>
  <c r="AJ887" i="9"/>
  <c r="AK887" i="9"/>
  <c r="AH888" i="9"/>
  <c r="AI888" i="9"/>
  <c r="AJ888" i="9"/>
  <c r="AK888" i="9"/>
  <c r="AH889" i="9"/>
  <c r="AI889" i="9"/>
  <c r="AJ889" i="9"/>
  <c r="AK889" i="9"/>
  <c r="AH174" i="17"/>
  <c r="AI174" i="17"/>
  <c r="AJ174" i="17"/>
  <c r="AK174" i="17"/>
  <c r="AH175" i="17"/>
  <c r="AI175" i="17"/>
  <c r="AJ175" i="17"/>
  <c r="AK175" i="17"/>
  <c r="AH176" i="17"/>
  <c r="AI176" i="17"/>
  <c r="AJ176" i="17"/>
  <c r="AK176" i="17"/>
  <c r="AH177" i="17"/>
  <c r="AI177" i="17"/>
  <c r="AJ177" i="17"/>
  <c r="AK177" i="17"/>
  <c r="AH178" i="17"/>
  <c r="AI178" i="17"/>
  <c r="AJ178" i="17"/>
  <c r="AK178" i="17"/>
  <c r="AH179" i="17"/>
  <c r="AI179" i="17"/>
  <c r="AJ179" i="17"/>
  <c r="AK179" i="17"/>
  <c r="AH180" i="17"/>
  <c r="AI180" i="17"/>
  <c r="AJ180" i="17"/>
  <c r="AK180" i="17"/>
  <c r="AH181" i="17"/>
  <c r="AI181" i="17"/>
  <c r="AJ181" i="17"/>
  <c r="AK181" i="17"/>
  <c r="AH182" i="17"/>
  <c r="AI182" i="17"/>
  <c r="AJ182" i="17"/>
  <c r="AK182" i="17"/>
  <c r="AH183" i="17"/>
  <c r="AI183" i="17"/>
  <c r="AJ183" i="17"/>
  <c r="AK183" i="17"/>
  <c r="AH184" i="17"/>
  <c r="AI184" i="17"/>
  <c r="AJ184" i="17"/>
  <c r="AK184" i="17"/>
  <c r="AH185" i="17"/>
  <c r="AI185" i="17"/>
  <c r="AJ185" i="17"/>
  <c r="AK185" i="17"/>
  <c r="AH162" i="17"/>
  <c r="AI162" i="17"/>
  <c r="AJ162" i="17"/>
  <c r="AK162" i="17"/>
  <c r="AH163" i="17"/>
  <c r="AI163" i="17"/>
  <c r="AJ163" i="17"/>
  <c r="AK163" i="17"/>
  <c r="AH164" i="17"/>
  <c r="AI164" i="17"/>
  <c r="AJ164" i="17"/>
  <c r="AK164" i="17"/>
  <c r="AH165" i="17"/>
  <c r="AI165" i="17"/>
  <c r="AJ165" i="17"/>
  <c r="AK165" i="17"/>
  <c r="AH166" i="17"/>
  <c r="AI166" i="17"/>
  <c r="AJ166" i="17"/>
  <c r="AK166" i="17"/>
  <c r="AH167" i="17"/>
  <c r="AI167" i="17"/>
  <c r="AJ167" i="17"/>
  <c r="AK167" i="17"/>
  <c r="AH168" i="17"/>
  <c r="AI168" i="17"/>
  <c r="AJ168" i="17"/>
  <c r="AK168" i="17"/>
  <c r="AH169" i="17"/>
  <c r="AI169" i="17"/>
  <c r="AJ169" i="17"/>
  <c r="AK169" i="17"/>
  <c r="AH170" i="17"/>
  <c r="AI170" i="17"/>
  <c r="AJ170" i="17"/>
  <c r="AK170" i="17"/>
  <c r="AH171" i="17"/>
  <c r="AI171" i="17"/>
  <c r="AJ171" i="17"/>
  <c r="AK171" i="17"/>
  <c r="AH172" i="17"/>
  <c r="AI172" i="17"/>
  <c r="AJ172" i="17"/>
  <c r="AK172" i="17"/>
  <c r="AH173" i="17"/>
  <c r="AI173" i="17"/>
  <c r="AJ173" i="17"/>
  <c r="AK173" i="17"/>
  <c r="AH866" i="9"/>
  <c r="AI866" i="9"/>
  <c r="AJ866" i="9"/>
  <c r="AK866" i="9"/>
  <c r="AH867" i="9"/>
  <c r="AI867" i="9"/>
  <c r="AJ867" i="9"/>
  <c r="AK867" i="9"/>
  <c r="AH868" i="9"/>
  <c r="AI868" i="9"/>
  <c r="AJ868" i="9"/>
  <c r="AK868" i="9"/>
  <c r="AH869" i="9"/>
  <c r="AI869" i="9"/>
  <c r="AJ869" i="9"/>
  <c r="AK869" i="9"/>
  <c r="AH870" i="9"/>
  <c r="AI870" i="9"/>
  <c r="AJ870" i="9"/>
  <c r="AK870" i="9"/>
  <c r="AH871" i="9"/>
  <c r="AI871" i="9"/>
  <c r="AJ871" i="9"/>
  <c r="AK871" i="9"/>
  <c r="AH872" i="9"/>
  <c r="AI872" i="9"/>
  <c r="AJ872" i="9"/>
  <c r="AK872" i="9"/>
  <c r="AH873" i="9"/>
  <c r="AI873" i="9"/>
  <c r="AJ873" i="9"/>
  <c r="AK873" i="9"/>
  <c r="AH874" i="9"/>
  <c r="AI874" i="9"/>
  <c r="AJ874" i="9"/>
  <c r="AK874" i="9"/>
  <c r="AH875" i="9"/>
  <c r="AI875" i="9"/>
  <c r="AJ875" i="9"/>
  <c r="AK875" i="9"/>
  <c r="AH876" i="9"/>
  <c r="AI876" i="9"/>
  <c r="AJ876" i="9"/>
  <c r="AK876" i="9"/>
  <c r="AH877" i="9"/>
  <c r="AI877" i="9"/>
  <c r="AJ877" i="9"/>
  <c r="AK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H150" i="17"/>
  <c r="AI150" i="17"/>
  <c r="AJ150" i="17"/>
  <c r="AK150" i="17"/>
  <c r="AH151" i="17"/>
  <c r="AI151" i="17"/>
  <c r="AJ151" i="17"/>
  <c r="AK151" i="17"/>
  <c r="AH152" i="17"/>
  <c r="AI152" i="17"/>
  <c r="AJ152" i="17"/>
  <c r="AK152" i="17"/>
  <c r="AH153" i="17"/>
  <c r="AI153" i="17"/>
  <c r="AJ153" i="17"/>
  <c r="AK153" i="17"/>
  <c r="AH154" i="17"/>
  <c r="AI154" i="17"/>
  <c r="AJ154" i="17"/>
  <c r="AK154" i="17"/>
  <c r="AH155" i="17"/>
  <c r="AI155" i="17"/>
  <c r="AJ155" i="17"/>
  <c r="AK155" i="17"/>
  <c r="AH156" i="17"/>
  <c r="AI156" i="17"/>
  <c r="AJ156" i="17"/>
  <c r="AK156" i="17"/>
  <c r="AH157" i="17"/>
  <c r="AI157" i="17"/>
  <c r="AJ157" i="17"/>
  <c r="AK157" i="17"/>
  <c r="AH158" i="17"/>
  <c r="AI158" i="17"/>
  <c r="AJ158" i="17"/>
  <c r="AK158" i="17"/>
  <c r="AH159" i="17"/>
  <c r="AI159" i="17"/>
  <c r="AJ159" i="17"/>
  <c r="AK159" i="17"/>
  <c r="AH160" i="17"/>
  <c r="AI160" i="17"/>
  <c r="AJ160" i="17"/>
  <c r="AK160" i="17"/>
  <c r="AH161" i="17"/>
  <c r="AI161" i="17"/>
  <c r="AJ161" i="17"/>
  <c r="AK161" i="17"/>
  <c r="AH854" i="9"/>
  <c r="AI854" i="9"/>
  <c r="AJ854" i="9"/>
  <c r="AK854" i="9"/>
  <c r="AH855" i="9"/>
  <c r="AI855" i="9"/>
  <c r="AJ855" i="9"/>
  <c r="AK855" i="9"/>
  <c r="AH856" i="9"/>
  <c r="AI856" i="9"/>
  <c r="AJ856" i="9"/>
  <c r="AK856" i="9"/>
  <c r="AH857" i="9"/>
  <c r="AI857" i="9"/>
  <c r="AJ857" i="9"/>
  <c r="AK857" i="9"/>
  <c r="AH858" i="9"/>
  <c r="AI858" i="9"/>
  <c r="AJ858" i="9"/>
  <c r="AK858" i="9"/>
  <c r="AH859" i="9"/>
  <c r="AI859" i="9"/>
  <c r="AJ859" i="9"/>
  <c r="AK859" i="9"/>
  <c r="AH860" i="9"/>
  <c r="AI860" i="9"/>
  <c r="AJ860" i="9"/>
  <c r="AK860" i="9"/>
  <c r="AH861" i="9"/>
  <c r="AI861" i="9"/>
  <c r="AJ861" i="9"/>
  <c r="AK861" i="9"/>
  <c r="AH862" i="9"/>
  <c r="AI862" i="9"/>
  <c r="AJ862" i="9"/>
  <c r="AK862" i="9"/>
  <c r="AH863" i="9"/>
  <c r="AI863" i="9"/>
  <c r="AJ863" i="9"/>
  <c r="AK863" i="9"/>
  <c r="AH864" i="9"/>
  <c r="AI864" i="9"/>
  <c r="AJ864" i="9"/>
  <c r="AK864" i="9"/>
  <c r="AH865" i="9"/>
  <c r="AI865" i="9"/>
  <c r="AJ865" i="9"/>
  <c r="AK865" i="9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I29" i="16"/>
  <c r="AJ29" i="16"/>
  <c r="AK29" i="16"/>
  <c r="AL29" i="16"/>
  <c r="AM29" i="16"/>
  <c r="AN29" i="16"/>
  <c r="R29" i="16"/>
  <c r="F29" i="16"/>
  <c r="G29" i="16"/>
  <c r="H29" i="16" a="1"/>
  <c r="H29" i="16" s="1"/>
  <c r="I29" i="16"/>
  <c r="J29" i="16"/>
  <c r="L29" i="16"/>
  <c r="M29" i="16" s="1"/>
  <c r="O29" i="16"/>
  <c r="P29" i="16" s="1"/>
  <c r="Q29" i="16"/>
  <c r="AH138" i="17"/>
  <c r="AI138" i="17"/>
  <c r="AJ138" i="17"/>
  <c r="AK138" i="17"/>
  <c r="AH139" i="17"/>
  <c r="AI139" i="17"/>
  <c r="AJ139" i="17"/>
  <c r="AK139" i="17"/>
  <c r="AH140" i="17"/>
  <c r="AI140" i="17"/>
  <c r="AJ140" i="17"/>
  <c r="AK140" i="17"/>
  <c r="AH141" i="17"/>
  <c r="AI141" i="17"/>
  <c r="AJ141" i="17"/>
  <c r="AK141" i="17"/>
  <c r="AH142" i="17"/>
  <c r="AI142" i="17"/>
  <c r="AJ142" i="17"/>
  <c r="AK142" i="17"/>
  <c r="AH143" i="17"/>
  <c r="AI143" i="17"/>
  <c r="AJ143" i="17"/>
  <c r="AK143" i="17"/>
  <c r="AH144" i="17"/>
  <c r="AI144" i="17"/>
  <c r="AJ144" i="17"/>
  <c r="AK144" i="17"/>
  <c r="AH145" i="17"/>
  <c r="AI145" i="17"/>
  <c r="AJ145" i="17"/>
  <c r="AK145" i="17"/>
  <c r="AH146" i="17"/>
  <c r="AI146" i="17"/>
  <c r="AJ146" i="17"/>
  <c r="AK146" i="17"/>
  <c r="AH147" i="17"/>
  <c r="AI147" i="17"/>
  <c r="AJ147" i="17"/>
  <c r="AK147" i="17"/>
  <c r="AH148" i="17"/>
  <c r="AI148" i="17"/>
  <c r="AJ148" i="17"/>
  <c r="AK148" i="17"/>
  <c r="AH149" i="17"/>
  <c r="AI149" i="17"/>
  <c r="AJ149" i="17"/>
  <c r="AK149" i="17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I46" i="12"/>
  <c r="AJ46" i="12"/>
  <c r="AK46" i="12"/>
  <c r="AL46" i="12"/>
  <c r="AM46" i="12"/>
  <c r="AN46" i="12"/>
  <c r="R46" i="12"/>
  <c r="F46" i="12"/>
  <c r="G46" i="12"/>
  <c r="H46" i="12" a="1"/>
  <c r="H46" i="12" s="1"/>
  <c r="I46" i="12"/>
  <c r="J46" i="12"/>
  <c r="K46" i="12"/>
  <c r="L46" i="12"/>
  <c r="M46" i="12" s="1"/>
  <c r="N46" i="12"/>
  <c r="O46" i="12"/>
  <c r="P46" i="12" s="1"/>
  <c r="Q46" i="12"/>
  <c r="AH842" i="9"/>
  <c r="AI842" i="9"/>
  <c r="AJ842" i="9"/>
  <c r="AK842" i="9"/>
  <c r="AH843" i="9"/>
  <c r="AI843" i="9"/>
  <c r="AJ843" i="9"/>
  <c r="AK843" i="9"/>
  <c r="AH844" i="9"/>
  <c r="AI844" i="9"/>
  <c r="AJ844" i="9"/>
  <c r="AK844" i="9"/>
  <c r="AH845" i="9"/>
  <c r="AI845" i="9"/>
  <c r="AJ845" i="9"/>
  <c r="AK845" i="9"/>
  <c r="AH846" i="9"/>
  <c r="AI846" i="9"/>
  <c r="AJ846" i="9"/>
  <c r="AK846" i="9"/>
  <c r="AH847" i="9"/>
  <c r="AI847" i="9"/>
  <c r="AJ847" i="9"/>
  <c r="AK847" i="9"/>
  <c r="AH848" i="9"/>
  <c r="AI848" i="9"/>
  <c r="AJ848" i="9"/>
  <c r="AK848" i="9"/>
  <c r="AH849" i="9"/>
  <c r="AI849" i="9"/>
  <c r="AJ849" i="9"/>
  <c r="AK849" i="9"/>
  <c r="AH850" i="9"/>
  <c r="AI850" i="9"/>
  <c r="AJ850" i="9"/>
  <c r="AK850" i="9"/>
  <c r="AH851" i="9"/>
  <c r="AI851" i="9"/>
  <c r="AJ851" i="9"/>
  <c r="AK851" i="9"/>
  <c r="AH852" i="9"/>
  <c r="AI852" i="9"/>
  <c r="AJ852" i="9"/>
  <c r="AK852" i="9"/>
  <c r="AH853" i="9"/>
  <c r="AI853" i="9"/>
  <c r="AJ853" i="9"/>
  <c r="AK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T48" i="13"/>
  <c r="H48" i="13"/>
  <c r="I48" i="13"/>
  <c r="J48" i="13" a="1"/>
  <c r="J48" i="13" s="1"/>
  <c r="K48" i="13"/>
  <c r="L48" i="13"/>
  <c r="N48" i="13"/>
  <c r="O48" i="13" s="1"/>
  <c r="P48" i="13"/>
  <c r="Q48" i="13"/>
  <c r="R48" i="13" s="1"/>
  <c r="S48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H3" i="17"/>
  <c r="AI3" i="17"/>
  <c r="AJ3" i="17"/>
  <c r="AK3" i="17"/>
  <c r="AH4" i="17"/>
  <c r="AI4" i="17"/>
  <c r="AJ4" i="17"/>
  <c r="AK4" i="17"/>
  <c r="AH5" i="17"/>
  <c r="AI5" i="17"/>
  <c r="AJ5" i="17"/>
  <c r="AK5" i="17"/>
  <c r="AH6" i="17"/>
  <c r="AI6" i="17"/>
  <c r="AJ6" i="17"/>
  <c r="AK6" i="17"/>
  <c r="AH7" i="17"/>
  <c r="AI7" i="17"/>
  <c r="AJ7" i="17"/>
  <c r="AK7" i="17"/>
  <c r="AH8" i="17"/>
  <c r="AI8" i="17"/>
  <c r="AJ8" i="17"/>
  <c r="AK8" i="17"/>
  <c r="AH9" i="17"/>
  <c r="AI9" i="17"/>
  <c r="AJ9" i="17"/>
  <c r="AK9" i="17"/>
  <c r="AH10" i="17"/>
  <c r="AI10" i="17"/>
  <c r="AJ10" i="17"/>
  <c r="AK10" i="17"/>
  <c r="AH11" i="17"/>
  <c r="AI11" i="17"/>
  <c r="AJ11" i="17"/>
  <c r="AK11" i="17"/>
  <c r="AH12" i="17"/>
  <c r="AI12" i="17"/>
  <c r="AJ12" i="17"/>
  <c r="AK12" i="17"/>
  <c r="AH13" i="17"/>
  <c r="AI13" i="17"/>
  <c r="AJ13" i="17"/>
  <c r="AK13" i="17"/>
  <c r="AH14" i="17"/>
  <c r="AI14" i="17"/>
  <c r="AJ14" i="17"/>
  <c r="AK14" i="17"/>
  <c r="AH15" i="17"/>
  <c r="AI15" i="17"/>
  <c r="AJ15" i="17"/>
  <c r="AK15" i="17"/>
  <c r="AH16" i="17"/>
  <c r="AI16" i="17"/>
  <c r="AJ16" i="17"/>
  <c r="AK16" i="17"/>
  <c r="AH17" i="17"/>
  <c r="AI17" i="17"/>
  <c r="AJ17" i="17"/>
  <c r="AK17" i="17"/>
  <c r="AH18" i="17"/>
  <c r="AI18" i="17"/>
  <c r="AJ18" i="17"/>
  <c r="AK18" i="17"/>
  <c r="AH19" i="17"/>
  <c r="AI19" i="17"/>
  <c r="AJ19" i="17"/>
  <c r="AK19" i="17"/>
  <c r="AH20" i="17"/>
  <c r="AI20" i="17"/>
  <c r="AJ20" i="17"/>
  <c r="AK20" i="17"/>
  <c r="AH21" i="17"/>
  <c r="AI21" i="17"/>
  <c r="AJ21" i="17"/>
  <c r="AK21" i="17"/>
  <c r="AH22" i="17"/>
  <c r="AI22" i="17"/>
  <c r="AJ22" i="17"/>
  <c r="AK22" i="17"/>
  <c r="AH23" i="17"/>
  <c r="AI23" i="17"/>
  <c r="AJ23" i="17"/>
  <c r="AK23" i="17"/>
  <c r="AH24" i="17"/>
  <c r="AI24" i="17"/>
  <c r="AJ24" i="17"/>
  <c r="AK24" i="17"/>
  <c r="AH25" i="17"/>
  <c r="AI25" i="17"/>
  <c r="AJ25" i="17"/>
  <c r="AK25" i="17"/>
  <c r="AH26" i="17"/>
  <c r="AI26" i="17"/>
  <c r="AJ26" i="17"/>
  <c r="AK26" i="17"/>
  <c r="AH27" i="17"/>
  <c r="AI27" i="17"/>
  <c r="AJ27" i="17"/>
  <c r="AK27" i="17"/>
  <c r="AH28" i="17"/>
  <c r="AI28" i="17"/>
  <c r="AJ28" i="17"/>
  <c r="AK28" i="17"/>
  <c r="AH29" i="17"/>
  <c r="AI29" i="17"/>
  <c r="AJ29" i="17"/>
  <c r="AK29" i="17"/>
  <c r="AH30" i="17"/>
  <c r="AI30" i="17"/>
  <c r="AJ30" i="17"/>
  <c r="AK30" i="17"/>
  <c r="AH31" i="17"/>
  <c r="AI31" i="17"/>
  <c r="AJ31" i="17"/>
  <c r="AK31" i="17"/>
  <c r="AH32" i="17"/>
  <c r="AI32" i="17"/>
  <c r="AJ32" i="17"/>
  <c r="AK32" i="17"/>
  <c r="AH33" i="17"/>
  <c r="AI33" i="17"/>
  <c r="AJ33" i="17"/>
  <c r="AK33" i="17"/>
  <c r="AH34" i="17"/>
  <c r="AI34" i="17"/>
  <c r="AJ34" i="17"/>
  <c r="AK34" i="17"/>
  <c r="AH35" i="17"/>
  <c r="AI35" i="17"/>
  <c r="AJ35" i="17"/>
  <c r="AK35" i="17"/>
  <c r="AH36" i="17"/>
  <c r="AI36" i="17"/>
  <c r="AJ36" i="17"/>
  <c r="AK36" i="17"/>
  <c r="AH37" i="17"/>
  <c r="AI37" i="17"/>
  <c r="AJ37" i="17"/>
  <c r="AK37" i="17"/>
  <c r="AH38" i="17"/>
  <c r="AI38" i="17"/>
  <c r="AJ38" i="17"/>
  <c r="AK38" i="17"/>
  <c r="AH39" i="17"/>
  <c r="AI39" i="17"/>
  <c r="AJ39" i="17"/>
  <c r="AK39" i="17"/>
  <c r="AH40" i="17"/>
  <c r="AI40" i="17"/>
  <c r="AJ40" i="17"/>
  <c r="AK40" i="17"/>
  <c r="AH41" i="17"/>
  <c r="AI41" i="17"/>
  <c r="AJ41" i="17"/>
  <c r="AK41" i="17"/>
  <c r="AH42" i="17"/>
  <c r="AI42" i="17"/>
  <c r="AJ42" i="17"/>
  <c r="AK42" i="17"/>
  <c r="AH43" i="17"/>
  <c r="AI43" i="17"/>
  <c r="AJ43" i="17"/>
  <c r="AK43" i="17"/>
  <c r="AH44" i="17"/>
  <c r="AI44" i="17"/>
  <c r="AJ44" i="17"/>
  <c r="AK44" i="17"/>
  <c r="AH45" i="17"/>
  <c r="AI45" i="17"/>
  <c r="AJ45" i="17"/>
  <c r="AK45" i="17"/>
  <c r="AH46" i="17"/>
  <c r="AI46" i="17"/>
  <c r="AJ46" i="17"/>
  <c r="AK46" i="17"/>
  <c r="AH47" i="17"/>
  <c r="AI47" i="17"/>
  <c r="AJ47" i="17"/>
  <c r="AK47" i="17"/>
  <c r="AH48" i="17"/>
  <c r="AI48" i="17"/>
  <c r="AJ48" i="17"/>
  <c r="AK48" i="17"/>
  <c r="AH49" i="17"/>
  <c r="AI49" i="17"/>
  <c r="AJ49" i="17"/>
  <c r="AK49" i="17"/>
  <c r="AH50" i="17"/>
  <c r="AI50" i="17"/>
  <c r="AJ50" i="17"/>
  <c r="AK50" i="17"/>
  <c r="AH51" i="17"/>
  <c r="AI51" i="17"/>
  <c r="AJ51" i="17"/>
  <c r="AK51" i="17"/>
  <c r="AH52" i="17"/>
  <c r="AI52" i="17"/>
  <c r="AJ52" i="17"/>
  <c r="AK52" i="17"/>
  <c r="AH53" i="17"/>
  <c r="AI53" i="17"/>
  <c r="AJ53" i="17"/>
  <c r="AK53" i="17"/>
  <c r="AH54" i="17"/>
  <c r="AI54" i="17"/>
  <c r="AJ54" i="17"/>
  <c r="AK54" i="17"/>
  <c r="AH55" i="17"/>
  <c r="AI55" i="17"/>
  <c r="AJ55" i="17"/>
  <c r="AK55" i="17"/>
  <c r="AH56" i="17"/>
  <c r="AI56" i="17"/>
  <c r="AJ56" i="17"/>
  <c r="AK56" i="17"/>
  <c r="AH57" i="17"/>
  <c r="AI57" i="17"/>
  <c r="AJ57" i="17"/>
  <c r="AK57" i="17"/>
  <c r="AH58" i="17"/>
  <c r="AI58" i="17"/>
  <c r="AJ58" i="17"/>
  <c r="AK58" i="17"/>
  <c r="AH59" i="17"/>
  <c r="AI59" i="17"/>
  <c r="AJ59" i="17"/>
  <c r="AK59" i="17"/>
  <c r="AH60" i="17"/>
  <c r="AI60" i="17"/>
  <c r="AJ60" i="17"/>
  <c r="AK60" i="17"/>
  <c r="AH61" i="17"/>
  <c r="AI61" i="17"/>
  <c r="AJ61" i="17"/>
  <c r="AK61" i="17"/>
  <c r="AH62" i="17"/>
  <c r="AI62" i="17"/>
  <c r="AJ62" i="17"/>
  <c r="AK62" i="17"/>
  <c r="AH63" i="17"/>
  <c r="AI63" i="17"/>
  <c r="AJ63" i="17"/>
  <c r="AK63" i="17"/>
  <c r="AH64" i="17"/>
  <c r="AI64" i="17"/>
  <c r="AJ64" i="17"/>
  <c r="AK64" i="17"/>
  <c r="AH65" i="17"/>
  <c r="AI65" i="17"/>
  <c r="AJ65" i="17"/>
  <c r="AK65" i="17"/>
  <c r="AH66" i="17"/>
  <c r="AI66" i="17"/>
  <c r="AJ66" i="17"/>
  <c r="AK66" i="17"/>
  <c r="AH67" i="17"/>
  <c r="AI67" i="17"/>
  <c r="AJ67" i="17"/>
  <c r="AK67" i="17"/>
  <c r="AH68" i="17"/>
  <c r="AI68" i="17"/>
  <c r="AJ68" i="17"/>
  <c r="AK68" i="17"/>
  <c r="AH69" i="17"/>
  <c r="AI69" i="17"/>
  <c r="AJ69" i="17"/>
  <c r="AK69" i="17"/>
  <c r="AH70" i="17"/>
  <c r="AI70" i="17"/>
  <c r="AJ70" i="17"/>
  <c r="AK70" i="17"/>
  <c r="AH71" i="17"/>
  <c r="AI71" i="17"/>
  <c r="AJ71" i="17"/>
  <c r="AK71" i="17"/>
  <c r="AH72" i="17"/>
  <c r="AI72" i="17"/>
  <c r="AJ72" i="17"/>
  <c r="AK72" i="17"/>
  <c r="AH73" i="17"/>
  <c r="AI73" i="17"/>
  <c r="AJ73" i="17"/>
  <c r="AK73" i="17"/>
  <c r="AH74" i="17"/>
  <c r="AI74" i="17"/>
  <c r="AJ74" i="17"/>
  <c r="AK74" i="17"/>
  <c r="AH75" i="17"/>
  <c r="AI75" i="17"/>
  <c r="AJ75" i="17"/>
  <c r="AK75" i="17"/>
  <c r="AH76" i="17"/>
  <c r="AI76" i="17"/>
  <c r="AJ76" i="17"/>
  <c r="AK76" i="17"/>
  <c r="AH77" i="17"/>
  <c r="AI77" i="17"/>
  <c r="AJ77" i="17"/>
  <c r="AK77" i="17"/>
  <c r="AH78" i="17"/>
  <c r="AI78" i="17"/>
  <c r="AJ78" i="17"/>
  <c r="AK78" i="17"/>
  <c r="AH79" i="17"/>
  <c r="AI79" i="17"/>
  <c r="AJ79" i="17"/>
  <c r="AK79" i="17"/>
  <c r="AH80" i="17"/>
  <c r="AI80" i="17"/>
  <c r="AJ80" i="17"/>
  <c r="AK80" i="17"/>
  <c r="AH81" i="17"/>
  <c r="AI81" i="17"/>
  <c r="AJ81" i="17"/>
  <c r="AK81" i="17"/>
  <c r="AH82" i="17"/>
  <c r="AI82" i="17"/>
  <c r="AJ82" i="17"/>
  <c r="AK82" i="17"/>
  <c r="AH83" i="17"/>
  <c r="AI83" i="17"/>
  <c r="AJ83" i="17"/>
  <c r="AK83" i="17"/>
  <c r="AH84" i="17"/>
  <c r="AI84" i="17"/>
  <c r="AJ84" i="17"/>
  <c r="AK84" i="17"/>
  <c r="AH85" i="17"/>
  <c r="AI85" i="17"/>
  <c r="AJ85" i="17"/>
  <c r="AK85" i="17"/>
  <c r="AH86" i="17"/>
  <c r="AI86" i="17"/>
  <c r="AJ86" i="17"/>
  <c r="AK86" i="17"/>
  <c r="AH87" i="17"/>
  <c r="AI87" i="17"/>
  <c r="AJ87" i="17"/>
  <c r="AK87" i="17"/>
  <c r="AH88" i="17"/>
  <c r="AI88" i="17"/>
  <c r="AJ88" i="17"/>
  <c r="AK88" i="17"/>
  <c r="AH89" i="17"/>
  <c r="AI89" i="17"/>
  <c r="AJ89" i="17"/>
  <c r="AK89" i="17"/>
  <c r="AH90" i="17"/>
  <c r="AI90" i="17"/>
  <c r="AJ90" i="17"/>
  <c r="AK90" i="17"/>
  <c r="AH91" i="17"/>
  <c r="AI91" i="17"/>
  <c r="AJ91" i="17"/>
  <c r="AK91" i="17"/>
  <c r="AH92" i="17"/>
  <c r="AI92" i="17"/>
  <c r="AJ92" i="17"/>
  <c r="AK92" i="17"/>
  <c r="AH93" i="17"/>
  <c r="AI93" i="17"/>
  <c r="AJ93" i="17"/>
  <c r="AK93" i="17"/>
  <c r="AH94" i="17"/>
  <c r="AI94" i="17"/>
  <c r="AJ94" i="17"/>
  <c r="AK94" i="17"/>
  <c r="AH95" i="17"/>
  <c r="AI95" i="17"/>
  <c r="AJ95" i="17"/>
  <c r="AK95" i="17"/>
  <c r="AH96" i="17"/>
  <c r="AI96" i="17"/>
  <c r="AJ96" i="17"/>
  <c r="AK96" i="17"/>
  <c r="AH97" i="17"/>
  <c r="AI97" i="17"/>
  <c r="AJ97" i="17"/>
  <c r="AK97" i="17"/>
  <c r="AH98" i="17"/>
  <c r="AI98" i="17"/>
  <c r="AJ98" i="17"/>
  <c r="AK98" i="17"/>
  <c r="AH99" i="17"/>
  <c r="AI99" i="17"/>
  <c r="AJ99" i="17"/>
  <c r="AK99" i="17"/>
  <c r="AH100" i="17"/>
  <c r="AI100" i="17"/>
  <c r="AJ100" i="17"/>
  <c r="AK100" i="17"/>
  <c r="AH101" i="17"/>
  <c r="AI101" i="17"/>
  <c r="AJ101" i="17"/>
  <c r="AK101" i="17"/>
  <c r="AH102" i="17"/>
  <c r="AI102" i="17"/>
  <c r="AJ102" i="17"/>
  <c r="AK102" i="17"/>
  <c r="AH103" i="17"/>
  <c r="AI103" i="17"/>
  <c r="AJ103" i="17"/>
  <c r="AK103" i="17"/>
  <c r="AH104" i="17"/>
  <c r="AI104" i="17"/>
  <c r="AJ104" i="17"/>
  <c r="AK104" i="17"/>
  <c r="AH105" i="17"/>
  <c r="AI105" i="17"/>
  <c r="AJ105" i="17"/>
  <c r="AK105" i="17"/>
  <c r="AH106" i="17"/>
  <c r="AI106" i="17"/>
  <c r="AJ106" i="17"/>
  <c r="AK106" i="17"/>
  <c r="AH107" i="17"/>
  <c r="AI107" i="17"/>
  <c r="AJ107" i="17"/>
  <c r="AK107" i="17"/>
  <c r="AH108" i="17"/>
  <c r="AI108" i="17"/>
  <c r="AJ108" i="17"/>
  <c r="AK108" i="17"/>
  <c r="AH109" i="17"/>
  <c r="AI109" i="17"/>
  <c r="AJ109" i="17"/>
  <c r="AK109" i="17"/>
  <c r="AH110" i="17"/>
  <c r="AI110" i="17"/>
  <c r="AJ110" i="17"/>
  <c r="AK110" i="17"/>
  <c r="AH111" i="17"/>
  <c r="AI111" i="17"/>
  <c r="AJ111" i="17"/>
  <c r="AK111" i="17"/>
  <c r="AH112" i="17"/>
  <c r="AI112" i="17"/>
  <c r="AJ112" i="17"/>
  <c r="AK112" i="17"/>
  <c r="AH113" i="17"/>
  <c r="AI113" i="17"/>
  <c r="AJ113" i="17"/>
  <c r="AK113" i="17"/>
  <c r="AH114" i="17"/>
  <c r="AI114" i="17"/>
  <c r="AJ114" i="17"/>
  <c r="AK114" i="17"/>
  <c r="AH115" i="17"/>
  <c r="AI115" i="17"/>
  <c r="AJ115" i="17"/>
  <c r="AK115" i="17"/>
  <c r="AH116" i="17"/>
  <c r="AI116" i="17"/>
  <c r="AJ116" i="17"/>
  <c r="AK116" i="17"/>
  <c r="AH117" i="17"/>
  <c r="AI117" i="17"/>
  <c r="AJ117" i="17"/>
  <c r="AK117" i="17"/>
  <c r="AH118" i="17"/>
  <c r="AI118" i="17"/>
  <c r="AJ118" i="17"/>
  <c r="AK118" i="17"/>
  <c r="AH119" i="17"/>
  <c r="AI119" i="17"/>
  <c r="AJ119" i="17"/>
  <c r="AK119" i="17"/>
  <c r="AH120" i="17"/>
  <c r="AI120" i="17"/>
  <c r="AJ120" i="17"/>
  <c r="AK120" i="17"/>
  <c r="AH121" i="17"/>
  <c r="AI121" i="17"/>
  <c r="AJ121" i="17"/>
  <c r="AK121" i="17"/>
  <c r="AH122" i="17"/>
  <c r="AI122" i="17"/>
  <c r="AJ122" i="17"/>
  <c r="AK122" i="17"/>
  <c r="AH123" i="17"/>
  <c r="AI123" i="17"/>
  <c r="AJ123" i="17"/>
  <c r="Q37" i="16" s="1"/>
  <c r="AK123" i="17"/>
  <c r="AH124" i="17"/>
  <c r="AI124" i="17"/>
  <c r="AJ124" i="17"/>
  <c r="AK124" i="17"/>
  <c r="AH125" i="17"/>
  <c r="AI125" i="17"/>
  <c r="AJ125" i="17"/>
  <c r="AK125" i="17"/>
  <c r="AH126" i="17"/>
  <c r="AI126" i="17"/>
  <c r="AJ126" i="17"/>
  <c r="AK126" i="17"/>
  <c r="AH127" i="17"/>
  <c r="AI127" i="17"/>
  <c r="AJ127" i="17"/>
  <c r="AK127" i="17"/>
  <c r="AH128" i="17"/>
  <c r="AI128" i="17"/>
  <c r="N13" i="16" s="1"/>
  <c r="AJ128" i="17"/>
  <c r="Q13" i="16" s="1"/>
  <c r="AK128" i="17"/>
  <c r="AH129" i="17"/>
  <c r="AI129" i="17"/>
  <c r="AJ129" i="17"/>
  <c r="AK129" i="17"/>
  <c r="AH130" i="17"/>
  <c r="AI130" i="17"/>
  <c r="AJ130" i="17"/>
  <c r="AK130" i="17"/>
  <c r="AH131" i="17"/>
  <c r="AI131" i="17"/>
  <c r="AJ131" i="17"/>
  <c r="AK131" i="17"/>
  <c r="AH132" i="17"/>
  <c r="AI132" i="17"/>
  <c r="AJ132" i="17"/>
  <c r="AK132" i="17"/>
  <c r="AH133" i="17"/>
  <c r="AI133" i="17"/>
  <c r="AJ133" i="17"/>
  <c r="AK133" i="17"/>
  <c r="AH134" i="17"/>
  <c r="AI134" i="17"/>
  <c r="AJ134" i="17"/>
  <c r="AK134" i="17"/>
  <c r="AH135" i="17"/>
  <c r="AI135" i="17"/>
  <c r="AJ135" i="17"/>
  <c r="AK135" i="17"/>
  <c r="AH136" i="17"/>
  <c r="AI136" i="17"/>
  <c r="AJ136" i="17"/>
  <c r="AK136" i="17"/>
  <c r="AH137" i="17"/>
  <c r="AI137" i="17"/>
  <c r="AJ137" i="17"/>
  <c r="AK137" i="17"/>
  <c r="AJ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H829" i="9"/>
  <c r="AI829" i="9"/>
  <c r="AJ829" i="9"/>
  <c r="AK829" i="9"/>
  <c r="AH830" i="9"/>
  <c r="AI830" i="9"/>
  <c r="AJ830" i="9"/>
  <c r="AK830" i="9"/>
  <c r="AH831" i="9"/>
  <c r="AI831" i="9"/>
  <c r="AJ831" i="9"/>
  <c r="AK831" i="9"/>
  <c r="AH832" i="9"/>
  <c r="AI832" i="9"/>
  <c r="AJ832" i="9"/>
  <c r="AK832" i="9"/>
  <c r="AH833" i="9"/>
  <c r="AI833" i="9"/>
  <c r="AJ833" i="9"/>
  <c r="AK833" i="9"/>
  <c r="AH834" i="9"/>
  <c r="AI834" i="9"/>
  <c r="AJ834" i="9"/>
  <c r="AK834" i="9"/>
  <c r="AH835" i="9"/>
  <c r="AI835" i="9"/>
  <c r="AJ835" i="9"/>
  <c r="AK835" i="9"/>
  <c r="AH836" i="9"/>
  <c r="AI836" i="9"/>
  <c r="AJ836" i="9"/>
  <c r="AK836" i="9"/>
  <c r="AH837" i="9"/>
  <c r="AI837" i="9"/>
  <c r="AJ837" i="9"/>
  <c r="AK837" i="9"/>
  <c r="AH838" i="9"/>
  <c r="AI838" i="9"/>
  <c r="AJ838" i="9"/>
  <c r="AK838" i="9"/>
  <c r="AH839" i="9"/>
  <c r="AI839" i="9"/>
  <c r="AJ839" i="9"/>
  <c r="AK839" i="9"/>
  <c r="AH840" i="9"/>
  <c r="AI840" i="9"/>
  <c r="AJ840" i="9"/>
  <c r="AK840" i="9"/>
  <c r="AH841" i="9"/>
  <c r="AI841" i="9"/>
  <c r="AJ841" i="9"/>
  <c r="AK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AE36" i="16"/>
  <c r="AF36" i="16"/>
  <c r="AG36" i="16"/>
  <c r="AI36" i="16"/>
  <c r="AJ36" i="16"/>
  <c r="AK36" i="16"/>
  <c r="AL36" i="16"/>
  <c r="AM36" i="16"/>
  <c r="AN36" i="16"/>
  <c r="L36" i="16"/>
  <c r="R36" i="16"/>
  <c r="S37" i="16"/>
  <c r="T37" i="16"/>
  <c r="U37" i="16"/>
  <c r="V37" i="16"/>
  <c r="W37" i="16"/>
  <c r="X37" i="16"/>
  <c r="Y37" i="16"/>
  <c r="Z37" i="16"/>
  <c r="AA37" i="16"/>
  <c r="AB37" i="16"/>
  <c r="AC37" i="16"/>
  <c r="AD37" i="16"/>
  <c r="AE37" i="16"/>
  <c r="AF37" i="16"/>
  <c r="AG37" i="16"/>
  <c r="AI37" i="16"/>
  <c r="AJ37" i="16"/>
  <c r="AK37" i="16"/>
  <c r="AL37" i="16"/>
  <c r="AM37" i="16"/>
  <c r="AN37" i="16"/>
  <c r="R37" i="16"/>
  <c r="AK2" i="17"/>
  <c r="AI2" i="17"/>
  <c r="AH2" i="17"/>
  <c r="F37" i="16"/>
  <c r="G37" i="16"/>
  <c r="H37" i="16" a="1"/>
  <c r="H37" i="16" s="1"/>
  <c r="I37" i="16"/>
  <c r="J37" i="16"/>
  <c r="L37" i="16"/>
  <c r="M37" i="16" s="1"/>
  <c r="O37" i="16"/>
  <c r="P37" i="16" s="1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I11" i="16"/>
  <c r="AJ11" i="16"/>
  <c r="AK11" i="16"/>
  <c r="AL11" i="16"/>
  <c r="AM11" i="16"/>
  <c r="AN11" i="16"/>
  <c r="R11" i="16"/>
  <c r="F11" i="16"/>
  <c r="G11" i="16"/>
  <c r="H11" i="16" a="1"/>
  <c r="H11" i="16" s="1"/>
  <c r="I11" i="16"/>
  <c r="J11" i="16"/>
  <c r="K11" i="16"/>
  <c r="L11" i="16"/>
  <c r="M11" i="16" s="1"/>
  <c r="N11" i="16"/>
  <c r="O11" i="16"/>
  <c r="P11" i="16" s="1"/>
  <c r="Q11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I15" i="16"/>
  <c r="AJ15" i="16"/>
  <c r="AK15" i="16"/>
  <c r="AL15" i="16"/>
  <c r="AM15" i="16"/>
  <c r="AN15" i="16"/>
  <c r="R15" i="16"/>
  <c r="F15" i="16"/>
  <c r="G15" i="16"/>
  <c r="H15" i="16" a="1"/>
  <c r="H15" i="16" s="1"/>
  <c r="I15" i="16"/>
  <c r="J15" i="16"/>
  <c r="K15" i="16"/>
  <c r="L15" i="16"/>
  <c r="M15" i="16" s="1"/>
  <c r="N15" i="16"/>
  <c r="O15" i="16"/>
  <c r="P15" i="16" s="1"/>
  <c r="Q15" i="16"/>
  <c r="N37" i="16"/>
  <c r="K37" i="16"/>
  <c r="AH816" i="9"/>
  <c r="AI816" i="9"/>
  <c r="AJ816" i="9"/>
  <c r="AK816" i="9"/>
  <c r="AH817" i="9"/>
  <c r="AI817" i="9"/>
  <c r="AJ817" i="9"/>
  <c r="AK817" i="9"/>
  <c r="AH818" i="9"/>
  <c r="AI818" i="9"/>
  <c r="AJ818" i="9"/>
  <c r="AK818" i="9"/>
  <c r="AH819" i="9"/>
  <c r="AI819" i="9"/>
  <c r="AJ819" i="9"/>
  <c r="AK819" i="9"/>
  <c r="AH820" i="9"/>
  <c r="AI820" i="9"/>
  <c r="AJ820" i="9"/>
  <c r="AK820" i="9"/>
  <c r="AH821" i="9"/>
  <c r="AI821" i="9"/>
  <c r="AJ821" i="9"/>
  <c r="AK821" i="9"/>
  <c r="AH822" i="9"/>
  <c r="AI822" i="9"/>
  <c r="AJ822" i="9"/>
  <c r="AK822" i="9"/>
  <c r="AH823" i="9"/>
  <c r="AI823" i="9"/>
  <c r="AJ823" i="9"/>
  <c r="AK823" i="9"/>
  <c r="AH824" i="9"/>
  <c r="AI824" i="9"/>
  <c r="AJ824" i="9"/>
  <c r="AK824" i="9"/>
  <c r="AH825" i="9"/>
  <c r="AI825" i="9"/>
  <c r="AJ825" i="9"/>
  <c r="AK825" i="9"/>
  <c r="AH826" i="9"/>
  <c r="AI826" i="9"/>
  <c r="AJ826" i="9"/>
  <c r="AK826" i="9"/>
  <c r="AH827" i="9"/>
  <c r="AI827" i="9"/>
  <c r="AJ827" i="9"/>
  <c r="AK827" i="9"/>
  <c r="AH828" i="9"/>
  <c r="AI828" i="9"/>
  <c r="AJ828" i="9"/>
  <c r="AK828" i="9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I13" i="16"/>
  <c r="AJ13" i="16"/>
  <c r="AK13" i="16"/>
  <c r="AL13" i="16"/>
  <c r="AM13" i="16"/>
  <c r="AN13" i="16"/>
  <c r="R13" i="16"/>
  <c r="F13" i="16"/>
  <c r="G13" i="16"/>
  <c r="H13" i="16" a="1"/>
  <c r="H13" i="16" s="1"/>
  <c r="I13" i="16"/>
  <c r="J13" i="16"/>
  <c r="K13" i="16"/>
  <c r="L13" i="16"/>
  <c r="M13" i="16" s="1"/>
  <c r="O13" i="16"/>
  <c r="P13" i="16" s="1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I33" i="12"/>
  <c r="AJ33" i="12"/>
  <c r="AK33" i="12"/>
  <c r="AL33" i="12"/>
  <c r="AM33" i="12"/>
  <c r="AN33" i="12"/>
  <c r="R33" i="12"/>
  <c r="F33" i="12"/>
  <c r="G33" i="12"/>
  <c r="H33" i="12" a="1"/>
  <c r="H33" i="12" s="1"/>
  <c r="I33" i="12"/>
  <c r="J33" i="12"/>
  <c r="K33" i="12"/>
  <c r="L33" i="12"/>
  <c r="M33" i="12" s="1"/>
  <c r="N33" i="12"/>
  <c r="O33" i="12"/>
  <c r="P33" i="12" s="1"/>
  <c r="Q33" i="12"/>
  <c r="K21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I21" i="16"/>
  <c r="AJ21" i="16"/>
  <c r="AK21" i="16"/>
  <c r="AL21" i="16"/>
  <c r="AM21" i="16"/>
  <c r="AN21" i="16"/>
  <c r="R21" i="16"/>
  <c r="Q20" i="16"/>
  <c r="F21" i="16"/>
  <c r="G21" i="16"/>
  <c r="H21" i="16" a="1"/>
  <c r="H21" i="16" s="1"/>
  <c r="I21" i="16"/>
  <c r="J21" i="16"/>
  <c r="L21" i="16"/>
  <c r="M21" i="16" s="1"/>
  <c r="N21" i="16"/>
  <c r="O21" i="16"/>
  <c r="P21" i="16" s="1"/>
  <c r="Q21" i="16"/>
  <c r="AH804" i="9"/>
  <c r="AI804" i="9"/>
  <c r="AJ804" i="9"/>
  <c r="AK804" i="9"/>
  <c r="AH805" i="9"/>
  <c r="AI805" i="9"/>
  <c r="AJ805" i="9"/>
  <c r="AK805" i="9"/>
  <c r="AH806" i="9"/>
  <c r="AI806" i="9"/>
  <c r="AJ806" i="9"/>
  <c r="AK806" i="9"/>
  <c r="AH807" i="9"/>
  <c r="AI807" i="9"/>
  <c r="AJ807" i="9"/>
  <c r="AK807" i="9"/>
  <c r="AH808" i="9"/>
  <c r="AI808" i="9"/>
  <c r="AJ808" i="9"/>
  <c r="AK808" i="9"/>
  <c r="AH809" i="9"/>
  <c r="AI809" i="9"/>
  <c r="AJ809" i="9"/>
  <c r="AK809" i="9"/>
  <c r="AH810" i="9"/>
  <c r="AI810" i="9"/>
  <c r="AJ810" i="9"/>
  <c r="AK810" i="9"/>
  <c r="AH811" i="9"/>
  <c r="AI811" i="9"/>
  <c r="AJ811" i="9"/>
  <c r="AK811" i="9"/>
  <c r="AH812" i="9"/>
  <c r="AI812" i="9"/>
  <c r="AJ812" i="9"/>
  <c r="AK812" i="9"/>
  <c r="AH813" i="9"/>
  <c r="AI813" i="9"/>
  <c r="AJ813" i="9"/>
  <c r="AK813" i="9"/>
  <c r="AH814" i="9"/>
  <c r="AI814" i="9"/>
  <c r="AJ814" i="9"/>
  <c r="AK814" i="9"/>
  <c r="AH815" i="9"/>
  <c r="AI815" i="9"/>
  <c r="AJ815" i="9"/>
  <c r="AK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H792" i="9"/>
  <c r="AI792" i="9"/>
  <c r="AJ792" i="9"/>
  <c r="AK792" i="9"/>
  <c r="AH793" i="9"/>
  <c r="AI793" i="9"/>
  <c r="AJ793" i="9"/>
  <c r="AK793" i="9"/>
  <c r="AH794" i="9"/>
  <c r="AI794" i="9"/>
  <c r="AJ794" i="9"/>
  <c r="AK794" i="9"/>
  <c r="AH795" i="9"/>
  <c r="AI795" i="9"/>
  <c r="AJ795" i="9"/>
  <c r="AK795" i="9"/>
  <c r="AH796" i="9"/>
  <c r="AI796" i="9"/>
  <c r="AJ796" i="9"/>
  <c r="AK796" i="9"/>
  <c r="AH797" i="9"/>
  <c r="AI797" i="9"/>
  <c r="AJ797" i="9"/>
  <c r="AK797" i="9"/>
  <c r="AH798" i="9"/>
  <c r="AI798" i="9"/>
  <c r="AJ798" i="9"/>
  <c r="AK798" i="9"/>
  <c r="AH799" i="9"/>
  <c r="AI799" i="9"/>
  <c r="AJ799" i="9"/>
  <c r="AK799" i="9"/>
  <c r="AH800" i="9"/>
  <c r="AI800" i="9"/>
  <c r="AJ800" i="9"/>
  <c r="AK800" i="9"/>
  <c r="AH801" i="9"/>
  <c r="AI801" i="9"/>
  <c r="AJ801" i="9"/>
  <c r="AK801" i="9"/>
  <c r="AH802" i="9"/>
  <c r="AI802" i="9"/>
  <c r="AJ802" i="9"/>
  <c r="AK802" i="9"/>
  <c r="AH803" i="9"/>
  <c r="AI803" i="9"/>
  <c r="AJ803" i="9"/>
  <c r="AK803" i="9"/>
  <c r="K2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I22" i="16"/>
  <c r="AJ22" i="16"/>
  <c r="AK22" i="16"/>
  <c r="AL22" i="16"/>
  <c r="AM22" i="16"/>
  <c r="AN22" i="16"/>
  <c r="R22" i="16"/>
  <c r="F22" i="16"/>
  <c r="G22" i="16"/>
  <c r="H22" i="16" a="1"/>
  <c r="H22" i="16" s="1"/>
  <c r="I22" i="16"/>
  <c r="J22" i="16"/>
  <c r="K22" i="16"/>
  <c r="L22" i="16"/>
  <c r="M22" i="16" s="1"/>
  <c r="N22" i="16"/>
  <c r="O22" i="16"/>
  <c r="P22" i="16" s="1"/>
  <c r="Q22" i="16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I34" i="12"/>
  <c r="AJ34" i="12"/>
  <c r="AK34" i="12"/>
  <c r="AL34" i="12"/>
  <c r="AM34" i="12"/>
  <c r="AN34" i="12"/>
  <c r="R34" i="12"/>
  <c r="O34" i="12"/>
  <c r="P34" i="12" s="1"/>
  <c r="Q34" i="12"/>
  <c r="O32" i="12"/>
  <c r="F34" i="12"/>
  <c r="G34" i="12"/>
  <c r="H34" i="12" a="1"/>
  <c r="H34" i="12" s="1"/>
  <c r="I34" i="12"/>
  <c r="J34" i="12"/>
  <c r="K34" i="12"/>
  <c r="L34" i="12"/>
  <c r="M34" i="12" s="1"/>
  <c r="N34" i="12"/>
  <c r="AH776" i="9"/>
  <c r="AI776" i="9"/>
  <c r="AJ776" i="9"/>
  <c r="AK776" i="9"/>
  <c r="AH777" i="9"/>
  <c r="AI777" i="9"/>
  <c r="AJ777" i="9"/>
  <c r="AK777" i="9"/>
  <c r="AH778" i="9"/>
  <c r="AI778" i="9"/>
  <c r="AJ778" i="9"/>
  <c r="AK778" i="9"/>
  <c r="AH779" i="9"/>
  <c r="AI779" i="9"/>
  <c r="AJ779" i="9"/>
  <c r="AK779" i="9"/>
  <c r="AH780" i="9"/>
  <c r="AI780" i="9"/>
  <c r="AJ780" i="9"/>
  <c r="AK780" i="9"/>
  <c r="AH781" i="9"/>
  <c r="AI781" i="9"/>
  <c r="AJ781" i="9"/>
  <c r="AK781" i="9"/>
  <c r="AH782" i="9"/>
  <c r="AI782" i="9"/>
  <c r="AJ782" i="9"/>
  <c r="AK782" i="9"/>
  <c r="AH783" i="9"/>
  <c r="AI783" i="9"/>
  <c r="AJ783" i="9"/>
  <c r="AK783" i="9"/>
  <c r="AH784" i="9"/>
  <c r="AI784" i="9"/>
  <c r="AJ784" i="9"/>
  <c r="AK784" i="9"/>
  <c r="AH785" i="9"/>
  <c r="AI785" i="9"/>
  <c r="AJ785" i="9"/>
  <c r="AK785" i="9"/>
  <c r="AH786" i="9"/>
  <c r="AI786" i="9"/>
  <c r="AJ786" i="9"/>
  <c r="AK786" i="9"/>
  <c r="AH787" i="9"/>
  <c r="AI787" i="9"/>
  <c r="AJ787" i="9"/>
  <c r="AK787" i="9"/>
  <c r="AH788" i="9"/>
  <c r="AI788" i="9"/>
  <c r="AJ788" i="9"/>
  <c r="AK788" i="9"/>
  <c r="AH789" i="9"/>
  <c r="AI789" i="9"/>
  <c r="AJ789" i="9"/>
  <c r="AK789" i="9"/>
  <c r="AH790" i="9"/>
  <c r="AI790" i="9"/>
  <c r="AJ790" i="9"/>
  <c r="AK790" i="9"/>
  <c r="AH791" i="9"/>
  <c r="AI791" i="9"/>
  <c r="AJ791" i="9"/>
  <c r="AK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H37" i="13"/>
  <c r="I37" i="13"/>
  <c r="J37" i="13" a="1"/>
  <c r="J37" i="13" s="1"/>
  <c r="K37" i="13"/>
  <c r="L37" i="13"/>
  <c r="M37" i="13"/>
  <c r="N37" i="13"/>
  <c r="O37" i="13" s="1"/>
  <c r="P37" i="13"/>
  <c r="Q37" i="13"/>
  <c r="R37" i="13" s="1"/>
  <c r="S37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T26" i="13"/>
  <c r="H26" i="13"/>
  <c r="I26" i="13"/>
  <c r="J26" i="13" a="1"/>
  <c r="J26" i="13" s="1"/>
  <c r="K26" i="13"/>
  <c r="L26" i="13"/>
  <c r="M26" i="13"/>
  <c r="N26" i="13"/>
  <c r="O26" i="13" s="1"/>
  <c r="P26" i="13"/>
  <c r="Q26" i="13"/>
  <c r="R26" i="13" s="1"/>
  <c r="S26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T24" i="13"/>
  <c r="T23" i="13"/>
  <c r="T22" i="13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I26" i="16"/>
  <c r="AJ26" i="16"/>
  <c r="AK26" i="16"/>
  <c r="AL26" i="16"/>
  <c r="AM26" i="16"/>
  <c r="AN26" i="16"/>
  <c r="R26" i="16"/>
  <c r="F26" i="16"/>
  <c r="G26" i="16"/>
  <c r="H26" i="16" a="1"/>
  <c r="H26" i="16" s="1"/>
  <c r="I26" i="16"/>
  <c r="J26" i="16"/>
  <c r="K26" i="16"/>
  <c r="L26" i="16"/>
  <c r="M26" i="16" s="1"/>
  <c r="N26" i="16"/>
  <c r="O26" i="16"/>
  <c r="P26" i="16" s="1"/>
  <c r="Q26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I19" i="16"/>
  <c r="AJ19" i="16"/>
  <c r="AK19" i="16"/>
  <c r="AL19" i="16"/>
  <c r="AM19" i="16"/>
  <c r="AN19" i="16"/>
  <c r="R19" i="16"/>
  <c r="F19" i="16"/>
  <c r="G19" i="16"/>
  <c r="H19" i="16" a="1"/>
  <c r="H19" i="16" s="1"/>
  <c r="I19" i="16"/>
  <c r="J19" i="16"/>
  <c r="L19" i="16"/>
  <c r="M19" i="16" s="1"/>
  <c r="O19" i="16"/>
  <c r="P19" i="16" s="1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I9" i="16"/>
  <c r="AJ9" i="16"/>
  <c r="AK9" i="16"/>
  <c r="AL9" i="16"/>
  <c r="AM9" i="16"/>
  <c r="AN9" i="16"/>
  <c r="R9" i="16"/>
  <c r="F9" i="16"/>
  <c r="G9" i="16"/>
  <c r="H9" i="16" a="1"/>
  <c r="H9" i="16" s="1"/>
  <c r="I9" i="16"/>
  <c r="J9" i="16"/>
  <c r="K9" i="16"/>
  <c r="L9" i="16"/>
  <c r="M9" i="16" s="1"/>
  <c r="N9" i="16"/>
  <c r="O9" i="16"/>
  <c r="P9" i="16" s="1"/>
  <c r="Q9" i="16"/>
  <c r="AH763" i="9"/>
  <c r="AI763" i="9"/>
  <c r="AJ763" i="9"/>
  <c r="AK763" i="9"/>
  <c r="AH764" i="9"/>
  <c r="AI764" i="9"/>
  <c r="AJ764" i="9"/>
  <c r="AK764" i="9"/>
  <c r="AH765" i="9"/>
  <c r="AI765" i="9"/>
  <c r="AJ765" i="9"/>
  <c r="AK765" i="9"/>
  <c r="AH766" i="9"/>
  <c r="AI766" i="9"/>
  <c r="AJ766" i="9"/>
  <c r="AK766" i="9"/>
  <c r="AH767" i="9"/>
  <c r="AI767" i="9"/>
  <c r="AJ767" i="9"/>
  <c r="AK767" i="9"/>
  <c r="AH768" i="9"/>
  <c r="AI768" i="9"/>
  <c r="AJ768" i="9"/>
  <c r="Q20" i="12" s="1"/>
  <c r="AK768" i="9"/>
  <c r="AH769" i="9"/>
  <c r="AI769" i="9"/>
  <c r="AJ769" i="9"/>
  <c r="AK769" i="9"/>
  <c r="AH770" i="9"/>
  <c r="AI770" i="9"/>
  <c r="AJ770" i="9"/>
  <c r="AK770" i="9"/>
  <c r="AH771" i="9"/>
  <c r="AI771" i="9"/>
  <c r="AJ771" i="9"/>
  <c r="AK771" i="9"/>
  <c r="AH772" i="9"/>
  <c r="AI772" i="9"/>
  <c r="AJ772" i="9"/>
  <c r="AK772" i="9"/>
  <c r="AH773" i="9"/>
  <c r="AI773" i="9"/>
  <c r="AJ773" i="9"/>
  <c r="AK773" i="9"/>
  <c r="AH774" i="9"/>
  <c r="AI774" i="9"/>
  <c r="AJ774" i="9"/>
  <c r="AK774" i="9"/>
  <c r="AH775" i="9"/>
  <c r="AI775" i="9"/>
  <c r="AJ775" i="9"/>
  <c r="AK775" i="9"/>
  <c r="N19" i="16"/>
  <c r="Q19" i="16"/>
  <c r="K19" i="16"/>
  <c r="AH751" i="9"/>
  <c r="AI751" i="9"/>
  <c r="AJ751" i="9"/>
  <c r="AK751" i="9"/>
  <c r="AH752" i="9"/>
  <c r="AI752" i="9"/>
  <c r="AJ752" i="9"/>
  <c r="AK752" i="9"/>
  <c r="AH753" i="9"/>
  <c r="AI753" i="9"/>
  <c r="AJ753" i="9"/>
  <c r="AK753" i="9"/>
  <c r="AH754" i="9"/>
  <c r="AI754" i="9"/>
  <c r="AJ754" i="9"/>
  <c r="AK754" i="9"/>
  <c r="AH755" i="9"/>
  <c r="AI755" i="9"/>
  <c r="AJ755" i="9"/>
  <c r="AK755" i="9"/>
  <c r="AH756" i="9"/>
  <c r="AI756" i="9"/>
  <c r="AJ756" i="9"/>
  <c r="AK756" i="9"/>
  <c r="AH757" i="9"/>
  <c r="AI757" i="9"/>
  <c r="AJ757" i="9"/>
  <c r="AK757" i="9"/>
  <c r="AH758" i="9"/>
  <c r="AI758" i="9"/>
  <c r="AJ758" i="9"/>
  <c r="AK758" i="9"/>
  <c r="AH759" i="9"/>
  <c r="AI759" i="9"/>
  <c r="AJ759" i="9"/>
  <c r="AK759" i="9"/>
  <c r="AH760" i="9"/>
  <c r="AI760" i="9"/>
  <c r="AJ760" i="9"/>
  <c r="AK760" i="9"/>
  <c r="AH761" i="9"/>
  <c r="AI761" i="9"/>
  <c r="AJ761" i="9"/>
  <c r="AK761" i="9"/>
  <c r="AH762" i="9"/>
  <c r="AI762" i="9"/>
  <c r="AJ762" i="9"/>
  <c r="AK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9" i="19"/>
  <c r="R39" i="19"/>
  <c r="S39" i="19"/>
  <c r="T39" i="19"/>
  <c r="U39" i="19"/>
  <c r="V39" i="19"/>
  <c r="W39" i="19"/>
  <c r="X39" i="19"/>
  <c r="Y39" i="19"/>
  <c r="Z39" i="19"/>
  <c r="AA39" i="19"/>
  <c r="AB39" i="19"/>
  <c r="AC39" i="19"/>
  <c r="AD39" i="19"/>
  <c r="AE39" i="19"/>
  <c r="P39" i="19"/>
  <c r="Q30" i="19"/>
  <c r="R30" i="19"/>
  <c r="S30" i="19"/>
  <c r="T30" i="19"/>
  <c r="U30" i="19"/>
  <c r="V30" i="19"/>
  <c r="W30" i="19"/>
  <c r="X30" i="19"/>
  <c r="Y30" i="19"/>
  <c r="Z30" i="19"/>
  <c r="AA30" i="19"/>
  <c r="AB30" i="19"/>
  <c r="AC30" i="19"/>
  <c r="AD30" i="19"/>
  <c r="AE30" i="19"/>
  <c r="P30" i="19"/>
  <c r="Q29" i="19"/>
  <c r="R29" i="19"/>
  <c r="S29" i="19"/>
  <c r="T29" i="19"/>
  <c r="U29" i="19"/>
  <c r="V29" i="19"/>
  <c r="W29" i="19"/>
  <c r="X29" i="19"/>
  <c r="Y29" i="19"/>
  <c r="Z29" i="19"/>
  <c r="AA29" i="19"/>
  <c r="AB29" i="19"/>
  <c r="AC29" i="19"/>
  <c r="AD29" i="19"/>
  <c r="AE29" i="19"/>
  <c r="P29" i="19"/>
  <c r="Q28" i="19"/>
  <c r="R28" i="19"/>
  <c r="S28" i="19"/>
  <c r="T28" i="19"/>
  <c r="U28" i="19"/>
  <c r="V28" i="19"/>
  <c r="W28" i="19"/>
  <c r="X28" i="19"/>
  <c r="Y28" i="19"/>
  <c r="Z28" i="19"/>
  <c r="AA28" i="19"/>
  <c r="AB28" i="19"/>
  <c r="AC28" i="19"/>
  <c r="AD28" i="19"/>
  <c r="AE28" i="19"/>
  <c r="P28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AE24" i="19"/>
  <c r="P24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20" i="19"/>
  <c r="R20" i="19"/>
  <c r="S20" i="19"/>
  <c r="T20" i="19"/>
  <c r="U20" i="19"/>
  <c r="V20" i="19"/>
  <c r="W20" i="19"/>
  <c r="X20" i="19"/>
  <c r="Y20" i="19"/>
  <c r="Z20" i="19"/>
  <c r="AA20" i="19"/>
  <c r="AB20" i="19"/>
  <c r="AC20" i="19"/>
  <c r="AD20" i="19"/>
  <c r="AE20" i="19"/>
  <c r="P20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P17" i="19"/>
  <c r="Q13" i="19"/>
  <c r="R13" i="19"/>
  <c r="S13" i="19"/>
  <c r="T13" i="19"/>
  <c r="U13" i="19"/>
  <c r="V13" i="19"/>
  <c r="W13" i="19"/>
  <c r="X13" i="19"/>
  <c r="Y13" i="19"/>
  <c r="Z13" i="19"/>
  <c r="AA13" i="19"/>
  <c r="AB13" i="19"/>
  <c r="AC13" i="19"/>
  <c r="AD13" i="19"/>
  <c r="AE13" i="19"/>
  <c r="P13" i="19"/>
  <c r="D5" i="19"/>
  <c r="D4" i="19"/>
  <c r="E5" i="19"/>
  <c r="F5" i="19" a="1"/>
  <c r="F5" i="19" s="1"/>
  <c r="G5" i="19"/>
  <c r="H5" i="19"/>
  <c r="J5" i="19"/>
  <c r="K5" i="19" s="1"/>
  <c r="M5" i="19"/>
  <c r="N5" i="19" s="1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I7" i="19"/>
  <c r="J7" i="19"/>
  <c r="K7" i="19" s="1"/>
  <c r="L7" i="19"/>
  <c r="M7" i="19"/>
  <c r="N7" i="19" s="1"/>
  <c r="O7" i="19"/>
  <c r="D8" i="19"/>
  <c r="E8" i="19"/>
  <c r="F8" i="19" a="1"/>
  <c r="F8" i="19" s="1"/>
  <c r="G8" i="19"/>
  <c r="H8" i="19"/>
  <c r="J8" i="19"/>
  <c r="K8" i="19" s="1"/>
  <c r="M8" i="19"/>
  <c r="N8" i="19"/>
  <c r="D9" i="19"/>
  <c r="E9" i="19"/>
  <c r="F9" i="19" a="1"/>
  <c r="F9" i="19" s="1"/>
  <c r="G9" i="19"/>
  <c r="H9" i="19"/>
  <c r="J9" i="19"/>
  <c r="K9" i="19" s="1"/>
  <c r="M9" i="19"/>
  <c r="N9" i="19" s="1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I11" i="19"/>
  <c r="J11" i="19"/>
  <c r="K11" i="19" s="1"/>
  <c r="L11" i="19"/>
  <c r="M11" i="19"/>
  <c r="N11" i="19" s="1"/>
  <c r="O11" i="19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J14" i="19"/>
  <c r="K14" i="19" s="1"/>
  <c r="M14" i="19"/>
  <c r="N14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 s="1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D20" i="19"/>
  <c r="E20" i="19"/>
  <c r="F20" i="19" a="1"/>
  <c r="F20" i="19" s="1"/>
  <c r="G20" i="19"/>
  <c r="H20" i="19"/>
  <c r="J20" i="19"/>
  <c r="K20" i="19" s="1"/>
  <c r="M20" i="19"/>
  <c r="N20" i="19" s="1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I22" i="19"/>
  <c r="J22" i="19"/>
  <c r="K22" i="19" s="1"/>
  <c r="L22" i="19"/>
  <c r="M22" i="19"/>
  <c r="N22" i="19" s="1"/>
  <c r="O22" i="19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J24" i="19"/>
  <c r="K24" i="19" s="1"/>
  <c r="M24" i="19"/>
  <c r="N24" i="19" s="1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I26" i="19"/>
  <c r="J26" i="19"/>
  <c r="K26" i="19" s="1"/>
  <c r="L26" i="19"/>
  <c r="M26" i="19"/>
  <c r="N26" i="19" s="1"/>
  <c r="O26" i="19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J28" i="19"/>
  <c r="K28" i="19" s="1"/>
  <c r="M28" i="19"/>
  <c r="N28" i="19" s="1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O30" i="19"/>
  <c r="D31" i="19"/>
  <c r="E31" i="19"/>
  <c r="F31" i="19" a="1"/>
  <c r="F31" i="19" s="1"/>
  <c r="G31" i="19"/>
  <c r="H31" i="19"/>
  <c r="J31" i="19"/>
  <c r="K31" i="19" s="1"/>
  <c r="M31" i="19"/>
  <c r="N31" i="19" s="1"/>
  <c r="D32" i="19"/>
  <c r="E32" i="19"/>
  <c r="F32" i="19" a="1"/>
  <c r="F32" i="19" s="1"/>
  <c r="G32" i="19"/>
  <c r="H32" i="19"/>
  <c r="J32" i="19"/>
  <c r="K32" i="19" s="1"/>
  <c r="M32" i="19"/>
  <c r="N32" i="19" s="1"/>
  <c r="D33" i="19"/>
  <c r="E33" i="19"/>
  <c r="F33" i="19" a="1"/>
  <c r="F33" i="19" s="1"/>
  <c r="G33" i="19"/>
  <c r="H33" i="19"/>
  <c r="J33" i="19"/>
  <c r="K33" i="19" s="1"/>
  <c r="M33" i="19"/>
  <c r="N33" i="19" s="1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D36" i="19"/>
  <c r="E36" i="19"/>
  <c r="F36" i="19" a="1"/>
  <c r="F36" i="19" s="1"/>
  <c r="G36" i="19"/>
  <c r="H36" i="19"/>
  <c r="J36" i="19"/>
  <c r="K36" i="19" s="1"/>
  <c r="L36" i="19"/>
  <c r="M36" i="19"/>
  <c r="N36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J39" i="19"/>
  <c r="K39" i="19" s="1"/>
  <c r="L39" i="19"/>
  <c r="M39" i="19"/>
  <c r="N39" i="19" s="1"/>
  <c r="D40" i="19"/>
  <c r="E40" i="19"/>
  <c r="F40" i="19" a="1"/>
  <c r="F40" i="19" s="1"/>
  <c r="G40" i="19"/>
  <c r="H40" i="19"/>
  <c r="I40" i="19"/>
  <c r="J40" i="19"/>
  <c r="K40" i="19" s="1"/>
  <c r="L40" i="19"/>
  <c r="M40" i="19"/>
  <c r="N40" i="19" s="1"/>
  <c r="O40" i="19"/>
  <c r="D41" i="19"/>
  <c r="E41" i="19"/>
  <c r="F41" i="19" a="1"/>
  <c r="F41" i="19" s="1"/>
  <c r="G41" i="19"/>
  <c r="H41" i="19"/>
  <c r="I41" i="19"/>
  <c r="J41" i="19"/>
  <c r="K41" i="19" s="1"/>
  <c r="L41" i="19"/>
  <c r="M41" i="19"/>
  <c r="N41" i="19" s="1"/>
  <c r="O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L27" i="19"/>
  <c r="O27" i="19"/>
  <c r="I27" i="19"/>
  <c r="O36" i="19"/>
  <c r="I36" i="19"/>
  <c r="L8" i="19"/>
  <c r="O8" i="19"/>
  <c r="I8" i="19"/>
  <c r="O39" i="19"/>
  <c r="I39" i="19"/>
  <c r="L5" i="19"/>
  <c r="O5" i="19"/>
  <c r="I5" i="19"/>
  <c r="L18" i="19"/>
  <c r="O18" i="19"/>
  <c r="I18" i="19"/>
  <c r="L21" i="19"/>
  <c r="O21" i="19"/>
  <c r="I21" i="19"/>
  <c r="L30" i="19"/>
  <c r="I30" i="19"/>
  <c r="L31" i="19"/>
  <c r="O31" i="19"/>
  <c r="I31" i="19"/>
  <c r="L33" i="19"/>
  <c r="O33" i="19"/>
  <c r="I33" i="19"/>
  <c r="L32" i="19"/>
  <c r="O32" i="19"/>
  <c r="I32" i="19"/>
  <c r="L12" i="19"/>
  <c r="O12" i="19"/>
  <c r="I12" i="19"/>
  <c r="L9" i="19"/>
  <c r="O9" i="19"/>
  <c r="I9" i="19"/>
  <c r="L25" i="19"/>
  <c r="O25" i="19"/>
  <c r="I25" i="19"/>
  <c r="L24" i="19"/>
  <c r="O24" i="19"/>
  <c r="I24" i="19"/>
  <c r="L29" i="19"/>
  <c r="O29" i="19"/>
  <c r="I29" i="19"/>
  <c r="L20" i="19"/>
  <c r="O20" i="19"/>
  <c r="I20" i="19"/>
  <c r="L14" i="19"/>
  <c r="O14" i="19"/>
  <c r="I14" i="19"/>
  <c r="L13" i="19"/>
  <c r="O13" i="19"/>
  <c r="I13" i="19"/>
  <c r="L28" i="19"/>
  <c r="O28" i="19"/>
  <c r="I28" i="19"/>
  <c r="AA2" i="18"/>
  <c r="AB2" i="18"/>
  <c r="AC2" i="18"/>
  <c r="AD2" i="18"/>
  <c r="AH739" i="9"/>
  <c r="AI739" i="9"/>
  <c r="AJ739" i="9"/>
  <c r="AK739" i="9"/>
  <c r="AH740" i="9"/>
  <c r="AI740" i="9"/>
  <c r="AJ740" i="9"/>
  <c r="AK740" i="9"/>
  <c r="AH741" i="9"/>
  <c r="AI741" i="9"/>
  <c r="AJ741" i="9"/>
  <c r="AK741" i="9"/>
  <c r="AH742" i="9"/>
  <c r="AI742" i="9"/>
  <c r="AJ742" i="9"/>
  <c r="AK742" i="9"/>
  <c r="AH743" i="9"/>
  <c r="AI743" i="9"/>
  <c r="AJ743" i="9"/>
  <c r="AK743" i="9"/>
  <c r="AH744" i="9"/>
  <c r="AI744" i="9"/>
  <c r="AJ744" i="9"/>
  <c r="AK744" i="9"/>
  <c r="AH745" i="9"/>
  <c r="AI745" i="9"/>
  <c r="AJ745" i="9"/>
  <c r="AK745" i="9"/>
  <c r="AH746" i="9"/>
  <c r="AI746" i="9"/>
  <c r="AJ746" i="9"/>
  <c r="AK746" i="9"/>
  <c r="AH747" i="9"/>
  <c r="AI747" i="9"/>
  <c r="AJ747" i="9"/>
  <c r="AK747" i="9"/>
  <c r="AH748" i="9"/>
  <c r="AI748" i="9"/>
  <c r="AJ748" i="9"/>
  <c r="AK748" i="9"/>
  <c r="AH749" i="9"/>
  <c r="AI749" i="9"/>
  <c r="AJ749" i="9"/>
  <c r="AK749" i="9"/>
  <c r="AH750" i="9"/>
  <c r="AI750" i="9"/>
  <c r="AJ750" i="9"/>
  <c r="AK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T3" i="11"/>
  <c r="T3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T50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T49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T14" i="13"/>
  <c r="H14" i="13"/>
  <c r="I14" i="13"/>
  <c r="J14" i="13" a="1"/>
  <c r="J14" i="13" s="1"/>
  <c r="K14" i="13"/>
  <c r="L14" i="13"/>
  <c r="M14" i="13"/>
  <c r="N14" i="13"/>
  <c r="O14" i="13" s="1"/>
  <c r="P14" i="13"/>
  <c r="Q14" i="13"/>
  <c r="R14" i="13" s="1"/>
  <c r="S14" i="13"/>
  <c r="U24" i="11"/>
  <c r="V24" i="11"/>
  <c r="W24" i="11"/>
  <c r="X24" i="11"/>
  <c r="Y24" i="11"/>
  <c r="Z24" i="11"/>
  <c r="AA24" i="11"/>
  <c r="AB24" i="11"/>
  <c r="AC24" i="11"/>
  <c r="AD24" i="11"/>
  <c r="AE24" i="11"/>
  <c r="AF24" i="11"/>
  <c r="AG24" i="11"/>
  <c r="AH24" i="11"/>
  <c r="AI24" i="11"/>
  <c r="T24" i="11"/>
  <c r="H24" i="11"/>
  <c r="I24" i="11"/>
  <c r="J24" i="11" a="1"/>
  <c r="J24" i="11" s="1"/>
  <c r="K24" i="11"/>
  <c r="L24" i="11"/>
  <c r="M24" i="11"/>
  <c r="N24" i="11"/>
  <c r="O24" i="11" s="1"/>
  <c r="P24" i="11"/>
  <c r="Q24" i="11"/>
  <c r="R24" i="11" s="1"/>
  <c r="S24" i="11"/>
  <c r="U27" i="13"/>
  <c r="V27" i="13"/>
  <c r="W27" i="13"/>
  <c r="X27" i="13"/>
  <c r="Y27" i="13"/>
  <c r="Z27" i="13"/>
  <c r="AA27" i="13"/>
  <c r="AB27" i="13"/>
  <c r="AC27" i="13"/>
  <c r="AD27" i="13"/>
  <c r="AE27" i="13"/>
  <c r="AF27" i="13"/>
  <c r="AG27" i="13"/>
  <c r="AH27" i="13"/>
  <c r="AI27" i="13"/>
  <c r="T27" i="13"/>
  <c r="H27" i="13"/>
  <c r="I27" i="13"/>
  <c r="J27" i="13" a="1"/>
  <c r="J27" i="13" s="1"/>
  <c r="K27" i="13"/>
  <c r="L27" i="13"/>
  <c r="M27" i="13"/>
  <c r="N27" i="13"/>
  <c r="O27" i="13" s="1"/>
  <c r="P27" i="13"/>
  <c r="Q27" i="13"/>
  <c r="R27" i="13" s="1"/>
  <c r="S27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T8" i="13"/>
  <c r="H8" i="13"/>
  <c r="I8" i="13"/>
  <c r="J8" i="13" a="1"/>
  <c r="J8" i="13" s="1"/>
  <c r="K8" i="13"/>
  <c r="L8" i="13"/>
  <c r="N8" i="13"/>
  <c r="O8" i="13" s="1"/>
  <c r="Q8" i="13"/>
  <c r="R8" i="13" s="1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T15" i="13"/>
  <c r="H15" i="13"/>
  <c r="I15" i="13"/>
  <c r="J15" i="13" a="1"/>
  <c r="J15" i="13" s="1"/>
  <c r="K15" i="13"/>
  <c r="L15" i="13"/>
  <c r="M15" i="13"/>
  <c r="N15" i="13"/>
  <c r="O15" i="13" s="1"/>
  <c r="P15" i="13"/>
  <c r="Q15" i="13"/>
  <c r="R15" i="13" s="1"/>
  <c r="S15" i="13"/>
  <c r="H17" i="13"/>
  <c r="I17" i="13"/>
  <c r="J17" i="13" a="1"/>
  <c r="J17" i="13" s="1"/>
  <c r="K17" i="13"/>
  <c r="L17" i="13"/>
  <c r="N17" i="13"/>
  <c r="O17" i="13" s="1"/>
  <c r="Q17" i="13"/>
  <c r="R17" i="13" s="1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H19" i="13"/>
  <c r="I19" i="13"/>
  <c r="J19" i="13" a="1"/>
  <c r="J19" i="13" s="1"/>
  <c r="K19" i="13"/>
  <c r="L19" i="13"/>
  <c r="M19" i="13"/>
  <c r="N19" i="13"/>
  <c r="O19" i="13" s="1"/>
  <c r="P19" i="13"/>
  <c r="Q19" i="13"/>
  <c r="R19" i="13" s="1"/>
  <c r="S19" i="13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H20" i="13"/>
  <c r="I20" i="13"/>
  <c r="J20" i="13" a="1"/>
  <c r="J20" i="13" s="1"/>
  <c r="K20" i="13"/>
  <c r="L20" i="13"/>
  <c r="N20" i="13"/>
  <c r="O20" i="13" s="1"/>
  <c r="Q20" i="13"/>
  <c r="R20" i="13" s="1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H21" i="13"/>
  <c r="I21" i="13"/>
  <c r="J21" i="13" a="1"/>
  <c r="J21" i="13" s="1"/>
  <c r="K21" i="13"/>
  <c r="L21" i="13"/>
  <c r="N21" i="13"/>
  <c r="O21" i="13" s="1"/>
  <c r="Q21" i="13"/>
  <c r="R21" i="13" s="1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H23" i="13"/>
  <c r="I23" i="13"/>
  <c r="J23" i="13" a="1"/>
  <c r="J23" i="13" s="1"/>
  <c r="K23" i="13"/>
  <c r="L23" i="13"/>
  <c r="M23" i="13"/>
  <c r="N23" i="13"/>
  <c r="O23" i="13" s="1"/>
  <c r="P23" i="13"/>
  <c r="Q23" i="13"/>
  <c r="R23" i="13" s="1"/>
  <c r="S23" i="13"/>
  <c r="H24" i="13"/>
  <c r="I24" i="13"/>
  <c r="J24" i="13" a="1"/>
  <c r="J24" i="13" s="1"/>
  <c r="K24" i="13"/>
  <c r="L24" i="13"/>
  <c r="M24" i="13"/>
  <c r="N24" i="13"/>
  <c r="O24" i="13" s="1"/>
  <c r="P24" i="13"/>
  <c r="Q24" i="13"/>
  <c r="R24" i="13" s="1"/>
  <c r="S24" i="13"/>
  <c r="H22" i="13"/>
  <c r="I22" i="13"/>
  <c r="J22" i="13" a="1"/>
  <c r="J22" i="13" s="1"/>
  <c r="K22" i="13"/>
  <c r="L22" i="13"/>
  <c r="N22" i="13"/>
  <c r="O22" i="13" s="1"/>
  <c r="Q22" i="13"/>
  <c r="R22" i="13" s="1"/>
  <c r="H29" i="13"/>
  <c r="I29" i="13"/>
  <c r="J29" i="13" a="1"/>
  <c r="J29" i="13" s="1"/>
  <c r="K29" i="13"/>
  <c r="L29" i="13"/>
  <c r="N29" i="13"/>
  <c r="O29" i="13" s="1"/>
  <c r="Q29" i="13"/>
  <c r="R29" i="13" s="1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H30" i="13"/>
  <c r="I30" i="13"/>
  <c r="J30" i="13" a="1"/>
  <c r="J30" i="13" s="1"/>
  <c r="K30" i="13"/>
  <c r="L30" i="13"/>
  <c r="N30" i="13"/>
  <c r="O30" i="13" s="1"/>
  <c r="Q30" i="13"/>
  <c r="R30" i="13" s="1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H31" i="13"/>
  <c r="I31" i="13"/>
  <c r="J31" i="13" a="1"/>
  <c r="J31" i="13" s="1"/>
  <c r="K31" i="13"/>
  <c r="L31" i="13"/>
  <c r="M31" i="13"/>
  <c r="N31" i="13"/>
  <c r="O31" i="13" s="1"/>
  <c r="P31" i="13"/>
  <c r="Q31" i="13"/>
  <c r="R31" i="13" s="1"/>
  <c r="S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H32" i="13"/>
  <c r="I32" i="13"/>
  <c r="J32" i="13" a="1"/>
  <c r="J32" i="13" s="1"/>
  <c r="K32" i="13"/>
  <c r="L32" i="13"/>
  <c r="M32" i="13"/>
  <c r="N32" i="13"/>
  <c r="O32" i="13" s="1"/>
  <c r="P32" i="13"/>
  <c r="Q32" i="13"/>
  <c r="R32" i="13" s="1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H34" i="13"/>
  <c r="I34" i="13"/>
  <c r="J34" i="13" a="1"/>
  <c r="J34" i="13" s="1"/>
  <c r="K34" i="13"/>
  <c r="L34" i="13"/>
  <c r="M34" i="13"/>
  <c r="N34" i="13"/>
  <c r="O34" i="13" s="1"/>
  <c r="P34" i="13"/>
  <c r="Q34" i="13"/>
  <c r="R34" i="13" s="1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H38" i="13"/>
  <c r="I38" i="13"/>
  <c r="J38" i="13" a="1"/>
  <c r="J38" i="13" s="1"/>
  <c r="K38" i="13"/>
  <c r="L38" i="13"/>
  <c r="N38" i="13"/>
  <c r="O38" i="13" s="1"/>
  <c r="Q38" i="13"/>
  <c r="R38" i="13" s="1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H39" i="13"/>
  <c r="I39" i="13"/>
  <c r="J39" i="13" a="1"/>
  <c r="J39" i="13" s="1"/>
  <c r="K39" i="13"/>
  <c r="L39" i="13"/>
  <c r="N39" i="13"/>
  <c r="O39" i="13" s="1"/>
  <c r="Q39" i="13"/>
  <c r="R39" i="13" s="1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H40" i="13"/>
  <c r="I40" i="13"/>
  <c r="J40" i="13" a="1"/>
  <c r="J40" i="13" s="1"/>
  <c r="K40" i="13"/>
  <c r="L40" i="13"/>
  <c r="N40" i="13"/>
  <c r="O40" i="13" s="1"/>
  <c r="Q40" i="13"/>
  <c r="R40" i="13" s="1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H41" i="13"/>
  <c r="I41" i="13"/>
  <c r="J41" i="13" a="1"/>
  <c r="J41" i="13" s="1"/>
  <c r="K41" i="13"/>
  <c r="L41" i="13"/>
  <c r="M41" i="13"/>
  <c r="N41" i="13"/>
  <c r="O41" i="13" s="1"/>
  <c r="P41" i="13"/>
  <c r="Q41" i="13"/>
  <c r="R41" i="13" s="1"/>
  <c r="S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T12" i="13"/>
  <c r="H12" i="13"/>
  <c r="I12" i="13"/>
  <c r="J12" i="13" a="1"/>
  <c r="J12" i="13" s="1"/>
  <c r="K12" i="13"/>
  <c r="L12" i="13"/>
  <c r="M12" i="13"/>
  <c r="N12" i="13"/>
  <c r="O12" i="13" s="1"/>
  <c r="P12" i="13"/>
  <c r="Q12" i="13"/>
  <c r="R12" i="13" s="1"/>
  <c r="S12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AI3" i="13"/>
  <c r="H3" i="13"/>
  <c r="I3" i="13"/>
  <c r="J3" i="13" a="1"/>
  <c r="J3" i="13" s="1"/>
  <c r="K3" i="13"/>
  <c r="L3" i="13"/>
  <c r="M3" i="13"/>
  <c r="N3" i="13"/>
  <c r="O3" i="13" s="1"/>
  <c r="P3" i="13"/>
  <c r="Q3" i="13"/>
  <c r="R3" i="13" s="1"/>
  <c r="S3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P8" i="13" s="1"/>
  <c r="AC71" i="15"/>
  <c r="S8" i="13" s="1"/>
  <c r="AD71" i="15"/>
  <c r="M8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AI4" i="13"/>
  <c r="T4" i="13"/>
  <c r="H4" i="13"/>
  <c r="I4" i="13"/>
  <c r="J4" i="13" a="1"/>
  <c r="J4" i="13" s="1"/>
  <c r="K4" i="13"/>
  <c r="L4" i="13"/>
  <c r="N4" i="13"/>
  <c r="O4" i="13" s="1"/>
  <c r="Q4" i="13"/>
  <c r="R4" i="13" s="1"/>
  <c r="H50" i="13"/>
  <c r="I50" i="13"/>
  <c r="J50" i="13" a="1"/>
  <c r="J50" i="13" s="1"/>
  <c r="K50" i="13"/>
  <c r="L50" i="13"/>
  <c r="M50" i="13"/>
  <c r="N50" i="13"/>
  <c r="O50" i="13" s="1"/>
  <c r="P50" i="13"/>
  <c r="Q50" i="13"/>
  <c r="R50" i="13" s="1"/>
  <c r="S50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P22" i="13" s="1"/>
  <c r="AC52" i="15"/>
  <c r="S22" i="13" s="1"/>
  <c r="AD52" i="15"/>
  <c r="M22" i="13" s="1"/>
  <c r="AA53" i="15"/>
  <c r="AB53" i="15"/>
  <c r="P39" i="13" s="1"/>
  <c r="AC53" i="15"/>
  <c r="S39" i="13" s="1"/>
  <c r="AD53" i="15"/>
  <c r="M39" i="13" s="1"/>
  <c r="AA54" i="15"/>
  <c r="AB54" i="15"/>
  <c r="P40" i="13" s="1"/>
  <c r="AC54" i="15"/>
  <c r="S40" i="13" s="1"/>
  <c r="AD54" i="15"/>
  <c r="M40" i="13" s="1"/>
  <c r="AA55" i="15"/>
  <c r="AB55" i="15"/>
  <c r="AC55" i="15"/>
  <c r="AD55" i="15"/>
  <c r="M9" i="13" s="1"/>
  <c r="AA56" i="15"/>
  <c r="AB56" i="15"/>
  <c r="AC56" i="15"/>
  <c r="AD56" i="15"/>
  <c r="AA57" i="15"/>
  <c r="AB57" i="15"/>
  <c r="P4" i="13" s="1"/>
  <c r="AC57" i="15"/>
  <c r="S4" i="13" s="1"/>
  <c r="AD57" i="15"/>
  <c r="M4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T17" i="11"/>
  <c r="H17" i="11"/>
  <c r="I17" i="11"/>
  <c r="J17" i="11" a="1"/>
  <c r="J17" i="11" s="1"/>
  <c r="K17" i="11"/>
  <c r="L17" i="11"/>
  <c r="N17" i="11"/>
  <c r="O17" i="11" s="1"/>
  <c r="Q17" i="11"/>
  <c r="R17" i="11" s="1"/>
  <c r="S17" i="11"/>
  <c r="U43" i="11"/>
  <c r="V43" i="11"/>
  <c r="W43" i="11"/>
  <c r="X43" i="11"/>
  <c r="Y43" i="11"/>
  <c r="Z43" i="11"/>
  <c r="AA43" i="11"/>
  <c r="AB43" i="11"/>
  <c r="AC43" i="11"/>
  <c r="AD43" i="11"/>
  <c r="AE43" i="11"/>
  <c r="AF43" i="11"/>
  <c r="AG43" i="11"/>
  <c r="AH43" i="11"/>
  <c r="AI43" i="11"/>
  <c r="T43" i="11"/>
  <c r="H43" i="11"/>
  <c r="I43" i="11"/>
  <c r="J43" i="11" a="1"/>
  <c r="J43" i="11" s="1"/>
  <c r="K43" i="11"/>
  <c r="L43" i="11"/>
  <c r="M43" i="11"/>
  <c r="N43" i="11"/>
  <c r="O43" i="11" s="1"/>
  <c r="P43" i="11"/>
  <c r="Q43" i="11"/>
  <c r="R43" i="11" s="1"/>
  <c r="AF17" i="13"/>
  <c r="AG17" i="13"/>
  <c r="AH17" i="13"/>
  <c r="AI17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T13" i="13"/>
  <c r="H13" i="13"/>
  <c r="I13" i="13"/>
  <c r="J13" i="13" a="1"/>
  <c r="J13" i="13" s="1"/>
  <c r="K13" i="13"/>
  <c r="L13" i="13"/>
  <c r="N13" i="13"/>
  <c r="O13" i="13" s="1"/>
  <c r="Q13" i="13"/>
  <c r="R13" i="13" s="1"/>
  <c r="AF38" i="13"/>
  <c r="AG38" i="13"/>
  <c r="AH38" i="13"/>
  <c r="AI38" i="13"/>
  <c r="AH726" i="9"/>
  <c r="AI726" i="9"/>
  <c r="AJ726" i="9"/>
  <c r="AK726" i="9"/>
  <c r="AH727" i="9"/>
  <c r="AI727" i="9"/>
  <c r="AJ727" i="9"/>
  <c r="AK727" i="9"/>
  <c r="AH728" i="9"/>
  <c r="AI728" i="9"/>
  <c r="AJ728" i="9"/>
  <c r="AK728" i="9"/>
  <c r="AH729" i="9"/>
  <c r="AI729" i="9"/>
  <c r="AJ729" i="9"/>
  <c r="AK729" i="9"/>
  <c r="AH730" i="9"/>
  <c r="AI730" i="9"/>
  <c r="AJ730" i="9"/>
  <c r="AK730" i="9"/>
  <c r="AH731" i="9"/>
  <c r="AI731" i="9"/>
  <c r="AJ731" i="9"/>
  <c r="AK731" i="9"/>
  <c r="AH732" i="9"/>
  <c r="AI732" i="9"/>
  <c r="AJ732" i="9"/>
  <c r="AK732" i="9"/>
  <c r="AH733" i="9"/>
  <c r="AI733" i="9"/>
  <c r="AJ733" i="9"/>
  <c r="AK733" i="9"/>
  <c r="AH734" i="9"/>
  <c r="AI734" i="9"/>
  <c r="AJ734" i="9"/>
  <c r="AK734" i="9"/>
  <c r="AH735" i="9"/>
  <c r="AI735" i="9"/>
  <c r="AJ735" i="9"/>
  <c r="AK735" i="9"/>
  <c r="AH736" i="9"/>
  <c r="AI736" i="9"/>
  <c r="AJ736" i="9"/>
  <c r="AK736" i="9"/>
  <c r="AH737" i="9"/>
  <c r="AI737" i="9"/>
  <c r="AJ737" i="9"/>
  <c r="AK737" i="9"/>
  <c r="AH738" i="9"/>
  <c r="AI738" i="9"/>
  <c r="AJ738" i="9"/>
  <c r="Q7" i="12" s="1"/>
  <c r="AK738" i="9"/>
  <c r="AH716" i="9"/>
  <c r="AI716" i="9"/>
  <c r="AJ716" i="9"/>
  <c r="AK716" i="9"/>
  <c r="AH717" i="9"/>
  <c r="AI717" i="9"/>
  <c r="AJ717" i="9"/>
  <c r="AK717" i="9"/>
  <c r="AH718" i="9"/>
  <c r="AI718" i="9"/>
  <c r="AJ718" i="9"/>
  <c r="AK718" i="9"/>
  <c r="AH719" i="9"/>
  <c r="AI719" i="9"/>
  <c r="AJ719" i="9"/>
  <c r="AK719" i="9"/>
  <c r="AH720" i="9"/>
  <c r="AI720" i="9"/>
  <c r="AJ720" i="9"/>
  <c r="AK720" i="9"/>
  <c r="AH721" i="9"/>
  <c r="AI721" i="9"/>
  <c r="AJ721" i="9"/>
  <c r="AK721" i="9"/>
  <c r="AH722" i="9"/>
  <c r="AI722" i="9"/>
  <c r="AJ722" i="9"/>
  <c r="AK722" i="9"/>
  <c r="AH723" i="9"/>
  <c r="AI723" i="9"/>
  <c r="AJ723" i="9"/>
  <c r="AK723" i="9"/>
  <c r="AH724" i="9"/>
  <c r="AI724" i="9"/>
  <c r="AJ724" i="9"/>
  <c r="AK724" i="9"/>
  <c r="AH725" i="9"/>
  <c r="AI725" i="9"/>
  <c r="AJ725" i="9"/>
  <c r="AK725" i="9"/>
  <c r="AH706" i="9"/>
  <c r="AI706" i="9"/>
  <c r="AJ706" i="9"/>
  <c r="AK706" i="9"/>
  <c r="AH707" i="9"/>
  <c r="AI707" i="9"/>
  <c r="AJ707" i="9"/>
  <c r="AK707" i="9"/>
  <c r="AH708" i="9"/>
  <c r="AI708" i="9"/>
  <c r="AJ708" i="9"/>
  <c r="AK708" i="9"/>
  <c r="AH709" i="9"/>
  <c r="AI709" i="9"/>
  <c r="AJ709" i="9"/>
  <c r="AK709" i="9"/>
  <c r="AH710" i="9"/>
  <c r="AI710" i="9"/>
  <c r="AJ710" i="9"/>
  <c r="AK710" i="9"/>
  <c r="AH711" i="9"/>
  <c r="AI711" i="9"/>
  <c r="AJ711" i="9"/>
  <c r="AK711" i="9"/>
  <c r="AH712" i="9"/>
  <c r="AI712" i="9"/>
  <c r="AJ712" i="9"/>
  <c r="AK712" i="9"/>
  <c r="AH713" i="9"/>
  <c r="AI713" i="9"/>
  <c r="AJ713" i="9"/>
  <c r="AK713" i="9"/>
  <c r="AH714" i="9"/>
  <c r="AI714" i="9"/>
  <c r="AJ714" i="9"/>
  <c r="AK714" i="9"/>
  <c r="AH715" i="9"/>
  <c r="AI715" i="9"/>
  <c r="AJ715" i="9"/>
  <c r="AK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P38" i="13" s="1"/>
  <c r="AC31" i="15"/>
  <c r="S38" i="13" s="1"/>
  <c r="AD31" i="15"/>
  <c r="M38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P29" i="13" s="1"/>
  <c r="AC37" i="15"/>
  <c r="S29" i="13" s="1"/>
  <c r="AD37" i="15"/>
  <c r="M29" i="13" s="1"/>
  <c r="AA38" i="15"/>
  <c r="AB38" i="15"/>
  <c r="AC38" i="15"/>
  <c r="AD38" i="15"/>
  <c r="AA39" i="15"/>
  <c r="AB39" i="15"/>
  <c r="AC39" i="15"/>
  <c r="AD39" i="15"/>
  <c r="AA40" i="15"/>
  <c r="AB40" i="15"/>
  <c r="P13" i="13" s="1"/>
  <c r="AC40" i="15"/>
  <c r="S13" i="13" s="1"/>
  <c r="AD40" i="15"/>
  <c r="M13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S43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M42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P20" i="13" s="1"/>
  <c r="AC23" i="15"/>
  <c r="S20" i="13" s="1"/>
  <c r="AD23" i="15"/>
  <c r="M20" i="13" s="1"/>
  <c r="AA24" i="15"/>
  <c r="AB24" i="15"/>
  <c r="AC24" i="15"/>
  <c r="AD24" i="15"/>
  <c r="AA25" i="15"/>
  <c r="AB25" i="15"/>
  <c r="P17" i="13" s="1"/>
  <c r="AC25" i="15"/>
  <c r="S17" i="13" s="1"/>
  <c r="AD25" i="15"/>
  <c r="M17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P17" i="11" s="1"/>
  <c r="AC510" i="10"/>
  <c r="AD510" i="10"/>
  <c r="M17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P21" i="13" s="1"/>
  <c r="AC6" i="15"/>
  <c r="S21" i="13" s="1"/>
  <c r="AD6" i="15"/>
  <c r="M21" i="13" s="1"/>
  <c r="AA7" i="15"/>
  <c r="AB7" i="15"/>
  <c r="P6" i="13" s="1"/>
  <c r="AC7" i="15"/>
  <c r="AD7" i="15"/>
  <c r="M6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P30" i="13" s="1"/>
  <c r="AC11" i="15"/>
  <c r="S30" i="13" s="1"/>
  <c r="AD11" i="15"/>
  <c r="M30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I2" i="16"/>
  <c r="AJ2" i="16"/>
  <c r="AK2" i="16"/>
  <c r="AL2" i="16"/>
  <c r="AM2" i="16"/>
  <c r="AN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I3" i="16"/>
  <c r="AJ3" i="16"/>
  <c r="AK3" i="16"/>
  <c r="AL3" i="16"/>
  <c r="AM3" i="16"/>
  <c r="AN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I4" i="16"/>
  <c r="AJ4" i="16"/>
  <c r="AK4" i="16"/>
  <c r="AL4" i="16"/>
  <c r="AM4" i="16"/>
  <c r="AN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I5" i="16"/>
  <c r="AJ5" i="16"/>
  <c r="AK5" i="16"/>
  <c r="AL5" i="16"/>
  <c r="AM5" i="16"/>
  <c r="AN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I6" i="16"/>
  <c r="AJ6" i="16"/>
  <c r="AK6" i="16"/>
  <c r="AL6" i="16"/>
  <c r="AM6" i="16"/>
  <c r="AN6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I12" i="16"/>
  <c r="AJ12" i="16"/>
  <c r="AK12" i="16"/>
  <c r="AL12" i="16"/>
  <c r="AM12" i="16"/>
  <c r="AN12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I14" i="16"/>
  <c r="AJ14" i="16"/>
  <c r="AK14" i="16"/>
  <c r="AL14" i="16"/>
  <c r="AM14" i="16"/>
  <c r="AN14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I16" i="16"/>
  <c r="AJ16" i="16"/>
  <c r="AK16" i="16"/>
  <c r="AL16" i="16"/>
  <c r="AM16" i="16"/>
  <c r="AN16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I17" i="16"/>
  <c r="AJ17" i="16"/>
  <c r="AK17" i="16"/>
  <c r="AL17" i="16"/>
  <c r="AM17" i="16"/>
  <c r="AN17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I18" i="16"/>
  <c r="AJ18" i="16"/>
  <c r="AK18" i="16"/>
  <c r="AL18" i="16"/>
  <c r="AM18" i="16"/>
  <c r="AN18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I20" i="16"/>
  <c r="AJ20" i="16"/>
  <c r="AK20" i="16"/>
  <c r="AL20" i="16"/>
  <c r="AM20" i="16"/>
  <c r="AN20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I23" i="16"/>
  <c r="AJ23" i="16"/>
  <c r="AK23" i="16"/>
  <c r="AL23" i="16"/>
  <c r="AM23" i="16"/>
  <c r="AN23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I24" i="16"/>
  <c r="AJ24" i="16"/>
  <c r="AK24" i="16"/>
  <c r="AL24" i="16"/>
  <c r="AM24" i="16"/>
  <c r="AN24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I25" i="16"/>
  <c r="AJ25" i="16"/>
  <c r="AK25" i="16"/>
  <c r="AL25" i="16"/>
  <c r="AM25" i="16"/>
  <c r="AN25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I27" i="16"/>
  <c r="AJ27" i="16"/>
  <c r="AK27" i="16"/>
  <c r="AL27" i="16"/>
  <c r="AM27" i="16"/>
  <c r="AN27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I28" i="16"/>
  <c r="AJ28" i="16"/>
  <c r="AK28" i="16"/>
  <c r="AL28" i="16"/>
  <c r="AM28" i="16"/>
  <c r="AN28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I30" i="16"/>
  <c r="AJ30" i="16"/>
  <c r="AK30" i="16"/>
  <c r="AL30" i="16"/>
  <c r="AM30" i="16"/>
  <c r="AN30" i="16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I31" i="16"/>
  <c r="AJ31" i="16"/>
  <c r="AK31" i="16"/>
  <c r="AL31" i="16"/>
  <c r="AM31" i="16"/>
  <c r="AN31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I32" i="16"/>
  <c r="AJ32" i="16"/>
  <c r="AK32" i="16"/>
  <c r="AL32" i="16"/>
  <c r="AM32" i="16"/>
  <c r="AN32" i="16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I35" i="16"/>
  <c r="AJ35" i="16"/>
  <c r="AK35" i="16"/>
  <c r="AL35" i="16"/>
  <c r="AM35" i="16"/>
  <c r="AN35" i="16"/>
  <c r="S38" i="16"/>
  <c r="T38" i="16"/>
  <c r="U38" i="16"/>
  <c r="V38" i="16"/>
  <c r="W38" i="16"/>
  <c r="X38" i="16"/>
  <c r="Y38" i="16"/>
  <c r="Z38" i="16"/>
  <c r="AA38" i="16"/>
  <c r="AB38" i="16"/>
  <c r="AC38" i="16"/>
  <c r="AD38" i="16"/>
  <c r="AE38" i="16"/>
  <c r="AF38" i="16"/>
  <c r="AG38" i="16"/>
  <c r="AI38" i="16"/>
  <c r="AJ38" i="16"/>
  <c r="AK38" i="16"/>
  <c r="AL38" i="16"/>
  <c r="AM38" i="16"/>
  <c r="AN38" i="16"/>
  <c r="S39" i="16"/>
  <c r="T39" i="16"/>
  <c r="U39" i="16"/>
  <c r="V39" i="16"/>
  <c r="W39" i="16"/>
  <c r="X39" i="16"/>
  <c r="Y39" i="16"/>
  <c r="Z39" i="16"/>
  <c r="AA39" i="16"/>
  <c r="AB39" i="16"/>
  <c r="AC39" i="16"/>
  <c r="AD39" i="16"/>
  <c r="AE39" i="16"/>
  <c r="AF39" i="16"/>
  <c r="AG39" i="16"/>
  <c r="AI39" i="16"/>
  <c r="AJ39" i="16"/>
  <c r="AK39" i="16"/>
  <c r="AL39" i="16"/>
  <c r="AM39" i="16"/>
  <c r="AN39" i="16"/>
  <c r="R39" i="16"/>
  <c r="R38" i="16"/>
  <c r="R35" i="16"/>
  <c r="R32" i="16"/>
  <c r="R31" i="16"/>
  <c r="R30" i="16"/>
  <c r="R28" i="16"/>
  <c r="R27" i="16"/>
  <c r="R25" i="16"/>
  <c r="R24" i="16"/>
  <c r="R23" i="16"/>
  <c r="R20" i="16"/>
  <c r="R18" i="16"/>
  <c r="R17" i="16"/>
  <c r="R16" i="16"/>
  <c r="R14" i="16"/>
  <c r="R12" i="16"/>
  <c r="R6" i="16"/>
  <c r="R5" i="16"/>
  <c r="R4" i="16"/>
  <c r="R3" i="16"/>
  <c r="R2" i="16"/>
  <c r="Q3" i="16"/>
  <c r="Q4" i="16"/>
  <c r="Q5" i="16"/>
  <c r="Q6" i="16"/>
  <c r="Q14" i="16"/>
  <c r="Q16" i="16"/>
  <c r="Q17" i="16"/>
  <c r="Q18" i="16"/>
  <c r="Q23" i="16"/>
  <c r="Q24" i="16"/>
  <c r="Q25" i="16"/>
  <c r="Q27" i="16"/>
  <c r="Q28" i="16"/>
  <c r="Q30" i="16"/>
  <c r="Q31" i="16"/>
  <c r="Q32" i="16"/>
  <c r="Q35" i="16"/>
  <c r="Q36" i="16"/>
  <c r="Q38" i="16"/>
  <c r="Q39" i="16"/>
  <c r="Q2" i="16"/>
  <c r="O3" i="16"/>
  <c r="P3" i="16" s="1"/>
  <c r="O4" i="16"/>
  <c r="P4" i="16" s="1"/>
  <c r="O5" i="16"/>
  <c r="P5" i="16" s="1"/>
  <c r="O6" i="16"/>
  <c r="P6" i="16" s="1"/>
  <c r="O12" i="16"/>
  <c r="P12" i="16" s="1"/>
  <c r="O14" i="16"/>
  <c r="P14" i="16" s="1"/>
  <c r="O16" i="16"/>
  <c r="P16" i="16" s="1"/>
  <c r="O17" i="16"/>
  <c r="P17" i="16" s="1"/>
  <c r="O18" i="16"/>
  <c r="P18" i="16" s="1"/>
  <c r="O20" i="16"/>
  <c r="P20" i="16" s="1"/>
  <c r="O23" i="16"/>
  <c r="P23" i="16" s="1"/>
  <c r="O24" i="16"/>
  <c r="P24" i="16" s="1"/>
  <c r="O25" i="16"/>
  <c r="P25" i="16" s="1"/>
  <c r="O27" i="16"/>
  <c r="P27" i="16" s="1"/>
  <c r="O28" i="16"/>
  <c r="P28" i="16" s="1"/>
  <c r="O30" i="16"/>
  <c r="P30" i="16" s="1"/>
  <c r="O31" i="16"/>
  <c r="P31" i="16" s="1"/>
  <c r="O32" i="16"/>
  <c r="P32" i="16" s="1"/>
  <c r="O35" i="16"/>
  <c r="P35" i="16" s="1"/>
  <c r="O36" i="16"/>
  <c r="P36" i="16" s="1"/>
  <c r="O38" i="16"/>
  <c r="P38" i="16" s="1"/>
  <c r="O39" i="16"/>
  <c r="P39" i="16" s="1"/>
  <c r="O2" i="16"/>
  <c r="P2" i="16" s="1"/>
  <c r="N3" i="16"/>
  <c r="N4" i="16"/>
  <c r="N5" i="16"/>
  <c r="N6" i="16"/>
  <c r="N14" i="16"/>
  <c r="N16" i="16"/>
  <c r="N17" i="16"/>
  <c r="N18" i="16"/>
  <c r="N20" i="16"/>
  <c r="N23" i="16"/>
  <c r="N24" i="16"/>
  <c r="N25" i="16"/>
  <c r="N27" i="16"/>
  <c r="N28" i="16"/>
  <c r="N30" i="16"/>
  <c r="N31" i="16"/>
  <c r="N32" i="16"/>
  <c r="N35" i="16"/>
  <c r="N36" i="16"/>
  <c r="N38" i="16"/>
  <c r="N39" i="16"/>
  <c r="N2" i="16"/>
  <c r="L3" i="16"/>
  <c r="M3" i="16" s="1"/>
  <c r="L4" i="16"/>
  <c r="M4" i="16" s="1"/>
  <c r="L5" i="16"/>
  <c r="M5" i="16" s="1"/>
  <c r="L6" i="16"/>
  <c r="M6" i="16" s="1"/>
  <c r="L12" i="16"/>
  <c r="M12" i="16" s="1"/>
  <c r="L14" i="16"/>
  <c r="M14" i="16" s="1"/>
  <c r="L16" i="16"/>
  <c r="M16" i="16" s="1"/>
  <c r="L17" i="16"/>
  <c r="M17" i="16" s="1"/>
  <c r="L18" i="16"/>
  <c r="M18" i="16" s="1"/>
  <c r="L20" i="16"/>
  <c r="M20" i="16" s="1"/>
  <c r="L23" i="16"/>
  <c r="M23" i="16" s="1"/>
  <c r="L24" i="16"/>
  <c r="M24" i="16" s="1"/>
  <c r="L25" i="16"/>
  <c r="M25" i="16" s="1"/>
  <c r="L27" i="16"/>
  <c r="M27" i="16" s="1"/>
  <c r="L28" i="16"/>
  <c r="M28" i="16" s="1"/>
  <c r="L30" i="16"/>
  <c r="M30" i="16" s="1"/>
  <c r="L31" i="16"/>
  <c r="M31" i="16" s="1"/>
  <c r="L32" i="16"/>
  <c r="M32" i="16" s="1"/>
  <c r="L35" i="16"/>
  <c r="M35" i="16" s="1"/>
  <c r="M36" i="16"/>
  <c r="L38" i="16"/>
  <c r="M38" i="16" s="1"/>
  <c r="L39" i="16"/>
  <c r="M39" i="16" s="1"/>
  <c r="L2" i="16"/>
  <c r="M2" i="16" s="1"/>
  <c r="K3" i="16"/>
  <c r="K4" i="16"/>
  <c r="K5" i="16"/>
  <c r="K6" i="16"/>
  <c r="K14" i="16"/>
  <c r="K16" i="16"/>
  <c r="K17" i="16"/>
  <c r="K18" i="16"/>
  <c r="K20" i="16"/>
  <c r="K23" i="16"/>
  <c r="K24" i="16"/>
  <c r="K25" i="16"/>
  <c r="K27" i="16"/>
  <c r="K28" i="16"/>
  <c r="K30" i="16"/>
  <c r="K31" i="16"/>
  <c r="K32" i="16"/>
  <c r="K35" i="16"/>
  <c r="K36" i="16"/>
  <c r="K38" i="16"/>
  <c r="K39" i="16"/>
  <c r="J3" i="16"/>
  <c r="J4" i="16"/>
  <c r="J5" i="16"/>
  <c r="J6" i="16"/>
  <c r="J12" i="16"/>
  <c r="J14" i="16"/>
  <c r="J16" i="16"/>
  <c r="J17" i="16"/>
  <c r="J18" i="16"/>
  <c r="J20" i="16"/>
  <c r="J23" i="16"/>
  <c r="J24" i="16"/>
  <c r="J25" i="16"/>
  <c r="J27" i="16"/>
  <c r="J28" i="16"/>
  <c r="J30" i="16"/>
  <c r="J31" i="16"/>
  <c r="J32" i="16"/>
  <c r="J35" i="16"/>
  <c r="J36" i="16"/>
  <c r="J38" i="16"/>
  <c r="J39" i="16"/>
  <c r="J2" i="16"/>
  <c r="I3" i="16"/>
  <c r="I4" i="16"/>
  <c r="I5" i="16"/>
  <c r="I6" i="16"/>
  <c r="I12" i="16"/>
  <c r="I14" i="16"/>
  <c r="I16" i="16"/>
  <c r="I17" i="16"/>
  <c r="I18" i="16"/>
  <c r="I20" i="16"/>
  <c r="I23" i="16"/>
  <c r="I24" i="16"/>
  <c r="I25" i="16"/>
  <c r="I27" i="16"/>
  <c r="I28" i="16"/>
  <c r="I30" i="16"/>
  <c r="I31" i="16"/>
  <c r="I32" i="16"/>
  <c r="I35" i="16"/>
  <c r="I36" i="16"/>
  <c r="I38" i="16"/>
  <c r="I39" i="16"/>
  <c r="I2" i="16"/>
  <c r="H3" i="16" a="1"/>
  <c r="H3" i="16" s="1"/>
  <c r="H4" i="16" a="1"/>
  <c r="H4" i="16" s="1"/>
  <c r="H5" i="16" a="1"/>
  <c r="H5" i="16" s="1"/>
  <c r="H6" i="16" a="1"/>
  <c r="H6" i="16" s="1"/>
  <c r="H12" i="16" a="1"/>
  <c r="H12" i="16" s="1"/>
  <c r="H14" i="16" a="1"/>
  <c r="H14" i="16" s="1"/>
  <c r="H16" i="16" a="1"/>
  <c r="H16" i="16" s="1"/>
  <c r="H17" i="16" a="1"/>
  <c r="H17" i="16" s="1"/>
  <c r="H18" i="16" a="1"/>
  <c r="H18" i="16" s="1"/>
  <c r="H20" i="16" a="1"/>
  <c r="H20" i="16" s="1"/>
  <c r="H23" i="16" a="1"/>
  <c r="H23" i="16" s="1"/>
  <c r="H24" i="16" a="1"/>
  <c r="H24" i="16" s="1"/>
  <c r="H25" i="16" a="1"/>
  <c r="H25" i="16" s="1"/>
  <c r="H27" i="16" a="1"/>
  <c r="H27" i="16" s="1"/>
  <c r="H28" i="16" a="1"/>
  <c r="H28" i="16" s="1"/>
  <c r="H30" i="16" a="1"/>
  <c r="H30" i="16" s="1"/>
  <c r="H31" i="16" a="1"/>
  <c r="H31" i="16" s="1"/>
  <c r="H32" i="16" a="1"/>
  <c r="H32" i="16" s="1"/>
  <c r="H35" i="16" a="1"/>
  <c r="H35" i="16" s="1"/>
  <c r="H36" i="16" a="1"/>
  <c r="H36" i="16" s="1"/>
  <c r="H38" i="16" a="1"/>
  <c r="H38" i="16" s="1"/>
  <c r="H39" i="16" a="1"/>
  <c r="H39" i="16" s="1"/>
  <c r="H2" i="16" a="1"/>
  <c r="H2" i="16" s="1"/>
  <c r="G3" i="16"/>
  <c r="G4" i="16"/>
  <c r="G5" i="16"/>
  <c r="G6" i="16"/>
  <c r="G12" i="16"/>
  <c r="G14" i="16"/>
  <c r="G16" i="16"/>
  <c r="G17" i="16"/>
  <c r="G18" i="16"/>
  <c r="G20" i="16"/>
  <c r="G23" i="16"/>
  <c r="G24" i="16"/>
  <c r="G25" i="16"/>
  <c r="G27" i="16"/>
  <c r="G28" i="16"/>
  <c r="G30" i="16"/>
  <c r="G31" i="16"/>
  <c r="G32" i="16"/>
  <c r="G35" i="16"/>
  <c r="G36" i="16"/>
  <c r="G38" i="16"/>
  <c r="G39" i="16"/>
  <c r="G2" i="16"/>
  <c r="F3" i="16"/>
  <c r="F4" i="16"/>
  <c r="F5" i="16"/>
  <c r="F6" i="16"/>
  <c r="F12" i="16"/>
  <c r="F14" i="16"/>
  <c r="F16" i="16"/>
  <c r="F17" i="16"/>
  <c r="F18" i="16"/>
  <c r="F20" i="16"/>
  <c r="F23" i="16"/>
  <c r="F24" i="16"/>
  <c r="F25" i="16"/>
  <c r="F27" i="16"/>
  <c r="F28" i="16"/>
  <c r="F30" i="16"/>
  <c r="F31" i="16"/>
  <c r="F32" i="16"/>
  <c r="F35" i="16"/>
  <c r="F36" i="16"/>
  <c r="F38" i="16"/>
  <c r="F39" i="16"/>
  <c r="F2" i="16"/>
  <c r="K12" i="16"/>
  <c r="Q12" i="16"/>
  <c r="N12" i="16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AF19" i="13"/>
  <c r="AG19" i="13"/>
  <c r="AH19" i="13"/>
  <c r="AI19" i="13"/>
  <c r="AF20" i="13"/>
  <c r="AG20" i="13"/>
  <c r="AH20" i="13"/>
  <c r="AI20" i="13"/>
  <c r="AF21" i="13"/>
  <c r="AG21" i="13"/>
  <c r="AH21" i="13"/>
  <c r="AI21" i="13"/>
  <c r="AF29" i="13"/>
  <c r="AG29" i="13"/>
  <c r="AH29" i="13"/>
  <c r="AI29" i="13"/>
  <c r="AF30" i="13"/>
  <c r="AG30" i="13"/>
  <c r="AH30" i="13"/>
  <c r="AI30" i="13"/>
  <c r="AF31" i="13"/>
  <c r="AG31" i="13"/>
  <c r="AH31" i="13"/>
  <c r="AI31" i="13"/>
  <c r="AF32" i="13"/>
  <c r="AG32" i="13"/>
  <c r="AH32" i="13"/>
  <c r="AI32" i="13"/>
  <c r="AF34" i="13"/>
  <c r="AG34" i="13"/>
  <c r="AH34" i="13"/>
  <c r="AI34" i="13"/>
  <c r="AF39" i="13"/>
  <c r="AG39" i="13"/>
  <c r="AH39" i="13"/>
  <c r="AI39" i="13"/>
  <c r="AF40" i="13"/>
  <c r="AG40" i="13"/>
  <c r="AH40" i="13"/>
  <c r="AI40" i="13"/>
  <c r="AF41" i="13"/>
  <c r="AG41" i="13"/>
  <c r="AH41" i="13"/>
  <c r="AI41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U43" i="13"/>
  <c r="V43" i="13"/>
  <c r="W43" i="13"/>
  <c r="X43" i="13"/>
  <c r="Y43" i="13"/>
  <c r="Z43" i="13"/>
  <c r="AA43" i="13"/>
  <c r="AB43" i="13"/>
  <c r="AC43" i="13"/>
  <c r="AD43" i="13"/>
  <c r="AE43" i="13"/>
  <c r="AF43" i="13"/>
  <c r="AG43" i="13"/>
  <c r="AH43" i="13"/>
  <c r="AI43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T47" i="13"/>
  <c r="T45" i="13"/>
  <c r="T44" i="13"/>
  <c r="T43" i="13"/>
  <c r="T42" i="13"/>
  <c r="T9" i="13"/>
  <c r="T7" i="13"/>
  <c r="T6" i="13"/>
  <c r="T5" i="13"/>
  <c r="S9" i="13"/>
  <c r="S42" i="13"/>
  <c r="S44" i="13"/>
  <c r="S45" i="13"/>
  <c r="Q5" i="13"/>
  <c r="R5" i="13" s="1"/>
  <c r="Q6" i="13"/>
  <c r="R6" i="13" s="1"/>
  <c r="Q7" i="13"/>
  <c r="R7" i="13" s="1"/>
  <c r="Q9" i="13"/>
  <c r="R9" i="13" s="1"/>
  <c r="Q42" i="13"/>
  <c r="R42" i="13" s="1"/>
  <c r="Q43" i="13"/>
  <c r="R43" i="13" s="1"/>
  <c r="Q44" i="13"/>
  <c r="R44" i="13" s="1"/>
  <c r="Q45" i="13"/>
  <c r="R45" i="13" s="1"/>
  <c r="Q47" i="13"/>
  <c r="R47" i="13" s="1"/>
  <c r="Q49" i="13"/>
  <c r="R49" i="13" s="1"/>
  <c r="N5" i="13"/>
  <c r="O5" i="13" s="1"/>
  <c r="N6" i="13"/>
  <c r="O6" i="13" s="1"/>
  <c r="N7" i="13"/>
  <c r="O7" i="13" s="1"/>
  <c r="N9" i="13"/>
  <c r="O9" i="13" s="1"/>
  <c r="N42" i="13"/>
  <c r="O42" i="13" s="1"/>
  <c r="N43" i="13"/>
  <c r="O43" i="13" s="1"/>
  <c r="N44" i="13"/>
  <c r="O44" i="13" s="1"/>
  <c r="N45" i="13"/>
  <c r="O45" i="13" s="1"/>
  <c r="N47" i="13"/>
  <c r="O47" i="13" s="1"/>
  <c r="N49" i="13"/>
  <c r="O49" i="13" s="1"/>
  <c r="M49" i="13"/>
  <c r="L5" i="13"/>
  <c r="L6" i="13"/>
  <c r="L7" i="13"/>
  <c r="L9" i="13"/>
  <c r="L42" i="13"/>
  <c r="L43" i="13"/>
  <c r="L44" i="13"/>
  <c r="L45" i="13"/>
  <c r="L47" i="13"/>
  <c r="L49" i="13"/>
  <c r="K5" i="13"/>
  <c r="K6" i="13"/>
  <c r="K7" i="13"/>
  <c r="K9" i="13"/>
  <c r="K42" i="13"/>
  <c r="K43" i="13"/>
  <c r="K44" i="13"/>
  <c r="K45" i="13"/>
  <c r="K47" i="13"/>
  <c r="K49" i="13"/>
  <c r="J5" i="13" a="1"/>
  <c r="J5" i="13" s="1"/>
  <c r="J6" i="13" a="1"/>
  <c r="J6" i="13" s="1"/>
  <c r="J7" i="13" a="1"/>
  <c r="J7" i="13" s="1"/>
  <c r="J9" i="13" a="1"/>
  <c r="J9" i="13" s="1"/>
  <c r="J42" i="13" a="1"/>
  <c r="J42" i="13" s="1"/>
  <c r="J43" i="13" a="1"/>
  <c r="J43" i="13" s="1"/>
  <c r="J44" i="13" a="1"/>
  <c r="J44" i="13" s="1"/>
  <c r="J45" i="13" a="1"/>
  <c r="J45" i="13" s="1"/>
  <c r="J47" i="13" a="1"/>
  <c r="J47" i="13" s="1"/>
  <c r="J49" i="13" a="1"/>
  <c r="J49" i="13" s="1"/>
  <c r="I5" i="13"/>
  <c r="I6" i="13"/>
  <c r="I7" i="13"/>
  <c r="I9" i="13"/>
  <c r="I42" i="13"/>
  <c r="I43" i="13"/>
  <c r="I44" i="13"/>
  <c r="I45" i="13"/>
  <c r="I47" i="13"/>
  <c r="I49" i="13"/>
  <c r="H5" i="13"/>
  <c r="H6" i="13"/>
  <c r="H7" i="13"/>
  <c r="H9" i="13"/>
  <c r="H42" i="13"/>
  <c r="H43" i="13"/>
  <c r="H44" i="13"/>
  <c r="H45" i="13"/>
  <c r="H47" i="13"/>
  <c r="H49" i="13"/>
  <c r="S6" i="13"/>
  <c r="P45" i="13"/>
  <c r="M45" i="13"/>
  <c r="P44" i="13"/>
  <c r="M44" i="13"/>
  <c r="P7" i="13"/>
  <c r="S7" i="13"/>
  <c r="M7" i="13"/>
  <c r="P47" i="13"/>
  <c r="S47" i="13"/>
  <c r="M47" i="13"/>
  <c r="P43" i="13"/>
  <c r="S43" i="13"/>
  <c r="M43" i="13"/>
  <c r="P9" i="13"/>
  <c r="P49" i="13"/>
  <c r="S49" i="13"/>
  <c r="P5" i="13"/>
  <c r="S5" i="13"/>
  <c r="M5" i="13"/>
  <c r="P42" i="13"/>
  <c r="AH690" i="9"/>
  <c r="AI690" i="9"/>
  <c r="AJ690" i="9"/>
  <c r="AK690" i="9"/>
  <c r="AH691" i="9"/>
  <c r="AI691" i="9"/>
  <c r="AJ691" i="9"/>
  <c r="AK691" i="9"/>
  <c r="AH692" i="9"/>
  <c r="AI692" i="9"/>
  <c r="AJ692" i="9"/>
  <c r="AK692" i="9"/>
  <c r="AH693" i="9"/>
  <c r="AI693" i="9"/>
  <c r="AJ693" i="9"/>
  <c r="AK693" i="9"/>
  <c r="AH694" i="9"/>
  <c r="AI694" i="9"/>
  <c r="AJ694" i="9"/>
  <c r="AK694" i="9"/>
  <c r="AH695" i="9"/>
  <c r="AI695" i="9"/>
  <c r="AJ695" i="9"/>
  <c r="AK695" i="9"/>
  <c r="AH696" i="9"/>
  <c r="AI696" i="9"/>
  <c r="AJ696" i="9"/>
  <c r="AK696" i="9"/>
  <c r="AH697" i="9"/>
  <c r="AI697" i="9"/>
  <c r="AJ697" i="9"/>
  <c r="AK697" i="9"/>
  <c r="AH698" i="9"/>
  <c r="AI698" i="9"/>
  <c r="AJ698" i="9"/>
  <c r="AK698" i="9"/>
  <c r="AH699" i="9"/>
  <c r="AI699" i="9"/>
  <c r="AJ699" i="9"/>
  <c r="AK699" i="9"/>
  <c r="AH700" i="9"/>
  <c r="AI700" i="9"/>
  <c r="AJ700" i="9"/>
  <c r="AK700" i="9"/>
  <c r="AH701" i="9"/>
  <c r="AI701" i="9"/>
  <c r="AJ701" i="9"/>
  <c r="AK701" i="9"/>
  <c r="AH702" i="9"/>
  <c r="AI702" i="9"/>
  <c r="AJ702" i="9"/>
  <c r="AK702" i="9"/>
  <c r="AH703" i="9"/>
  <c r="AI703" i="9"/>
  <c r="AJ703" i="9"/>
  <c r="AK703" i="9"/>
  <c r="AH704" i="9"/>
  <c r="AI704" i="9"/>
  <c r="AJ704" i="9"/>
  <c r="AK704" i="9"/>
  <c r="AH705" i="9"/>
  <c r="AI705" i="9"/>
  <c r="AJ705" i="9"/>
  <c r="Q44" i="12" s="1"/>
  <c r="AK705" i="9"/>
  <c r="Q9" i="12"/>
  <c r="Q22" i="12"/>
  <c r="Q24" i="12"/>
  <c r="Q39" i="12"/>
  <c r="Q40" i="12"/>
  <c r="Q45" i="12"/>
  <c r="Q47" i="12"/>
  <c r="Q48" i="12"/>
  <c r="Q52" i="12"/>
  <c r="Q55" i="12"/>
  <c r="Q56" i="12"/>
  <c r="Q58" i="12"/>
  <c r="Q59" i="12"/>
  <c r="N7" i="12"/>
  <c r="N9" i="12"/>
  <c r="N20" i="12"/>
  <c r="N22" i="12"/>
  <c r="N24" i="12"/>
  <c r="N39" i="12"/>
  <c r="N40" i="12"/>
  <c r="N44" i="12"/>
  <c r="N45" i="12"/>
  <c r="N47" i="12"/>
  <c r="N48" i="12"/>
  <c r="N52" i="12"/>
  <c r="N55" i="12"/>
  <c r="N56" i="12"/>
  <c r="N58" i="12"/>
  <c r="N59" i="12"/>
  <c r="K7" i="12"/>
  <c r="K9" i="12"/>
  <c r="K20" i="12"/>
  <c r="K22" i="12"/>
  <c r="K24" i="12"/>
  <c r="K39" i="12"/>
  <c r="K40" i="12"/>
  <c r="K44" i="12"/>
  <c r="K45" i="12"/>
  <c r="K47" i="12"/>
  <c r="K48" i="12"/>
  <c r="K52" i="12"/>
  <c r="K55" i="12"/>
  <c r="K56" i="12"/>
  <c r="K58" i="12"/>
  <c r="K59" i="12"/>
  <c r="K3" i="12"/>
  <c r="AK2" i="9"/>
  <c r="AI11" i="9"/>
  <c r="AH3" i="9"/>
  <c r="AI3" i="9"/>
  <c r="AJ3" i="9"/>
  <c r="AK3" i="9"/>
  <c r="AH4" i="9"/>
  <c r="AI4" i="9"/>
  <c r="AJ4" i="9"/>
  <c r="AK4" i="9"/>
  <c r="AH5" i="9"/>
  <c r="AI5" i="9"/>
  <c r="AJ5" i="9"/>
  <c r="AK5" i="9"/>
  <c r="AH6" i="9"/>
  <c r="AI6" i="9"/>
  <c r="AJ6" i="9"/>
  <c r="AK6" i="9"/>
  <c r="AH7" i="9"/>
  <c r="AI7" i="9"/>
  <c r="AJ7" i="9"/>
  <c r="AK7" i="9"/>
  <c r="AH8" i="9"/>
  <c r="AI8" i="9"/>
  <c r="AJ8" i="9"/>
  <c r="AK8" i="9"/>
  <c r="AH9" i="9"/>
  <c r="AI9" i="9"/>
  <c r="AJ9" i="9"/>
  <c r="AK9" i="9"/>
  <c r="AH10" i="9"/>
  <c r="AI10" i="9"/>
  <c r="AJ10" i="9"/>
  <c r="AK10" i="9"/>
  <c r="AH11" i="9"/>
  <c r="AJ11" i="9"/>
  <c r="AK11" i="9"/>
  <c r="AH12" i="9"/>
  <c r="AI12" i="9"/>
  <c r="AJ12" i="9"/>
  <c r="AK12" i="9"/>
  <c r="AH13" i="9"/>
  <c r="AI13" i="9"/>
  <c r="AJ13" i="9"/>
  <c r="AK13" i="9"/>
  <c r="AH14" i="9"/>
  <c r="AI14" i="9"/>
  <c r="AJ14" i="9"/>
  <c r="AK14" i="9"/>
  <c r="AH15" i="9"/>
  <c r="AI15" i="9"/>
  <c r="AJ15" i="9"/>
  <c r="AK15" i="9"/>
  <c r="AH16" i="9"/>
  <c r="AI16" i="9"/>
  <c r="AJ16" i="9"/>
  <c r="AK16" i="9"/>
  <c r="AH17" i="9"/>
  <c r="AI17" i="9"/>
  <c r="AJ17" i="9"/>
  <c r="AK17" i="9"/>
  <c r="AH18" i="9"/>
  <c r="AI18" i="9"/>
  <c r="AJ18" i="9"/>
  <c r="AK18" i="9"/>
  <c r="AH19" i="9"/>
  <c r="AI19" i="9"/>
  <c r="AJ19" i="9"/>
  <c r="AK19" i="9"/>
  <c r="AH20" i="9"/>
  <c r="AI20" i="9"/>
  <c r="AJ20" i="9"/>
  <c r="AK20" i="9"/>
  <c r="AH21" i="9"/>
  <c r="AI21" i="9"/>
  <c r="AJ21" i="9"/>
  <c r="AK21" i="9"/>
  <c r="AH22" i="9"/>
  <c r="AI22" i="9"/>
  <c r="AJ22" i="9"/>
  <c r="AK22" i="9"/>
  <c r="AH23" i="9"/>
  <c r="AI23" i="9"/>
  <c r="AJ23" i="9"/>
  <c r="AK23" i="9"/>
  <c r="AH24" i="9"/>
  <c r="AI24" i="9"/>
  <c r="AJ24" i="9"/>
  <c r="AK24" i="9"/>
  <c r="AH25" i="9"/>
  <c r="AI25" i="9"/>
  <c r="AJ25" i="9"/>
  <c r="AK25" i="9"/>
  <c r="AH26" i="9"/>
  <c r="AI26" i="9"/>
  <c r="AJ26" i="9"/>
  <c r="AK26" i="9"/>
  <c r="AH27" i="9"/>
  <c r="AI27" i="9"/>
  <c r="AJ27" i="9"/>
  <c r="AK27" i="9"/>
  <c r="AH28" i="9"/>
  <c r="AI28" i="9"/>
  <c r="AJ28" i="9"/>
  <c r="AK28" i="9"/>
  <c r="AH29" i="9"/>
  <c r="AI29" i="9"/>
  <c r="AJ29" i="9"/>
  <c r="AK29" i="9"/>
  <c r="AH30" i="9"/>
  <c r="AI30" i="9"/>
  <c r="AJ30" i="9"/>
  <c r="AK30" i="9"/>
  <c r="AH31" i="9"/>
  <c r="AI31" i="9"/>
  <c r="AJ31" i="9"/>
  <c r="AK31" i="9"/>
  <c r="AH32" i="9"/>
  <c r="AI32" i="9"/>
  <c r="AJ32" i="9"/>
  <c r="AK32" i="9"/>
  <c r="AH33" i="9"/>
  <c r="AI33" i="9"/>
  <c r="AJ33" i="9"/>
  <c r="AK33" i="9"/>
  <c r="AH34" i="9"/>
  <c r="AI34" i="9"/>
  <c r="AJ34" i="9"/>
  <c r="AK34" i="9"/>
  <c r="AH35" i="9"/>
  <c r="AI35" i="9"/>
  <c r="AJ35" i="9"/>
  <c r="AK35" i="9"/>
  <c r="AH36" i="9"/>
  <c r="AI36" i="9"/>
  <c r="AJ36" i="9"/>
  <c r="AK36" i="9"/>
  <c r="AH37" i="9"/>
  <c r="AI37" i="9"/>
  <c r="AJ37" i="9"/>
  <c r="AK37" i="9"/>
  <c r="AH38" i="9"/>
  <c r="AI38" i="9"/>
  <c r="AJ38" i="9"/>
  <c r="AK38" i="9"/>
  <c r="AH39" i="9"/>
  <c r="AI39" i="9"/>
  <c r="N16" i="12" s="1"/>
  <c r="AJ39" i="9"/>
  <c r="Q16" i="12" s="1"/>
  <c r="AK39" i="9"/>
  <c r="K16" i="12" s="1"/>
  <c r="AH40" i="9"/>
  <c r="AI40" i="9"/>
  <c r="AJ40" i="9"/>
  <c r="AK40" i="9"/>
  <c r="AH41" i="9"/>
  <c r="AI41" i="9"/>
  <c r="AJ41" i="9"/>
  <c r="AK41" i="9"/>
  <c r="AH42" i="9"/>
  <c r="AI42" i="9"/>
  <c r="AJ42" i="9"/>
  <c r="AK42" i="9"/>
  <c r="AH43" i="9"/>
  <c r="AI43" i="9"/>
  <c r="AJ43" i="9"/>
  <c r="AK43" i="9"/>
  <c r="AH44" i="9"/>
  <c r="AI44" i="9"/>
  <c r="AJ44" i="9"/>
  <c r="AK44" i="9"/>
  <c r="AH45" i="9"/>
  <c r="AI45" i="9"/>
  <c r="AJ45" i="9"/>
  <c r="AK45" i="9"/>
  <c r="AH46" i="9"/>
  <c r="AI46" i="9"/>
  <c r="AJ46" i="9"/>
  <c r="AK46" i="9"/>
  <c r="AH47" i="9"/>
  <c r="AI47" i="9"/>
  <c r="AJ47" i="9"/>
  <c r="AK47" i="9"/>
  <c r="AH48" i="9"/>
  <c r="AI48" i="9"/>
  <c r="AJ48" i="9"/>
  <c r="AK48" i="9"/>
  <c r="AH49" i="9"/>
  <c r="AI49" i="9"/>
  <c r="AJ49" i="9"/>
  <c r="AK49" i="9"/>
  <c r="AH50" i="9"/>
  <c r="AI50" i="9"/>
  <c r="AJ50" i="9"/>
  <c r="AK50" i="9"/>
  <c r="AH51" i="9"/>
  <c r="AI51" i="9"/>
  <c r="N18" i="12" s="1"/>
  <c r="AJ51" i="9"/>
  <c r="Q18" i="12" s="1"/>
  <c r="AK51" i="9"/>
  <c r="K18" i="12" s="1"/>
  <c r="AH52" i="9"/>
  <c r="AI52" i="9"/>
  <c r="N61" i="12" s="1"/>
  <c r="AJ52" i="9"/>
  <c r="Q61" i="12" s="1"/>
  <c r="AK52" i="9"/>
  <c r="K61" i="12" s="1"/>
  <c r="AH53" i="9"/>
  <c r="AI53" i="9"/>
  <c r="AJ53" i="9"/>
  <c r="AK53" i="9"/>
  <c r="AH54" i="9"/>
  <c r="AI54" i="9"/>
  <c r="AJ54" i="9"/>
  <c r="AK54" i="9"/>
  <c r="AH55" i="9"/>
  <c r="AI55" i="9"/>
  <c r="AJ55" i="9"/>
  <c r="AK55" i="9"/>
  <c r="AH56" i="9"/>
  <c r="AI56" i="9"/>
  <c r="AJ56" i="9"/>
  <c r="AK56" i="9"/>
  <c r="AH57" i="9"/>
  <c r="AI57" i="9"/>
  <c r="AJ57" i="9"/>
  <c r="AK57" i="9"/>
  <c r="AH58" i="9"/>
  <c r="AI58" i="9"/>
  <c r="N37" i="12" s="1"/>
  <c r="AJ58" i="9"/>
  <c r="Q37" i="12" s="1"/>
  <c r="AK58" i="9"/>
  <c r="K37" i="12" s="1"/>
  <c r="AH59" i="9"/>
  <c r="AI59" i="9"/>
  <c r="AJ59" i="9"/>
  <c r="AK59" i="9"/>
  <c r="AH60" i="9"/>
  <c r="AI60" i="9"/>
  <c r="AJ60" i="9"/>
  <c r="AK60" i="9"/>
  <c r="AH61" i="9"/>
  <c r="AI61" i="9"/>
  <c r="AJ61" i="9"/>
  <c r="AK61" i="9"/>
  <c r="AH62" i="9"/>
  <c r="AI62" i="9"/>
  <c r="AJ62" i="9"/>
  <c r="AK62" i="9"/>
  <c r="AH63" i="9"/>
  <c r="AI63" i="9"/>
  <c r="AJ63" i="9"/>
  <c r="AK63" i="9"/>
  <c r="AH64" i="9"/>
  <c r="AI64" i="9"/>
  <c r="AJ64" i="9"/>
  <c r="AK64" i="9"/>
  <c r="AH65" i="9"/>
  <c r="AI65" i="9"/>
  <c r="AJ65" i="9"/>
  <c r="AK65" i="9"/>
  <c r="AH66" i="9"/>
  <c r="AI66" i="9"/>
  <c r="AJ66" i="9"/>
  <c r="AK66" i="9"/>
  <c r="AH67" i="9"/>
  <c r="AI67" i="9"/>
  <c r="AJ67" i="9"/>
  <c r="AK67" i="9"/>
  <c r="AH68" i="9"/>
  <c r="AI68" i="9"/>
  <c r="AJ68" i="9"/>
  <c r="AK68" i="9"/>
  <c r="AH69" i="9"/>
  <c r="AI69" i="9"/>
  <c r="AJ69" i="9"/>
  <c r="AK69" i="9"/>
  <c r="AH70" i="9"/>
  <c r="AI70" i="9"/>
  <c r="AJ70" i="9"/>
  <c r="AK70" i="9"/>
  <c r="AH71" i="9"/>
  <c r="AI71" i="9"/>
  <c r="AJ71" i="9"/>
  <c r="AK71" i="9"/>
  <c r="AH72" i="9"/>
  <c r="AI72" i="9"/>
  <c r="AJ72" i="9"/>
  <c r="AK72" i="9"/>
  <c r="AH73" i="9"/>
  <c r="AI73" i="9"/>
  <c r="AJ73" i="9"/>
  <c r="AK73" i="9"/>
  <c r="AH74" i="9"/>
  <c r="AI74" i="9"/>
  <c r="AJ74" i="9"/>
  <c r="AK74" i="9"/>
  <c r="AH75" i="9"/>
  <c r="AI75" i="9"/>
  <c r="AJ75" i="9"/>
  <c r="AK75" i="9"/>
  <c r="AH76" i="9"/>
  <c r="AI76" i="9"/>
  <c r="AJ76" i="9"/>
  <c r="AK76" i="9"/>
  <c r="AH77" i="9"/>
  <c r="AI77" i="9"/>
  <c r="AJ77" i="9"/>
  <c r="AK77" i="9"/>
  <c r="AH78" i="9"/>
  <c r="AI78" i="9"/>
  <c r="AJ78" i="9"/>
  <c r="AK78" i="9"/>
  <c r="AH79" i="9"/>
  <c r="AI79" i="9"/>
  <c r="AJ79" i="9"/>
  <c r="AK79" i="9"/>
  <c r="AH80" i="9"/>
  <c r="AI80" i="9"/>
  <c r="AJ80" i="9"/>
  <c r="AK80" i="9"/>
  <c r="AH81" i="9"/>
  <c r="AI81" i="9"/>
  <c r="N30" i="12" s="1"/>
  <c r="AJ81" i="9"/>
  <c r="Q30" i="12" s="1"/>
  <c r="AK81" i="9"/>
  <c r="K30" i="12" s="1"/>
  <c r="AH82" i="9"/>
  <c r="AI82" i="9"/>
  <c r="AJ82" i="9"/>
  <c r="AK82" i="9"/>
  <c r="AH83" i="9"/>
  <c r="AI83" i="9"/>
  <c r="AJ83" i="9"/>
  <c r="AK83" i="9"/>
  <c r="AH84" i="9"/>
  <c r="AI84" i="9"/>
  <c r="AJ84" i="9"/>
  <c r="AK84" i="9"/>
  <c r="AH85" i="9"/>
  <c r="AI85" i="9"/>
  <c r="AJ85" i="9"/>
  <c r="AK85" i="9"/>
  <c r="AH86" i="9"/>
  <c r="AI86" i="9"/>
  <c r="AJ86" i="9"/>
  <c r="AK86" i="9"/>
  <c r="AH87" i="9"/>
  <c r="AI87" i="9"/>
  <c r="AJ87" i="9"/>
  <c r="AK87" i="9"/>
  <c r="AH88" i="9"/>
  <c r="AI88" i="9"/>
  <c r="AJ88" i="9"/>
  <c r="AK88" i="9"/>
  <c r="AH89" i="9"/>
  <c r="AI89" i="9"/>
  <c r="AJ89" i="9"/>
  <c r="AK89" i="9"/>
  <c r="AH90" i="9"/>
  <c r="AI90" i="9"/>
  <c r="AJ90" i="9"/>
  <c r="AK90" i="9"/>
  <c r="AH91" i="9"/>
  <c r="AI91" i="9"/>
  <c r="AJ91" i="9"/>
  <c r="AK91" i="9"/>
  <c r="AH92" i="9"/>
  <c r="AI92" i="9"/>
  <c r="AJ92" i="9"/>
  <c r="AK92" i="9"/>
  <c r="AH93" i="9"/>
  <c r="AI93" i="9"/>
  <c r="AJ93" i="9"/>
  <c r="AK93" i="9"/>
  <c r="AH94" i="9"/>
  <c r="AI94" i="9"/>
  <c r="AJ94" i="9"/>
  <c r="AK94" i="9"/>
  <c r="AH95" i="9"/>
  <c r="AI95" i="9"/>
  <c r="AJ95" i="9"/>
  <c r="AK95" i="9"/>
  <c r="AH96" i="9"/>
  <c r="AI96" i="9"/>
  <c r="AJ96" i="9"/>
  <c r="AK96" i="9"/>
  <c r="AH97" i="9"/>
  <c r="AI97" i="9"/>
  <c r="AJ97" i="9"/>
  <c r="AK97" i="9"/>
  <c r="AH98" i="9"/>
  <c r="AI98" i="9"/>
  <c r="AJ98" i="9"/>
  <c r="AK98" i="9"/>
  <c r="AH99" i="9"/>
  <c r="AI99" i="9"/>
  <c r="AJ99" i="9"/>
  <c r="AK99" i="9"/>
  <c r="AH100" i="9"/>
  <c r="AI100" i="9"/>
  <c r="AJ100" i="9"/>
  <c r="AK100" i="9"/>
  <c r="AH101" i="9"/>
  <c r="AI101" i="9"/>
  <c r="AJ101" i="9"/>
  <c r="AK101" i="9"/>
  <c r="AH102" i="9"/>
  <c r="AI102" i="9"/>
  <c r="N60" i="12" s="1"/>
  <c r="AJ102" i="9"/>
  <c r="Q60" i="12" s="1"/>
  <c r="AK102" i="9"/>
  <c r="K60" i="12" s="1"/>
  <c r="AH103" i="9"/>
  <c r="AI103" i="9"/>
  <c r="AJ103" i="9"/>
  <c r="AK103" i="9"/>
  <c r="AH104" i="9"/>
  <c r="AI104" i="9"/>
  <c r="AJ104" i="9"/>
  <c r="AK104" i="9"/>
  <c r="AH105" i="9"/>
  <c r="AI105" i="9"/>
  <c r="AJ105" i="9"/>
  <c r="AK105" i="9"/>
  <c r="AH106" i="9"/>
  <c r="AI106" i="9"/>
  <c r="AJ106" i="9"/>
  <c r="AK106" i="9"/>
  <c r="AH107" i="9"/>
  <c r="AI107" i="9"/>
  <c r="AJ107" i="9"/>
  <c r="AK107" i="9"/>
  <c r="AH108" i="9"/>
  <c r="AI108" i="9"/>
  <c r="AJ108" i="9"/>
  <c r="AK108" i="9"/>
  <c r="AH109" i="9"/>
  <c r="AI109" i="9"/>
  <c r="AJ109" i="9"/>
  <c r="AK109" i="9"/>
  <c r="AH110" i="9"/>
  <c r="AI110" i="9"/>
  <c r="AJ110" i="9"/>
  <c r="AK110" i="9"/>
  <c r="AH111" i="9"/>
  <c r="AI111" i="9"/>
  <c r="AJ111" i="9"/>
  <c r="AK111" i="9"/>
  <c r="AH112" i="9"/>
  <c r="AI112" i="9"/>
  <c r="AJ112" i="9"/>
  <c r="AK112" i="9"/>
  <c r="AH113" i="9"/>
  <c r="AI113" i="9"/>
  <c r="AJ113" i="9"/>
  <c r="AK113" i="9"/>
  <c r="AH114" i="9"/>
  <c r="AI114" i="9"/>
  <c r="AJ114" i="9"/>
  <c r="AK114" i="9"/>
  <c r="AH115" i="9"/>
  <c r="AI115" i="9"/>
  <c r="AJ115" i="9"/>
  <c r="AK115" i="9"/>
  <c r="AH116" i="9"/>
  <c r="AI116" i="9"/>
  <c r="AJ116" i="9"/>
  <c r="AK116" i="9"/>
  <c r="AH117" i="9"/>
  <c r="AI117" i="9"/>
  <c r="AJ117" i="9"/>
  <c r="AK117" i="9"/>
  <c r="AH118" i="9"/>
  <c r="AI118" i="9"/>
  <c r="AJ118" i="9"/>
  <c r="AK118" i="9"/>
  <c r="AH119" i="9"/>
  <c r="AI119" i="9"/>
  <c r="AJ119" i="9"/>
  <c r="AK119" i="9"/>
  <c r="AH120" i="9"/>
  <c r="AI120" i="9"/>
  <c r="AJ120" i="9"/>
  <c r="AK120" i="9"/>
  <c r="AH121" i="9"/>
  <c r="AI121" i="9"/>
  <c r="AJ121" i="9"/>
  <c r="AK121" i="9"/>
  <c r="AH122" i="9"/>
  <c r="AI122" i="9"/>
  <c r="AJ122" i="9"/>
  <c r="AK122" i="9"/>
  <c r="AH123" i="9"/>
  <c r="AI123" i="9"/>
  <c r="AJ123" i="9"/>
  <c r="AK123" i="9"/>
  <c r="AH124" i="9"/>
  <c r="AI124" i="9"/>
  <c r="AJ124" i="9"/>
  <c r="AK124" i="9"/>
  <c r="AH125" i="9"/>
  <c r="AI125" i="9"/>
  <c r="AJ125" i="9"/>
  <c r="AK125" i="9"/>
  <c r="AH126" i="9"/>
  <c r="AI126" i="9"/>
  <c r="AJ126" i="9"/>
  <c r="AK126" i="9"/>
  <c r="AH127" i="9"/>
  <c r="AI127" i="9"/>
  <c r="AJ127" i="9"/>
  <c r="AK127" i="9"/>
  <c r="AH128" i="9"/>
  <c r="AI128" i="9"/>
  <c r="AJ128" i="9"/>
  <c r="AK128" i="9"/>
  <c r="AH129" i="9"/>
  <c r="AI129" i="9"/>
  <c r="AJ129" i="9"/>
  <c r="AK129" i="9"/>
  <c r="AH130" i="9"/>
  <c r="AI130" i="9"/>
  <c r="AJ130" i="9"/>
  <c r="AK130" i="9"/>
  <c r="AH131" i="9"/>
  <c r="AI131" i="9"/>
  <c r="AJ131" i="9"/>
  <c r="AK131" i="9"/>
  <c r="AH132" i="9"/>
  <c r="AI132" i="9"/>
  <c r="AJ132" i="9"/>
  <c r="AK132" i="9"/>
  <c r="AH133" i="9"/>
  <c r="AI133" i="9"/>
  <c r="AJ133" i="9"/>
  <c r="AK133" i="9"/>
  <c r="AH134" i="9"/>
  <c r="AI134" i="9"/>
  <c r="AJ134" i="9"/>
  <c r="AK134" i="9"/>
  <c r="AH135" i="9"/>
  <c r="AI135" i="9"/>
  <c r="AJ135" i="9"/>
  <c r="AK135" i="9"/>
  <c r="AH136" i="9"/>
  <c r="AI136" i="9"/>
  <c r="AJ136" i="9"/>
  <c r="AK136" i="9"/>
  <c r="AH137" i="9"/>
  <c r="AI137" i="9"/>
  <c r="AJ137" i="9"/>
  <c r="AK137" i="9"/>
  <c r="AH138" i="9"/>
  <c r="AI138" i="9"/>
  <c r="AJ138" i="9"/>
  <c r="AK138" i="9"/>
  <c r="AH139" i="9"/>
  <c r="AI139" i="9"/>
  <c r="AJ139" i="9"/>
  <c r="AK139" i="9"/>
  <c r="AH140" i="9"/>
  <c r="AI140" i="9"/>
  <c r="AJ140" i="9"/>
  <c r="AK140" i="9"/>
  <c r="AH141" i="9"/>
  <c r="AI141" i="9"/>
  <c r="AJ141" i="9"/>
  <c r="AK141" i="9"/>
  <c r="AH142" i="9"/>
  <c r="AI142" i="9"/>
  <c r="AJ142" i="9"/>
  <c r="AK142" i="9"/>
  <c r="AH143" i="9"/>
  <c r="AI143" i="9"/>
  <c r="AJ143" i="9"/>
  <c r="AK143" i="9"/>
  <c r="AH144" i="9"/>
  <c r="AI144" i="9"/>
  <c r="AJ144" i="9"/>
  <c r="AK144" i="9"/>
  <c r="AH145" i="9"/>
  <c r="AI145" i="9"/>
  <c r="AJ145" i="9"/>
  <c r="AK145" i="9"/>
  <c r="AH146" i="9"/>
  <c r="AI146" i="9"/>
  <c r="AJ146" i="9"/>
  <c r="AK146" i="9"/>
  <c r="AH147" i="9"/>
  <c r="AI147" i="9"/>
  <c r="AJ147" i="9"/>
  <c r="AK147" i="9"/>
  <c r="AH148" i="9"/>
  <c r="AI148" i="9"/>
  <c r="AJ148" i="9"/>
  <c r="AK148" i="9"/>
  <c r="AH149" i="9"/>
  <c r="AI149" i="9"/>
  <c r="AJ149" i="9"/>
  <c r="AK149" i="9"/>
  <c r="AH150" i="9"/>
  <c r="AI150" i="9"/>
  <c r="AJ150" i="9"/>
  <c r="AK150" i="9"/>
  <c r="AH151" i="9"/>
  <c r="AI151" i="9"/>
  <c r="AJ151" i="9"/>
  <c r="AK151" i="9"/>
  <c r="AH152" i="9"/>
  <c r="AI152" i="9"/>
  <c r="AJ152" i="9"/>
  <c r="AK152" i="9"/>
  <c r="AH153" i="9"/>
  <c r="AI153" i="9"/>
  <c r="AJ153" i="9"/>
  <c r="AK153" i="9"/>
  <c r="AH154" i="9"/>
  <c r="AI154" i="9"/>
  <c r="AJ154" i="9"/>
  <c r="AK154" i="9"/>
  <c r="AH155" i="9"/>
  <c r="AI155" i="9"/>
  <c r="AJ155" i="9"/>
  <c r="AK155" i="9"/>
  <c r="AH156" i="9"/>
  <c r="AI156" i="9"/>
  <c r="AJ156" i="9"/>
  <c r="AK156" i="9"/>
  <c r="AH157" i="9"/>
  <c r="AI157" i="9"/>
  <c r="AJ157" i="9"/>
  <c r="AK157" i="9"/>
  <c r="AH158" i="9"/>
  <c r="AI158" i="9"/>
  <c r="AJ158" i="9"/>
  <c r="AK158" i="9"/>
  <c r="AH159" i="9"/>
  <c r="AI159" i="9"/>
  <c r="AJ159" i="9"/>
  <c r="AK159" i="9"/>
  <c r="AH160" i="9"/>
  <c r="AI160" i="9"/>
  <c r="AJ160" i="9"/>
  <c r="AK160" i="9"/>
  <c r="AH161" i="9"/>
  <c r="AI161" i="9"/>
  <c r="AJ161" i="9"/>
  <c r="AK161" i="9"/>
  <c r="AH162" i="9"/>
  <c r="AI162" i="9"/>
  <c r="AJ162" i="9"/>
  <c r="AK162" i="9"/>
  <c r="AH163" i="9"/>
  <c r="AI163" i="9"/>
  <c r="AJ163" i="9"/>
  <c r="AK163" i="9"/>
  <c r="AH164" i="9"/>
  <c r="AI164" i="9"/>
  <c r="AJ164" i="9"/>
  <c r="AK164" i="9"/>
  <c r="AH165" i="9"/>
  <c r="AI165" i="9"/>
  <c r="AJ165" i="9"/>
  <c r="AK165" i="9"/>
  <c r="AH166" i="9"/>
  <c r="AI166" i="9"/>
  <c r="AJ166" i="9"/>
  <c r="AK166" i="9"/>
  <c r="AH167" i="9"/>
  <c r="AI167" i="9"/>
  <c r="AJ167" i="9"/>
  <c r="AK167" i="9"/>
  <c r="AH168" i="9"/>
  <c r="AI168" i="9"/>
  <c r="AJ168" i="9"/>
  <c r="AK168" i="9"/>
  <c r="AH169" i="9"/>
  <c r="AI169" i="9"/>
  <c r="AJ169" i="9"/>
  <c r="AK169" i="9"/>
  <c r="AH170" i="9"/>
  <c r="AI170" i="9"/>
  <c r="AJ170" i="9"/>
  <c r="AK170" i="9"/>
  <c r="AH171" i="9"/>
  <c r="AI171" i="9"/>
  <c r="AJ171" i="9"/>
  <c r="AK171" i="9"/>
  <c r="AH172" i="9"/>
  <c r="AI172" i="9"/>
  <c r="AJ172" i="9"/>
  <c r="AK172" i="9"/>
  <c r="AH173" i="9"/>
  <c r="AI173" i="9"/>
  <c r="AJ173" i="9"/>
  <c r="AK173" i="9"/>
  <c r="AH174" i="9"/>
  <c r="AI174" i="9"/>
  <c r="AJ174" i="9"/>
  <c r="AK174" i="9"/>
  <c r="AH175" i="9"/>
  <c r="AI175" i="9"/>
  <c r="AJ175" i="9"/>
  <c r="AK175" i="9"/>
  <c r="AH176" i="9"/>
  <c r="AI176" i="9"/>
  <c r="AJ176" i="9"/>
  <c r="AK176" i="9"/>
  <c r="AH177" i="9"/>
  <c r="AI177" i="9"/>
  <c r="AJ177" i="9"/>
  <c r="AK177" i="9"/>
  <c r="AH178" i="9"/>
  <c r="AI178" i="9"/>
  <c r="AJ178" i="9"/>
  <c r="AK178" i="9"/>
  <c r="AH179" i="9"/>
  <c r="AI179" i="9"/>
  <c r="AJ179" i="9"/>
  <c r="AK179" i="9"/>
  <c r="AH180" i="9"/>
  <c r="AI180" i="9"/>
  <c r="AJ180" i="9"/>
  <c r="AK180" i="9"/>
  <c r="AH181" i="9"/>
  <c r="AI181" i="9"/>
  <c r="AJ181" i="9"/>
  <c r="AK181" i="9"/>
  <c r="AH182" i="9"/>
  <c r="AI182" i="9"/>
  <c r="AJ182" i="9"/>
  <c r="AK182" i="9"/>
  <c r="AH183" i="9"/>
  <c r="AI183" i="9"/>
  <c r="N49" i="12" s="1"/>
  <c r="AJ183" i="9"/>
  <c r="Q49" i="12" s="1"/>
  <c r="AK183" i="9"/>
  <c r="K49" i="12" s="1"/>
  <c r="AH184" i="9"/>
  <c r="AI184" i="9"/>
  <c r="AJ184" i="9"/>
  <c r="AK184" i="9"/>
  <c r="AH185" i="9"/>
  <c r="AI185" i="9"/>
  <c r="AJ185" i="9"/>
  <c r="AK185" i="9"/>
  <c r="AH186" i="9"/>
  <c r="AI186" i="9"/>
  <c r="AJ186" i="9"/>
  <c r="AK186" i="9"/>
  <c r="AH187" i="9"/>
  <c r="AI187" i="9"/>
  <c r="AJ187" i="9"/>
  <c r="AK187" i="9"/>
  <c r="AH188" i="9"/>
  <c r="AI188" i="9"/>
  <c r="AJ188" i="9"/>
  <c r="AK188" i="9"/>
  <c r="AH189" i="9"/>
  <c r="AI189" i="9"/>
  <c r="AJ189" i="9"/>
  <c r="AK189" i="9"/>
  <c r="AH190" i="9"/>
  <c r="AI190" i="9"/>
  <c r="AJ190" i="9"/>
  <c r="AK190" i="9"/>
  <c r="AH191" i="9"/>
  <c r="AI191" i="9"/>
  <c r="AJ191" i="9"/>
  <c r="AK191" i="9"/>
  <c r="AH192" i="9"/>
  <c r="AI192" i="9"/>
  <c r="AJ192" i="9"/>
  <c r="AK192" i="9"/>
  <c r="AH193" i="9"/>
  <c r="AI193" i="9"/>
  <c r="AJ193" i="9"/>
  <c r="AK193" i="9"/>
  <c r="AH194" i="9"/>
  <c r="AI194" i="9"/>
  <c r="AJ194" i="9"/>
  <c r="AK194" i="9"/>
  <c r="AH195" i="9"/>
  <c r="AI195" i="9"/>
  <c r="AJ195" i="9"/>
  <c r="AK195" i="9"/>
  <c r="AH196" i="9"/>
  <c r="AI196" i="9"/>
  <c r="AJ196" i="9"/>
  <c r="AK196" i="9"/>
  <c r="AH197" i="9"/>
  <c r="AI197" i="9"/>
  <c r="AJ197" i="9"/>
  <c r="AK197" i="9"/>
  <c r="AH198" i="9"/>
  <c r="AI198" i="9"/>
  <c r="AJ198" i="9"/>
  <c r="AK198" i="9"/>
  <c r="AH199" i="9"/>
  <c r="AI199" i="9"/>
  <c r="AJ199" i="9"/>
  <c r="AK199" i="9"/>
  <c r="AH200" i="9"/>
  <c r="AI200" i="9"/>
  <c r="AJ200" i="9"/>
  <c r="AK200" i="9"/>
  <c r="AH201" i="9"/>
  <c r="AI201" i="9"/>
  <c r="AJ201" i="9"/>
  <c r="AK201" i="9"/>
  <c r="AH202" i="9"/>
  <c r="AI202" i="9"/>
  <c r="AJ202" i="9"/>
  <c r="AK202" i="9"/>
  <c r="AH203" i="9"/>
  <c r="AI203" i="9"/>
  <c r="AJ203" i="9"/>
  <c r="AK203" i="9"/>
  <c r="AH204" i="9"/>
  <c r="AI204" i="9"/>
  <c r="AJ204" i="9"/>
  <c r="AK204" i="9"/>
  <c r="AH205" i="9"/>
  <c r="AI205" i="9"/>
  <c r="AJ205" i="9"/>
  <c r="AK205" i="9"/>
  <c r="AH206" i="9"/>
  <c r="AI206" i="9"/>
  <c r="AJ206" i="9"/>
  <c r="AK206" i="9"/>
  <c r="AH207" i="9"/>
  <c r="AI207" i="9"/>
  <c r="AJ207" i="9"/>
  <c r="AK207" i="9"/>
  <c r="AH208" i="9"/>
  <c r="AI208" i="9"/>
  <c r="AJ208" i="9"/>
  <c r="AK208" i="9"/>
  <c r="AH209" i="9"/>
  <c r="AI209" i="9"/>
  <c r="AJ209" i="9"/>
  <c r="AK209" i="9"/>
  <c r="AH210" i="9"/>
  <c r="AI210" i="9"/>
  <c r="AJ210" i="9"/>
  <c r="AK210" i="9"/>
  <c r="AH211" i="9"/>
  <c r="AI211" i="9"/>
  <c r="AJ211" i="9"/>
  <c r="AK211" i="9"/>
  <c r="AH212" i="9"/>
  <c r="AI212" i="9"/>
  <c r="AJ212" i="9"/>
  <c r="AK212" i="9"/>
  <c r="AH213" i="9"/>
  <c r="AI213" i="9"/>
  <c r="AJ213" i="9"/>
  <c r="AK213" i="9"/>
  <c r="AH214" i="9"/>
  <c r="AI214" i="9"/>
  <c r="AJ214" i="9"/>
  <c r="AK214" i="9"/>
  <c r="AH215" i="9"/>
  <c r="AI215" i="9"/>
  <c r="AJ215" i="9"/>
  <c r="AK215" i="9"/>
  <c r="AH216" i="9"/>
  <c r="AI216" i="9"/>
  <c r="AJ216" i="9"/>
  <c r="AK216" i="9"/>
  <c r="AH217" i="9"/>
  <c r="AI217" i="9"/>
  <c r="AJ217" i="9"/>
  <c r="AK217" i="9"/>
  <c r="AH218" i="9"/>
  <c r="AI218" i="9"/>
  <c r="AJ218" i="9"/>
  <c r="AK218" i="9"/>
  <c r="AH219" i="9"/>
  <c r="AI219" i="9"/>
  <c r="AJ219" i="9"/>
  <c r="AK219" i="9"/>
  <c r="AH220" i="9"/>
  <c r="AI220" i="9"/>
  <c r="AJ220" i="9"/>
  <c r="AK220" i="9"/>
  <c r="AH221" i="9"/>
  <c r="AI221" i="9"/>
  <c r="AJ221" i="9"/>
  <c r="AK221" i="9"/>
  <c r="AH222" i="9"/>
  <c r="AI222" i="9"/>
  <c r="AJ222" i="9"/>
  <c r="AK222" i="9"/>
  <c r="AH223" i="9"/>
  <c r="AI223" i="9"/>
  <c r="AJ223" i="9"/>
  <c r="AK223" i="9"/>
  <c r="AH224" i="9"/>
  <c r="AI224" i="9"/>
  <c r="AJ224" i="9"/>
  <c r="AK224" i="9"/>
  <c r="AH225" i="9"/>
  <c r="AI225" i="9"/>
  <c r="AJ225" i="9"/>
  <c r="AK225" i="9"/>
  <c r="AH226" i="9"/>
  <c r="AI226" i="9"/>
  <c r="AJ226" i="9"/>
  <c r="AK226" i="9"/>
  <c r="AH227" i="9"/>
  <c r="AI227" i="9"/>
  <c r="AJ227" i="9"/>
  <c r="AK227" i="9"/>
  <c r="AH228" i="9"/>
  <c r="AI228" i="9"/>
  <c r="AJ228" i="9"/>
  <c r="AK228" i="9"/>
  <c r="AH229" i="9"/>
  <c r="AI229" i="9"/>
  <c r="AJ229" i="9"/>
  <c r="AK229" i="9"/>
  <c r="AH230" i="9"/>
  <c r="AI230" i="9"/>
  <c r="AJ230" i="9"/>
  <c r="AK230" i="9"/>
  <c r="AH231" i="9"/>
  <c r="AI231" i="9"/>
  <c r="AJ231" i="9"/>
  <c r="AK231" i="9"/>
  <c r="AH232" i="9"/>
  <c r="AI232" i="9"/>
  <c r="AJ232" i="9"/>
  <c r="AK232" i="9"/>
  <c r="AH233" i="9"/>
  <c r="AI233" i="9"/>
  <c r="AJ233" i="9"/>
  <c r="AK233" i="9"/>
  <c r="AH234" i="9"/>
  <c r="AI234" i="9"/>
  <c r="AJ234" i="9"/>
  <c r="AK234" i="9"/>
  <c r="AH235" i="9"/>
  <c r="AI235" i="9"/>
  <c r="AJ235" i="9"/>
  <c r="AK235" i="9"/>
  <c r="AH236" i="9"/>
  <c r="AI236" i="9"/>
  <c r="AJ236" i="9"/>
  <c r="AK236" i="9"/>
  <c r="AH237" i="9"/>
  <c r="AI237" i="9"/>
  <c r="AJ237" i="9"/>
  <c r="AK237" i="9"/>
  <c r="AH238" i="9"/>
  <c r="AI238" i="9"/>
  <c r="AJ238" i="9"/>
  <c r="AK238" i="9"/>
  <c r="AH239" i="9"/>
  <c r="AI239" i="9"/>
  <c r="AJ239" i="9"/>
  <c r="AK239" i="9"/>
  <c r="AH240" i="9"/>
  <c r="AI240" i="9"/>
  <c r="AJ240" i="9"/>
  <c r="AK240" i="9"/>
  <c r="AH241" i="9"/>
  <c r="AI241" i="9"/>
  <c r="AJ241" i="9"/>
  <c r="AK241" i="9"/>
  <c r="AH242" i="9"/>
  <c r="AI242" i="9"/>
  <c r="AJ242" i="9"/>
  <c r="AK242" i="9"/>
  <c r="AH243" i="9"/>
  <c r="AI243" i="9"/>
  <c r="AJ243" i="9"/>
  <c r="AK243" i="9"/>
  <c r="AH244" i="9"/>
  <c r="AI244" i="9"/>
  <c r="AJ244" i="9"/>
  <c r="AK244" i="9"/>
  <c r="AH245" i="9"/>
  <c r="AI245" i="9"/>
  <c r="AJ245" i="9"/>
  <c r="AK245" i="9"/>
  <c r="AH246" i="9"/>
  <c r="AI246" i="9"/>
  <c r="AJ246" i="9"/>
  <c r="AK246" i="9"/>
  <c r="AH247" i="9"/>
  <c r="AI247" i="9"/>
  <c r="AJ247" i="9"/>
  <c r="AK247" i="9"/>
  <c r="AH248" i="9"/>
  <c r="AI248" i="9"/>
  <c r="AJ248" i="9"/>
  <c r="AK248" i="9"/>
  <c r="AH249" i="9"/>
  <c r="AI249" i="9"/>
  <c r="AJ249" i="9"/>
  <c r="AK249" i="9"/>
  <c r="AH250" i="9"/>
  <c r="AI250" i="9"/>
  <c r="AJ250" i="9"/>
  <c r="AK250" i="9"/>
  <c r="AH251" i="9"/>
  <c r="AI251" i="9"/>
  <c r="AJ251" i="9"/>
  <c r="AK251" i="9"/>
  <c r="AH252" i="9"/>
  <c r="AI252" i="9"/>
  <c r="AJ252" i="9"/>
  <c r="AK252" i="9"/>
  <c r="AH253" i="9"/>
  <c r="AI253" i="9"/>
  <c r="N6" i="12" s="1"/>
  <c r="AJ253" i="9"/>
  <c r="Q6" i="12" s="1"/>
  <c r="AK253" i="9"/>
  <c r="K6" i="12" s="1"/>
  <c r="AH254" i="9"/>
  <c r="AI254" i="9"/>
  <c r="AJ254" i="9"/>
  <c r="AK254" i="9"/>
  <c r="AH255" i="9"/>
  <c r="AI255" i="9"/>
  <c r="AJ255" i="9"/>
  <c r="AK255" i="9"/>
  <c r="AH256" i="9"/>
  <c r="AI256" i="9"/>
  <c r="AJ256" i="9"/>
  <c r="AK256" i="9"/>
  <c r="AH257" i="9"/>
  <c r="AI257" i="9"/>
  <c r="AJ257" i="9"/>
  <c r="AK257" i="9"/>
  <c r="AH258" i="9"/>
  <c r="AI258" i="9"/>
  <c r="AJ258" i="9"/>
  <c r="AK258" i="9"/>
  <c r="AH259" i="9"/>
  <c r="AI259" i="9"/>
  <c r="N8" i="12" s="1"/>
  <c r="AJ259" i="9"/>
  <c r="Q8" i="12" s="1"/>
  <c r="AK259" i="9"/>
  <c r="K8" i="12" s="1"/>
  <c r="AH260" i="9"/>
  <c r="AI260" i="9"/>
  <c r="AJ260" i="9"/>
  <c r="AK260" i="9"/>
  <c r="AH261" i="9"/>
  <c r="AI261" i="9"/>
  <c r="AJ261" i="9"/>
  <c r="AK261" i="9"/>
  <c r="AH262" i="9"/>
  <c r="AI262" i="9"/>
  <c r="AJ262" i="9"/>
  <c r="AK262" i="9"/>
  <c r="AH263" i="9"/>
  <c r="AI263" i="9"/>
  <c r="AJ263" i="9"/>
  <c r="AK263" i="9"/>
  <c r="AH264" i="9"/>
  <c r="AI264" i="9"/>
  <c r="AJ264" i="9"/>
  <c r="AK264" i="9"/>
  <c r="AH265" i="9"/>
  <c r="AI265" i="9"/>
  <c r="AJ265" i="9"/>
  <c r="AK265" i="9"/>
  <c r="AH266" i="9"/>
  <c r="AI266" i="9"/>
  <c r="N32" i="12" s="1"/>
  <c r="AJ266" i="9"/>
  <c r="Q32" i="12" s="1"/>
  <c r="AK266" i="9"/>
  <c r="K32" i="12" s="1"/>
  <c r="AH267" i="9"/>
  <c r="AI267" i="9"/>
  <c r="AJ267" i="9"/>
  <c r="AK267" i="9"/>
  <c r="AH268" i="9"/>
  <c r="AI268" i="9"/>
  <c r="AJ268" i="9"/>
  <c r="AK268" i="9"/>
  <c r="AH269" i="9"/>
  <c r="AI269" i="9"/>
  <c r="AJ269" i="9"/>
  <c r="AK269" i="9"/>
  <c r="AH270" i="9"/>
  <c r="AI270" i="9"/>
  <c r="AJ270" i="9"/>
  <c r="AK270" i="9"/>
  <c r="AH271" i="9"/>
  <c r="AI271" i="9"/>
  <c r="AJ271" i="9"/>
  <c r="AK271" i="9"/>
  <c r="AH272" i="9"/>
  <c r="AI272" i="9"/>
  <c r="AJ272" i="9"/>
  <c r="AK272" i="9"/>
  <c r="AH273" i="9"/>
  <c r="AI273" i="9"/>
  <c r="AJ273" i="9"/>
  <c r="AK273" i="9"/>
  <c r="AH274" i="9"/>
  <c r="AI274" i="9"/>
  <c r="AJ274" i="9"/>
  <c r="AK274" i="9"/>
  <c r="AH275" i="9"/>
  <c r="AI275" i="9"/>
  <c r="AJ275" i="9"/>
  <c r="AK275" i="9"/>
  <c r="AH276" i="9"/>
  <c r="AI276" i="9"/>
  <c r="AJ276" i="9"/>
  <c r="AK276" i="9"/>
  <c r="AH277" i="9"/>
  <c r="AI277" i="9"/>
  <c r="AJ277" i="9"/>
  <c r="AK277" i="9"/>
  <c r="AH278" i="9"/>
  <c r="AI278" i="9"/>
  <c r="AJ278" i="9"/>
  <c r="AK278" i="9"/>
  <c r="AH279" i="9"/>
  <c r="AI279" i="9"/>
  <c r="AJ279" i="9"/>
  <c r="AK279" i="9"/>
  <c r="AH280" i="9"/>
  <c r="AI280" i="9"/>
  <c r="AJ280" i="9"/>
  <c r="AK280" i="9"/>
  <c r="AH281" i="9"/>
  <c r="AI281" i="9"/>
  <c r="AJ281" i="9"/>
  <c r="AK281" i="9"/>
  <c r="AH282" i="9"/>
  <c r="AI282" i="9"/>
  <c r="AJ282" i="9"/>
  <c r="AK282" i="9"/>
  <c r="AH283" i="9"/>
  <c r="AI283" i="9"/>
  <c r="AJ283" i="9"/>
  <c r="AK283" i="9"/>
  <c r="AH284" i="9"/>
  <c r="AI284" i="9"/>
  <c r="AJ284" i="9"/>
  <c r="AK284" i="9"/>
  <c r="AH285" i="9"/>
  <c r="AI285" i="9"/>
  <c r="AJ285" i="9"/>
  <c r="AK285" i="9"/>
  <c r="AH286" i="9"/>
  <c r="AI286" i="9"/>
  <c r="AJ286" i="9"/>
  <c r="AK286" i="9"/>
  <c r="AH287" i="9"/>
  <c r="AI287" i="9"/>
  <c r="AJ287" i="9"/>
  <c r="AK287" i="9"/>
  <c r="AH288" i="9"/>
  <c r="AI288" i="9"/>
  <c r="AJ288" i="9"/>
  <c r="AK288" i="9"/>
  <c r="AH289" i="9"/>
  <c r="AI289" i="9"/>
  <c r="AJ289" i="9"/>
  <c r="AK289" i="9"/>
  <c r="AH290" i="9"/>
  <c r="AI290" i="9"/>
  <c r="AJ290" i="9"/>
  <c r="AK290" i="9"/>
  <c r="AH291" i="9"/>
  <c r="AI291" i="9"/>
  <c r="AJ291" i="9"/>
  <c r="AK291" i="9"/>
  <c r="AH292" i="9"/>
  <c r="AI292" i="9"/>
  <c r="AJ292" i="9"/>
  <c r="AK292" i="9"/>
  <c r="AH293" i="9"/>
  <c r="AI293" i="9"/>
  <c r="AJ293" i="9"/>
  <c r="AK293" i="9"/>
  <c r="AH294" i="9"/>
  <c r="AI294" i="9"/>
  <c r="AJ294" i="9"/>
  <c r="AK294" i="9"/>
  <c r="AH295" i="9"/>
  <c r="AI295" i="9"/>
  <c r="AJ295" i="9"/>
  <c r="AK295" i="9"/>
  <c r="AH296" i="9"/>
  <c r="AI296" i="9"/>
  <c r="AJ296" i="9"/>
  <c r="AK296" i="9"/>
  <c r="AH297" i="9"/>
  <c r="AI297" i="9"/>
  <c r="AJ297" i="9"/>
  <c r="AK297" i="9"/>
  <c r="AH298" i="9"/>
  <c r="AI298" i="9"/>
  <c r="AJ298" i="9"/>
  <c r="AK298" i="9"/>
  <c r="AH299" i="9"/>
  <c r="AI299" i="9"/>
  <c r="AJ299" i="9"/>
  <c r="AK299" i="9"/>
  <c r="AH300" i="9"/>
  <c r="AI300" i="9"/>
  <c r="AJ300" i="9"/>
  <c r="AK300" i="9"/>
  <c r="AH301" i="9"/>
  <c r="AI301" i="9"/>
  <c r="AJ301" i="9"/>
  <c r="AK301" i="9"/>
  <c r="AH302" i="9"/>
  <c r="AI302" i="9"/>
  <c r="AJ302" i="9"/>
  <c r="AK302" i="9"/>
  <c r="AH303" i="9"/>
  <c r="AI303" i="9"/>
  <c r="AJ303" i="9"/>
  <c r="AK303" i="9"/>
  <c r="AH304" i="9"/>
  <c r="AI304" i="9"/>
  <c r="AJ304" i="9"/>
  <c r="AK304" i="9"/>
  <c r="AH305" i="9"/>
  <c r="AI305" i="9"/>
  <c r="AJ305" i="9"/>
  <c r="AK305" i="9"/>
  <c r="AH306" i="9"/>
  <c r="AI306" i="9"/>
  <c r="AJ306" i="9"/>
  <c r="AK306" i="9"/>
  <c r="AH307" i="9"/>
  <c r="AI307" i="9"/>
  <c r="AJ307" i="9"/>
  <c r="AK307" i="9"/>
  <c r="AH308" i="9"/>
  <c r="AI308" i="9"/>
  <c r="AJ308" i="9"/>
  <c r="AK308" i="9"/>
  <c r="AH309" i="9"/>
  <c r="AI309" i="9"/>
  <c r="AJ309" i="9"/>
  <c r="AK309" i="9"/>
  <c r="AH310" i="9"/>
  <c r="AI310" i="9"/>
  <c r="AJ310" i="9"/>
  <c r="AK310" i="9"/>
  <c r="AH311" i="9"/>
  <c r="AI311" i="9"/>
  <c r="AJ311" i="9"/>
  <c r="AK311" i="9"/>
  <c r="AH312" i="9"/>
  <c r="AI312" i="9"/>
  <c r="AJ312" i="9"/>
  <c r="AK312" i="9"/>
  <c r="AH313" i="9"/>
  <c r="AI313" i="9"/>
  <c r="AJ313" i="9"/>
  <c r="AK313" i="9"/>
  <c r="AH314" i="9"/>
  <c r="AI314" i="9"/>
  <c r="AJ314" i="9"/>
  <c r="AK314" i="9"/>
  <c r="AH315" i="9"/>
  <c r="AI315" i="9"/>
  <c r="AJ315" i="9"/>
  <c r="AK315" i="9"/>
  <c r="AH316" i="9"/>
  <c r="AI316" i="9"/>
  <c r="AJ316" i="9"/>
  <c r="AK316" i="9"/>
  <c r="AH317" i="9"/>
  <c r="AI317" i="9"/>
  <c r="AJ317" i="9"/>
  <c r="AK317" i="9"/>
  <c r="AH318" i="9"/>
  <c r="AI318" i="9"/>
  <c r="AJ318" i="9"/>
  <c r="AK318" i="9"/>
  <c r="AH319" i="9"/>
  <c r="AI319" i="9"/>
  <c r="AJ319" i="9"/>
  <c r="AK319" i="9"/>
  <c r="AH320" i="9"/>
  <c r="AI320" i="9"/>
  <c r="AJ320" i="9"/>
  <c r="AK320" i="9"/>
  <c r="AH321" i="9"/>
  <c r="AI321" i="9"/>
  <c r="AJ321" i="9"/>
  <c r="AK321" i="9"/>
  <c r="AH322" i="9"/>
  <c r="AI322" i="9"/>
  <c r="AJ322" i="9"/>
  <c r="AK322" i="9"/>
  <c r="AH323" i="9"/>
  <c r="AI323" i="9"/>
  <c r="AJ323" i="9"/>
  <c r="AK323" i="9"/>
  <c r="AH324" i="9"/>
  <c r="AI324" i="9"/>
  <c r="AJ324" i="9"/>
  <c r="AK324" i="9"/>
  <c r="AH325" i="9"/>
  <c r="AI325" i="9"/>
  <c r="N35" i="12" s="1"/>
  <c r="AJ325" i="9"/>
  <c r="Q35" i="12" s="1"/>
  <c r="AK325" i="9"/>
  <c r="K35" i="12" s="1"/>
  <c r="AH326" i="9"/>
  <c r="AI326" i="9"/>
  <c r="AJ326" i="9"/>
  <c r="AK326" i="9"/>
  <c r="AH327" i="9"/>
  <c r="AI327" i="9"/>
  <c r="AJ327" i="9"/>
  <c r="AK327" i="9"/>
  <c r="AH328" i="9"/>
  <c r="AI328" i="9"/>
  <c r="AJ328" i="9"/>
  <c r="AK328" i="9"/>
  <c r="AH329" i="9"/>
  <c r="AI329" i="9"/>
  <c r="AJ329" i="9"/>
  <c r="AK329" i="9"/>
  <c r="AH330" i="9"/>
  <c r="AI330" i="9"/>
  <c r="AJ330" i="9"/>
  <c r="AK330" i="9"/>
  <c r="AH331" i="9"/>
  <c r="AI331" i="9"/>
  <c r="AJ331" i="9"/>
  <c r="AK331" i="9"/>
  <c r="AH332" i="9"/>
  <c r="AI332" i="9"/>
  <c r="AJ332" i="9"/>
  <c r="AK332" i="9"/>
  <c r="AH333" i="9"/>
  <c r="AI333" i="9"/>
  <c r="AJ333" i="9"/>
  <c r="AK333" i="9"/>
  <c r="AH334" i="9"/>
  <c r="AI334" i="9"/>
  <c r="AJ334" i="9"/>
  <c r="AK334" i="9"/>
  <c r="AH335" i="9"/>
  <c r="AI335" i="9"/>
  <c r="AJ335" i="9"/>
  <c r="AK335" i="9"/>
  <c r="AH336" i="9"/>
  <c r="AI336" i="9"/>
  <c r="AJ336" i="9"/>
  <c r="AK336" i="9"/>
  <c r="AH337" i="9"/>
  <c r="AI337" i="9"/>
  <c r="AJ337" i="9"/>
  <c r="AK337" i="9"/>
  <c r="AH338" i="9"/>
  <c r="AI338" i="9"/>
  <c r="AJ338" i="9"/>
  <c r="AK338" i="9"/>
  <c r="AH339" i="9"/>
  <c r="AI339" i="9"/>
  <c r="AJ339" i="9"/>
  <c r="AK339" i="9"/>
  <c r="AH340" i="9"/>
  <c r="AI340" i="9"/>
  <c r="AJ340" i="9"/>
  <c r="AK340" i="9"/>
  <c r="AH341" i="9"/>
  <c r="AI341" i="9"/>
  <c r="AJ341" i="9"/>
  <c r="AK341" i="9"/>
  <c r="AH342" i="9"/>
  <c r="AI342" i="9"/>
  <c r="AJ342" i="9"/>
  <c r="AK342" i="9"/>
  <c r="AH343" i="9"/>
  <c r="AI343" i="9"/>
  <c r="AJ343" i="9"/>
  <c r="AK343" i="9"/>
  <c r="AH344" i="9"/>
  <c r="AI344" i="9"/>
  <c r="AJ344" i="9"/>
  <c r="AK344" i="9"/>
  <c r="AH345" i="9"/>
  <c r="AI345" i="9"/>
  <c r="AJ345" i="9"/>
  <c r="AK345" i="9"/>
  <c r="AH346" i="9"/>
  <c r="AI346" i="9"/>
  <c r="AJ346" i="9"/>
  <c r="AK346" i="9"/>
  <c r="AH347" i="9"/>
  <c r="AI347" i="9"/>
  <c r="AJ347" i="9"/>
  <c r="AK347" i="9"/>
  <c r="AH348" i="9"/>
  <c r="AI348" i="9"/>
  <c r="AJ348" i="9"/>
  <c r="AK348" i="9"/>
  <c r="AH349" i="9"/>
  <c r="AI349" i="9"/>
  <c r="AJ349" i="9"/>
  <c r="AK349" i="9"/>
  <c r="AH350" i="9"/>
  <c r="AI350" i="9"/>
  <c r="AJ350" i="9"/>
  <c r="AK350" i="9"/>
  <c r="AH351" i="9"/>
  <c r="AI351" i="9"/>
  <c r="AJ351" i="9"/>
  <c r="AK351" i="9"/>
  <c r="AH352" i="9"/>
  <c r="AI352" i="9"/>
  <c r="AJ352" i="9"/>
  <c r="AK352" i="9"/>
  <c r="AH353" i="9"/>
  <c r="AI353" i="9"/>
  <c r="AJ353" i="9"/>
  <c r="AK353" i="9"/>
  <c r="AH354" i="9"/>
  <c r="AI354" i="9"/>
  <c r="AJ354" i="9"/>
  <c r="AK354" i="9"/>
  <c r="AH355" i="9"/>
  <c r="AI355" i="9"/>
  <c r="AJ355" i="9"/>
  <c r="AK355" i="9"/>
  <c r="AH356" i="9"/>
  <c r="AI356" i="9"/>
  <c r="AJ356" i="9"/>
  <c r="AK356" i="9"/>
  <c r="AH357" i="9"/>
  <c r="AI357" i="9"/>
  <c r="AJ357" i="9"/>
  <c r="AK357" i="9"/>
  <c r="AH358" i="9"/>
  <c r="AI358" i="9"/>
  <c r="AJ358" i="9"/>
  <c r="AK358" i="9"/>
  <c r="AH359" i="9"/>
  <c r="AI359" i="9"/>
  <c r="AJ359" i="9"/>
  <c r="AK359" i="9"/>
  <c r="AH360" i="9"/>
  <c r="AI360" i="9"/>
  <c r="AJ360" i="9"/>
  <c r="AK360" i="9"/>
  <c r="AH361" i="9"/>
  <c r="AI361" i="9"/>
  <c r="AJ361" i="9"/>
  <c r="AK361" i="9"/>
  <c r="AH362" i="9"/>
  <c r="AI362" i="9"/>
  <c r="AJ362" i="9"/>
  <c r="AK362" i="9"/>
  <c r="AH363" i="9"/>
  <c r="AI363" i="9"/>
  <c r="AJ363" i="9"/>
  <c r="AK363" i="9"/>
  <c r="AH364" i="9"/>
  <c r="AI364" i="9"/>
  <c r="N13" i="12" s="1"/>
  <c r="AJ364" i="9"/>
  <c r="Q13" i="12" s="1"/>
  <c r="AK364" i="9"/>
  <c r="K13" i="12" s="1"/>
  <c r="AH365" i="9"/>
  <c r="AI365" i="9"/>
  <c r="AJ365" i="9"/>
  <c r="AK365" i="9"/>
  <c r="AH366" i="9"/>
  <c r="AI366" i="9"/>
  <c r="AJ366" i="9"/>
  <c r="AK366" i="9"/>
  <c r="AH367" i="9"/>
  <c r="AI367" i="9"/>
  <c r="AJ367" i="9"/>
  <c r="AK367" i="9"/>
  <c r="AH368" i="9"/>
  <c r="AI368" i="9"/>
  <c r="AJ368" i="9"/>
  <c r="AK368" i="9"/>
  <c r="AH369" i="9"/>
  <c r="AI369" i="9"/>
  <c r="AJ369" i="9"/>
  <c r="AK369" i="9"/>
  <c r="AH370" i="9"/>
  <c r="AI370" i="9"/>
  <c r="AJ370" i="9"/>
  <c r="AK370" i="9"/>
  <c r="AH371" i="9"/>
  <c r="AI371" i="9"/>
  <c r="AJ371" i="9"/>
  <c r="AK371" i="9"/>
  <c r="AH372" i="9"/>
  <c r="AI372" i="9"/>
  <c r="AJ372" i="9"/>
  <c r="AK372" i="9"/>
  <c r="AH373" i="9"/>
  <c r="AI373" i="9"/>
  <c r="AJ373" i="9"/>
  <c r="AK373" i="9"/>
  <c r="AH374" i="9"/>
  <c r="AI374" i="9"/>
  <c r="AJ374" i="9"/>
  <c r="AK374" i="9"/>
  <c r="AH375" i="9"/>
  <c r="AI375" i="9"/>
  <c r="AJ375" i="9"/>
  <c r="AK375" i="9"/>
  <c r="AH376" i="9"/>
  <c r="AI376" i="9"/>
  <c r="AJ376" i="9"/>
  <c r="AK376" i="9"/>
  <c r="AH377" i="9"/>
  <c r="AI377" i="9"/>
  <c r="AJ377" i="9"/>
  <c r="AK377" i="9"/>
  <c r="AH378" i="9"/>
  <c r="AI378" i="9"/>
  <c r="AJ378" i="9"/>
  <c r="AK378" i="9"/>
  <c r="AH379" i="9"/>
  <c r="AI379" i="9"/>
  <c r="AJ379" i="9"/>
  <c r="AK379" i="9"/>
  <c r="AH380" i="9"/>
  <c r="AI380" i="9"/>
  <c r="AJ380" i="9"/>
  <c r="AK380" i="9"/>
  <c r="AH381" i="9"/>
  <c r="AI381" i="9"/>
  <c r="N23" i="12" s="1"/>
  <c r="AJ381" i="9"/>
  <c r="Q23" i="12" s="1"/>
  <c r="AK381" i="9"/>
  <c r="K23" i="12" s="1"/>
  <c r="AH382" i="9"/>
  <c r="AI382" i="9"/>
  <c r="AJ382" i="9"/>
  <c r="AK382" i="9"/>
  <c r="AH383" i="9"/>
  <c r="AI383" i="9"/>
  <c r="AJ383" i="9"/>
  <c r="AK383" i="9"/>
  <c r="AH384" i="9"/>
  <c r="AI384" i="9"/>
  <c r="AJ384" i="9"/>
  <c r="AK384" i="9"/>
  <c r="AH385" i="9"/>
  <c r="AI385" i="9"/>
  <c r="AJ385" i="9"/>
  <c r="AK385" i="9"/>
  <c r="AH386" i="9"/>
  <c r="AI386" i="9"/>
  <c r="AJ386" i="9"/>
  <c r="AK386" i="9"/>
  <c r="AH387" i="9"/>
  <c r="AI387" i="9"/>
  <c r="AJ387" i="9"/>
  <c r="AK387" i="9"/>
  <c r="AH388" i="9"/>
  <c r="AI388" i="9"/>
  <c r="AJ388" i="9"/>
  <c r="AK388" i="9"/>
  <c r="AH389" i="9"/>
  <c r="AI389" i="9"/>
  <c r="AJ389" i="9"/>
  <c r="AK389" i="9"/>
  <c r="AH390" i="9"/>
  <c r="AI390" i="9"/>
  <c r="AJ390" i="9"/>
  <c r="AK390" i="9"/>
  <c r="AH391" i="9"/>
  <c r="AI391" i="9"/>
  <c r="AJ391" i="9"/>
  <c r="AK391" i="9"/>
  <c r="AH392" i="9"/>
  <c r="AI392" i="9"/>
  <c r="AJ392" i="9"/>
  <c r="AK392" i="9"/>
  <c r="AH393" i="9"/>
  <c r="AI393" i="9"/>
  <c r="AJ393" i="9"/>
  <c r="AK393" i="9"/>
  <c r="AH394" i="9"/>
  <c r="AI394" i="9"/>
  <c r="AJ394" i="9"/>
  <c r="AK394" i="9"/>
  <c r="AH395" i="9"/>
  <c r="AI395" i="9"/>
  <c r="AJ395" i="9"/>
  <c r="AK395" i="9"/>
  <c r="AH396" i="9"/>
  <c r="AI396" i="9"/>
  <c r="AJ396" i="9"/>
  <c r="AK396" i="9"/>
  <c r="AH397" i="9"/>
  <c r="AI397" i="9"/>
  <c r="AJ397" i="9"/>
  <c r="AK397" i="9"/>
  <c r="AH398" i="9"/>
  <c r="AI398" i="9"/>
  <c r="AJ398" i="9"/>
  <c r="AK398" i="9"/>
  <c r="AH399" i="9"/>
  <c r="AI399" i="9"/>
  <c r="AJ399" i="9"/>
  <c r="AK399" i="9"/>
  <c r="AH400" i="9"/>
  <c r="AI400" i="9"/>
  <c r="AJ400" i="9"/>
  <c r="AK400" i="9"/>
  <c r="AH401" i="9"/>
  <c r="AI401" i="9"/>
  <c r="AJ401" i="9"/>
  <c r="AK401" i="9"/>
  <c r="AH402" i="9"/>
  <c r="AI402" i="9"/>
  <c r="AJ402" i="9"/>
  <c r="AK402" i="9"/>
  <c r="AH403" i="9"/>
  <c r="AI403" i="9"/>
  <c r="AJ403" i="9"/>
  <c r="AK403" i="9"/>
  <c r="AH404" i="9"/>
  <c r="AI404" i="9"/>
  <c r="AJ404" i="9"/>
  <c r="AK404" i="9"/>
  <c r="AH405" i="9"/>
  <c r="AI405" i="9"/>
  <c r="AJ405" i="9"/>
  <c r="AK405" i="9"/>
  <c r="AH406" i="9"/>
  <c r="AI406" i="9"/>
  <c r="AJ406" i="9"/>
  <c r="AK406" i="9"/>
  <c r="AH407" i="9"/>
  <c r="AI407" i="9"/>
  <c r="AJ407" i="9"/>
  <c r="AK407" i="9"/>
  <c r="AH408" i="9"/>
  <c r="AI408" i="9"/>
  <c r="AJ408" i="9"/>
  <c r="AK408" i="9"/>
  <c r="AH409" i="9"/>
  <c r="AI409" i="9"/>
  <c r="AJ409" i="9"/>
  <c r="AK409" i="9"/>
  <c r="AH410" i="9"/>
  <c r="AI410" i="9"/>
  <c r="AJ410" i="9"/>
  <c r="AK410" i="9"/>
  <c r="AH411" i="9"/>
  <c r="AI411" i="9"/>
  <c r="AJ411" i="9"/>
  <c r="AK411" i="9"/>
  <c r="AH412" i="9"/>
  <c r="AI412" i="9"/>
  <c r="AJ412" i="9"/>
  <c r="AK412" i="9"/>
  <c r="AH413" i="9"/>
  <c r="AI413" i="9"/>
  <c r="AJ413" i="9"/>
  <c r="AK413" i="9"/>
  <c r="AH414" i="9"/>
  <c r="AI414" i="9"/>
  <c r="AJ414" i="9"/>
  <c r="AK414" i="9"/>
  <c r="AH415" i="9"/>
  <c r="AI415" i="9"/>
  <c r="AJ415" i="9"/>
  <c r="AK415" i="9"/>
  <c r="AH416" i="9"/>
  <c r="AI416" i="9"/>
  <c r="AJ416" i="9"/>
  <c r="AK416" i="9"/>
  <c r="AH417" i="9"/>
  <c r="AI417" i="9"/>
  <c r="AJ417" i="9"/>
  <c r="AK417" i="9"/>
  <c r="AH418" i="9"/>
  <c r="AI418" i="9"/>
  <c r="AJ418" i="9"/>
  <c r="AK418" i="9"/>
  <c r="AH419" i="9"/>
  <c r="AI419" i="9"/>
  <c r="AJ419" i="9"/>
  <c r="AK419" i="9"/>
  <c r="AH420" i="9"/>
  <c r="AI420" i="9"/>
  <c r="AJ420" i="9"/>
  <c r="AK420" i="9"/>
  <c r="AH421" i="9"/>
  <c r="AI421" i="9"/>
  <c r="AJ421" i="9"/>
  <c r="AK421" i="9"/>
  <c r="AH422" i="9"/>
  <c r="AI422" i="9"/>
  <c r="AJ422" i="9"/>
  <c r="AK422" i="9"/>
  <c r="AH423" i="9"/>
  <c r="AI423" i="9"/>
  <c r="AJ423" i="9"/>
  <c r="AK423" i="9"/>
  <c r="AH424" i="9"/>
  <c r="AI424" i="9"/>
  <c r="AJ424" i="9"/>
  <c r="AK424" i="9"/>
  <c r="AH425" i="9"/>
  <c r="AI425" i="9"/>
  <c r="AJ425" i="9"/>
  <c r="AK425" i="9"/>
  <c r="AH426" i="9"/>
  <c r="AI426" i="9"/>
  <c r="AJ426" i="9"/>
  <c r="AK426" i="9"/>
  <c r="AH427" i="9"/>
  <c r="AI427" i="9"/>
  <c r="AJ427" i="9"/>
  <c r="AK427" i="9"/>
  <c r="AH428" i="9"/>
  <c r="AI428" i="9"/>
  <c r="AJ428" i="9"/>
  <c r="AK428" i="9"/>
  <c r="AH429" i="9"/>
  <c r="AI429" i="9"/>
  <c r="AJ429" i="9"/>
  <c r="AK429" i="9"/>
  <c r="AH430" i="9"/>
  <c r="AI430" i="9"/>
  <c r="AJ430" i="9"/>
  <c r="AK430" i="9"/>
  <c r="AH431" i="9"/>
  <c r="AI431" i="9"/>
  <c r="AJ431" i="9"/>
  <c r="AK431" i="9"/>
  <c r="AH432" i="9"/>
  <c r="AI432" i="9"/>
  <c r="AJ432" i="9"/>
  <c r="AK432" i="9"/>
  <c r="AH433" i="9"/>
  <c r="AI433" i="9"/>
  <c r="AJ433" i="9"/>
  <c r="AK433" i="9"/>
  <c r="AH434" i="9"/>
  <c r="AI434" i="9"/>
  <c r="AJ434" i="9"/>
  <c r="AK434" i="9"/>
  <c r="AH435" i="9"/>
  <c r="AI435" i="9"/>
  <c r="AJ435" i="9"/>
  <c r="AK435" i="9"/>
  <c r="AH436" i="9"/>
  <c r="AI436" i="9"/>
  <c r="N51" i="12" s="1"/>
  <c r="AJ436" i="9"/>
  <c r="Q51" i="12" s="1"/>
  <c r="AK436" i="9"/>
  <c r="K51" i="12" s="1"/>
  <c r="AH437" i="9"/>
  <c r="AI437" i="9"/>
  <c r="AJ437" i="9"/>
  <c r="AK437" i="9"/>
  <c r="AH438" i="9"/>
  <c r="AI438" i="9"/>
  <c r="AJ438" i="9"/>
  <c r="AK438" i="9"/>
  <c r="AH439" i="9"/>
  <c r="AI439" i="9"/>
  <c r="AJ439" i="9"/>
  <c r="AK439" i="9"/>
  <c r="AH440" i="9"/>
  <c r="AI440" i="9"/>
  <c r="AJ440" i="9"/>
  <c r="AK440" i="9"/>
  <c r="AH441" i="9"/>
  <c r="AI441" i="9"/>
  <c r="AJ441" i="9"/>
  <c r="AK441" i="9"/>
  <c r="AH442" i="9"/>
  <c r="AI442" i="9"/>
  <c r="AJ442" i="9"/>
  <c r="AK442" i="9"/>
  <c r="AH443" i="9"/>
  <c r="AI443" i="9"/>
  <c r="AJ443" i="9"/>
  <c r="AK443" i="9"/>
  <c r="AH444" i="9"/>
  <c r="AI444" i="9"/>
  <c r="AJ444" i="9"/>
  <c r="AK444" i="9"/>
  <c r="AH445" i="9"/>
  <c r="AI445" i="9"/>
  <c r="AJ445" i="9"/>
  <c r="AK445" i="9"/>
  <c r="AH446" i="9"/>
  <c r="AI446" i="9"/>
  <c r="AJ446" i="9"/>
  <c r="AK446" i="9"/>
  <c r="AH447" i="9"/>
  <c r="AI447" i="9"/>
  <c r="AJ447" i="9"/>
  <c r="AK447" i="9"/>
  <c r="AH448" i="9"/>
  <c r="AI448" i="9"/>
  <c r="AJ448" i="9"/>
  <c r="AK448" i="9"/>
  <c r="AH449" i="9"/>
  <c r="AI449" i="9"/>
  <c r="AJ449" i="9"/>
  <c r="AK449" i="9"/>
  <c r="AH450" i="9"/>
  <c r="AI450" i="9"/>
  <c r="AJ450" i="9"/>
  <c r="AK450" i="9"/>
  <c r="AH451" i="9"/>
  <c r="AI451" i="9"/>
  <c r="AJ451" i="9"/>
  <c r="AK451" i="9"/>
  <c r="AH452" i="9"/>
  <c r="AI452" i="9"/>
  <c r="AJ452" i="9"/>
  <c r="AK452" i="9"/>
  <c r="AH453" i="9"/>
  <c r="AI453" i="9"/>
  <c r="AJ453" i="9"/>
  <c r="AK453" i="9"/>
  <c r="AH454" i="9"/>
  <c r="AI454" i="9"/>
  <c r="AJ454" i="9"/>
  <c r="AK454" i="9"/>
  <c r="AH455" i="9"/>
  <c r="AI455" i="9"/>
  <c r="AJ455" i="9"/>
  <c r="AK455" i="9"/>
  <c r="AH456" i="9"/>
  <c r="AI456" i="9"/>
  <c r="AJ456" i="9"/>
  <c r="AK456" i="9"/>
  <c r="AH457" i="9"/>
  <c r="AI457" i="9"/>
  <c r="AJ457" i="9"/>
  <c r="AK457" i="9"/>
  <c r="AH458" i="9"/>
  <c r="AI458" i="9"/>
  <c r="AJ458" i="9"/>
  <c r="AK458" i="9"/>
  <c r="AH459" i="9"/>
  <c r="AI459" i="9"/>
  <c r="AJ459" i="9"/>
  <c r="AK459" i="9"/>
  <c r="AH460" i="9"/>
  <c r="AI460" i="9"/>
  <c r="AJ460" i="9"/>
  <c r="AK460" i="9"/>
  <c r="AH461" i="9"/>
  <c r="AI461" i="9"/>
  <c r="AJ461" i="9"/>
  <c r="AK461" i="9"/>
  <c r="AH462" i="9"/>
  <c r="AI462" i="9"/>
  <c r="AJ462" i="9"/>
  <c r="AK462" i="9"/>
  <c r="AH463" i="9"/>
  <c r="AI463" i="9"/>
  <c r="AJ463" i="9"/>
  <c r="AK463" i="9"/>
  <c r="AH464" i="9"/>
  <c r="AI464" i="9"/>
  <c r="AJ464" i="9"/>
  <c r="AK464" i="9"/>
  <c r="AH465" i="9"/>
  <c r="AI465" i="9"/>
  <c r="AJ465" i="9"/>
  <c r="AK465" i="9"/>
  <c r="AH466" i="9"/>
  <c r="AI466" i="9"/>
  <c r="AJ466" i="9"/>
  <c r="AK466" i="9"/>
  <c r="AH467" i="9"/>
  <c r="AI467" i="9"/>
  <c r="N36" i="12" s="1"/>
  <c r="AJ467" i="9"/>
  <c r="Q36" i="12" s="1"/>
  <c r="AK467" i="9"/>
  <c r="K36" i="12" s="1"/>
  <c r="AH468" i="9"/>
  <c r="AI468" i="9"/>
  <c r="AJ468" i="9"/>
  <c r="AK468" i="9"/>
  <c r="AH469" i="9"/>
  <c r="AI469" i="9"/>
  <c r="AJ469" i="9"/>
  <c r="AK469" i="9"/>
  <c r="AH470" i="9"/>
  <c r="AI470" i="9"/>
  <c r="AJ470" i="9"/>
  <c r="AK470" i="9"/>
  <c r="AH471" i="9"/>
  <c r="AI471" i="9"/>
  <c r="AJ471" i="9"/>
  <c r="AK471" i="9"/>
  <c r="AH472" i="9"/>
  <c r="AI472" i="9"/>
  <c r="AJ472" i="9"/>
  <c r="AK472" i="9"/>
  <c r="AH473" i="9"/>
  <c r="AI473" i="9"/>
  <c r="AJ473" i="9"/>
  <c r="AK473" i="9"/>
  <c r="AH474" i="9"/>
  <c r="AI474" i="9"/>
  <c r="AJ474" i="9"/>
  <c r="AK474" i="9"/>
  <c r="AH475" i="9"/>
  <c r="AI475" i="9"/>
  <c r="AJ475" i="9"/>
  <c r="AK475" i="9"/>
  <c r="AH476" i="9"/>
  <c r="AI476" i="9"/>
  <c r="N50" i="12" s="1"/>
  <c r="AJ476" i="9"/>
  <c r="Q50" i="12" s="1"/>
  <c r="AK476" i="9"/>
  <c r="K50" i="12" s="1"/>
  <c r="AH477" i="9"/>
  <c r="AI477" i="9"/>
  <c r="AJ477" i="9"/>
  <c r="AK477" i="9"/>
  <c r="AH478" i="9"/>
  <c r="AI478" i="9"/>
  <c r="AJ478" i="9"/>
  <c r="AK478" i="9"/>
  <c r="AH479" i="9"/>
  <c r="AI479" i="9"/>
  <c r="AJ479" i="9"/>
  <c r="AK479" i="9"/>
  <c r="AH480" i="9"/>
  <c r="AI480" i="9"/>
  <c r="AJ480" i="9"/>
  <c r="AK480" i="9"/>
  <c r="AH481" i="9"/>
  <c r="AI481" i="9"/>
  <c r="N4" i="12" s="1"/>
  <c r="AJ481" i="9"/>
  <c r="Q4" i="12" s="1"/>
  <c r="AK481" i="9"/>
  <c r="K4" i="12" s="1"/>
  <c r="AH482" i="9"/>
  <c r="AI482" i="9"/>
  <c r="AJ482" i="9"/>
  <c r="AK482" i="9"/>
  <c r="AH483" i="9"/>
  <c r="AI483" i="9"/>
  <c r="AJ483" i="9"/>
  <c r="AK483" i="9"/>
  <c r="AH484" i="9"/>
  <c r="AI484" i="9"/>
  <c r="AJ484" i="9"/>
  <c r="AK484" i="9"/>
  <c r="AH485" i="9"/>
  <c r="AI485" i="9"/>
  <c r="AJ485" i="9"/>
  <c r="AK485" i="9"/>
  <c r="AH486" i="9"/>
  <c r="AI486" i="9"/>
  <c r="AJ486" i="9"/>
  <c r="AK486" i="9"/>
  <c r="AH487" i="9"/>
  <c r="AI487" i="9"/>
  <c r="AJ487" i="9"/>
  <c r="AK487" i="9"/>
  <c r="AH488" i="9"/>
  <c r="AI488" i="9"/>
  <c r="AJ488" i="9"/>
  <c r="AK488" i="9"/>
  <c r="AH489" i="9"/>
  <c r="AI489" i="9"/>
  <c r="AJ489" i="9"/>
  <c r="AK489" i="9"/>
  <c r="AH490" i="9"/>
  <c r="AI490" i="9"/>
  <c r="AJ490" i="9"/>
  <c r="AK490" i="9"/>
  <c r="AH491" i="9"/>
  <c r="AI491" i="9"/>
  <c r="AJ491" i="9"/>
  <c r="AK491" i="9"/>
  <c r="AH492" i="9"/>
  <c r="AI492" i="9"/>
  <c r="AJ492" i="9"/>
  <c r="AK492" i="9"/>
  <c r="AH493" i="9"/>
  <c r="AI493" i="9"/>
  <c r="AJ493" i="9"/>
  <c r="AK493" i="9"/>
  <c r="AH494" i="9"/>
  <c r="AI494" i="9"/>
  <c r="AJ494" i="9"/>
  <c r="AK494" i="9"/>
  <c r="AH495" i="9"/>
  <c r="AI495" i="9"/>
  <c r="AJ495" i="9"/>
  <c r="AK495" i="9"/>
  <c r="AH496" i="9"/>
  <c r="AI496" i="9"/>
  <c r="AJ496" i="9"/>
  <c r="AK496" i="9"/>
  <c r="AH497" i="9"/>
  <c r="AI497" i="9"/>
  <c r="N29" i="12" s="1"/>
  <c r="AJ497" i="9"/>
  <c r="Q29" i="12" s="1"/>
  <c r="AK497" i="9"/>
  <c r="K29" i="12" s="1"/>
  <c r="AH498" i="9"/>
  <c r="AI498" i="9"/>
  <c r="AJ498" i="9"/>
  <c r="AK498" i="9"/>
  <c r="AH499" i="9"/>
  <c r="AI499" i="9"/>
  <c r="AJ499" i="9"/>
  <c r="AK499" i="9"/>
  <c r="AH500" i="9"/>
  <c r="AI500" i="9"/>
  <c r="AJ500" i="9"/>
  <c r="AK500" i="9"/>
  <c r="AH501" i="9"/>
  <c r="AI501" i="9"/>
  <c r="AJ501" i="9"/>
  <c r="AK501" i="9"/>
  <c r="AH502" i="9"/>
  <c r="AI502" i="9"/>
  <c r="N3" i="12" s="1"/>
  <c r="AJ502" i="9"/>
  <c r="Q3" i="12" s="1"/>
  <c r="AK502" i="9"/>
  <c r="AH503" i="9"/>
  <c r="AI503" i="9"/>
  <c r="AJ503" i="9"/>
  <c r="AK503" i="9"/>
  <c r="AH504" i="9"/>
  <c r="AI504" i="9"/>
  <c r="AJ504" i="9"/>
  <c r="AK504" i="9"/>
  <c r="AH505" i="9"/>
  <c r="AI505" i="9"/>
  <c r="AJ505" i="9"/>
  <c r="AK505" i="9"/>
  <c r="AH506" i="9"/>
  <c r="AI506" i="9"/>
  <c r="AJ506" i="9"/>
  <c r="AK506" i="9"/>
  <c r="AH507" i="9"/>
  <c r="AI507" i="9"/>
  <c r="AJ507" i="9"/>
  <c r="AK507" i="9"/>
  <c r="AH508" i="9"/>
  <c r="AI508" i="9"/>
  <c r="AJ508" i="9"/>
  <c r="AK508" i="9"/>
  <c r="AH509" i="9"/>
  <c r="AI509" i="9"/>
  <c r="AJ509" i="9"/>
  <c r="AK509" i="9"/>
  <c r="AH510" i="9"/>
  <c r="AI510" i="9"/>
  <c r="AJ510" i="9"/>
  <c r="AK510" i="9"/>
  <c r="AH511" i="9"/>
  <c r="AI511" i="9"/>
  <c r="AJ511" i="9"/>
  <c r="AK511" i="9"/>
  <c r="AH512" i="9"/>
  <c r="AI512" i="9"/>
  <c r="AJ512" i="9"/>
  <c r="AK512" i="9"/>
  <c r="AH513" i="9"/>
  <c r="AI513" i="9"/>
  <c r="AJ513" i="9"/>
  <c r="AK513" i="9"/>
  <c r="AH514" i="9"/>
  <c r="AI514" i="9"/>
  <c r="AJ514" i="9"/>
  <c r="AK514" i="9"/>
  <c r="AH515" i="9"/>
  <c r="AI515" i="9"/>
  <c r="N12" i="12" s="1"/>
  <c r="AJ515" i="9"/>
  <c r="Q12" i="12" s="1"/>
  <c r="AK515" i="9"/>
  <c r="K12" i="12" s="1"/>
  <c r="AH516" i="9"/>
  <c r="AI516" i="9"/>
  <c r="N19" i="12" s="1"/>
  <c r="AJ516" i="9"/>
  <c r="Q19" i="12" s="1"/>
  <c r="AK516" i="9"/>
  <c r="K19" i="12" s="1"/>
  <c r="AH517" i="9"/>
  <c r="AI517" i="9"/>
  <c r="AJ517" i="9"/>
  <c r="AK517" i="9"/>
  <c r="AH518" i="9"/>
  <c r="AI518" i="9"/>
  <c r="AJ518" i="9"/>
  <c r="AK518" i="9"/>
  <c r="AH519" i="9"/>
  <c r="AI519" i="9"/>
  <c r="AJ519" i="9"/>
  <c r="AK519" i="9"/>
  <c r="AH520" i="9"/>
  <c r="AI520" i="9"/>
  <c r="AJ520" i="9"/>
  <c r="AK520" i="9"/>
  <c r="AH521" i="9"/>
  <c r="AI521" i="9"/>
  <c r="AJ521" i="9"/>
  <c r="AK521" i="9"/>
  <c r="AH522" i="9"/>
  <c r="AI522" i="9"/>
  <c r="AJ522" i="9"/>
  <c r="AK522" i="9"/>
  <c r="AH523" i="9"/>
  <c r="AI523" i="9"/>
  <c r="AJ523" i="9"/>
  <c r="AK523" i="9"/>
  <c r="AH524" i="9"/>
  <c r="AI524" i="9"/>
  <c r="AJ524" i="9"/>
  <c r="AK524" i="9"/>
  <c r="AH525" i="9"/>
  <c r="AI525" i="9"/>
  <c r="AJ525" i="9"/>
  <c r="AK525" i="9"/>
  <c r="AH526" i="9"/>
  <c r="AI526" i="9"/>
  <c r="AJ526" i="9"/>
  <c r="AK526" i="9"/>
  <c r="AH527" i="9"/>
  <c r="AI527" i="9"/>
  <c r="N42" i="12" s="1"/>
  <c r="AJ527" i="9"/>
  <c r="Q42" i="12" s="1"/>
  <c r="AK527" i="9"/>
  <c r="K42" i="12" s="1"/>
  <c r="AH528" i="9"/>
  <c r="AI528" i="9"/>
  <c r="AJ528" i="9"/>
  <c r="AK528" i="9"/>
  <c r="AH529" i="9"/>
  <c r="AI529" i="9"/>
  <c r="AJ529" i="9"/>
  <c r="AK529" i="9"/>
  <c r="AH530" i="9"/>
  <c r="AI530" i="9"/>
  <c r="AJ530" i="9"/>
  <c r="AK530" i="9"/>
  <c r="AH531" i="9"/>
  <c r="AI531" i="9"/>
  <c r="AJ531" i="9"/>
  <c r="AK531" i="9"/>
  <c r="AH532" i="9"/>
  <c r="AI532" i="9"/>
  <c r="AJ532" i="9"/>
  <c r="AK532" i="9"/>
  <c r="AH533" i="9"/>
  <c r="AI533" i="9"/>
  <c r="AJ533" i="9"/>
  <c r="AK533" i="9"/>
  <c r="AH534" i="9"/>
  <c r="AI534" i="9"/>
  <c r="AJ534" i="9"/>
  <c r="AK534" i="9"/>
  <c r="AH535" i="9"/>
  <c r="AI535" i="9"/>
  <c r="AJ535" i="9"/>
  <c r="AK535" i="9"/>
  <c r="AH536" i="9"/>
  <c r="AI536" i="9"/>
  <c r="AJ536" i="9"/>
  <c r="AK536" i="9"/>
  <c r="AH537" i="9"/>
  <c r="AI537" i="9"/>
  <c r="AJ537" i="9"/>
  <c r="AK537" i="9"/>
  <c r="AH538" i="9"/>
  <c r="AI538" i="9"/>
  <c r="AJ538" i="9"/>
  <c r="AK538" i="9"/>
  <c r="AH539" i="9"/>
  <c r="AI539" i="9"/>
  <c r="AJ539" i="9"/>
  <c r="AK539" i="9"/>
  <c r="AH540" i="9"/>
  <c r="AI540" i="9"/>
  <c r="AJ540" i="9"/>
  <c r="AK540" i="9"/>
  <c r="AH541" i="9"/>
  <c r="AI541" i="9"/>
  <c r="AJ541" i="9"/>
  <c r="AK541" i="9"/>
  <c r="AH542" i="9"/>
  <c r="AI542" i="9"/>
  <c r="AJ542" i="9"/>
  <c r="AK542" i="9"/>
  <c r="AH543" i="9"/>
  <c r="AI543" i="9"/>
  <c r="AJ543" i="9"/>
  <c r="AK543" i="9"/>
  <c r="AH544" i="9"/>
  <c r="AI544" i="9"/>
  <c r="AJ544" i="9"/>
  <c r="AK544" i="9"/>
  <c r="AH545" i="9"/>
  <c r="AI545" i="9"/>
  <c r="AJ545" i="9"/>
  <c r="AK545" i="9"/>
  <c r="AH546" i="9"/>
  <c r="AI546" i="9"/>
  <c r="AJ546" i="9"/>
  <c r="AK546" i="9"/>
  <c r="AH547" i="9"/>
  <c r="AI547" i="9"/>
  <c r="AJ547" i="9"/>
  <c r="AK547" i="9"/>
  <c r="AH548" i="9"/>
  <c r="AI548" i="9"/>
  <c r="AJ548" i="9"/>
  <c r="AK548" i="9"/>
  <c r="AH549" i="9"/>
  <c r="AI549" i="9"/>
  <c r="AJ549" i="9"/>
  <c r="AK549" i="9"/>
  <c r="AH550" i="9"/>
  <c r="AI550" i="9"/>
  <c r="AJ550" i="9"/>
  <c r="AK550" i="9"/>
  <c r="AH551" i="9"/>
  <c r="AI551" i="9"/>
  <c r="AJ551" i="9"/>
  <c r="AK551" i="9"/>
  <c r="AH552" i="9"/>
  <c r="AI552" i="9"/>
  <c r="AJ552" i="9"/>
  <c r="AK552" i="9"/>
  <c r="AH553" i="9"/>
  <c r="AI553" i="9"/>
  <c r="AJ553" i="9"/>
  <c r="AK553" i="9"/>
  <c r="AH554" i="9"/>
  <c r="AI554" i="9"/>
  <c r="AJ554" i="9"/>
  <c r="AK554" i="9"/>
  <c r="AH555" i="9"/>
  <c r="AI555" i="9"/>
  <c r="AJ555" i="9"/>
  <c r="AK555" i="9"/>
  <c r="AH556" i="9"/>
  <c r="AI556" i="9"/>
  <c r="AJ556" i="9"/>
  <c r="AK556" i="9"/>
  <c r="AH557" i="9"/>
  <c r="AI557" i="9"/>
  <c r="AJ557" i="9"/>
  <c r="AK557" i="9"/>
  <c r="AH558" i="9"/>
  <c r="AI558" i="9"/>
  <c r="AJ558" i="9"/>
  <c r="AK558" i="9"/>
  <c r="AH559" i="9"/>
  <c r="AI559" i="9"/>
  <c r="AJ559" i="9"/>
  <c r="AK559" i="9"/>
  <c r="AH560" i="9"/>
  <c r="AI560" i="9"/>
  <c r="AJ560" i="9"/>
  <c r="AK560" i="9"/>
  <c r="AH561" i="9"/>
  <c r="AI561" i="9"/>
  <c r="AJ561" i="9"/>
  <c r="AK561" i="9"/>
  <c r="AH562" i="9"/>
  <c r="AI562" i="9"/>
  <c r="AJ562" i="9"/>
  <c r="AK562" i="9"/>
  <c r="AH563" i="9"/>
  <c r="AI563" i="9"/>
  <c r="AJ563" i="9"/>
  <c r="AK563" i="9"/>
  <c r="AH564" i="9"/>
  <c r="AI564" i="9"/>
  <c r="N57" i="12" s="1"/>
  <c r="AJ564" i="9"/>
  <c r="Q57" i="12" s="1"/>
  <c r="AK564" i="9"/>
  <c r="K57" i="12" s="1"/>
  <c r="AH565" i="9"/>
  <c r="AI565" i="9"/>
  <c r="N14" i="12" s="1"/>
  <c r="AJ565" i="9"/>
  <c r="Q14" i="12" s="1"/>
  <c r="AK565" i="9"/>
  <c r="K14" i="12" s="1"/>
  <c r="AH566" i="9"/>
  <c r="AI566" i="9"/>
  <c r="AJ566" i="9"/>
  <c r="AK566" i="9"/>
  <c r="AH567" i="9"/>
  <c r="AI567" i="9"/>
  <c r="AJ567" i="9"/>
  <c r="AK567" i="9"/>
  <c r="AH568" i="9"/>
  <c r="AI568" i="9"/>
  <c r="AJ568" i="9"/>
  <c r="AK568" i="9"/>
  <c r="AH569" i="9"/>
  <c r="AI569" i="9"/>
  <c r="AJ569" i="9"/>
  <c r="AK569" i="9"/>
  <c r="AH570" i="9"/>
  <c r="AI570" i="9"/>
  <c r="AJ570" i="9"/>
  <c r="AK570" i="9"/>
  <c r="AH571" i="9"/>
  <c r="AI571" i="9"/>
  <c r="N25" i="12" s="1"/>
  <c r="AJ571" i="9"/>
  <c r="Q25" i="12" s="1"/>
  <c r="AK571" i="9"/>
  <c r="K25" i="12" s="1"/>
  <c r="AH572" i="9"/>
  <c r="AI572" i="9"/>
  <c r="AJ572" i="9"/>
  <c r="AK572" i="9"/>
  <c r="AH573" i="9"/>
  <c r="AI573" i="9"/>
  <c r="AJ573" i="9"/>
  <c r="AK573" i="9"/>
  <c r="AH574" i="9"/>
  <c r="AI574" i="9"/>
  <c r="AJ574" i="9"/>
  <c r="AK574" i="9"/>
  <c r="AH575" i="9"/>
  <c r="AI575" i="9"/>
  <c r="N17" i="12" s="1"/>
  <c r="AJ575" i="9"/>
  <c r="Q17" i="12" s="1"/>
  <c r="AK575" i="9"/>
  <c r="K17" i="12" s="1"/>
  <c r="AH576" i="9"/>
  <c r="AI576" i="9"/>
  <c r="AJ576" i="9"/>
  <c r="AK576" i="9"/>
  <c r="AH577" i="9"/>
  <c r="AI577" i="9"/>
  <c r="AJ577" i="9"/>
  <c r="AK577" i="9"/>
  <c r="AH578" i="9"/>
  <c r="AI578" i="9"/>
  <c r="AJ578" i="9"/>
  <c r="AK578" i="9"/>
  <c r="AH579" i="9"/>
  <c r="AI579" i="9"/>
  <c r="AJ579" i="9"/>
  <c r="AK579" i="9"/>
  <c r="AH580" i="9"/>
  <c r="AI580" i="9"/>
  <c r="AJ580" i="9"/>
  <c r="AK580" i="9"/>
  <c r="AH581" i="9"/>
  <c r="AI581" i="9"/>
  <c r="AJ581" i="9"/>
  <c r="AK581" i="9"/>
  <c r="AH582" i="9"/>
  <c r="AI582" i="9"/>
  <c r="AJ582" i="9"/>
  <c r="AK582" i="9"/>
  <c r="AH583" i="9"/>
  <c r="AI583" i="9"/>
  <c r="AJ583" i="9"/>
  <c r="AK583" i="9"/>
  <c r="AH584" i="9"/>
  <c r="AI584" i="9"/>
  <c r="AJ584" i="9"/>
  <c r="AK584" i="9"/>
  <c r="AH585" i="9"/>
  <c r="AI585" i="9"/>
  <c r="AJ585" i="9"/>
  <c r="AK585" i="9"/>
  <c r="AH586" i="9"/>
  <c r="AI586" i="9"/>
  <c r="AJ586" i="9"/>
  <c r="AK586" i="9"/>
  <c r="AH587" i="9"/>
  <c r="AI587" i="9"/>
  <c r="AJ587" i="9"/>
  <c r="AK587" i="9"/>
  <c r="AH588" i="9"/>
  <c r="AI588" i="9"/>
  <c r="AJ588" i="9"/>
  <c r="AK588" i="9"/>
  <c r="AH589" i="9"/>
  <c r="AI589" i="9"/>
  <c r="AJ589" i="9"/>
  <c r="AK589" i="9"/>
  <c r="AH590" i="9"/>
  <c r="AI590" i="9"/>
  <c r="AJ590" i="9"/>
  <c r="AK590" i="9"/>
  <c r="AH591" i="9"/>
  <c r="AI591" i="9"/>
  <c r="AJ591" i="9"/>
  <c r="AK591" i="9"/>
  <c r="AH592" i="9"/>
  <c r="AI592" i="9"/>
  <c r="AJ592" i="9"/>
  <c r="AK592" i="9"/>
  <c r="AH593" i="9"/>
  <c r="AI593" i="9"/>
  <c r="N15" i="12" s="1"/>
  <c r="AJ593" i="9"/>
  <c r="Q15" i="12" s="1"/>
  <c r="AK593" i="9"/>
  <c r="K15" i="12" s="1"/>
  <c r="AH594" i="9"/>
  <c r="AI594" i="9"/>
  <c r="N41" i="12" s="1"/>
  <c r="AJ594" i="9"/>
  <c r="Q41" i="12" s="1"/>
  <c r="AK594" i="9"/>
  <c r="K41" i="12" s="1"/>
  <c r="AH595" i="9"/>
  <c r="AI595" i="9"/>
  <c r="AJ595" i="9"/>
  <c r="AK595" i="9"/>
  <c r="AH596" i="9"/>
  <c r="AI596" i="9"/>
  <c r="AJ596" i="9"/>
  <c r="AK596" i="9"/>
  <c r="AH597" i="9"/>
  <c r="AI597" i="9"/>
  <c r="AJ597" i="9"/>
  <c r="AK597" i="9"/>
  <c r="AH598" i="9"/>
  <c r="AI598" i="9"/>
  <c r="AJ598" i="9"/>
  <c r="AK598" i="9"/>
  <c r="AH599" i="9"/>
  <c r="AI599" i="9"/>
  <c r="AJ599" i="9"/>
  <c r="AK599" i="9"/>
  <c r="AH600" i="9"/>
  <c r="AI600" i="9"/>
  <c r="AJ600" i="9"/>
  <c r="AK600" i="9"/>
  <c r="AH601" i="9"/>
  <c r="AI601" i="9"/>
  <c r="AJ601" i="9"/>
  <c r="AK601" i="9"/>
  <c r="AH602" i="9"/>
  <c r="AI602" i="9"/>
  <c r="AJ602" i="9"/>
  <c r="AK602" i="9"/>
  <c r="AH603" i="9"/>
  <c r="AI603" i="9"/>
  <c r="AJ603" i="9"/>
  <c r="AK603" i="9"/>
  <c r="AH604" i="9"/>
  <c r="AI604" i="9"/>
  <c r="AJ604" i="9"/>
  <c r="AK604" i="9"/>
  <c r="AH605" i="9"/>
  <c r="AI605" i="9"/>
  <c r="AJ605" i="9"/>
  <c r="AK605" i="9"/>
  <c r="AH606" i="9"/>
  <c r="AI606" i="9"/>
  <c r="AJ606" i="9"/>
  <c r="AK606" i="9"/>
  <c r="AH607" i="9"/>
  <c r="AI607" i="9"/>
  <c r="AJ607" i="9"/>
  <c r="AK607" i="9"/>
  <c r="AH608" i="9"/>
  <c r="AI608" i="9"/>
  <c r="AJ608" i="9"/>
  <c r="AK608" i="9"/>
  <c r="AH609" i="9"/>
  <c r="AI609" i="9"/>
  <c r="AJ609" i="9"/>
  <c r="AK609" i="9"/>
  <c r="AH610" i="9"/>
  <c r="AI610" i="9"/>
  <c r="AJ610" i="9"/>
  <c r="AK610" i="9"/>
  <c r="AH611" i="9"/>
  <c r="AI611" i="9"/>
  <c r="AJ611" i="9"/>
  <c r="AK611" i="9"/>
  <c r="AH612" i="9"/>
  <c r="AI612" i="9"/>
  <c r="AJ612" i="9"/>
  <c r="AK612" i="9"/>
  <c r="AH613" i="9"/>
  <c r="AI613" i="9"/>
  <c r="AJ613" i="9"/>
  <c r="AK613" i="9"/>
  <c r="AH614" i="9"/>
  <c r="AI614" i="9"/>
  <c r="AJ614" i="9"/>
  <c r="AK614" i="9"/>
  <c r="AH615" i="9"/>
  <c r="AI615" i="9"/>
  <c r="AJ615" i="9"/>
  <c r="AK615" i="9"/>
  <c r="AH616" i="9"/>
  <c r="AI616" i="9"/>
  <c r="AJ616" i="9"/>
  <c r="AK616" i="9"/>
  <c r="AH617" i="9"/>
  <c r="AI617" i="9"/>
  <c r="AJ617" i="9"/>
  <c r="AK617" i="9"/>
  <c r="AH618" i="9"/>
  <c r="AI618" i="9"/>
  <c r="AJ618" i="9"/>
  <c r="AK618" i="9"/>
  <c r="AH619" i="9"/>
  <c r="AI619" i="9"/>
  <c r="AJ619" i="9"/>
  <c r="AK619" i="9"/>
  <c r="AH620" i="9"/>
  <c r="AI620" i="9"/>
  <c r="AJ620" i="9"/>
  <c r="AK620" i="9"/>
  <c r="AH621" i="9"/>
  <c r="AI621" i="9"/>
  <c r="N21" i="12" s="1"/>
  <c r="AJ621" i="9"/>
  <c r="Q21" i="12" s="1"/>
  <c r="AK621" i="9"/>
  <c r="K21" i="12" s="1"/>
  <c r="AH622" i="9"/>
  <c r="AI622" i="9"/>
  <c r="AJ622" i="9"/>
  <c r="AK622" i="9"/>
  <c r="AH623" i="9"/>
  <c r="AI623" i="9"/>
  <c r="AJ623" i="9"/>
  <c r="AK623" i="9"/>
  <c r="AH624" i="9"/>
  <c r="AI624" i="9"/>
  <c r="AJ624" i="9"/>
  <c r="AK624" i="9"/>
  <c r="AH625" i="9"/>
  <c r="AI625" i="9"/>
  <c r="AJ625" i="9"/>
  <c r="AK625" i="9"/>
  <c r="AH626" i="9"/>
  <c r="AI626" i="9"/>
  <c r="AJ626" i="9"/>
  <c r="AK626" i="9"/>
  <c r="AH627" i="9"/>
  <c r="AI627" i="9"/>
  <c r="AJ627" i="9"/>
  <c r="AK627" i="9"/>
  <c r="AH628" i="9"/>
  <c r="AI628" i="9"/>
  <c r="AJ628" i="9"/>
  <c r="AK628" i="9"/>
  <c r="AH629" i="9"/>
  <c r="AI629" i="9"/>
  <c r="AJ629" i="9"/>
  <c r="AK629" i="9"/>
  <c r="AH630" i="9"/>
  <c r="AI630" i="9"/>
  <c r="AJ630" i="9"/>
  <c r="AK630" i="9"/>
  <c r="AH631" i="9"/>
  <c r="AI631" i="9"/>
  <c r="AJ631" i="9"/>
  <c r="AK631" i="9"/>
  <c r="AH632" i="9"/>
  <c r="AI632" i="9"/>
  <c r="AJ632" i="9"/>
  <c r="AK632" i="9"/>
  <c r="AH633" i="9"/>
  <c r="AI633" i="9"/>
  <c r="AJ633" i="9"/>
  <c r="AK633" i="9"/>
  <c r="AH634" i="9"/>
  <c r="AI634" i="9"/>
  <c r="AJ634" i="9"/>
  <c r="AK634" i="9"/>
  <c r="AH635" i="9"/>
  <c r="AI635" i="9"/>
  <c r="AJ635" i="9"/>
  <c r="AK635" i="9"/>
  <c r="AH636" i="9"/>
  <c r="AI636" i="9"/>
  <c r="AJ636" i="9"/>
  <c r="AK636" i="9"/>
  <c r="AH637" i="9"/>
  <c r="AI637" i="9"/>
  <c r="AJ637" i="9"/>
  <c r="AK637" i="9"/>
  <c r="AH638" i="9"/>
  <c r="AI638" i="9"/>
  <c r="AJ638" i="9"/>
  <c r="AK638" i="9"/>
  <c r="AH639" i="9"/>
  <c r="AI639" i="9"/>
  <c r="AJ639" i="9"/>
  <c r="AK639" i="9"/>
  <c r="AH640" i="9"/>
  <c r="AI640" i="9"/>
  <c r="AJ640" i="9"/>
  <c r="AK640" i="9"/>
  <c r="AH641" i="9"/>
  <c r="AI641" i="9"/>
  <c r="AJ641" i="9"/>
  <c r="AK641" i="9"/>
  <c r="AH642" i="9"/>
  <c r="AI642" i="9"/>
  <c r="AJ642" i="9"/>
  <c r="AK642" i="9"/>
  <c r="AH643" i="9"/>
  <c r="AI643" i="9"/>
  <c r="AJ643" i="9"/>
  <c r="AK643" i="9"/>
  <c r="AH644" i="9"/>
  <c r="AI644" i="9"/>
  <c r="AJ644" i="9"/>
  <c r="AK644" i="9"/>
  <c r="AH645" i="9"/>
  <c r="AI645" i="9"/>
  <c r="AJ645" i="9"/>
  <c r="AK645" i="9"/>
  <c r="AH646" i="9"/>
  <c r="AI646" i="9"/>
  <c r="AJ646" i="9"/>
  <c r="AK646" i="9"/>
  <c r="AH647" i="9"/>
  <c r="AI647" i="9"/>
  <c r="AJ647" i="9"/>
  <c r="AK647" i="9"/>
  <c r="AH648" i="9"/>
  <c r="AI648" i="9"/>
  <c r="N28" i="12" s="1"/>
  <c r="AJ648" i="9"/>
  <c r="Q28" i="12" s="1"/>
  <c r="AK648" i="9"/>
  <c r="K28" i="12" s="1"/>
  <c r="AH649" i="9"/>
  <c r="AI649" i="9"/>
  <c r="AJ649" i="9"/>
  <c r="AK649" i="9"/>
  <c r="AH650" i="9"/>
  <c r="AI650" i="9"/>
  <c r="AJ650" i="9"/>
  <c r="AK650" i="9"/>
  <c r="AH651" i="9"/>
  <c r="AI651" i="9"/>
  <c r="AJ651" i="9"/>
  <c r="AK651" i="9"/>
  <c r="AH652" i="9"/>
  <c r="AI652" i="9"/>
  <c r="N26" i="12" s="1"/>
  <c r="AJ652" i="9"/>
  <c r="Q26" i="12" s="1"/>
  <c r="AK652" i="9"/>
  <c r="K26" i="12" s="1"/>
  <c r="AH653" i="9"/>
  <c r="AI653" i="9"/>
  <c r="AJ653" i="9"/>
  <c r="AK653" i="9"/>
  <c r="AH654" i="9"/>
  <c r="AI654" i="9"/>
  <c r="N31" i="12" s="1"/>
  <c r="AJ654" i="9"/>
  <c r="Q31" i="12" s="1"/>
  <c r="AK654" i="9"/>
  <c r="K31" i="12" s="1"/>
  <c r="AH655" i="9"/>
  <c r="AI655" i="9"/>
  <c r="AJ655" i="9"/>
  <c r="AK655" i="9"/>
  <c r="AH656" i="9"/>
  <c r="AI656" i="9"/>
  <c r="AJ656" i="9"/>
  <c r="AK656" i="9"/>
  <c r="AH657" i="9"/>
  <c r="AI657" i="9"/>
  <c r="AJ657" i="9"/>
  <c r="AK657" i="9"/>
  <c r="AH658" i="9"/>
  <c r="AI658" i="9"/>
  <c r="AJ658" i="9"/>
  <c r="AK658" i="9"/>
  <c r="AH659" i="9"/>
  <c r="AI659" i="9"/>
  <c r="AJ659" i="9"/>
  <c r="AK659" i="9"/>
  <c r="AH660" i="9"/>
  <c r="AI660" i="9"/>
  <c r="AJ660" i="9"/>
  <c r="AK660" i="9"/>
  <c r="AH661" i="9"/>
  <c r="AI661" i="9"/>
  <c r="AJ661" i="9"/>
  <c r="AK661" i="9"/>
  <c r="AH662" i="9"/>
  <c r="AI662" i="9"/>
  <c r="AJ662" i="9"/>
  <c r="AK662" i="9"/>
  <c r="AH663" i="9"/>
  <c r="AI663" i="9"/>
  <c r="AJ663" i="9"/>
  <c r="AK663" i="9"/>
  <c r="AH664" i="9"/>
  <c r="AI664" i="9"/>
  <c r="AJ664" i="9"/>
  <c r="AK664" i="9"/>
  <c r="AH665" i="9"/>
  <c r="AI665" i="9"/>
  <c r="AJ665" i="9"/>
  <c r="AK665" i="9"/>
  <c r="AH666" i="9"/>
  <c r="AI666" i="9"/>
  <c r="AJ666" i="9"/>
  <c r="AK666" i="9"/>
  <c r="AH667" i="9"/>
  <c r="AI667" i="9"/>
  <c r="AJ667" i="9"/>
  <c r="AK667" i="9"/>
  <c r="AH668" i="9"/>
  <c r="AI668" i="9"/>
  <c r="N27" i="12" s="1"/>
  <c r="AJ668" i="9"/>
  <c r="Q27" i="12" s="1"/>
  <c r="AK668" i="9"/>
  <c r="K27" i="12" s="1"/>
  <c r="AH669" i="9"/>
  <c r="AI669" i="9"/>
  <c r="AJ669" i="9"/>
  <c r="AK669" i="9"/>
  <c r="AH670" i="9"/>
  <c r="AI670" i="9"/>
  <c r="AJ670" i="9"/>
  <c r="AK670" i="9"/>
  <c r="AH671" i="9"/>
  <c r="AI671" i="9"/>
  <c r="AJ671" i="9"/>
  <c r="AK671" i="9"/>
  <c r="AH672" i="9"/>
  <c r="AI672" i="9"/>
  <c r="AJ672" i="9"/>
  <c r="AK672" i="9"/>
  <c r="AH673" i="9"/>
  <c r="AI673" i="9"/>
  <c r="AJ673" i="9"/>
  <c r="AK673" i="9"/>
  <c r="AH674" i="9"/>
  <c r="AI674" i="9"/>
  <c r="AJ674" i="9"/>
  <c r="AK674" i="9"/>
  <c r="AH675" i="9"/>
  <c r="AI675" i="9"/>
  <c r="AJ675" i="9"/>
  <c r="AK675" i="9"/>
  <c r="AH676" i="9"/>
  <c r="AI676" i="9"/>
  <c r="AJ676" i="9"/>
  <c r="AK676" i="9"/>
  <c r="AH677" i="9"/>
  <c r="AI677" i="9"/>
  <c r="AJ677" i="9"/>
  <c r="AK677" i="9"/>
  <c r="AH678" i="9"/>
  <c r="AI678" i="9"/>
  <c r="N53" i="12" s="1"/>
  <c r="AJ678" i="9"/>
  <c r="Q53" i="12" s="1"/>
  <c r="AK678" i="9"/>
  <c r="K53" i="12" s="1"/>
  <c r="AH679" i="9"/>
  <c r="AI679" i="9"/>
  <c r="AJ679" i="9"/>
  <c r="AK679" i="9"/>
  <c r="AH680" i="9"/>
  <c r="AI680" i="9"/>
  <c r="AJ680" i="9"/>
  <c r="AK680" i="9"/>
  <c r="AH681" i="9"/>
  <c r="AI681" i="9"/>
  <c r="AJ681" i="9"/>
  <c r="AK681" i="9"/>
  <c r="AH682" i="9"/>
  <c r="AI682" i="9"/>
  <c r="AJ682" i="9"/>
  <c r="AK682" i="9"/>
  <c r="AH683" i="9"/>
  <c r="AI683" i="9"/>
  <c r="N2" i="12" s="1"/>
  <c r="AJ683" i="9"/>
  <c r="Q2" i="12" s="1"/>
  <c r="AK683" i="9"/>
  <c r="K2" i="12" s="1"/>
  <c r="AH684" i="9"/>
  <c r="AI684" i="9"/>
  <c r="AJ684" i="9"/>
  <c r="AK684" i="9"/>
  <c r="AH685" i="9"/>
  <c r="AI685" i="9"/>
  <c r="AJ685" i="9"/>
  <c r="AK685" i="9"/>
  <c r="AH686" i="9"/>
  <c r="AI686" i="9"/>
  <c r="N5" i="12" s="1"/>
  <c r="AJ686" i="9"/>
  <c r="Q5" i="12" s="1"/>
  <c r="AK686" i="9"/>
  <c r="K5" i="12" s="1"/>
  <c r="AH687" i="9"/>
  <c r="AI687" i="9"/>
  <c r="AJ687" i="9"/>
  <c r="AK687" i="9"/>
  <c r="AH688" i="9"/>
  <c r="AI688" i="9"/>
  <c r="N43" i="12" s="1"/>
  <c r="AJ688" i="9"/>
  <c r="Q43" i="12" s="1"/>
  <c r="AK688" i="9"/>
  <c r="K43" i="12" s="1"/>
  <c r="AH689" i="9"/>
  <c r="AI689" i="9"/>
  <c r="N38" i="12" s="1"/>
  <c r="AJ689" i="9"/>
  <c r="Q38" i="12" s="1"/>
  <c r="AK689" i="9"/>
  <c r="K38" i="12" s="1"/>
  <c r="AJ2" i="9"/>
  <c r="AI2" i="9"/>
  <c r="AA475" i="10"/>
  <c r="AB475" i="10"/>
  <c r="P38" i="11" s="1"/>
  <c r="AC475" i="10"/>
  <c r="S38" i="11" s="1"/>
  <c r="AD475" i="10"/>
  <c r="M38" i="11" s="1"/>
  <c r="AA476" i="10"/>
  <c r="AB476" i="10"/>
  <c r="P4" i="11" s="1"/>
  <c r="AC476" i="10"/>
  <c r="S4" i="11" s="1"/>
  <c r="AD476" i="10"/>
  <c r="M4" i="11" s="1"/>
  <c r="AA477" i="10"/>
  <c r="AB477" i="10"/>
  <c r="P31" i="11" s="1"/>
  <c r="AC477" i="10"/>
  <c r="AD477" i="10"/>
  <c r="M31" i="11" s="1"/>
  <c r="AA478" i="10"/>
  <c r="AB478" i="10"/>
  <c r="P15" i="11" s="1"/>
  <c r="AC478" i="10"/>
  <c r="S15" i="11" s="1"/>
  <c r="AD478" i="10"/>
  <c r="M15" i="11" s="1"/>
  <c r="AA479" i="10"/>
  <c r="AB479" i="10"/>
  <c r="P25" i="11" s="1"/>
  <c r="AC479" i="10"/>
  <c r="S25" i="11" s="1"/>
  <c r="AD479" i="10"/>
  <c r="M25" i="11" s="1"/>
  <c r="AA480" i="10"/>
  <c r="AB480" i="10"/>
  <c r="P48" i="11" s="1"/>
  <c r="AC480" i="10"/>
  <c r="S48" i="11" s="1"/>
  <c r="AD480" i="10"/>
  <c r="M48" i="11" s="1"/>
  <c r="AA481" i="10"/>
  <c r="AB481" i="10"/>
  <c r="P35" i="11" s="1"/>
  <c r="AC481" i="10"/>
  <c r="AD481" i="10"/>
  <c r="M35" i="11" s="1"/>
  <c r="AA482" i="10"/>
  <c r="AB482" i="10"/>
  <c r="P47" i="11" s="1"/>
  <c r="AC482" i="10"/>
  <c r="S47" i="11" s="1"/>
  <c r="AD482" i="10"/>
  <c r="M47" i="11" s="1"/>
  <c r="AA483" i="10"/>
  <c r="AB483" i="10"/>
  <c r="P12" i="11" s="1"/>
  <c r="AC483" i="10"/>
  <c r="S12" i="11" s="1"/>
  <c r="AD483" i="10"/>
  <c r="M12" i="11" s="1"/>
  <c r="AA484" i="10"/>
  <c r="AB484" i="10"/>
  <c r="P13" i="11" s="1"/>
  <c r="AC484" i="10"/>
  <c r="S13" i="11" s="1"/>
  <c r="AD484" i="10"/>
  <c r="M13" i="11" s="1"/>
  <c r="AA485" i="10"/>
  <c r="AB485" i="10"/>
  <c r="P34" i="11" s="1"/>
  <c r="AC485" i="10"/>
  <c r="AD485" i="10"/>
  <c r="M34" i="11" s="1"/>
  <c r="AA486" i="10"/>
  <c r="AB486" i="10"/>
  <c r="P3" i="11" s="1"/>
  <c r="AC486" i="10"/>
  <c r="S3" i="11" s="1"/>
  <c r="AD486" i="10"/>
  <c r="M3" i="11" s="1"/>
  <c r="U3" i="1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H3" i="11"/>
  <c r="I3" i="11"/>
  <c r="J3" i="11" a="1"/>
  <c r="J3" i="11" s="1"/>
  <c r="K3" i="11"/>
  <c r="L3" i="11"/>
  <c r="N3" i="11"/>
  <c r="O3" i="11" s="1"/>
  <c r="Q3" i="11"/>
  <c r="R3" i="11" s="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T48" i="11"/>
  <c r="H48" i="11"/>
  <c r="I48" i="11"/>
  <c r="J48" i="11" a="1"/>
  <c r="J48" i="11" s="1"/>
  <c r="K48" i="11"/>
  <c r="L48" i="11"/>
  <c r="N48" i="11"/>
  <c r="O48" i="11" s="1"/>
  <c r="Q48" i="11"/>
  <c r="R48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P20" i="11" s="1"/>
  <c r="AC471" i="10"/>
  <c r="S20" i="11" s="1"/>
  <c r="AD471" i="10"/>
  <c r="M20" i="11" s="1"/>
  <c r="AA472" i="10"/>
  <c r="AB472" i="10"/>
  <c r="AC472" i="10"/>
  <c r="AD472" i="10"/>
  <c r="AA473" i="10"/>
  <c r="AB473" i="10"/>
  <c r="AC473" i="10"/>
  <c r="AD473" i="10"/>
  <c r="AA474" i="10"/>
  <c r="AB474" i="10"/>
  <c r="P56" i="11" s="1"/>
  <c r="AC474" i="10"/>
  <c r="S56" i="11" s="1"/>
  <c r="AD474" i="10"/>
  <c r="M56" i="11" s="1"/>
  <c r="AA451" i="10"/>
  <c r="AB451" i="10"/>
  <c r="P53" i="11" s="1"/>
  <c r="AC451" i="10"/>
  <c r="S53" i="11" s="1"/>
  <c r="AD451" i="10"/>
  <c r="M53" i="11" s="1"/>
  <c r="AA452" i="10"/>
  <c r="AB452" i="10"/>
  <c r="P23" i="11" s="1"/>
  <c r="AC452" i="10"/>
  <c r="S23" i="11" s="1"/>
  <c r="AD452" i="10"/>
  <c r="M23" i="11" s="1"/>
  <c r="AA453" i="10"/>
  <c r="AB453" i="10"/>
  <c r="P49" i="11" s="1"/>
  <c r="AC453" i="10"/>
  <c r="S49" i="11" s="1"/>
  <c r="AD453" i="10"/>
  <c r="M49" i="11" s="1"/>
  <c r="AA454" i="10"/>
  <c r="AB454" i="10"/>
  <c r="AC454" i="10"/>
  <c r="AD454" i="10"/>
  <c r="AA455" i="10"/>
  <c r="AB455" i="10"/>
  <c r="AC455" i="10"/>
  <c r="AD455" i="10"/>
  <c r="AA456" i="10"/>
  <c r="AB456" i="10"/>
  <c r="P9" i="11" s="1"/>
  <c r="AC456" i="10"/>
  <c r="S9" i="11" s="1"/>
  <c r="AD456" i="10"/>
  <c r="M9" i="11" s="1"/>
  <c r="AA457" i="10"/>
  <c r="AB457" i="10"/>
  <c r="P55" i="11" s="1"/>
  <c r="AC457" i="10"/>
  <c r="S55" i="11" s="1"/>
  <c r="AD457" i="10"/>
  <c r="M55" i="11" s="1"/>
  <c r="AA458" i="10"/>
  <c r="AB458" i="10"/>
  <c r="P5" i="11" s="1"/>
  <c r="AC458" i="10"/>
  <c r="S5" i="11" s="1"/>
  <c r="AD458" i="10"/>
  <c r="M5" i="11" s="1"/>
  <c r="AA459" i="10"/>
  <c r="AB459" i="10"/>
  <c r="AC459" i="10"/>
  <c r="AD459" i="10"/>
  <c r="AA460" i="10"/>
  <c r="AB460" i="10"/>
  <c r="P8" i="11" s="1"/>
  <c r="AC460" i="10"/>
  <c r="S8" i="11" s="1"/>
  <c r="AD460" i="10"/>
  <c r="M8" i="11" s="1"/>
  <c r="AA461" i="10"/>
  <c r="AB461" i="10"/>
  <c r="P14" i="11" s="1"/>
  <c r="AC461" i="10"/>
  <c r="S14" i="11" s="1"/>
  <c r="AD461" i="10"/>
  <c r="M14" i="11" s="1"/>
  <c r="AA462" i="10"/>
  <c r="AB462" i="10"/>
  <c r="P32" i="11" s="1"/>
  <c r="AC462" i="10"/>
  <c r="S32" i="11" s="1"/>
  <c r="AD462" i="10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I44" i="12"/>
  <c r="AJ44" i="12"/>
  <c r="AK44" i="12"/>
  <c r="AL44" i="12"/>
  <c r="AM44" i="12"/>
  <c r="AN44" i="12"/>
  <c r="R44" i="12"/>
  <c r="F44" i="12"/>
  <c r="G44" i="12"/>
  <c r="H44" i="12" a="1"/>
  <c r="H44" i="12" s="1"/>
  <c r="I44" i="12"/>
  <c r="J44" i="12"/>
  <c r="L44" i="12"/>
  <c r="M44" i="12" s="1"/>
  <c r="O44" i="12"/>
  <c r="P44" i="12" s="1"/>
  <c r="AA441" i="10"/>
  <c r="AB441" i="10"/>
  <c r="AC441" i="10"/>
  <c r="AD441" i="10"/>
  <c r="AA442" i="10"/>
  <c r="AB442" i="10"/>
  <c r="P7" i="11" s="1"/>
  <c r="AC442" i="10"/>
  <c r="S7" i="11" s="1"/>
  <c r="AD442" i="10"/>
  <c r="M7" i="11" s="1"/>
  <c r="AA443" i="10"/>
  <c r="AB443" i="10"/>
  <c r="AC443" i="10"/>
  <c r="AD443" i="10"/>
  <c r="AA444" i="10"/>
  <c r="AB444" i="10"/>
  <c r="AC444" i="10"/>
  <c r="AD444" i="10"/>
  <c r="AA445" i="10"/>
  <c r="AB445" i="10"/>
  <c r="P28" i="11" s="1"/>
  <c r="AC445" i="10"/>
  <c r="S28" i="11" s="1"/>
  <c r="AD445" i="10"/>
  <c r="M28" i="11" s="1"/>
  <c r="AA446" i="10"/>
  <c r="AB446" i="10"/>
  <c r="AC446" i="10"/>
  <c r="AD446" i="10"/>
  <c r="AA447" i="10"/>
  <c r="AB447" i="10"/>
  <c r="P19" i="11" s="1"/>
  <c r="AC447" i="10"/>
  <c r="S19" i="11" s="1"/>
  <c r="AD447" i="10"/>
  <c r="M19" i="11" s="1"/>
  <c r="AA448" i="10"/>
  <c r="AB448" i="10"/>
  <c r="AC448" i="10"/>
  <c r="AD448" i="10"/>
  <c r="AA449" i="10"/>
  <c r="AB449" i="10"/>
  <c r="AC449" i="10"/>
  <c r="AD449" i="10"/>
  <c r="AA450" i="10"/>
  <c r="AB450" i="10"/>
  <c r="P27" i="11" s="1"/>
  <c r="AC450" i="10"/>
  <c r="S27" i="11" s="1"/>
  <c r="AD450" i="10"/>
  <c r="M27" i="11" s="1"/>
  <c r="H54" i="11"/>
  <c r="I54" i="11"/>
  <c r="J54" i="11" a="1"/>
  <c r="J54" i="11" s="1"/>
  <c r="K54" i="11"/>
  <c r="L54" i="11"/>
  <c r="N54" i="11"/>
  <c r="O54" i="11" s="1"/>
  <c r="Q54" i="11"/>
  <c r="R54" i="11" s="1"/>
  <c r="H44" i="11"/>
  <c r="I44" i="11"/>
  <c r="J44" i="11" a="1"/>
  <c r="J44" i="11" s="1"/>
  <c r="K44" i="11"/>
  <c r="L44" i="11"/>
  <c r="N44" i="11"/>
  <c r="O44" i="11" s="1"/>
  <c r="Q44" i="11"/>
  <c r="R44" i="11" s="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T44" i="11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I25" i="12"/>
  <c r="AJ25" i="12"/>
  <c r="AK25" i="12"/>
  <c r="AL25" i="12"/>
  <c r="AM25" i="12"/>
  <c r="AN25" i="12"/>
  <c r="R25" i="12"/>
  <c r="F25" i="12"/>
  <c r="G25" i="12"/>
  <c r="H25" i="12" a="1"/>
  <c r="H25" i="12" s="1"/>
  <c r="I25" i="12"/>
  <c r="J25" i="12"/>
  <c r="L25" i="12"/>
  <c r="M25" i="12" s="1"/>
  <c r="O25" i="12"/>
  <c r="P25" i="12" s="1"/>
  <c r="O2" i="12"/>
  <c r="R7" i="12"/>
  <c r="R6" i="12"/>
  <c r="S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I61" i="12"/>
  <c r="AJ61" i="12"/>
  <c r="AK61" i="12"/>
  <c r="AL61" i="12"/>
  <c r="AM61" i="12"/>
  <c r="AN61" i="12"/>
  <c r="R61" i="12"/>
  <c r="S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I60" i="12"/>
  <c r="AJ60" i="12"/>
  <c r="AK60" i="12"/>
  <c r="AL60" i="12"/>
  <c r="AM60" i="12"/>
  <c r="AN60" i="12"/>
  <c r="R60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I59" i="12"/>
  <c r="AJ59" i="12"/>
  <c r="AK59" i="12"/>
  <c r="AL59" i="12"/>
  <c r="AM59" i="12"/>
  <c r="AN59" i="12"/>
  <c r="R59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I58" i="12"/>
  <c r="AJ58" i="12"/>
  <c r="AK58" i="12"/>
  <c r="AL58" i="12"/>
  <c r="AM58" i="12"/>
  <c r="AN58" i="12"/>
  <c r="R58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I57" i="12"/>
  <c r="AJ57" i="12"/>
  <c r="AK57" i="12"/>
  <c r="AL57" i="12"/>
  <c r="AM57" i="12"/>
  <c r="AN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I56" i="12"/>
  <c r="AJ56" i="12"/>
  <c r="AK56" i="12"/>
  <c r="AL56" i="12"/>
  <c r="AM56" i="12"/>
  <c r="AN56" i="12"/>
  <c r="R56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I55" i="12"/>
  <c r="AJ55" i="12"/>
  <c r="AK55" i="12"/>
  <c r="AL55" i="12"/>
  <c r="AM55" i="12"/>
  <c r="AN55" i="12"/>
  <c r="R55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I53" i="12"/>
  <c r="AJ53" i="12"/>
  <c r="AK53" i="12"/>
  <c r="AL53" i="12"/>
  <c r="AM53" i="12"/>
  <c r="AN53" i="12"/>
  <c r="R53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I52" i="12"/>
  <c r="AJ52" i="12"/>
  <c r="AK52" i="12"/>
  <c r="AL52" i="12"/>
  <c r="AM52" i="12"/>
  <c r="AN52" i="12"/>
  <c r="R52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I51" i="12"/>
  <c r="AJ51" i="12"/>
  <c r="AK51" i="12"/>
  <c r="AL51" i="12"/>
  <c r="AM51" i="12"/>
  <c r="AN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I50" i="12"/>
  <c r="AJ50" i="12"/>
  <c r="AK50" i="12"/>
  <c r="AL50" i="12"/>
  <c r="AM50" i="12"/>
  <c r="AN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I49" i="12"/>
  <c r="AJ49" i="12"/>
  <c r="AK49" i="12"/>
  <c r="AL49" i="12"/>
  <c r="AM49" i="12"/>
  <c r="AN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I48" i="12"/>
  <c r="AJ48" i="12"/>
  <c r="AK48" i="12"/>
  <c r="AL48" i="12"/>
  <c r="AM48" i="12"/>
  <c r="AN48" i="12"/>
  <c r="R48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I47" i="12"/>
  <c r="AJ47" i="12"/>
  <c r="AK47" i="12"/>
  <c r="AL47" i="12"/>
  <c r="AM47" i="12"/>
  <c r="AN47" i="12"/>
  <c r="R47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I45" i="12"/>
  <c r="AJ45" i="12"/>
  <c r="AK45" i="12"/>
  <c r="AL45" i="12"/>
  <c r="AM45" i="12"/>
  <c r="AN45" i="12"/>
  <c r="R45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I43" i="12"/>
  <c r="AJ43" i="12"/>
  <c r="AK43" i="12"/>
  <c r="AL43" i="12"/>
  <c r="AM43" i="12"/>
  <c r="AN43" i="12"/>
  <c r="R43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I42" i="12"/>
  <c r="AJ42" i="12"/>
  <c r="AK42" i="12"/>
  <c r="AL42" i="12"/>
  <c r="AM42" i="12"/>
  <c r="AN42" i="12"/>
  <c r="R42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I41" i="12"/>
  <c r="AJ41" i="12"/>
  <c r="AK41" i="12"/>
  <c r="AL41" i="12"/>
  <c r="AM41" i="12"/>
  <c r="AN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I40" i="12"/>
  <c r="AJ40" i="12"/>
  <c r="AK40" i="12"/>
  <c r="AL40" i="12"/>
  <c r="AM40" i="12"/>
  <c r="AN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I39" i="12"/>
  <c r="AJ39" i="12"/>
  <c r="AK39" i="12"/>
  <c r="AL39" i="12"/>
  <c r="AM39" i="12"/>
  <c r="AN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I38" i="12"/>
  <c r="AJ38" i="12"/>
  <c r="AK38" i="12"/>
  <c r="AL38" i="12"/>
  <c r="AM38" i="12"/>
  <c r="AN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I37" i="12"/>
  <c r="AJ37" i="12"/>
  <c r="AK37" i="12"/>
  <c r="AL37" i="12"/>
  <c r="AM37" i="12"/>
  <c r="AN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I36" i="12"/>
  <c r="AJ36" i="12"/>
  <c r="AK36" i="12"/>
  <c r="AL36" i="12"/>
  <c r="AM36" i="12"/>
  <c r="AN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I35" i="12"/>
  <c r="AJ35" i="12"/>
  <c r="AK35" i="12"/>
  <c r="AL35" i="12"/>
  <c r="AM35" i="12"/>
  <c r="AN35" i="12"/>
  <c r="R35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I32" i="12"/>
  <c r="AJ32" i="12"/>
  <c r="AK32" i="12"/>
  <c r="AL32" i="12"/>
  <c r="AM32" i="12"/>
  <c r="AN32" i="12"/>
  <c r="R32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I31" i="12"/>
  <c r="AJ31" i="12"/>
  <c r="AK31" i="12"/>
  <c r="AL31" i="12"/>
  <c r="AM31" i="12"/>
  <c r="AN31" i="12"/>
  <c r="R31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I30" i="12"/>
  <c r="AJ30" i="12"/>
  <c r="AK30" i="12"/>
  <c r="AL30" i="12"/>
  <c r="AM30" i="12"/>
  <c r="AN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I29" i="12"/>
  <c r="AJ29" i="12"/>
  <c r="AK29" i="12"/>
  <c r="AL29" i="12"/>
  <c r="AM29" i="12"/>
  <c r="AN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I28" i="12"/>
  <c r="AJ28" i="12"/>
  <c r="AK28" i="12"/>
  <c r="AL28" i="12"/>
  <c r="AM28" i="12"/>
  <c r="AN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I27" i="12"/>
  <c r="AJ27" i="12"/>
  <c r="AK27" i="12"/>
  <c r="AL27" i="12"/>
  <c r="AM27" i="12"/>
  <c r="AN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I26" i="12"/>
  <c r="AJ26" i="12"/>
  <c r="AK26" i="12"/>
  <c r="AL26" i="12"/>
  <c r="AM26" i="12"/>
  <c r="AN26" i="12"/>
  <c r="R26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I24" i="12"/>
  <c r="AJ24" i="12"/>
  <c r="AK24" i="12"/>
  <c r="AL24" i="12"/>
  <c r="AM24" i="12"/>
  <c r="AN24" i="12"/>
  <c r="R24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I23" i="12"/>
  <c r="AJ23" i="12"/>
  <c r="AK23" i="12"/>
  <c r="AL23" i="12"/>
  <c r="AM23" i="12"/>
  <c r="AN23" i="12"/>
  <c r="R23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I22" i="12"/>
  <c r="AJ22" i="12"/>
  <c r="AK22" i="12"/>
  <c r="AL22" i="12"/>
  <c r="AM22" i="12"/>
  <c r="AN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I21" i="12"/>
  <c r="AJ21" i="12"/>
  <c r="AK21" i="12"/>
  <c r="AL21" i="12"/>
  <c r="AM21" i="12"/>
  <c r="AN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I20" i="12"/>
  <c r="AJ20" i="12"/>
  <c r="AK20" i="12"/>
  <c r="AL20" i="12"/>
  <c r="AM20" i="12"/>
  <c r="AN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I19" i="12"/>
  <c r="AJ19" i="12"/>
  <c r="AK19" i="12"/>
  <c r="AL19" i="12"/>
  <c r="AM19" i="12"/>
  <c r="AN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I17" i="12"/>
  <c r="AJ17" i="12"/>
  <c r="AK17" i="12"/>
  <c r="AL17" i="12"/>
  <c r="AM17" i="12"/>
  <c r="AN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I16" i="12"/>
  <c r="AJ16" i="12"/>
  <c r="AK16" i="12"/>
  <c r="AL16" i="12"/>
  <c r="AM16" i="12"/>
  <c r="AN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I15" i="12"/>
  <c r="AJ15" i="12"/>
  <c r="AK15" i="12"/>
  <c r="AL15" i="12"/>
  <c r="AM15" i="12"/>
  <c r="AN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I14" i="12"/>
  <c r="AJ14" i="12"/>
  <c r="AK14" i="12"/>
  <c r="AL14" i="12"/>
  <c r="AM14" i="12"/>
  <c r="AN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I13" i="12"/>
  <c r="AJ13" i="12"/>
  <c r="AK13" i="12"/>
  <c r="AL13" i="12"/>
  <c r="AM13" i="12"/>
  <c r="AN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I12" i="12"/>
  <c r="AJ12" i="12"/>
  <c r="AK12" i="12"/>
  <c r="AL12" i="12"/>
  <c r="AM12" i="12"/>
  <c r="AN12" i="12"/>
  <c r="R12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I9" i="12"/>
  <c r="AJ9" i="12"/>
  <c r="AK9" i="12"/>
  <c r="AL9" i="12"/>
  <c r="AM9" i="12"/>
  <c r="AN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I8" i="12"/>
  <c r="AJ8" i="12"/>
  <c r="AK8" i="12"/>
  <c r="AL8" i="12"/>
  <c r="AM8" i="12"/>
  <c r="AN8" i="12"/>
  <c r="R8" i="12"/>
  <c r="F17" i="12"/>
  <c r="G17" i="12"/>
  <c r="H17" i="12" a="1"/>
  <c r="H17" i="12" s="1"/>
  <c r="I17" i="12"/>
  <c r="J17" i="12"/>
  <c r="L17" i="12"/>
  <c r="M17" i="12" s="1"/>
  <c r="O17" i="12"/>
  <c r="P17" i="12" s="1"/>
  <c r="AA415" i="10"/>
  <c r="AB415" i="10"/>
  <c r="P45" i="11" s="1"/>
  <c r="AC415" i="10"/>
  <c r="S45" i="11" s="1"/>
  <c r="AD415" i="10"/>
  <c r="M45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P39" i="11" s="1"/>
  <c r="AC435" i="10"/>
  <c r="S39" i="11" s="1"/>
  <c r="AD435" i="10"/>
  <c r="M39" i="11" s="1"/>
  <c r="AA436" i="10"/>
  <c r="AB436" i="10"/>
  <c r="P50" i="11" s="1"/>
  <c r="AC436" i="10"/>
  <c r="S50" i="11" s="1"/>
  <c r="AD436" i="10"/>
  <c r="M50" i="11" s="1"/>
  <c r="AA437" i="10"/>
  <c r="AB437" i="10"/>
  <c r="AC437" i="10"/>
  <c r="AD437" i="10"/>
  <c r="AA438" i="10"/>
  <c r="AB438" i="10"/>
  <c r="P54" i="11" s="1"/>
  <c r="AC438" i="10"/>
  <c r="S54" i="11" s="1"/>
  <c r="AD438" i="10"/>
  <c r="M54" i="11" s="1"/>
  <c r="AA439" i="10"/>
  <c r="AB439" i="10"/>
  <c r="AC439" i="10"/>
  <c r="AD439" i="10"/>
  <c r="AA440" i="10"/>
  <c r="AB440" i="10"/>
  <c r="AC440" i="10"/>
  <c r="AD440" i="10"/>
  <c r="T42" i="11"/>
  <c r="F26" i="12"/>
  <c r="G26" i="12"/>
  <c r="H26" i="12" a="1"/>
  <c r="H26" i="12" s="1"/>
  <c r="I26" i="12"/>
  <c r="J26" i="12"/>
  <c r="L26" i="12"/>
  <c r="M26" i="12" s="1"/>
  <c r="O26" i="12"/>
  <c r="P26" i="12" s="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T46" i="11"/>
  <c r="H46" i="11"/>
  <c r="I46" i="11"/>
  <c r="J46" i="11" a="1"/>
  <c r="J46" i="11" s="1"/>
  <c r="K46" i="11"/>
  <c r="L46" i="11"/>
  <c r="N46" i="11"/>
  <c r="O46" i="11" s="1"/>
  <c r="Q46" i="11"/>
  <c r="R46" i="11" s="1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T34" i="11"/>
  <c r="H34" i="11"/>
  <c r="I34" i="11"/>
  <c r="J34" i="11" a="1"/>
  <c r="J34" i="11" s="1"/>
  <c r="K34" i="11"/>
  <c r="L34" i="11"/>
  <c r="N34" i="11"/>
  <c r="O34" i="11" s="1"/>
  <c r="Q34" i="11"/>
  <c r="R34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P44" i="11" s="1"/>
  <c r="AC414" i="10"/>
  <c r="S44" i="11" s="1"/>
  <c r="AD414" i="10"/>
  <c r="M44" i="11" s="1"/>
  <c r="U51" i="11"/>
  <c r="V51" i="11"/>
  <c r="W51" i="11"/>
  <c r="X51" i="11"/>
  <c r="Y51" i="11"/>
  <c r="Z51" i="11"/>
  <c r="AA51" i="11"/>
  <c r="AB51" i="11"/>
  <c r="AC51" i="11"/>
  <c r="AD51" i="11"/>
  <c r="AE51" i="11"/>
  <c r="AF51" i="11"/>
  <c r="AG51" i="11"/>
  <c r="AH51" i="11"/>
  <c r="AI51" i="11"/>
  <c r="T51" i="11"/>
  <c r="H51" i="11"/>
  <c r="I51" i="11"/>
  <c r="J51" i="11" a="1"/>
  <c r="J51" i="11" s="1"/>
  <c r="K51" i="11"/>
  <c r="L51" i="11"/>
  <c r="N51" i="11"/>
  <c r="O51" i="11" s="1"/>
  <c r="Q51" i="11"/>
  <c r="R51" i="11" s="1"/>
  <c r="AA390" i="10"/>
  <c r="AB390" i="10"/>
  <c r="AC390" i="10"/>
  <c r="AD390" i="10"/>
  <c r="AA391" i="10"/>
  <c r="AB391" i="10"/>
  <c r="AC391" i="10"/>
  <c r="AD391" i="10"/>
  <c r="AA392" i="10"/>
  <c r="AB392" i="10"/>
  <c r="P41" i="11" s="1"/>
  <c r="AC392" i="10"/>
  <c r="S41" i="11" s="1"/>
  <c r="AD392" i="10"/>
  <c r="M41" i="11" s="1"/>
  <c r="AA393" i="10"/>
  <c r="AB393" i="10"/>
  <c r="P22" i="11" s="1"/>
  <c r="AC393" i="10"/>
  <c r="S22" i="11" s="1"/>
  <c r="AD393" i="10"/>
  <c r="M22" i="11" s="1"/>
  <c r="AA394" i="10"/>
  <c r="AB394" i="10"/>
  <c r="AC394" i="10"/>
  <c r="AD394" i="10"/>
  <c r="AA395" i="10"/>
  <c r="AB395" i="10"/>
  <c r="AC395" i="10"/>
  <c r="AD395" i="10"/>
  <c r="AA396" i="10"/>
  <c r="AB396" i="10"/>
  <c r="P51" i="11" s="1"/>
  <c r="AC396" i="10"/>
  <c r="S51" i="11" s="1"/>
  <c r="AD396" i="10"/>
  <c r="M51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T13" i="11"/>
  <c r="H13" i="11"/>
  <c r="I13" i="11"/>
  <c r="J13" i="11" a="1"/>
  <c r="J13" i="11" s="1"/>
  <c r="K13" i="11"/>
  <c r="L13" i="11"/>
  <c r="N13" i="11"/>
  <c r="O13" i="11" s="1"/>
  <c r="Q13" i="11"/>
  <c r="R13" i="11" s="1"/>
  <c r="F14" i="12"/>
  <c r="G14" i="12"/>
  <c r="H14" i="12" a="1"/>
  <c r="H14" i="12" s="1"/>
  <c r="I14" i="12"/>
  <c r="J14" i="12"/>
  <c r="L14" i="12"/>
  <c r="M14" i="12" s="1"/>
  <c r="O14" i="12"/>
  <c r="P14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C4" i="11"/>
  <c r="AC5" i="11"/>
  <c r="AC6" i="11"/>
  <c r="AC7" i="11"/>
  <c r="AC9" i="11"/>
  <c r="AC12" i="11"/>
  <c r="AC14" i="11"/>
  <c r="AC15" i="11"/>
  <c r="AC19" i="11"/>
  <c r="AC20" i="11"/>
  <c r="AC21" i="11"/>
  <c r="AC22" i="11"/>
  <c r="AC23" i="11"/>
  <c r="AC25" i="11"/>
  <c r="AC26" i="11"/>
  <c r="AC27" i="11"/>
  <c r="AC28" i="11"/>
  <c r="AC29" i="11"/>
  <c r="AC30" i="11"/>
  <c r="AC31" i="11"/>
  <c r="AC32" i="11"/>
  <c r="AC33" i="11"/>
  <c r="AC35" i="11"/>
  <c r="AC37" i="11"/>
  <c r="AC38" i="11"/>
  <c r="AC39" i="11"/>
  <c r="AC40" i="11"/>
  <c r="AC41" i="11"/>
  <c r="AC42" i="11"/>
  <c r="AC45" i="11"/>
  <c r="AC47" i="11"/>
  <c r="AC49" i="11"/>
  <c r="AC50" i="11"/>
  <c r="AC53" i="11"/>
  <c r="AC54" i="11"/>
  <c r="AC55" i="11"/>
  <c r="AC56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I2" i="12"/>
  <c r="AJ2" i="12"/>
  <c r="AK2" i="12"/>
  <c r="AL2" i="12"/>
  <c r="AM2" i="12"/>
  <c r="AN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50" i="12"/>
  <c r="M50" i="12" s="1"/>
  <c r="O50" i="12"/>
  <c r="P50" i="12" s="1"/>
  <c r="I50" i="12"/>
  <c r="J50" i="12"/>
  <c r="F50" i="12"/>
  <c r="G50" i="12"/>
  <c r="H50" i="12" a="1"/>
  <c r="H50" i="12" s="1"/>
  <c r="AA377" i="10"/>
  <c r="AB377" i="10"/>
  <c r="AC377" i="10"/>
  <c r="AD377" i="10"/>
  <c r="AA361" i="10"/>
  <c r="AB361" i="10"/>
  <c r="P42" i="11" s="1"/>
  <c r="AC361" i="10"/>
  <c r="S42" i="11" s="1"/>
  <c r="AD361" i="10"/>
  <c r="M42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U54" i="11"/>
  <c r="V54" i="11"/>
  <c r="W54" i="11"/>
  <c r="X54" i="11"/>
  <c r="Y54" i="11"/>
  <c r="Z54" i="11"/>
  <c r="AA54" i="11"/>
  <c r="AB54" i="11"/>
  <c r="AD54" i="11"/>
  <c r="AE54" i="11"/>
  <c r="AF54" i="11"/>
  <c r="AG54" i="11"/>
  <c r="AH54" i="11"/>
  <c r="AI54" i="11"/>
  <c r="T54" i="11"/>
  <c r="F36" i="12"/>
  <c r="G36" i="12"/>
  <c r="H36" i="12" a="1"/>
  <c r="H36" i="12" s="1"/>
  <c r="I36" i="12"/>
  <c r="J36" i="12"/>
  <c r="L36" i="12"/>
  <c r="O36" i="12"/>
  <c r="P36" i="12" s="1"/>
  <c r="F37" i="12"/>
  <c r="G37" i="12"/>
  <c r="H37" i="12" a="1"/>
  <c r="H37" i="12" s="1"/>
  <c r="I37" i="12"/>
  <c r="J37" i="12"/>
  <c r="L37" i="12"/>
  <c r="M37" i="12" s="1"/>
  <c r="O37" i="12"/>
  <c r="P37" i="12" s="1"/>
  <c r="M32" i="11" l="1"/>
  <c r="M46" i="11"/>
  <c r="P46" i="11"/>
  <c r="S46" i="11"/>
  <c r="S34" i="11"/>
  <c r="S35" i="11"/>
  <c r="S31" i="11"/>
  <c r="P2" i="12"/>
  <c r="M36" i="12"/>
  <c r="L23" i="12"/>
  <c r="M23" i="12" s="1"/>
  <c r="O23" i="12"/>
  <c r="P23" i="12" s="1"/>
  <c r="I23" i="12"/>
  <c r="J23" i="12"/>
  <c r="F23" i="12"/>
  <c r="G23" i="12"/>
  <c r="H23" i="12" a="1"/>
  <c r="H23" i="12" s="1"/>
  <c r="I43" i="12"/>
  <c r="J43" i="12"/>
  <c r="L43" i="12"/>
  <c r="M43" i="12" s="1"/>
  <c r="O43" i="12"/>
  <c r="P43" i="12" s="1"/>
  <c r="F43" i="12"/>
  <c r="G43" i="12"/>
  <c r="H43" i="12" a="1"/>
  <c r="H43" i="12" s="1"/>
  <c r="U4" i="11"/>
  <c r="V4" i="11"/>
  <c r="W4" i="11"/>
  <c r="X4" i="11"/>
  <c r="Y4" i="11"/>
  <c r="Z4" i="11"/>
  <c r="AA4" i="11"/>
  <c r="AB4" i="11"/>
  <c r="AD4" i="11"/>
  <c r="AE4" i="11"/>
  <c r="AF4" i="11"/>
  <c r="AG4" i="11"/>
  <c r="AH4" i="11"/>
  <c r="AI4" i="11"/>
  <c r="T4" i="11"/>
  <c r="Q4" i="11"/>
  <c r="R4" i="11" s="1"/>
  <c r="N4" i="11"/>
  <c r="O4" i="11" s="1"/>
  <c r="L4" i="11"/>
  <c r="K4" i="11"/>
  <c r="J4" i="11" a="1"/>
  <c r="J4" i="11" s="1"/>
  <c r="I4" i="11"/>
  <c r="H4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U27" i="11"/>
  <c r="V27" i="11"/>
  <c r="W27" i="11"/>
  <c r="X27" i="11"/>
  <c r="Y27" i="11"/>
  <c r="Z27" i="11"/>
  <c r="AA27" i="11"/>
  <c r="AB27" i="11"/>
  <c r="AD27" i="11"/>
  <c r="AE27" i="11"/>
  <c r="AF27" i="11"/>
  <c r="AG27" i="11"/>
  <c r="AH27" i="11"/>
  <c r="AI27" i="11"/>
  <c r="T27" i="11"/>
  <c r="Q27" i="11"/>
  <c r="R27" i="11" s="1"/>
  <c r="N27" i="11"/>
  <c r="L27" i="11"/>
  <c r="K27" i="11"/>
  <c r="I27" i="11"/>
  <c r="H27" i="11"/>
  <c r="J27" i="11" a="1"/>
  <c r="J27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N18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I7" i="12"/>
  <c r="AJ7" i="12"/>
  <c r="AK7" i="12"/>
  <c r="AL7" i="12"/>
  <c r="AM7" i="12"/>
  <c r="AN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I6" i="12"/>
  <c r="AJ6" i="12"/>
  <c r="AK6" i="12"/>
  <c r="AL6" i="12"/>
  <c r="AM6" i="12"/>
  <c r="AN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I5" i="12"/>
  <c r="AJ5" i="12"/>
  <c r="AK5" i="12"/>
  <c r="AL5" i="12"/>
  <c r="AM5" i="12"/>
  <c r="AN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I4" i="12"/>
  <c r="AJ4" i="12"/>
  <c r="AK4" i="12"/>
  <c r="AL4" i="12"/>
  <c r="AM4" i="12"/>
  <c r="AN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I3" i="12"/>
  <c r="AJ3" i="12"/>
  <c r="AK3" i="12"/>
  <c r="AL3" i="12"/>
  <c r="AM3" i="12"/>
  <c r="AN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2" i="12"/>
  <c r="P12" i="12" s="1"/>
  <c r="O13" i="12"/>
  <c r="P13" i="12" s="1"/>
  <c r="O15" i="12"/>
  <c r="P15" i="12" s="1"/>
  <c r="O47" i="12"/>
  <c r="P47" i="12" s="1"/>
  <c r="O16" i="12"/>
  <c r="P16" i="12" s="1"/>
  <c r="O18" i="12"/>
  <c r="P18" i="12" s="1"/>
  <c r="O19" i="12"/>
  <c r="P19" i="12" s="1"/>
  <c r="O20" i="12"/>
  <c r="P20" i="12" s="1"/>
  <c r="O21" i="12"/>
  <c r="P21" i="12" s="1"/>
  <c r="O22" i="12"/>
  <c r="P22" i="12" s="1"/>
  <c r="O24" i="12"/>
  <c r="P24" i="12" s="1"/>
  <c r="O27" i="12"/>
  <c r="P27" i="12" s="1"/>
  <c r="O28" i="12"/>
  <c r="P28" i="12" s="1"/>
  <c r="O29" i="12"/>
  <c r="P29" i="12" s="1"/>
  <c r="O30" i="12"/>
  <c r="P30" i="12" s="1"/>
  <c r="O31" i="12"/>
  <c r="P31" i="12" s="1"/>
  <c r="P32" i="12"/>
  <c r="O35" i="12"/>
  <c r="P35" i="12" s="1"/>
  <c r="O38" i="12"/>
  <c r="P38" i="12" s="1"/>
  <c r="O39" i="12"/>
  <c r="P39" i="12" s="1"/>
  <c r="O40" i="12"/>
  <c r="P40" i="12" s="1"/>
  <c r="O41" i="12"/>
  <c r="P41" i="12" s="1"/>
  <c r="O42" i="12"/>
  <c r="P42" i="12" s="1"/>
  <c r="O45" i="12"/>
  <c r="P45" i="12" s="1"/>
  <c r="O48" i="12"/>
  <c r="P48" i="12" s="1"/>
  <c r="O49" i="12"/>
  <c r="P49" i="12" s="1"/>
  <c r="O51" i="12"/>
  <c r="P51" i="12" s="1"/>
  <c r="O52" i="12"/>
  <c r="P52" i="12" s="1"/>
  <c r="O53" i="12"/>
  <c r="P53" i="12" s="1"/>
  <c r="O55" i="12"/>
  <c r="P55" i="12" s="1"/>
  <c r="O56" i="12"/>
  <c r="P56" i="12" s="1"/>
  <c r="O57" i="12"/>
  <c r="P57" i="12" s="1"/>
  <c r="O58" i="12"/>
  <c r="P58" i="12" s="1"/>
  <c r="O59" i="12"/>
  <c r="P59" i="12" s="1"/>
  <c r="O60" i="12"/>
  <c r="P60" i="12" s="1"/>
  <c r="O61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2" i="12"/>
  <c r="M12" i="12" s="1"/>
  <c r="L13" i="12"/>
  <c r="M13" i="12" s="1"/>
  <c r="L15" i="12"/>
  <c r="M15" i="12" s="1"/>
  <c r="L47" i="12"/>
  <c r="L16" i="12"/>
  <c r="M16" i="12" s="1"/>
  <c r="L18" i="12"/>
  <c r="M18" i="12" s="1"/>
  <c r="L19" i="12"/>
  <c r="M19" i="12" s="1"/>
  <c r="L20" i="12"/>
  <c r="M20" i="12" s="1"/>
  <c r="L21" i="12"/>
  <c r="M21" i="12" s="1"/>
  <c r="L22" i="12"/>
  <c r="M22" i="12" s="1"/>
  <c r="L24" i="12"/>
  <c r="M24" i="12" s="1"/>
  <c r="L27" i="12"/>
  <c r="M27" i="12" s="1"/>
  <c r="L28" i="12"/>
  <c r="M28" i="12" s="1"/>
  <c r="L29" i="12"/>
  <c r="M29" i="12" s="1"/>
  <c r="L30" i="12"/>
  <c r="M30" i="12" s="1"/>
  <c r="L31" i="12"/>
  <c r="M31" i="12" s="1"/>
  <c r="L32" i="12"/>
  <c r="M32" i="12" s="1"/>
  <c r="L35" i="12"/>
  <c r="M35" i="12" s="1"/>
  <c r="L38" i="12"/>
  <c r="M38" i="12" s="1"/>
  <c r="L39" i="12"/>
  <c r="M39" i="12" s="1"/>
  <c r="L40" i="12"/>
  <c r="M40" i="12" s="1"/>
  <c r="L41" i="12"/>
  <c r="M41" i="12" s="1"/>
  <c r="L42" i="12"/>
  <c r="M42" i="12" s="1"/>
  <c r="L45" i="12"/>
  <c r="M45" i="12" s="1"/>
  <c r="L48" i="12"/>
  <c r="M48" i="12" s="1"/>
  <c r="L49" i="12"/>
  <c r="M49" i="12" s="1"/>
  <c r="L51" i="12"/>
  <c r="M51" i="12" s="1"/>
  <c r="L52" i="12"/>
  <c r="M52" i="12" s="1"/>
  <c r="L53" i="12"/>
  <c r="M53" i="12" s="1"/>
  <c r="L55" i="12"/>
  <c r="M55" i="12" s="1"/>
  <c r="L56" i="12"/>
  <c r="M56" i="12" s="1"/>
  <c r="L57" i="12"/>
  <c r="M57" i="12" s="1"/>
  <c r="L58" i="12"/>
  <c r="M58" i="12" s="1"/>
  <c r="L59" i="12"/>
  <c r="M59" i="12" s="1"/>
  <c r="L60" i="12"/>
  <c r="M60" i="12" s="1"/>
  <c r="L61" i="12"/>
  <c r="M61" i="12" s="1"/>
  <c r="L3" i="12"/>
  <c r="M3" i="12" s="1"/>
  <c r="J4" i="12"/>
  <c r="J5" i="12"/>
  <c r="J6" i="12"/>
  <c r="J7" i="12"/>
  <c r="J8" i="12"/>
  <c r="J9" i="12"/>
  <c r="J12" i="12"/>
  <c r="J13" i="12"/>
  <c r="J15" i="12"/>
  <c r="J47" i="12"/>
  <c r="J16" i="12"/>
  <c r="J18" i="12"/>
  <c r="J19" i="12"/>
  <c r="J20" i="12"/>
  <c r="J21" i="12"/>
  <c r="J22" i="12"/>
  <c r="J24" i="12"/>
  <c r="J27" i="12"/>
  <c r="J28" i="12"/>
  <c r="J29" i="12"/>
  <c r="J30" i="12"/>
  <c r="J31" i="12"/>
  <c r="J32" i="12"/>
  <c r="J35" i="12"/>
  <c r="J38" i="12"/>
  <c r="J39" i="12"/>
  <c r="J40" i="12"/>
  <c r="J41" i="12"/>
  <c r="J42" i="12"/>
  <c r="J45" i="12"/>
  <c r="J48" i="12"/>
  <c r="J49" i="12"/>
  <c r="J51" i="12"/>
  <c r="J52" i="12"/>
  <c r="J53" i="12"/>
  <c r="J55" i="12"/>
  <c r="J56" i="12"/>
  <c r="J57" i="12"/>
  <c r="J58" i="12"/>
  <c r="J59" i="12"/>
  <c r="J60" i="12"/>
  <c r="J61" i="12"/>
  <c r="J3" i="12"/>
  <c r="I47" i="12"/>
  <c r="I16" i="12"/>
  <c r="I18" i="12"/>
  <c r="I19" i="12"/>
  <c r="I20" i="12"/>
  <c r="I21" i="12"/>
  <c r="I22" i="12"/>
  <c r="I24" i="12"/>
  <c r="I27" i="12"/>
  <c r="I28" i="12"/>
  <c r="I29" i="12"/>
  <c r="I30" i="12"/>
  <c r="I31" i="12"/>
  <c r="I32" i="12"/>
  <c r="I35" i="12"/>
  <c r="I38" i="12"/>
  <c r="I39" i="12"/>
  <c r="I40" i="12"/>
  <c r="I41" i="12"/>
  <c r="I42" i="12"/>
  <c r="I45" i="12"/>
  <c r="I48" i="12"/>
  <c r="I49" i="12"/>
  <c r="I51" i="12"/>
  <c r="I52" i="12"/>
  <c r="I53" i="12"/>
  <c r="I55" i="12"/>
  <c r="I56" i="12"/>
  <c r="I57" i="12"/>
  <c r="I58" i="12"/>
  <c r="I59" i="12"/>
  <c r="I60" i="12"/>
  <c r="I61" i="12"/>
  <c r="I4" i="12"/>
  <c r="I5" i="12"/>
  <c r="I6" i="12"/>
  <c r="I7" i="12"/>
  <c r="I8" i="12"/>
  <c r="I9" i="12"/>
  <c r="I12" i="12"/>
  <c r="I13" i="12"/>
  <c r="I15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2" i="12" a="1"/>
  <c r="H12" i="12" s="1"/>
  <c r="H13" i="12" a="1"/>
  <c r="H13" i="12" s="1"/>
  <c r="H15" i="12" a="1"/>
  <c r="H15" i="12" s="1"/>
  <c r="H47" i="12" a="1"/>
  <c r="H47" i="12" s="1"/>
  <c r="H16" i="12" a="1"/>
  <c r="H16" i="12" s="1"/>
  <c r="H18" i="12" a="1"/>
  <c r="H18" i="12" s="1"/>
  <c r="H19" i="12" a="1"/>
  <c r="H19" i="12" s="1"/>
  <c r="H20" i="12" a="1"/>
  <c r="H20" i="12" s="1"/>
  <c r="H21" i="12" a="1"/>
  <c r="H21" i="12" s="1"/>
  <c r="H22" i="12" a="1"/>
  <c r="H22" i="12" s="1"/>
  <c r="H24" i="12" a="1"/>
  <c r="H24" i="12" s="1"/>
  <c r="H27" i="12" a="1"/>
  <c r="H27" i="12" s="1"/>
  <c r="H28" i="12" a="1"/>
  <c r="H28" i="12" s="1"/>
  <c r="H29" i="12" a="1"/>
  <c r="H29" i="12" s="1"/>
  <c r="H30" i="12" a="1"/>
  <c r="H30" i="12" s="1"/>
  <c r="H31" i="12" a="1"/>
  <c r="H31" i="12" s="1"/>
  <c r="H32" i="12" a="1"/>
  <c r="H32" i="12" s="1"/>
  <c r="H35" i="12" a="1"/>
  <c r="H35" i="12" s="1"/>
  <c r="H38" i="12" a="1"/>
  <c r="H38" i="12" s="1"/>
  <c r="H39" i="12" a="1"/>
  <c r="H39" i="12" s="1"/>
  <c r="H40" i="12" a="1"/>
  <c r="H40" i="12" s="1"/>
  <c r="H41" i="12" a="1"/>
  <c r="H41" i="12" s="1"/>
  <c r="H42" i="12" a="1"/>
  <c r="H42" i="12" s="1"/>
  <c r="H45" i="12" a="1"/>
  <c r="H45" i="12" s="1"/>
  <c r="H48" i="12" a="1"/>
  <c r="H48" i="12" s="1"/>
  <c r="H49" i="12" a="1"/>
  <c r="H49" i="12" s="1"/>
  <c r="H51" i="12" a="1"/>
  <c r="H51" i="12" s="1"/>
  <c r="H52" i="12" a="1"/>
  <c r="H52" i="12" s="1"/>
  <c r="H53" i="12" a="1"/>
  <c r="H53" i="12" s="1"/>
  <c r="H55" i="12" a="1"/>
  <c r="H55" i="12" s="1"/>
  <c r="H56" i="12" a="1"/>
  <c r="H56" i="12" s="1"/>
  <c r="H57" i="12" a="1"/>
  <c r="H57" i="12" s="1"/>
  <c r="H58" i="12" a="1"/>
  <c r="H58" i="12" s="1"/>
  <c r="H59" i="12" a="1"/>
  <c r="H59" i="12" s="1"/>
  <c r="H60" i="12" a="1"/>
  <c r="H60" i="12" s="1"/>
  <c r="H61" i="12" a="1"/>
  <c r="H61" i="12" s="1"/>
  <c r="H3" i="12" a="1"/>
  <c r="H3" i="12" s="1"/>
  <c r="G47" i="12"/>
  <c r="G16" i="12"/>
  <c r="G18" i="12"/>
  <c r="G19" i="12"/>
  <c r="G20" i="12"/>
  <c r="G21" i="12"/>
  <c r="G22" i="12"/>
  <c r="G24" i="12"/>
  <c r="G27" i="12"/>
  <c r="G28" i="12"/>
  <c r="G29" i="12"/>
  <c r="G30" i="12"/>
  <c r="G31" i="12"/>
  <c r="G32" i="12"/>
  <c r="G35" i="12"/>
  <c r="G38" i="12"/>
  <c r="G39" i="12"/>
  <c r="G40" i="12"/>
  <c r="G41" i="12"/>
  <c r="G42" i="12"/>
  <c r="G45" i="12"/>
  <c r="G48" i="12"/>
  <c r="G49" i="12"/>
  <c r="G51" i="12"/>
  <c r="G52" i="12"/>
  <c r="G53" i="12"/>
  <c r="G55" i="12"/>
  <c r="G56" i="12"/>
  <c r="G57" i="12"/>
  <c r="G58" i="12"/>
  <c r="G59" i="12"/>
  <c r="G60" i="12"/>
  <c r="G61" i="12"/>
  <c r="G4" i="12"/>
  <c r="G5" i="12"/>
  <c r="G6" i="12"/>
  <c r="G7" i="12"/>
  <c r="G8" i="12"/>
  <c r="G9" i="12"/>
  <c r="G12" i="12"/>
  <c r="G13" i="12"/>
  <c r="G15" i="12"/>
  <c r="G3" i="12"/>
  <c r="F4" i="12"/>
  <c r="F5" i="12"/>
  <c r="F6" i="12"/>
  <c r="F7" i="12"/>
  <c r="F8" i="12"/>
  <c r="F9" i="12"/>
  <c r="F12" i="12"/>
  <c r="F13" i="12"/>
  <c r="F15" i="12"/>
  <c r="F47" i="12"/>
  <c r="F16" i="12"/>
  <c r="F18" i="12"/>
  <c r="F19" i="12"/>
  <c r="F20" i="12"/>
  <c r="F21" i="12"/>
  <c r="F22" i="12"/>
  <c r="F24" i="12"/>
  <c r="F27" i="12"/>
  <c r="F28" i="12"/>
  <c r="F29" i="12"/>
  <c r="F30" i="12"/>
  <c r="F31" i="12"/>
  <c r="F32" i="12"/>
  <c r="F35" i="12"/>
  <c r="F38" i="12"/>
  <c r="F39" i="12"/>
  <c r="F40" i="12"/>
  <c r="F41" i="12"/>
  <c r="F42" i="12"/>
  <c r="F45" i="12"/>
  <c r="F48" i="12"/>
  <c r="F49" i="12"/>
  <c r="F51" i="12"/>
  <c r="F52" i="12"/>
  <c r="F53" i="12"/>
  <c r="F55" i="12"/>
  <c r="F56" i="12"/>
  <c r="F57" i="12"/>
  <c r="F58" i="12"/>
  <c r="F59" i="12"/>
  <c r="F60" i="12"/>
  <c r="F61" i="12"/>
  <c r="F3" i="12"/>
  <c r="AH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U56" i="11"/>
  <c r="V56" i="11"/>
  <c r="W56" i="11"/>
  <c r="X56" i="11"/>
  <c r="Y56" i="11"/>
  <c r="Z56" i="11"/>
  <c r="AA56" i="11"/>
  <c r="AB56" i="11"/>
  <c r="AD56" i="11"/>
  <c r="AE56" i="11"/>
  <c r="AF56" i="11"/>
  <c r="AG56" i="11"/>
  <c r="AH56" i="11"/>
  <c r="AI56" i="11"/>
  <c r="T56" i="11"/>
  <c r="U55" i="11"/>
  <c r="V55" i="11"/>
  <c r="W55" i="11"/>
  <c r="X55" i="11"/>
  <c r="Y55" i="11"/>
  <c r="Z55" i="11"/>
  <c r="AA55" i="11"/>
  <c r="AB55" i="11"/>
  <c r="AD55" i="11"/>
  <c r="AE55" i="11"/>
  <c r="AF55" i="11"/>
  <c r="AG55" i="11"/>
  <c r="AH55" i="11"/>
  <c r="AI55" i="11"/>
  <c r="T55" i="11"/>
  <c r="U53" i="11"/>
  <c r="V53" i="11"/>
  <c r="W53" i="11"/>
  <c r="X53" i="11"/>
  <c r="Y53" i="11"/>
  <c r="Z53" i="11"/>
  <c r="AA53" i="11"/>
  <c r="AB53" i="11"/>
  <c r="AD53" i="11"/>
  <c r="AE53" i="11"/>
  <c r="AF53" i="11"/>
  <c r="AG53" i="11"/>
  <c r="AH53" i="11"/>
  <c r="AI53" i="11"/>
  <c r="T53" i="11"/>
  <c r="U50" i="11"/>
  <c r="V50" i="11"/>
  <c r="W50" i="11"/>
  <c r="X50" i="11"/>
  <c r="Y50" i="11"/>
  <c r="Z50" i="11"/>
  <c r="AA50" i="11"/>
  <c r="AB50" i="11"/>
  <c r="AD50" i="11"/>
  <c r="AE50" i="11"/>
  <c r="AF50" i="11"/>
  <c r="AG50" i="11"/>
  <c r="AH50" i="11"/>
  <c r="AI50" i="11"/>
  <c r="T50" i="11"/>
  <c r="U49" i="11"/>
  <c r="V49" i="11"/>
  <c r="W49" i="11"/>
  <c r="X49" i="11"/>
  <c r="Y49" i="11"/>
  <c r="Z49" i="11"/>
  <c r="AA49" i="11"/>
  <c r="AB49" i="11"/>
  <c r="AD49" i="11"/>
  <c r="AE49" i="11"/>
  <c r="AF49" i="11"/>
  <c r="AG49" i="11"/>
  <c r="AH49" i="11"/>
  <c r="AI49" i="11"/>
  <c r="T49" i="11"/>
  <c r="U47" i="11"/>
  <c r="V47" i="11"/>
  <c r="W47" i="11"/>
  <c r="X47" i="11"/>
  <c r="Y47" i="11"/>
  <c r="Z47" i="11"/>
  <c r="AA47" i="11"/>
  <c r="AB47" i="11"/>
  <c r="AD47" i="11"/>
  <c r="AE47" i="11"/>
  <c r="AF47" i="11"/>
  <c r="AG47" i="11"/>
  <c r="AH47" i="11"/>
  <c r="AI47" i="11"/>
  <c r="T47" i="11"/>
  <c r="U45" i="11"/>
  <c r="V45" i="11"/>
  <c r="W45" i="11"/>
  <c r="X45" i="11"/>
  <c r="Y45" i="11"/>
  <c r="Z45" i="11"/>
  <c r="AA45" i="11"/>
  <c r="AB45" i="11"/>
  <c r="AD45" i="11"/>
  <c r="AE45" i="11"/>
  <c r="AF45" i="11"/>
  <c r="AG45" i="11"/>
  <c r="AH45" i="11"/>
  <c r="AI45" i="11"/>
  <c r="T45" i="11"/>
  <c r="U42" i="11"/>
  <c r="V42" i="11"/>
  <c r="W42" i="11"/>
  <c r="X42" i="11"/>
  <c r="Y42" i="11"/>
  <c r="Z42" i="11"/>
  <c r="AA42" i="11"/>
  <c r="AB42" i="11"/>
  <c r="AD42" i="11"/>
  <c r="AE42" i="11"/>
  <c r="AF42" i="11"/>
  <c r="AG42" i="11"/>
  <c r="AH42" i="11"/>
  <c r="AI42" i="11"/>
  <c r="U41" i="11"/>
  <c r="V41" i="11"/>
  <c r="W41" i="11"/>
  <c r="X41" i="11"/>
  <c r="Y41" i="11"/>
  <c r="Z41" i="11"/>
  <c r="AA41" i="11"/>
  <c r="AB41" i="11"/>
  <c r="AD41" i="11"/>
  <c r="AE41" i="11"/>
  <c r="AF41" i="11"/>
  <c r="AG41" i="11"/>
  <c r="AH41" i="11"/>
  <c r="AI41" i="11"/>
  <c r="T41" i="11"/>
  <c r="U40" i="11"/>
  <c r="V40" i="11"/>
  <c r="W40" i="11"/>
  <c r="X40" i="11"/>
  <c r="Y40" i="11"/>
  <c r="Z40" i="11"/>
  <c r="AA40" i="11"/>
  <c r="AB40" i="11"/>
  <c r="AD40" i="11"/>
  <c r="AE40" i="11"/>
  <c r="AF40" i="11"/>
  <c r="AG40" i="11"/>
  <c r="AH40" i="11"/>
  <c r="AI40" i="11"/>
  <c r="T40" i="11"/>
  <c r="U39" i="11"/>
  <c r="V39" i="11"/>
  <c r="W39" i="11"/>
  <c r="X39" i="11"/>
  <c r="Y39" i="11"/>
  <c r="Z39" i="11"/>
  <c r="AA39" i="11"/>
  <c r="AB39" i="11"/>
  <c r="AD39" i="11"/>
  <c r="AE39" i="11"/>
  <c r="AF39" i="11"/>
  <c r="AG39" i="11"/>
  <c r="AH39" i="11"/>
  <c r="AI39" i="11"/>
  <c r="T39" i="11"/>
  <c r="U38" i="11"/>
  <c r="V38" i="11"/>
  <c r="W38" i="11"/>
  <c r="X38" i="11"/>
  <c r="Y38" i="11"/>
  <c r="Z38" i="11"/>
  <c r="AA38" i="11"/>
  <c r="AB38" i="11"/>
  <c r="AD38" i="11"/>
  <c r="AE38" i="11"/>
  <c r="AF38" i="11"/>
  <c r="AG38" i="11"/>
  <c r="AH38" i="11"/>
  <c r="AI38" i="11"/>
  <c r="T38" i="11"/>
  <c r="U37" i="11"/>
  <c r="V37" i="11"/>
  <c r="W37" i="11"/>
  <c r="X37" i="11"/>
  <c r="Y37" i="11"/>
  <c r="Z37" i="11"/>
  <c r="AA37" i="11"/>
  <c r="AB37" i="11"/>
  <c r="AD37" i="11"/>
  <c r="AE37" i="11"/>
  <c r="AF37" i="11"/>
  <c r="AG37" i="11"/>
  <c r="AH37" i="11"/>
  <c r="AI37" i="11"/>
  <c r="T37" i="11"/>
  <c r="U35" i="11"/>
  <c r="V35" i="11"/>
  <c r="W35" i="11"/>
  <c r="X35" i="11"/>
  <c r="Y35" i="11"/>
  <c r="Z35" i="11"/>
  <c r="AA35" i="11"/>
  <c r="AB35" i="11"/>
  <c r="AD35" i="11"/>
  <c r="AE35" i="11"/>
  <c r="AF35" i="11"/>
  <c r="AG35" i="11"/>
  <c r="AH35" i="11"/>
  <c r="AI35" i="11"/>
  <c r="T35" i="11"/>
  <c r="U33" i="11"/>
  <c r="V33" i="11"/>
  <c r="W33" i="11"/>
  <c r="X33" i="11"/>
  <c r="Y33" i="11"/>
  <c r="Z33" i="11"/>
  <c r="AA33" i="11"/>
  <c r="AB33" i="11"/>
  <c r="AD33" i="11"/>
  <c r="AE33" i="11"/>
  <c r="AF33" i="11"/>
  <c r="AG33" i="11"/>
  <c r="AH33" i="11"/>
  <c r="AI33" i="11"/>
  <c r="T33" i="11"/>
  <c r="U32" i="11"/>
  <c r="V32" i="11"/>
  <c r="W32" i="11"/>
  <c r="X32" i="11"/>
  <c r="Y32" i="11"/>
  <c r="Z32" i="11"/>
  <c r="AA32" i="11"/>
  <c r="AB32" i="11"/>
  <c r="AD32" i="11"/>
  <c r="AE32" i="11"/>
  <c r="AF32" i="11"/>
  <c r="AG32" i="11"/>
  <c r="AH32" i="11"/>
  <c r="AI32" i="11"/>
  <c r="T32" i="11"/>
  <c r="U31" i="11"/>
  <c r="V31" i="11"/>
  <c r="W31" i="11"/>
  <c r="X31" i="11"/>
  <c r="Y31" i="11"/>
  <c r="Z31" i="11"/>
  <c r="AA31" i="11"/>
  <c r="AB31" i="11"/>
  <c r="AD31" i="11"/>
  <c r="AE31" i="11"/>
  <c r="AF31" i="11"/>
  <c r="AG31" i="11"/>
  <c r="AH31" i="11"/>
  <c r="AI31" i="11"/>
  <c r="T31" i="11"/>
  <c r="U30" i="11"/>
  <c r="V30" i="11"/>
  <c r="W30" i="11"/>
  <c r="X30" i="11"/>
  <c r="Y30" i="11"/>
  <c r="Z30" i="11"/>
  <c r="AA30" i="11"/>
  <c r="AB30" i="11"/>
  <c r="AD30" i="11"/>
  <c r="AE30" i="11"/>
  <c r="AF30" i="11"/>
  <c r="AG30" i="11"/>
  <c r="AH30" i="11"/>
  <c r="AI30" i="11"/>
  <c r="T30" i="11"/>
  <c r="U29" i="11"/>
  <c r="V29" i="11"/>
  <c r="W29" i="11"/>
  <c r="X29" i="11"/>
  <c r="Y29" i="11"/>
  <c r="Z29" i="11"/>
  <c r="AA29" i="11"/>
  <c r="AB29" i="11"/>
  <c r="AD29" i="11"/>
  <c r="AE29" i="11"/>
  <c r="AF29" i="11"/>
  <c r="AG29" i="11"/>
  <c r="AH29" i="11"/>
  <c r="AI29" i="11"/>
  <c r="T29" i="11"/>
  <c r="U28" i="11"/>
  <c r="V28" i="11"/>
  <c r="W28" i="11"/>
  <c r="X28" i="11"/>
  <c r="Y28" i="11"/>
  <c r="Z28" i="11"/>
  <c r="AA28" i="11"/>
  <c r="AB28" i="11"/>
  <c r="AD28" i="11"/>
  <c r="AE28" i="11"/>
  <c r="AF28" i="11"/>
  <c r="AG28" i="11"/>
  <c r="AH28" i="11"/>
  <c r="AI28" i="11"/>
  <c r="T28" i="11"/>
  <c r="U26" i="11"/>
  <c r="V26" i="11"/>
  <c r="W26" i="11"/>
  <c r="X26" i="11"/>
  <c r="Y26" i="11"/>
  <c r="Z26" i="11"/>
  <c r="AA26" i="11"/>
  <c r="AB26" i="11"/>
  <c r="AD26" i="11"/>
  <c r="AE26" i="11"/>
  <c r="AF26" i="11"/>
  <c r="AG26" i="11"/>
  <c r="AH26" i="11"/>
  <c r="AI26" i="11"/>
  <c r="T26" i="11"/>
  <c r="U25" i="11"/>
  <c r="V25" i="11"/>
  <c r="W25" i="11"/>
  <c r="X25" i="11"/>
  <c r="Y25" i="11"/>
  <c r="Z25" i="11"/>
  <c r="AA25" i="11"/>
  <c r="AB25" i="11"/>
  <c r="AD25" i="11"/>
  <c r="AE25" i="11"/>
  <c r="AF25" i="11"/>
  <c r="AG25" i="11"/>
  <c r="AH25" i="11"/>
  <c r="AI25" i="11"/>
  <c r="T25" i="11"/>
  <c r="U23" i="11"/>
  <c r="V23" i="11"/>
  <c r="W23" i="11"/>
  <c r="X23" i="11"/>
  <c r="Y23" i="11"/>
  <c r="Z23" i="11"/>
  <c r="AA23" i="11"/>
  <c r="AB23" i="11"/>
  <c r="AD23" i="11"/>
  <c r="AE23" i="11"/>
  <c r="AF23" i="11"/>
  <c r="AG23" i="11"/>
  <c r="AH23" i="11"/>
  <c r="AI23" i="11"/>
  <c r="T23" i="11"/>
  <c r="U22" i="11"/>
  <c r="V22" i="11"/>
  <c r="W22" i="11"/>
  <c r="X22" i="11"/>
  <c r="Y22" i="11"/>
  <c r="Z22" i="11"/>
  <c r="AA22" i="11"/>
  <c r="AB22" i="11"/>
  <c r="AD22" i="11"/>
  <c r="AE22" i="11"/>
  <c r="AF22" i="11"/>
  <c r="AG22" i="11"/>
  <c r="AH22" i="11"/>
  <c r="AI22" i="11"/>
  <c r="T22" i="11"/>
  <c r="U21" i="11"/>
  <c r="V21" i="11"/>
  <c r="W21" i="11"/>
  <c r="X21" i="11"/>
  <c r="Y21" i="11"/>
  <c r="Z21" i="11"/>
  <c r="AA21" i="11"/>
  <c r="AB21" i="11"/>
  <c r="AD21" i="11"/>
  <c r="AE21" i="11"/>
  <c r="AF21" i="11"/>
  <c r="AG21" i="11"/>
  <c r="AH21" i="11"/>
  <c r="AI21" i="11"/>
  <c r="T21" i="11"/>
  <c r="U20" i="11"/>
  <c r="V20" i="11"/>
  <c r="W20" i="11"/>
  <c r="X20" i="11"/>
  <c r="Y20" i="11"/>
  <c r="Z20" i="11"/>
  <c r="AA20" i="11"/>
  <c r="AB20" i="11"/>
  <c r="AD20" i="11"/>
  <c r="AE20" i="11"/>
  <c r="AF20" i="11"/>
  <c r="AG20" i="11"/>
  <c r="AH20" i="11"/>
  <c r="AI20" i="11"/>
  <c r="T20" i="11"/>
  <c r="U15" i="11"/>
  <c r="V15" i="11"/>
  <c r="W15" i="11"/>
  <c r="X15" i="11"/>
  <c r="Y15" i="11"/>
  <c r="Z15" i="11"/>
  <c r="AA15" i="11"/>
  <c r="AB15" i="11"/>
  <c r="AD15" i="11"/>
  <c r="AE15" i="11"/>
  <c r="AF15" i="11"/>
  <c r="AG15" i="11"/>
  <c r="AH15" i="11"/>
  <c r="AI15" i="11"/>
  <c r="T15" i="11"/>
  <c r="U14" i="11"/>
  <c r="V14" i="11"/>
  <c r="W14" i="11"/>
  <c r="X14" i="11"/>
  <c r="Y14" i="11"/>
  <c r="Z14" i="11"/>
  <c r="AA14" i="11"/>
  <c r="AB14" i="11"/>
  <c r="AD14" i="11"/>
  <c r="AE14" i="11"/>
  <c r="AF14" i="11"/>
  <c r="AG14" i="11"/>
  <c r="AH14" i="11"/>
  <c r="AI14" i="11"/>
  <c r="T14" i="11"/>
  <c r="U12" i="11"/>
  <c r="V12" i="11"/>
  <c r="W12" i="11"/>
  <c r="X12" i="11"/>
  <c r="Y12" i="11"/>
  <c r="Z12" i="11"/>
  <c r="AA12" i="11"/>
  <c r="AB12" i="11"/>
  <c r="AD12" i="11"/>
  <c r="AE12" i="11"/>
  <c r="AF12" i="11"/>
  <c r="AG12" i="11"/>
  <c r="AH12" i="11"/>
  <c r="AI12" i="11"/>
  <c r="T12" i="11"/>
  <c r="U9" i="11"/>
  <c r="V9" i="11"/>
  <c r="W9" i="11"/>
  <c r="X9" i="11"/>
  <c r="Y9" i="11"/>
  <c r="Z9" i="11"/>
  <c r="AA9" i="11"/>
  <c r="AB9" i="11"/>
  <c r="AD9" i="11"/>
  <c r="AE9" i="11"/>
  <c r="AF9" i="11"/>
  <c r="AG9" i="11"/>
  <c r="AH9" i="11"/>
  <c r="AI9" i="11"/>
  <c r="T9" i="11"/>
  <c r="T8" i="11"/>
  <c r="U7" i="11"/>
  <c r="V7" i="11"/>
  <c r="W7" i="11"/>
  <c r="X7" i="11"/>
  <c r="Y7" i="11"/>
  <c r="Z7" i="11"/>
  <c r="AA7" i="11"/>
  <c r="AB7" i="11"/>
  <c r="AD7" i="11"/>
  <c r="AE7" i="11"/>
  <c r="AF7" i="11"/>
  <c r="AG7" i="11"/>
  <c r="AH7" i="11"/>
  <c r="AI7" i="11"/>
  <c r="T7" i="11"/>
  <c r="U6" i="11"/>
  <c r="V6" i="11"/>
  <c r="W6" i="11"/>
  <c r="X6" i="11"/>
  <c r="Y6" i="11"/>
  <c r="Z6" i="11"/>
  <c r="AA6" i="11"/>
  <c r="AB6" i="11"/>
  <c r="AD6" i="11"/>
  <c r="AE6" i="11"/>
  <c r="AF6" i="11"/>
  <c r="AG6" i="11"/>
  <c r="AH6" i="11"/>
  <c r="AI6" i="11"/>
  <c r="T6" i="11"/>
  <c r="U5" i="11"/>
  <c r="V5" i="11"/>
  <c r="W5" i="11"/>
  <c r="X5" i="11"/>
  <c r="Y5" i="11"/>
  <c r="Z5" i="11"/>
  <c r="AA5" i="11"/>
  <c r="AB5" i="11"/>
  <c r="AD5" i="11"/>
  <c r="AE5" i="11"/>
  <c r="AF5" i="11"/>
  <c r="AG5" i="11"/>
  <c r="AH5" i="11"/>
  <c r="AI5" i="11"/>
  <c r="T5" i="11"/>
  <c r="U19" i="11"/>
  <c r="V19" i="11"/>
  <c r="W19" i="11"/>
  <c r="X19" i="11"/>
  <c r="Y19" i="11"/>
  <c r="Z19" i="11"/>
  <c r="AA19" i="11"/>
  <c r="AB19" i="11"/>
  <c r="AD19" i="11"/>
  <c r="AE19" i="11"/>
  <c r="AF19" i="11"/>
  <c r="AG19" i="11"/>
  <c r="AH19" i="11"/>
  <c r="AI19" i="11"/>
  <c r="T19" i="11"/>
  <c r="Q5" i="11"/>
  <c r="R5" i="11" s="1"/>
  <c r="N6" i="11"/>
  <c r="O6" i="11" s="1"/>
  <c r="N7" i="11"/>
  <c r="O7" i="11" s="1"/>
  <c r="N8" i="11"/>
  <c r="O8" i="11" s="1"/>
  <c r="N9" i="11"/>
  <c r="O9" i="11" s="1"/>
  <c r="N12" i="11"/>
  <c r="O12" i="11" s="1"/>
  <c r="N14" i="11"/>
  <c r="O14" i="11" s="1"/>
  <c r="N15" i="11"/>
  <c r="O15" i="11" s="1"/>
  <c r="N19" i="11"/>
  <c r="O19" i="11" s="1"/>
  <c r="N20" i="11"/>
  <c r="O20" i="11" s="1"/>
  <c r="N21" i="11"/>
  <c r="O21" i="11" s="1"/>
  <c r="N22" i="11"/>
  <c r="O22" i="11" s="1"/>
  <c r="N23" i="11"/>
  <c r="O23" i="11" s="1"/>
  <c r="N25" i="11"/>
  <c r="O25" i="11" s="1"/>
  <c r="N26" i="11"/>
  <c r="O26" i="11" s="1"/>
  <c r="N28" i="11"/>
  <c r="O28" i="11" s="1"/>
  <c r="N29" i="11"/>
  <c r="O29" i="11" s="1"/>
  <c r="N30" i="11"/>
  <c r="O30" i="11" s="1"/>
  <c r="N31" i="11"/>
  <c r="O31" i="11" s="1"/>
  <c r="N32" i="11"/>
  <c r="O32" i="11" s="1"/>
  <c r="N33" i="11"/>
  <c r="O33" i="11" s="1"/>
  <c r="N35" i="11"/>
  <c r="O35" i="11" s="1"/>
  <c r="N37" i="11"/>
  <c r="O37" i="11" s="1"/>
  <c r="N38" i="11"/>
  <c r="O38" i="11" s="1"/>
  <c r="N39" i="11"/>
  <c r="O39" i="11" s="1"/>
  <c r="N40" i="11"/>
  <c r="O40" i="11" s="1"/>
  <c r="N41" i="11"/>
  <c r="O41" i="11" s="1"/>
  <c r="N42" i="11"/>
  <c r="O42" i="11" s="1"/>
  <c r="N45" i="11"/>
  <c r="O45" i="11" s="1"/>
  <c r="N47" i="11"/>
  <c r="O47" i="11" s="1"/>
  <c r="N49" i="11"/>
  <c r="O49" i="11" s="1"/>
  <c r="N50" i="11"/>
  <c r="O50" i="11" s="1"/>
  <c r="N53" i="11"/>
  <c r="O53" i="11" s="1"/>
  <c r="N55" i="11"/>
  <c r="O55" i="11" s="1"/>
  <c r="N56" i="11"/>
  <c r="O56" i="11" s="1"/>
  <c r="N5" i="11"/>
  <c r="O5" i="11" s="1"/>
  <c r="L6" i="11"/>
  <c r="L7" i="11"/>
  <c r="L8" i="11"/>
  <c r="L9" i="11"/>
  <c r="L12" i="11"/>
  <c r="L14" i="11"/>
  <c r="L15" i="11"/>
  <c r="L19" i="11"/>
  <c r="L20" i="11"/>
  <c r="L21" i="11"/>
  <c r="L22" i="11"/>
  <c r="L23" i="11"/>
  <c r="L25" i="11"/>
  <c r="L26" i="11"/>
  <c r="L28" i="11"/>
  <c r="L29" i="11"/>
  <c r="L30" i="11"/>
  <c r="L31" i="11"/>
  <c r="L32" i="11"/>
  <c r="L33" i="11"/>
  <c r="L35" i="11"/>
  <c r="L37" i="11"/>
  <c r="L38" i="11"/>
  <c r="L39" i="11"/>
  <c r="L40" i="11"/>
  <c r="L41" i="11"/>
  <c r="L42" i="11"/>
  <c r="L45" i="11"/>
  <c r="L47" i="11"/>
  <c r="L49" i="11"/>
  <c r="L50" i="11"/>
  <c r="L53" i="11"/>
  <c r="L55" i="11"/>
  <c r="L56" i="11"/>
  <c r="L5" i="11"/>
  <c r="K6" i="11"/>
  <c r="K7" i="11"/>
  <c r="K8" i="11"/>
  <c r="K9" i="11"/>
  <c r="K12" i="11"/>
  <c r="K14" i="11"/>
  <c r="K15" i="11"/>
  <c r="K19" i="11"/>
  <c r="K20" i="11"/>
  <c r="K21" i="11"/>
  <c r="K22" i="11"/>
  <c r="K23" i="11"/>
  <c r="K25" i="11"/>
  <c r="K26" i="11"/>
  <c r="K28" i="11"/>
  <c r="K29" i="11"/>
  <c r="K30" i="11"/>
  <c r="K31" i="11"/>
  <c r="K32" i="11"/>
  <c r="K33" i="11"/>
  <c r="K35" i="11"/>
  <c r="K37" i="11"/>
  <c r="K38" i="11"/>
  <c r="K39" i="11"/>
  <c r="K40" i="11"/>
  <c r="K41" i="11"/>
  <c r="K42" i="11"/>
  <c r="K45" i="11"/>
  <c r="K47" i="11"/>
  <c r="K49" i="11"/>
  <c r="K50" i="11"/>
  <c r="K53" i="11"/>
  <c r="K55" i="11"/>
  <c r="K56" i="11"/>
  <c r="K5" i="11"/>
  <c r="Q6" i="11"/>
  <c r="R6" i="11" s="1"/>
  <c r="Q7" i="11"/>
  <c r="R7" i="11" s="1"/>
  <c r="Q8" i="11"/>
  <c r="R8" i="11" s="1"/>
  <c r="Q9" i="11"/>
  <c r="R9" i="11" s="1"/>
  <c r="Q12" i="11"/>
  <c r="R12" i="11" s="1"/>
  <c r="Q15" i="11"/>
  <c r="R15" i="11" s="1"/>
  <c r="Q19" i="11"/>
  <c r="R19" i="11" s="1"/>
  <c r="Q20" i="11"/>
  <c r="R20" i="11" s="1"/>
  <c r="Q21" i="11"/>
  <c r="R21" i="11" s="1"/>
  <c r="Q22" i="11"/>
  <c r="R22" i="11" s="1"/>
  <c r="Q23" i="11"/>
  <c r="R23" i="11" s="1"/>
  <c r="Q25" i="11"/>
  <c r="R25" i="11" s="1"/>
  <c r="Q26" i="11"/>
  <c r="R26" i="11" s="1"/>
  <c r="Q28" i="11"/>
  <c r="R28" i="11" s="1"/>
  <c r="Q29" i="11"/>
  <c r="R29" i="11" s="1"/>
  <c r="Q30" i="11"/>
  <c r="R30" i="11" s="1"/>
  <c r="Q31" i="11"/>
  <c r="R31" i="11" s="1"/>
  <c r="Q32" i="11"/>
  <c r="Q33" i="11"/>
  <c r="R33" i="11" s="1"/>
  <c r="Q35" i="11"/>
  <c r="R35" i="11" s="1"/>
  <c r="Q37" i="11"/>
  <c r="R37" i="11" s="1"/>
  <c r="Q38" i="11"/>
  <c r="R38" i="11" s="1"/>
  <c r="Q39" i="11"/>
  <c r="R39" i="11" s="1"/>
  <c r="Q40" i="11"/>
  <c r="R40" i="11" s="1"/>
  <c r="Q41" i="11"/>
  <c r="R41" i="11" s="1"/>
  <c r="Q42" i="11"/>
  <c r="R42" i="11" s="1"/>
  <c r="Q45" i="11"/>
  <c r="R45" i="11" s="1"/>
  <c r="Q47" i="11"/>
  <c r="R47" i="11" s="1"/>
  <c r="Q49" i="11"/>
  <c r="R49" i="11" s="1"/>
  <c r="Q50" i="11"/>
  <c r="R50" i="11" s="1"/>
  <c r="Q53" i="11"/>
  <c r="R53" i="11" s="1"/>
  <c r="Q55" i="11"/>
  <c r="R55" i="11" s="1"/>
  <c r="Q56" i="11"/>
  <c r="R56" i="11" s="1"/>
  <c r="J15" i="11" a="1"/>
  <c r="J15" i="11" s="1"/>
  <c r="J19" i="11" a="1"/>
  <c r="J19" i="11" s="1"/>
  <c r="J20" i="11" a="1"/>
  <c r="J20" i="11" s="1"/>
  <c r="J21" i="11" a="1"/>
  <c r="J21" i="11" s="1"/>
  <c r="J22" i="11" a="1"/>
  <c r="J22" i="11" s="1"/>
  <c r="J23" i="11" a="1"/>
  <c r="J23" i="11" s="1"/>
  <c r="J25" i="11" a="1"/>
  <c r="J25" i="11" s="1"/>
  <c r="J26" i="11" a="1"/>
  <c r="J26" i="11" s="1"/>
  <c r="J28" i="11" a="1"/>
  <c r="J28" i="11" s="1"/>
  <c r="J29" i="11" a="1"/>
  <c r="J29" i="11" s="1"/>
  <c r="J30" i="11" a="1"/>
  <c r="J30" i="11" s="1"/>
  <c r="J31" i="11" a="1"/>
  <c r="J31" i="11" s="1"/>
  <c r="J32" i="11" a="1"/>
  <c r="J32" i="11" s="1"/>
  <c r="J33" i="11" a="1"/>
  <c r="J33" i="11" s="1"/>
  <c r="J35" i="11" a="1"/>
  <c r="J35" i="11" s="1"/>
  <c r="J37" i="11" a="1"/>
  <c r="J37" i="11" s="1"/>
  <c r="J38" i="11" a="1"/>
  <c r="J38" i="11" s="1"/>
  <c r="J39" i="11" a="1"/>
  <c r="J39" i="11" s="1"/>
  <c r="J40" i="11" a="1"/>
  <c r="J40" i="11" s="1"/>
  <c r="J41" i="11" a="1"/>
  <c r="J41" i="11" s="1"/>
  <c r="J42" i="11" a="1"/>
  <c r="J42" i="11" s="1"/>
  <c r="J45" i="11" a="1"/>
  <c r="J45" i="11" s="1"/>
  <c r="J47" i="11" a="1"/>
  <c r="J47" i="11" s="1"/>
  <c r="J49" i="11" a="1"/>
  <c r="J49" i="11" s="1"/>
  <c r="J50" i="11" a="1"/>
  <c r="J50" i="11" s="1"/>
  <c r="J53" i="11" a="1"/>
  <c r="J53" i="11" s="1"/>
  <c r="J55" i="11" a="1"/>
  <c r="J55" i="11" s="1"/>
  <c r="J56" i="11" a="1"/>
  <c r="J56" i="11" s="1"/>
  <c r="J5" i="11" a="1"/>
  <c r="J5" i="11" s="1"/>
  <c r="J6" i="11" a="1"/>
  <c r="J6" i="11" s="1"/>
  <c r="J7" i="11" a="1"/>
  <c r="J7" i="11" s="1"/>
  <c r="J8" i="11" a="1"/>
  <c r="J8" i="11" s="1"/>
  <c r="J9" i="11" a="1"/>
  <c r="J9" i="11" s="1"/>
  <c r="J12" i="11" a="1"/>
  <c r="J12" i="11" s="1"/>
  <c r="J14" i="11" a="1"/>
  <c r="J14" i="11" s="1"/>
  <c r="I5" i="11"/>
  <c r="I6" i="11"/>
  <c r="I7" i="11"/>
  <c r="I8" i="11"/>
  <c r="I9" i="11"/>
  <c r="I12" i="11"/>
  <c r="I15" i="11"/>
  <c r="I19" i="11"/>
  <c r="I20" i="11"/>
  <c r="I21" i="11"/>
  <c r="I22" i="11"/>
  <c r="I23" i="11"/>
  <c r="I25" i="11"/>
  <c r="I26" i="11"/>
  <c r="I28" i="11"/>
  <c r="I29" i="11"/>
  <c r="I30" i="11"/>
  <c r="I31" i="11"/>
  <c r="I32" i="11"/>
  <c r="I33" i="11"/>
  <c r="I35" i="11"/>
  <c r="I37" i="11"/>
  <c r="I38" i="11"/>
  <c r="I39" i="11"/>
  <c r="I40" i="11"/>
  <c r="I41" i="11"/>
  <c r="I42" i="11"/>
  <c r="I45" i="11"/>
  <c r="I47" i="11"/>
  <c r="I49" i="11"/>
  <c r="I50" i="11"/>
  <c r="I53" i="11"/>
  <c r="I55" i="11"/>
  <c r="I56" i="11"/>
  <c r="H14" i="11"/>
  <c r="H15" i="11"/>
  <c r="H19" i="11"/>
  <c r="H20" i="11"/>
  <c r="H21" i="11"/>
  <c r="H22" i="11"/>
  <c r="H23" i="11"/>
  <c r="H25" i="11"/>
  <c r="H26" i="11"/>
  <c r="H28" i="11"/>
  <c r="H29" i="11"/>
  <c r="H30" i="11"/>
  <c r="H31" i="11"/>
  <c r="H32" i="11"/>
  <c r="H33" i="11"/>
  <c r="H35" i="11"/>
  <c r="H37" i="11"/>
  <c r="H38" i="11"/>
  <c r="H39" i="11"/>
  <c r="H40" i="11"/>
  <c r="H41" i="11"/>
  <c r="H42" i="11"/>
  <c r="H45" i="11"/>
  <c r="H47" i="11"/>
  <c r="H49" i="11"/>
  <c r="H50" i="11"/>
  <c r="H53" i="11"/>
  <c r="H55" i="11"/>
  <c r="H56" i="11"/>
  <c r="H5" i="11"/>
  <c r="H6" i="11"/>
  <c r="H7" i="11"/>
  <c r="H8" i="11"/>
  <c r="H9" i="11"/>
  <c r="H12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Q14" i="11"/>
  <c r="R14" i="11" s="1"/>
  <c r="I14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M40" i="11" l="1"/>
  <c r="S40" i="11"/>
  <c r="P40" i="11"/>
  <c r="M21" i="11"/>
  <c r="S21" i="11"/>
  <c r="P21" i="11"/>
  <c r="M29" i="11"/>
  <c r="S29" i="11"/>
  <c r="P29" i="11"/>
  <c r="M37" i="11"/>
  <c r="S37" i="11"/>
  <c r="P37" i="11"/>
  <c r="M33" i="11"/>
  <c r="S33" i="11"/>
  <c r="P33" i="11"/>
  <c r="M26" i="11"/>
  <c r="S26" i="11"/>
  <c r="P26" i="11"/>
  <c r="M6" i="11"/>
  <c r="S6" i="11"/>
  <c r="P6" i="11"/>
  <c r="M30" i="11"/>
  <c r="S30" i="11"/>
  <c r="P30" i="11"/>
  <c r="O27" i="11"/>
  <c r="M47" i="12"/>
  <c r="R32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<sst xmlns="http://schemas.openxmlformats.org/spreadsheetml/2006/main" count="4709" uniqueCount="226">
  <si>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</si>
  <si>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</si>
  <si>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</si>
  <si>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</si>
  <si>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</si>
  <si>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</si>
  <si>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</si>
  <si>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</si>
  <si>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</si>
  <si>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</si>
  <si>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</si>
  <si>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</si>
  <si>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</si>
  <si>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</si>
  <si>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</si>
  <si>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</si>
  <si>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</si>
  <si>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</si>
  <si>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</si>
  <si>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</si>
  <si>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</si>
  <si>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</si>
  <si>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</si>
  <si>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</si>
  <si>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</si>
  <si>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</si>
  <si>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</si>
  <si>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</si>
  <si>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</si>
  <si>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</si>
  <si>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</si>
  <si>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</si>
  <si>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</si>
  <si>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</si>
  <si>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</si>
  <si>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</si>
  <si>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</si>
  <si>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</si>
  <si>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</si>
  <si>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</si>
  <si>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</si>
  <si>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</si>
  <si>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</si>
  <si>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</si>
  <si>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</si>
  <si>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</si>
  <si>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</si>
  <si>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</si>
  <si>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</si>
  <si>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</si>
  <si>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</si>
  <si>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</si>
  <si>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</si>
  <si>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</si>
  <si>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</si>
  <si>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</si>
  <si>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</si>
  <si>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</si>
  <si>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</si>
  <si>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</si>
  <si>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</si>
  <si>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</si>
  <si>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</si>
  <si>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</si>
  <si>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</si>
  <si>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</si>
  <si>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</si>
  <si>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</si>
  <si>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</si>
  <si>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</si>
  <si>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</si>
  <si>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</si>
  <si>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</si>
  <si>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</si>
  <si>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</si>
  <si>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</si>
  <si>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</si>
  <si>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</si>
  <si>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</si>
  <si>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</si>
  <si>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</si>
  <si>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</si>
  <si>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</si>
  <si>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</si>
  <si>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</si>
  <si>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</si>
  <si>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</si>
  <si>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</si>
  <si>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</si>
  <si>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</si>
  <si>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</si>
  <si>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</si>
  <si>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</si>
  <si>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</si>
  <si>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</si>
  <si>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</si>
  <si>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</si>
  <si>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</si>
  <si>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</si>
  <si>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</si>
  <si>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</si>
  <si>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</si>
  <si>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</si>
  <si>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</si>
  <si>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</si>
  <si>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</si>
  <si>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</si>
  <si>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</si>
  <si>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</si>
  <si>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</si>
  <si>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</si>
  <si>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</si>
  <si>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</si>
  <si>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</si>
  <si>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</si>
  <si>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</si>
  <si>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</si>
  <si>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</si>
  <si>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</si>
  <si>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</si>
  <si>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</si>
  <si>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</si>
  <si>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</si>
  <si>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</si>
  <si>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</si>
  <si>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</si>
  <si>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</si>
  <si>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</si>
  <si>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</si>
  <si>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</si>
  <si>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</si>
  <si>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</si>
  <si>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</si>
  <si>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</si>
  <si>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</si>
  <si>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</si>
  <si>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</si>
  <si>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</si>
  <si>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</si>
  <si>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</si>
  <si>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</si>
  <si>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</si>
  <si>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</si>
  <si>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</si>
  <si>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</si>
  <si>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</si>
  <si>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</si>
  <si>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</si>
  <si>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</si>
  <si>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</si>
  <si>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</si>
  <si>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</si>
  <si>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</si>
  <si>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</si>
  <si>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</si>
  <si>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</si>
  <si>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</si>
  <si>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</si>
  <si>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</si>
  <si>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</si>
  <si>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</si>
  <si>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</si>
  <si>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</si>
  <si>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</si>
  <si>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</si>
  <si>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</si>
  <si>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</si>
  <si>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</si>
  <si>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</si>
  <si>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</si>
  <si>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</si>
  <si>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</si>
  <si>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</si>
  <si>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</si>
  <si>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</si>
  <si>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</si>
  <si>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</si>
  <si>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</si>
  <si>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</si>
  <si>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</si>
  <si>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</si>
  <si>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</si>
  <si>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</si>
  <si>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</si>
  <si>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</si>
  <si>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</si>
  <si>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</si>
  <si>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</si>
  <si>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</si>
  <si>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</si>
  <si>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</si>
  <si>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</si>
  <si>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</si>
  <si>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</si>
  <si>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</si>
  <si>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</si>
  <si>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2026-05-30</t>
  </si>
  <si>
    <t>Cash Tourney #6 2nd Round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</si>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</sst>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12" fillId="0" borderId="15" xfId="0" applyFont="1" applyBorder="1" applyAlignment="1">
      <alignment vertical="center" wrapText="1"/>
    </xf>
    <xf numFmtId="49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I56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B29" sqref="B29:C29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35">
        <f t="array" ref="J2">MAX(IF('OB History'!B:B=A2, 'OB History'!C:C))</f>
        <v>2</v>
      </c>
      <c r="K2" s="34">
        <f>COUNTIFS('OB History'!B:B,A2,'OB History'!D:D, 1)</f>
        <v>1</v>
      </c>
      <c r="L2" s="2">
        <f>COUNTIFS('OB History'!B:B,A2,'OB History'!D:D, 0)</f>
        <v>0</v>
      </c>
      <c r="M2" s="88">
        <f>LOOKUP(2, 1/('OB History'!$B:$B=A2), 'OB History'!$AD:$AD)</f>
        <v>1</v>
      </c>
      <c r="N2" s="34">
        <f>SUMIFS('OB History'!F:F,'OB History'!B:B,A2)</f>
        <v>3</v>
      </c>
      <c r="O2" s="2">
        <f>SUMIFS('OB History'!E:E,'OB History'!B:B,A2)-N2</f>
        <v>2</v>
      </c>
      <c r="P2" s="88">
        <f>LOOKUP(2, 1/('OB History'!$B:$B=A2), 'OB History'!$AB:$AB)</f>
        <v>0.6</v>
      </c>
      <c r="Q2" s="34">
        <f>SUMIFS('OB History'!H:H,'OB History'!B:B,A2)</f>
        <v>14</v>
      </c>
      <c r="R2" s="2">
        <f>SUMIFS('OB History'!G:G,'OB History'!B:B,A2)-Q2</f>
        <v>6</v>
      </c>
      <c r="S2" s="88">
        <f>LOOKUP(2, 1/('OB History'!$B:$B=A2), 'OB History'!$AC:$AC)</f>
        <v>0.7</v>
      </c>
      <c r="T2" s="2">
        <f>COUNTIFS('OB History'!$B:$B,$A$2,'OB History'!K:K, 1)</f>
        <v>0</v>
      </c>
      <c r="U2" s="2">
        <f>COUNTIFS('OB History'!$B:$B,$A$2,'OB History'!L:L, 1)</f>
        <v>0</v>
      </c>
      <c r="V2" s="2">
        <f>COUNTIFS('OB History'!$B:$B,$A$2,'OB History'!M:M, 1)</f>
        <v>0</v>
      </c>
      <c r="W2" s="2">
        <f>COUNTIFS('OB History'!$B:$B,$A$2,'OB History'!N:N, 1)</f>
        <v>1</v>
      </c>
      <c r="X2" s="2">
        <f>COUNTIFS('OB History'!$B:$B,$A$2,'OB History'!O:O, 1)</f>
        <v>0</v>
      </c>
      <c r="Y2" s="2">
        <f>COUNTIFS('OB History'!$B:$B,$A$2,'OB History'!P:P, 1)</f>
        <v>0</v>
      </c>
      <c r="Z2" s="2">
        <f>COUNTIFS('OB History'!$B:$B,$A$2,'OB History'!Q:Q, 1)</f>
        <v>0</v>
      </c>
      <c r="AA2" s="2">
        <f>COUNTIFS('OB History'!$B:$B,$A$2,'OB History'!R:R, 1)</f>
        <v>0</v>
      </c>
      <c r="AB2" s="2">
        <f>COUNTIFS('OB History'!$B:$B,$A$2,'OB History'!S:S, 1)</f>
        <v>0</v>
      </c>
      <c r="AC2" s="2">
        <f>COUNTIFS('OB History'!$B:$B,$A$2,'OB History'!T:T, 1)</f>
        <v>0</v>
      </c>
      <c r="AD2" s="2">
        <f>COUNTIFS('OB History'!$B:$B,$A$2,'OB History'!U:U, 1)</f>
        <v>0</v>
      </c>
      <c r="AE2" s="2">
        <f>COUNTIFS('OB History'!$B:$B,$A$2,'OB History'!V:V, 1)</f>
        <v>0</v>
      </c>
      <c r="AF2" s="2">
        <f>COUNTIFS('OB History'!$B:$B,$A$2,'OB History'!W:W, 1)</f>
        <v>0</v>
      </c>
      <c r="AG2" s="2">
        <f>COUNTIFS('OB History'!$B:$B,$A$2,'OB History'!X:X, 1)</f>
        <v>1</v>
      </c>
      <c r="AH2" s="2">
        <f>COUNTIFS('OB History'!$B:$B,$A$2,'OB History'!Y:Y, 1)</f>
        <v>0</v>
      </c>
      <c r="AI2" s="2">
        <f>COUNTIFS('OB History'!$B:$B,$A$2,'OB History'!Z:Z,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160</v>
      </c>
      <c r="I3" s="4">
        <f>AVERAGEIFS('OB History'!C:C,'OB History'!B:B,A3)</f>
        <v>13.333333333333334</v>
      </c>
      <c r="J3" s="35">
        <f t="array" ref="J3">MAX(IF('OB History'!B:B=A3, 'OB History'!C:C))</f>
        <v>35</v>
      </c>
      <c r="K3" s="34">
        <f>COUNTIFS('OB History'!B:B,A3,'OB History'!D:D, 1)</f>
        <v>7</v>
      </c>
      <c r="L3" s="2">
        <f>COUNTIFS('OB History'!B:B,A3,'OB History'!D:D, 0)</f>
        <v>5</v>
      </c>
      <c r="M3" s="88">
        <f>LOOKUP(2, 1/('OB History'!$B:$B=A3), 'OB History'!$AD:$AD)</f>
        <v>0.58333333333333337</v>
      </c>
      <c r="N3" s="34">
        <f>SUMIFS('OB History'!F:F,'OB History'!B:B,A3)</f>
        <v>25</v>
      </c>
      <c r="O3" s="2">
        <f>SUMIFS('OB History'!E:E,'OB History'!B:B,A3)-N3</f>
        <v>23</v>
      </c>
      <c r="P3" s="88">
        <f>LOOKUP(2, 1/('OB History'!$B:$B=A3), 'OB History'!$AB:$AB)</f>
        <v>0.51666666666666672</v>
      </c>
      <c r="Q3" s="34">
        <f>SUMIFS('OB History'!H:H,'OB History'!B:B,A3)</f>
        <v>100</v>
      </c>
      <c r="R3" s="2">
        <f>SUMIFS('OB History'!G:G,'OB History'!B:B,A3)-Q3</f>
        <v>99</v>
      </c>
      <c r="S3" s="88">
        <f>LOOKUP(2, 1/('OB History'!$B:$B=A3), 'OB History'!$AC:$AC)</f>
        <v>0.51249999999999984</v>
      </c>
      <c r="T3" s="2">
        <f>COUNTIFS('OB History'!$B:$B,$A$3,'OB History'!K:K, 1)</f>
        <v>1</v>
      </c>
      <c r="U3" s="2">
        <f>COUNTIFS('OB History'!$B:$B,$A$3,'OB History'!L:L, 1)</f>
        <v>3</v>
      </c>
      <c r="V3" s="2">
        <f>COUNTIFS('OB History'!$B:$B,$A$3,'OB History'!M:M, 1)</f>
        <v>1</v>
      </c>
      <c r="W3" s="2">
        <f>COUNTIFS('OB History'!$B:$B,$A$3,'OB History'!N:N, 1)</f>
        <v>4</v>
      </c>
      <c r="X3" s="2">
        <f>COUNTIFS('OB History'!$B:$B,$A$3,'OB History'!O:O, 1)</f>
        <v>1</v>
      </c>
      <c r="Y3" s="2">
        <f>COUNTIFS('OB History'!$B:$B,$A$3,'OB History'!P:P, 1)</f>
        <v>1</v>
      </c>
      <c r="Z3" s="2">
        <f>COUNTIFS('OB History'!$B:$B,$A$3,'OB History'!Q:Q, 1)</f>
        <v>0</v>
      </c>
      <c r="AA3" s="2">
        <f>COUNTIFS('OB History'!$B:$B,$A$3,'OB History'!R:R, 1)</f>
        <v>1</v>
      </c>
      <c r="AB3" s="2">
        <f>COUNTIFS('OB History'!$B:$B,$A$3,'OB History'!S:S, 1)</f>
        <v>1</v>
      </c>
      <c r="AC3" s="2">
        <f>COUNTIFS('OB History'!$B:$B,$A$3,'OB History'!T:T, 1)</f>
        <v>0</v>
      </c>
      <c r="AD3" s="2">
        <f>COUNTIFS('OB History'!$B:$B,$A$3,'OB History'!U:U, 1)</f>
        <v>1</v>
      </c>
      <c r="AE3" s="2">
        <f>COUNTIFS('OB History'!$B:$B,$A$3,'OB History'!V:V, 1)</f>
        <v>1</v>
      </c>
      <c r="AF3" s="2">
        <f>COUNTIFS('OB History'!$B:$B,$A$3,'OB History'!W:W, 1)</f>
        <v>2</v>
      </c>
      <c r="AG3" s="2">
        <f>COUNTIFS('OB History'!$B:$B,$A$3,'OB History'!X:X, 1)</f>
        <v>3</v>
      </c>
      <c r="AH3" s="2">
        <f>COUNTIFS('OB History'!$B:$B,$A$3,'OB History'!Y:Y, 1)</f>
        <v>3</v>
      </c>
      <c r="AI3" s="2">
        <f>COUNTIFS('OB History'!$B:$B,$A$3,'OB History'!Z:Z, 1)</f>
        <v>2</v>
      </c>
    </row>
    <row r="4" spans="1:35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210</v>
      </c>
      <c r="I4" s="4">
        <f>AVERAGEIFS('OB History'!C:C,'OB History'!B:B,A4)</f>
        <v>9.1304347826086953</v>
      </c>
      <c r="J4" s="35">
        <f t="array" ref="J4">MAX(IF('OB History'!B:B=A4, 'OB History'!C:C))</f>
        <v>19</v>
      </c>
      <c r="K4" s="34">
        <f>COUNTIFS('OB History'!B:B,A4,'OB History'!D:D, 1)</f>
        <v>10</v>
      </c>
      <c r="L4" s="2">
        <f>COUNTIFS('OB History'!B:B,A4,'OB History'!D:D, 0)</f>
        <v>13</v>
      </c>
      <c r="M4" s="88">
        <f>LOOKUP(2, 1/('OB History'!$B:$B=A4), 'OB History'!$AD:$AD)</f>
        <v>0.43478260869565216</v>
      </c>
      <c r="N4" s="34">
        <f>SUMIFS('OB History'!F:F,'OB History'!B:B,A4)</f>
        <v>38</v>
      </c>
      <c r="O4" s="2">
        <f>SUMIFS('OB History'!E:E,'OB History'!B:B,A4)-N4</f>
        <v>50</v>
      </c>
      <c r="P4" s="88">
        <f>LOOKUP(2, 1/('OB History'!$B:$B=A4), 'OB History'!$AB:$AB)</f>
        <v>0.42826086956521747</v>
      </c>
      <c r="Q4" s="34">
        <f>SUMIFS('OB History'!H:H,'OB History'!B:B,A4)</f>
        <v>176</v>
      </c>
      <c r="R4" s="2">
        <f>SUMIFS('OB History'!G:G,'OB History'!B:B,A4)-Q4</f>
        <v>195</v>
      </c>
      <c r="S4" s="88">
        <f>LOOKUP(2, 1/('OB History'!$B:$B=A4), 'OB History'!$AC:$AC)</f>
        <v>0.47086956521739115</v>
      </c>
      <c r="T4" s="2">
        <f>COUNTIFS('OB History'!$B:$B,$A$4,'OB History'!K:K, 1)</f>
        <v>2</v>
      </c>
      <c r="U4" s="2">
        <f>COUNTIFS('OB History'!$B:$B,$A$4,'OB History'!L:L, 1)</f>
        <v>2</v>
      </c>
      <c r="V4" s="2">
        <f>COUNTIFS('OB History'!$B:$B,$A$4,'OB History'!M:M, 1)</f>
        <v>1</v>
      </c>
      <c r="W4" s="2">
        <f>COUNTIFS('OB History'!$B:$B,$A$4,'OB History'!N:N, 1)</f>
        <v>5</v>
      </c>
      <c r="X4" s="2">
        <f>COUNTIFS('OB History'!$B:$B,$A$4,'OB History'!O:O, 1)</f>
        <v>0</v>
      </c>
      <c r="Y4" s="2">
        <f>COUNTIFS('OB History'!$B:$B,$A$4,'OB History'!P:P, 1)</f>
        <v>5</v>
      </c>
      <c r="Z4" s="2">
        <f>COUNTIFS('OB History'!$B:$B,$A$4,'OB History'!Q:Q, 1)</f>
        <v>2</v>
      </c>
      <c r="AA4" s="2">
        <f>COUNTIFS('OB History'!$B:$B,$A$4,'OB History'!R:R, 1)</f>
        <v>1</v>
      </c>
      <c r="AB4" s="2">
        <f>COUNTIFS('OB History'!$B:$B,$A$4,'OB History'!S:S, 1)</f>
        <v>1</v>
      </c>
      <c r="AC4" s="2">
        <f>COUNTIFS('OB History'!$B:$B,$A$4,'OB History'!T:T, 1)</f>
        <v>0</v>
      </c>
      <c r="AD4" s="2">
        <f>COUNTIFS('OB History'!$B:$B,$A$4,'OB History'!U:U, 1)</f>
        <v>0</v>
      </c>
      <c r="AE4" s="2">
        <f>COUNTIFS('OB History'!$B:$B,$A$4,'OB History'!V:V, 1)</f>
        <v>2</v>
      </c>
      <c r="AF4" s="2">
        <f>COUNTIFS('OB History'!$B:$B,$A$4,'OB History'!W:W, 1)</f>
        <v>2</v>
      </c>
      <c r="AG4" s="2">
        <f>COUNTIFS('OB History'!$B:$B,$A$4,'OB History'!X:X, 1)</f>
        <v>6</v>
      </c>
      <c r="AH4" s="2">
        <f>COUNTIFS('OB History'!$B:$B,$A$4,'OB History'!Y:Y, 1)</f>
        <v>6</v>
      </c>
      <c r="AI4" s="2">
        <f>COUNTIFS('OB History'!$B:$B,$A$4,'OB History'!Z:Z, 1)</f>
        <v>3</v>
      </c>
    </row>
    <row r="5" spans="1:35" x14ac:dyDescent="0.25">
      <c r="A5" s="2" t="s">
        <v>37</v>
      </c>
      <c r="B5" s="2" t="s">
        <v>79</v>
      </c>
      <c r="C5" s="2" t="s">
        <v>79</v>
      </c>
      <c r="D5" s="3">
        <v>6</v>
      </c>
      <c r="E5" s="3"/>
      <c r="F5" s="3"/>
      <c r="G5" s="3"/>
      <c r="H5" s="34">
        <f>SUMIFS('OB History'!C:C,'OB History'!B:B,A5)</f>
        <v>606</v>
      </c>
      <c r="I5" s="4">
        <f>AVERAGEIFS('OB History'!C:C,'OB History'!B:B,A5)</f>
        <v>19.548387096774192</v>
      </c>
      <c r="J5" s="35">
        <f t="array" ref="J5">MAX(IF('OB History'!B:B=A5, 'OB History'!C:C))</f>
        <v>36</v>
      </c>
      <c r="K5" s="34">
        <f>COUNTIFS('OB History'!B:B,A5,'OB History'!D:D, 1)</f>
        <v>13</v>
      </c>
      <c r="L5" s="2">
        <f>COUNTIFS('OB History'!B:B,A5,'OB History'!D:D, 0)</f>
        <v>18</v>
      </c>
      <c r="M5" s="88">
        <f>LOOKUP(2, 1/('OB History'!$B:$B=A5), 'OB History'!$AD:$AD)</f>
        <v>0.41935483870967744</v>
      </c>
      <c r="N5" s="34">
        <f>SUMIFS('OB History'!F:F,'OB History'!B:B,A5)</f>
        <v>53</v>
      </c>
      <c r="O5" s="2">
        <f>SUMIFS('OB History'!E:E,'OB History'!B:B,A5)-N5</f>
        <v>70</v>
      </c>
      <c r="P5" s="88">
        <f>LOOKUP(2, 1/('OB History'!$B:$B=A5), 'OB History'!$AB:$AB)</f>
        <v>0.41290322580645156</v>
      </c>
      <c r="Q5" s="34">
        <f>SUMIFS('OB History'!H:H,'OB History'!B:B,A5)</f>
        <v>231</v>
      </c>
      <c r="R5" s="2">
        <f>SUMIFS('OB History'!G:G,'OB History'!B:B,A5)-Q5</f>
        <v>273</v>
      </c>
      <c r="S5" s="88">
        <f>LOOKUP(2, 1/('OB History'!$B:$B=A5), 'OB History'!$AC:$AC)</f>
        <v>0.44870967741935486</v>
      </c>
      <c r="T5" s="2">
        <f>COUNTIFS('OB History'!$B:$B,$A$5,'OB History'!K:K, 1)</f>
        <v>4</v>
      </c>
      <c r="U5" s="2">
        <f>COUNTIFS('OB History'!$B:$B,$A$5,'OB History'!L:L, 1)</f>
        <v>2</v>
      </c>
      <c r="V5" s="2">
        <f>COUNTIFS('OB History'!$B:$B,$A$5,'OB History'!M:M, 1)</f>
        <v>2</v>
      </c>
      <c r="W5" s="2">
        <f>COUNTIFS('OB History'!$B:$B,$A$5,'OB History'!N:N, 1)</f>
        <v>8</v>
      </c>
      <c r="X5" s="2">
        <f>COUNTIFS('OB History'!$B:$B,$A$5,'OB History'!O:O, 1)</f>
        <v>1</v>
      </c>
      <c r="Y5" s="2">
        <f>COUNTIFS('OB History'!$B:$B,$A$5,'OB History'!P:P, 1)</f>
        <v>4</v>
      </c>
      <c r="Z5" s="2">
        <f>COUNTIFS('OB History'!$B:$B,$A$5,'OB History'!Q:Q, 1)</f>
        <v>0</v>
      </c>
      <c r="AA5" s="2">
        <f>COUNTIFS('OB History'!$B:$B,$A$5,'OB History'!R:R, 1)</f>
        <v>1</v>
      </c>
      <c r="AB5" s="2">
        <f>COUNTIFS('OB History'!$B:$B,$A$5,'OB History'!S:S, 1)</f>
        <v>1</v>
      </c>
      <c r="AC5" s="2">
        <f>COUNTIFS('OB History'!$B:$B,$A$5,'OB History'!T:T, 1)</f>
        <v>2</v>
      </c>
      <c r="AD5" s="2">
        <f>COUNTIFS('OB History'!$B:$B,$A$5,'OB History'!U:U, 1)</f>
        <v>0</v>
      </c>
      <c r="AE5" s="2">
        <f>COUNTIFS('OB History'!$B:$B,$A$5,'OB History'!V:V, 1)</f>
        <v>0</v>
      </c>
      <c r="AF5" s="2">
        <f>COUNTIFS('OB History'!$B:$B,$A$5,'OB History'!W:W, 1)</f>
        <v>2</v>
      </c>
      <c r="AG5" s="2">
        <f>COUNTIFS('OB History'!$B:$B,$A$5,'OB History'!X:X, 1)</f>
        <v>8</v>
      </c>
      <c r="AH5" s="2">
        <f>COUNTIFS('OB History'!$B:$B,$A$5,'OB History'!Y:Y, 1)</f>
        <v>6</v>
      </c>
      <c r="AI5" s="2">
        <f>COUNTIFS('OB History'!$B:$B,$A$5,'OB History'!Z:Z, 1)</f>
        <v>12</v>
      </c>
    </row>
    <row r="6" spans="1:35" x14ac:dyDescent="0.25">
      <c r="A6" s="2" t="s">
        <v>34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40</v>
      </c>
      <c r="I6" s="4">
        <f>AVERAGEIFS('OB History'!C:C,'OB History'!B:B,A6)</f>
        <v>10</v>
      </c>
      <c r="J6" s="35">
        <f t="array" ref="J6">MAX(IF('OB History'!B:B=A6, 'OB History'!C:C))</f>
        <v>18</v>
      </c>
      <c r="K6" s="34">
        <f>COUNTIFS('OB History'!B:B,A6,'OB History'!D:D, 1)</f>
        <v>4</v>
      </c>
      <c r="L6" s="2">
        <f>COUNTIFS('OB History'!B:B,A6,'OB History'!D:D, 0)</f>
        <v>0</v>
      </c>
      <c r="M6" s="88">
        <f>LOOKUP(2, 1/('OB History'!$B:$B=A6), 'OB History'!$AD:$AD)</f>
        <v>1</v>
      </c>
      <c r="N6" s="34">
        <f>SUMIFS('OB History'!F:F,'OB History'!B:B,A6)</f>
        <v>12</v>
      </c>
      <c r="O6" s="2">
        <f>SUMIFS('OB History'!E:E,'OB History'!B:B,A6)-N6</f>
        <v>3</v>
      </c>
      <c r="P6" s="88">
        <f>LOOKUP(2, 1/('OB History'!$B:$B=A6), 'OB History'!$AB:$AB)</f>
        <v>0.83750000000000002</v>
      </c>
      <c r="Q6" s="34">
        <f>SUMIFS('OB History'!H:H,'OB History'!B:B,'Old Bow v2'!A6)</f>
        <v>39</v>
      </c>
      <c r="R6" s="2">
        <f>SUMIFS('OB History'!G:G,'OB History'!B:B,'Old Bow v2'!A6)-Q6</f>
        <v>20</v>
      </c>
      <c r="S6" s="88">
        <f>LOOKUP(2, 1/('OB History'!$B:$B=A6), 'OB History'!$AC:$AC)</f>
        <v>0.69</v>
      </c>
      <c r="T6" s="2">
        <f>COUNTIFS('OB History'!$B:$B,$A$6,'OB History'!K:K, 1)</f>
        <v>0</v>
      </c>
      <c r="U6" s="2">
        <f>COUNTIFS('OB History'!$B:$B,$A$6,'OB History'!L:L, 1)</f>
        <v>3</v>
      </c>
      <c r="V6" s="2">
        <f>COUNTIFS('OB History'!$B:$B,$A$6,'OB History'!M:M, 1)</f>
        <v>0</v>
      </c>
      <c r="W6" s="2">
        <f>COUNTIFS('OB History'!$B:$B,$A$6,'OB History'!N:N, 1)</f>
        <v>2</v>
      </c>
      <c r="X6" s="2">
        <f>COUNTIFS('OB History'!$B:$B,$A$6,'OB History'!O:O, 1)</f>
        <v>0</v>
      </c>
      <c r="Y6" s="2">
        <f>COUNTIFS('OB History'!$B:$B,$A$6,'OB History'!P:P, 1)</f>
        <v>1</v>
      </c>
      <c r="Z6" s="2">
        <f>COUNTIFS('OB History'!$B:$B,$A$6,'OB History'!Q:Q, 1)</f>
        <v>0</v>
      </c>
      <c r="AA6" s="2">
        <f>COUNTIFS('OB History'!$B:$B,$A$6,'OB History'!R:R, 1)</f>
        <v>0</v>
      </c>
      <c r="AB6" s="2">
        <f>COUNTIFS('OB History'!$B:$B,$A$6,'OB History'!S:S, 1)</f>
        <v>0</v>
      </c>
      <c r="AC6" s="2">
        <f>COUNTIFS('OB History'!$B:$B,$A$6,'OB History'!T:T, 1)</f>
        <v>0</v>
      </c>
      <c r="AD6" s="2">
        <f>COUNTIFS('OB History'!$B:$B,$A$6,'OB History'!U:U, 1)</f>
        <v>0</v>
      </c>
      <c r="AE6" s="2">
        <f>COUNTIFS('OB History'!$B:$B,$A$6,'OB History'!V:V, 1)</f>
        <v>0</v>
      </c>
      <c r="AF6" s="2">
        <f>COUNTIFS('OB History'!$B:$B,$A$6,'OB History'!W:W, 1)</f>
        <v>1</v>
      </c>
      <c r="AG6" s="2">
        <f>COUNTIFS('OB History'!$B:$B,$A$6,'OB History'!X:X, 1)</f>
        <v>3</v>
      </c>
      <c r="AH6" s="2">
        <f>COUNTIFS('OB History'!$B:$B,$A$6,'OB History'!Y:Y, 1)</f>
        <v>2</v>
      </c>
      <c r="AI6" s="2">
        <f>COUNTIFS('OB History'!$B:$B,$A$6,'OB History'!Z:Z,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3"/>
      <c r="E7" s="3"/>
      <c r="F7" s="3"/>
      <c r="G7" s="3"/>
      <c r="H7" s="34">
        <f>SUMIFS('OB History'!C:C,'OB History'!B:B,A7)</f>
        <v>425</v>
      </c>
      <c r="I7" s="4">
        <f>AVERAGEIFS('OB History'!C:C,'OB History'!B:B,A7)</f>
        <v>12.142857142857142</v>
      </c>
      <c r="J7" s="35">
        <f t="array" ref="J7">MAX(IF('OB History'!B:B=A7, 'OB History'!C:C))</f>
        <v>32</v>
      </c>
      <c r="K7" s="34">
        <f>COUNTIFS('OB History'!B:B,A7,'OB History'!D:D, 1)</f>
        <v>21</v>
      </c>
      <c r="L7" s="2">
        <f>COUNTIFS('OB History'!B:B,A7,'OB History'!D:D, 0)</f>
        <v>14</v>
      </c>
      <c r="M7" s="88">
        <f>LOOKUP(2, 1/('OB History'!$B:$B=A7), 'OB History'!$AD:$AD)</f>
        <v>0.6</v>
      </c>
      <c r="N7" s="34">
        <f>SUMIFS('OB History'!F:F,'OB History'!B:B,A7)</f>
        <v>73</v>
      </c>
      <c r="O7" s="2">
        <f>SUMIFS('OB History'!E:E,'OB History'!B:B,A7)-N7</f>
        <v>66</v>
      </c>
      <c r="P7" s="88">
        <f>LOOKUP(2, 1/('OB History'!$B:$B=A7), 'OB History'!$AB:$AB)</f>
        <v>0.51285714285714279</v>
      </c>
      <c r="Q7" s="34">
        <f>SUMIFS('OB History'!H:H,'OB History'!B:B,'Old Bow v2'!A7)</f>
        <v>289</v>
      </c>
      <c r="R7" s="2">
        <f>SUMIFS('OB History'!G:G,'OB History'!B:B,'Old Bow v2'!A7)-Q7</f>
        <v>278</v>
      </c>
      <c r="S7" s="88">
        <f>LOOKUP(2, 1/('OB History'!$B:$B=A7), 'OB History'!$AC:$AC)</f>
        <v>0.50428571428571434</v>
      </c>
      <c r="T7" s="2">
        <f>COUNTIFS('OB History'!$B:$B,$A$7,'OB History'!K:K, 1)</f>
        <v>6</v>
      </c>
      <c r="U7" s="2">
        <f>COUNTIFS('OB History'!$B:$B,$A$7,'OB History'!L:L, 1)</f>
        <v>8</v>
      </c>
      <c r="V7" s="2">
        <f>COUNTIFS('OB History'!$B:$B,$A$7,'OB History'!M:M, 1)</f>
        <v>1</v>
      </c>
      <c r="W7" s="2">
        <f>COUNTIFS('OB History'!$B:$B,$A$7,'OB History'!N:N, 1)</f>
        <v>10</v>
      </c>
      <c r="X7" s="2">
        <f>COUNTIFS('OB History'!$B:$B,$A$7,'OB History'!O:O, 1)</f>
        <v>3</v>
      </c>
      <c r="Y7" s="2">
        <f>COUNTIFS('OB History'!$B:$B,$A$7,'OB History'!P:P, 1)</f>
        <v>8</v>
      </c>
      <c r="Z7" s="2">
        <f>COUNTIFS('OB History'!$B:$B,$A$7,'OB History'!Q:Q, 1)</f>
        <v>0</v>
      </c>
      <c r="AA7" s="2">
        <f>COUNTIFS('OB History'!$B:$B,$A$7,'OB History'!R:R, 1)</f>
        <v>3</v>
      </c>
      <c r="AB7" s="2">
        <f>COUNTIFS('OB History'!$B:$B,$A$7,'OB History'!S:S, 1)</f>
        <v>0</v>
      </c>
      <c r="AC7" s="2">
        <f>COUNTIFS('OB History'!$B:$B,$A$7,'OB History'!T:T, 1)</f>
        <v>1</v>
      </c>
      <c r="AD7" s="2">
        <f>COUNTIFS('OB History'!$B:$B,$A$7,'OB History'!U:U, 1)</f>
        <v>0</v>
      </c>
      <c r="AE7" s="2">
        <f>COUNTIFS('OB History'!$B:$B,$A$7,'OB History'!V:V, 1)</f>
        <v>0</v>
      </c>
      <c r="AF7" s="2">
        <f>COUNTIFS('OB History'!$B:$B,$A$7,'OB History'!W:W, 1)</f>
        <v>8</v>
      </c>
      <c r="AG7" s="2">
        <f>COUNTIFS('OB History'!$B:$B,$A$7,'OB History'!X:X, 1)</f>
        <v>11</v>
      </c>
      <c r="AH7" s="2">
        <f>COUNTIFS('OB History'!$B:$B,$A$7,'OB History'!Y:Y, 1)</f>
        <v>5</v>
      </c>
      <c r="AI7" s="2">
        <f>COUNTIFS('OB History'!$B:$B,$A$7,'OB History'!Z:Z, 1)</f>
        <v>9</v>
      </c>
    </row>
    <row r="8" spans="1:35" x14ac:dyDescent="0.25">
      <c r="A8" s="2" t="s">
        <v>19</v>
      </c>
      <c r="B8" s="2" t="s">
        <v>79</v>
      </c>
      <c r="C8" s="2" t="s">
        <v>79</v>
      </c>
      <c r="D8" s="3">
        <v>1</v>
      </c>
      <c r="E8" s="3">
        <v>1</v>
      </c>
      <c r="F8" s="3"/>
      <c r="G8" s="3"/>
      <c r="H8" s="34">
        <f>SUMIFS('OB History'!C:C,'OB History'!B:B,A8)</f>
        <v>420</v>
      </c>
      <c r="I8" s="4">
        <f>AVERAGEIFS('OB History'!C:C,'OB History'!B:B,A8)</f>
        <v>12</v>
      </c>
      <c r="J8" s="35">
        <f t="array" ref="J8">MAX(IF('OB History'!B:B=A8, 'OB History'!C:C))</f>
        <v>26</v>
      </c>
      <c r="K8" s="34">
        <f>COUNTIFS('OB History'!B:B,A8,'OB History'!D:D, 1)</f>
        <v>14</v>
      </c>
      <c r="L8" s="2">
        <f>COUNTIFS('OB History'!B:B,A8,'OB History'!D:D, 0)</f>
        <v>21</v>
      </c>
      <c r="M8" s="88">
        <f>LOOKUP(2, 1/('OB History'!$B:$B=A8), 'OB History'!$AD:$AD)</f>
        <v>0.4</v>
      </c>
      <c r="N8" s="34">
        <f>SUMIFS('OB History'!F:F,'OB History'!B:B,A8)</f>
        <v>64</v>
      </c>
      <c r="O8" s="2">
        <f>SUMIFS('OB History'!E:E,'OB History'!B:B,A8)-N8</f>
        <v>80</v>
      </c>
      <c r="P8" s="88">
        <f>LOOKUP(2, 1/('OB History'!$B:$B=A8), 'OB History'!$AB:$AB)</f>
        <v>0.43285714285714288</v>
      </c>
      <c r="Q8" s="34">
        <f>SUMIFS('OB History'!H:H,'OB History'!B:B,'Old Bow v2'!A8)</f>
        <v>279</v>
      </c>
      <c r="R8" s="2">
        <f>SUMIFS('OB History'!G:G,'OB History'!B:B,'Old Bow v2'!A8)-Q8</f>
        <v>312</v>
      </c>
      <c r="S8" s="88">
        <f>LOOKUP(2, 1/('OB History'!$B:$B=A8), 'OB History'!$AC:$AC)</f>
        <v>0.46057142857142858</v>
      </c>
      <c r="T8" s="2">
        <f>COUNTIFS('OB History'!$B:$B,$A$8,'OB History'!K:K, 1)</f>
        <v>5</v>
      </c>
      <c r="U8" s="2">
        <f>COUNTIFS('OB History'!$B:$B,$A$8,'OB History'!L:L, 1)</f>
        <v>3</v>
      </c>
      <c r="V8" s="2">
        <f>COUNTIFS('OB History'!$B:$B,$A$8,'OB History'!M:M, 1)</f>
        <v>1</v>
      </c>
      <c r="W8" s="2">
        <f>COUNTIFS('OB History'!$B:$B,$A$8,'OB History'!N:N, 1)</f>
        <v>7</v>
      </c>
      <c r="X8" s="2">
        <f>COUNTIFS('OB History'!$B:$B,$A$8,'OB History'!O:O, 1)</f>
        <v>1</v>
      </c>
      <c r="Y8" s="2">
        <f>COUNTIFS('OB History'!$B:$B,$A$8,'OB History'!P:P, 1)</f>
        <v>9</v>
      </c>
      <c r="Z8" s="2">
        <f>COUNTIFS('OB History'!$B:$B,$A$8,'OB History'!Q:Q, 1)</f>
        <v>1</v>
      </c>
      <c r="AA8" s="2">
        <f>COUNTIFS('OB History'!$B:$B,$A$8,'OB History'!R:R, 1)</f>
        <v>1</v>
      </c>
      <c r="AB8" s="2">
        <f>COUNTIFS('OB History'!$B:$B,$A$8,'OB History'!S:S, 1)</f>
        <v>1</v>
      </c>
      <c r="AC8" s="2">
        <f>COUNTIFS('OB History'!$B:$B,$A$8,'OB History'!T:T, 1)</f>
        <v>0</v>
      </c>
      <c r="AD8" s="2">
        <f>COUNTIFS('OB History'!$B:$B,$A$8,'OB History'!U:U, 1)</f>
        <v>1</v>
      </c>
      <c r="AE8" s="2">
        <f>COUNTIFS('OB History'!$B:$B,$A$8,'OB History'!V:V, 1)</f>
        <v>1</v>
      </c>
      <c r="AF8" s="2">
        <f>COUNTIFS('OB History'!$B:$B,$A$8,'OB History'!W:W, 1)</f>
        <v>4</v>
      </c>
      <c r="AG8" s="2">
        <f>COUNTIFS('OB History'!$B:$B,$A$8,'OB History'!X:X, 1)</f>
        <v>12</v>
      </c>
      <c r="AH8" s="2">
        <f>COUNTIFS('OB History'!$B:$B,$A$8,'OB History'!Y:Y, 1)</f>
        <v>4</v>
      </c>
      <c r="AI8" s="2">
        <f>COUNTIFS('OB History'!$B:$B,$A$8,'OB History'!Z:Z, 1)</f>
        <v>13</v>
      </c>
    </row>
    <row r="9" spans="1:35" x14ac:dyDescent="0.25">
      <c r="A9" s="1" t="s">
        <v>42</v>
      </c>
      <c r="B9" s="6" t="s">
        <v>60</v>
      </c>
      <c r="C9" s="2" t="s">
        <v>79</v>
      </c>
      <c r="D9" s="3"/>
      <c r="E9" s="3"/>
      <c r="F9" s="3"/>
      <c r="G9" s="3"/>
      <c r="H9" s="34">
        <f>SUMIFS('OB History'!C:C,'OB History'!B:B,A9)</f>
        <v>86</v>
      </c>
      <c r="I9" s="4">
        <f>AVERAGEIFS('OB History'!C:C,'OB History'!B:B,A9)</f>
        <v>10.75</v>
      </c>
      <c r="J9" s="35">
        <f t="array" ref="J9">MAX(IF('OB History'!B:B=A9, 'OB History'!C:C))</f>
        <v>29</v>
      </c>
      <c r="K9" s="34">
        <f>COUNTIFS('OB History'!B:B,A9,'OB History'!D:D, 1)</f>
        <v>3</v>
      </c>
      <c r="L9" s="2">
        <f>COUNTIFS('OB History'!B:B,A9,'OB History'!D:D, 0)</f>
        <v>5</v>
      </c>
      <c r="M9" s="88">
        <f>LOOKUP(2, 1/('OB History'!$B:$B=A9), 'OB History'!$AD:$AD)</f>
        <v>0.375</v>
      </c>
      <c r="N9" s="34">
        <f>SUMIFS('OB History'!F:F,'OB History'!B:B,A9)</f>
        <v>13</v>
      </c>
      <c r="O9" s="2">
        <f>SUMIFS('OB History'!E:E,'OB History'!B:B,A9)-N9</f>
        <v>18</v>
      </c>
      <c r="P9" s="88">
        <f>LOOKUP(2, 1/('OB History'!$B:$B=A9), 'OB History'!$AB:$AB)</f>
        <v>0.39374999999999999</v>
      </c>
      <c r="Q9" s="34">
        <f>SUMIFS('OB History'!H:H,'OB History'!B:B,'Old Bow v2'!A9)</f>
        <v>54</v>
      </c>
      <c r="R9" s="2">
        <f>SUMIFS('OB History'!G:G,'OB History'!B:B,'Old Bow v2'!A9)-Q9</f>
        <v>68</v>
      </c>
      <c r="S9" s="88">
        <f>LOOKUP(2, 1/('OB History'!$B:$B=A9), 'OB History'!$AC:$AC)</f>
        <v>0.43250000000000005</v>
      </c>
      <c r="T9" s="2">
        <f>COUNTIFS('OB History'!$B:$B,$A$9,'OB History'!K:K, 1)</f>
        <v>2</v>
      </c>
      <c r="U9" s="2">
        <f>COUNTIFS('OB History'!$B:$B,$A$9,'OB History'!L:L, 1)</f>
        <v>2</v>
      </c>
      <c r="V9" s="2">
        <f>COUNTIFS('OB History'!$B:$B,$A$9,'OB History'!M:M, 1)</f>
        <v>1</v>
      </c>
      <c r="W9" s="2">
        <f>COUNTIFS('OB History'!$B:$B,$A$9,'OB History'!N:N, 1)</f>
        <v>0</v>
      </c>
      <c r="X9" s="2">
        <f>COUNTIFS('OB History'!$B:$B,$A$9,'OB History'!O:O, 1)</f>
        <v>1</v>
      </c>
      <c r="Y9" s="2">
        <f>COUNTIFS('OB History'!$B:$B,$A$9,'OB History'!P:P, 1)</f>
        <v>0</v>
      </c>
      <c r="Z9" s="2">
        <f>COUNTIFS('OB History'!$B:$B,$A$9,'OB History'!Q:Q, 1)</f>
        <v>0</v>
      </c>
      <c r="AA9" s="2">
        <f>COUNTIFS('OB History'!$B:$B,$A$9,'OB History'!R:R, 1)</f>
        <v>0</v>
      </c>
      <c r="AB9" s="2">
        <f>COUNTIFS('OB History'!$B:$B,$A$9,'OB History'!S:S, 1)</f>
        <v>0</v>
      </c>
      <c r="AC9" s="2">
        <f>COUNTIFS('OB History'!$B:$B,$A$9,'OB History'!T:T, 1)</f>
        <v>0</v>
      </c>
      <c r="AD9" s="2">
        <f>COUNTIFS('OB History'!$B:$B,$A$9,'OB History'!U:U, 1)</f>
        <v>0</v>
      </c>
      <c r="AE9" s="2">
        <f>COUNTIFS('OB History'!$B:$B,$A$9,'OB History'!V:V, 1)</f>
        <v>1</v>
      </c>
      <c r="AF9" s="2">
        <f>COUNTIFS('OB History'!$B:$B,$A$9,'OB History'!W:W, 1)</f>
        <v>3</v>
      </c>
      <c r="AG9" s="2">
        <f>COUNTIFS('OB History'!$B:$B,$A$9,'OB History'!X:X, 1)</f>
        <v>1</v>
      </c>
      <c r="AH9" s="2">
        <f>COUNTIFS('OB History'!$B:$B,$A$9,'OB History'!Y:Y, 1)</f>
        <v>1</v>
      </c>
      <c r="AI9" s="2">
        <f>COUNTIFS('OB History'!$B:$B,$A$9,'OB History'!Z:Z, 1)</f>
        <v>1</v>
      </c>
    </row>
    <row r="10" spans="1:35" x14ac:dyDescent="0.25">
      <c r="A10" s="1" t="s">
        <v>179</v>
      </c>
      <c r="B10" s="6" t="s">
        <v>79</v>
      </c>
      <c r="C10" s="2" t="s">
        <v>79</v>
      </c>
      <c r="D10" s="3"/>
      <c r="E10" s="3"/>
      <c r="F10" s="3"/>
      <c r="G10" s="3"/>
      <c r="H10" s="34">
        <f>SUMIFS('OB History'!C:C,'OB History'!B:B,A10)</f>
        <v>98</v>
      </c>
      <c r="I10" s="4">
        <f>AVERAGEIFS('OB History'!C:C,'OB History'!B:B,A10)</f>
        <v>14</v>
      </c>
      <c r="J10" s="35">
        <f t="array" ref="J10">MAX(IF('OB History'!B:B=A10, 'OB History'!C:C))</f>
        <v>22</v>
      </c>
      <c r="K10" s="34">
        <f>COUNTIFS('OB History'!B:B,A10,'OB History'!D:D, 1)</f>
        <v>6</v>
      </c>
      <c r="L10" s="2">
        <f>COUNTIFS('OB History'!B:B,A10,'OB History'!D:D, 0)</f>
        <v>1</v>
      </c>
      <c r="M10" s="88">
        <f>LOOKUP(2, 1/('OB History'!$B:$B=A10), 'OB History'!$AD:$AD)</f>
        <v>0.8571428571428571</v>
      </c>
      <c r="N10" s="34">
        <f>SUMIFS('OB History'!F:F,'OB History'!B:B,A10)</f>
        <v>20</v>
      </c>
      <c r="O10" s="2">
        <f>SUMIFS('OB History'!E:E,'OB History'!B:B,A10)-N10</f>
        <v>4</v>
      </c>
      <c r="P10" s="88">
        <f>LOOKUP(2, 1/('OB History'!$B:$B=A10), 'OB History'!$AB:$AB)</f>
        <v>0.8571428571428571</v>
      </c>
      <c r="Q10" s="34">
        <f>SUMIFS('OB History'!H:H,'OB History'!B:B,'Old Bow v2'!A10)</f>
        <v>62</v>
      </c>
      <c r="R10" s="2">
        <f>SUMIFS('OB History'!G:G,'OB History'!B:B,'Old Bow v2'!A10)-Q10</f>
        <v>40</v>
      </c>
      <c r="S10" s="88">
        <f>LOOKUP(2, 1/('OB History'!$B:$B=A10), 'OB History'!$AC:$AC)</f>
        <v>0.61857142857142855</v>
      </c>
      <c r="T10" s="2">
        <f>COUNTIFS('OB History'!$B:$B,$A$10,'OB History'!K:K, 1)</f>
        <v>1</v>
      </c>
      <c r="U10" s="2">
        <f>COUNTIFS('OB History'!$B:$B,$A$10,'OB History'!L:L, 1)</f>
        <v>2</v>
      </c>
      <c r="V10" s="2">
        <f>COUNTIFS('OB History'!$B:$B,$A$10,'OB History'!M:M, 1)</f>
        <v>1</v>
      </c>
      <c r="W10" s="2">
        <f>COUNTIFS('OB History'!$B:$B,$A$10,'OB History'!N:N, 1)</f>
        <v>3</v>
      </c>
      <c r="X10" s="2">
        <f>COUNTIFS('OB History'!$B:$B,$A$10,'OB History'!O:O, 1)</f>
        <v>0</v>
      </c>
      <c r="Y10" s="2">
        <f>COUNTIFS('OB History'!$B:$B,$A$10,'OB History'!P:P, 1)</f>
        <v>0</v>
      </c>
      <c r="Z10" s="2">
        <f>COUNTIFS('OB History'!$B:$B,$A$10,'OB History'!Q:Q, 1)</f>
        <v>0</v>
      </c>
      <c r="AA10" s="2">
        <f>COUNTIFS('OB History'!$B:$B,$A$10,'OB History'!R:R, 1)</f>
        <v>1</v>
      </c>
      <c r="AB10" s="2">
        <f>COUNTIFS('OB History'!$B:$B,$A$10,'OB History'!S:S, 1)</f>
        <v>0</v>
      </c>
      <c r="AC10" s="2">
        <f>COUNTIFS('OB History'!$B:$B,$A$10,'OB History'!T:T, 1)</f>
        <v>2</v>
      </c>
      <c r="AD10" s="2">
        <f>COUNTIFS('OB History'!$B:$B,$A$10,'OB History'!U:U, 1)</f>
        <v>0</v>
      </c>
      <c r="AE10" s="2">
        <f>COUNTIFS('OB History'!$B:$B,$A$10,'OB History'!V:V, 1)</f>
        <v>0</v>
      </c>
      <c r="AF10" s="2">
        <f>COUNTIFS('OB History'!$B:$B,$A$10,'OB History'!W:W, 1)</f>
        <v>1</v>
      </c>
      <c r="AG10" s="2">
        <f>COUNTIFS('OB History'!$B:$B,$A$10,'OB History'!X:X, 1)</f>
        <v>4</v>
      </c>
      <c r="AH10" s="2">
        <f>COUNTIFS('OB History'!$B:$B,$A$10,'OB History'!Y:Y, 1)</f>
        <v>2</v>
      </c>
      <c r="AI10" s="2">
        <f>COUNTIFS('OB History'!$B:$B,$A$10,'OB History'!Z:Z, 1)</f>
        <v>3</v>
      </c>
    </row>
    <row r="11" spans="1:35" x14ac:dyDescent="0.25">
      <c r="A11" s="1" t="s">
        <v>216</v>
      </c>
      <c r="B11" s="6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11</v>
      </c>
      <c r="I11" s="4">
        <f>AVERAGEIFS('OB History'!C:C,'OB History'!B:B,A11)</f>
        <v>11</v>
      </c>
      <c r="J11" s="35">
        <f t="array" ref="J11">MAX(IF('OB History'!B:B=A11, 'OB History'!C:C))</f>
        <v>11</v>
      </c>
      <c r="K11" s="34">
        <f>COUNTIFS('OB History'!B:B,A11,'OB History'!D:D, 1)</f>
        <v>1</v>
      </c>
      <c r="L11" s="2">
        <f>COUNTIFS('OB History'!B:B,A11,'OB History'!D:D, 0)</f>
        <v>0</v>
      </c>
      <c r="M11" s="88">
        <f>LOOKUP(2, 1/('OB History'!$B:$B=A11), 'OB History'!$AD:$AD)</f>
        <v>1</v>
      </c>
      <c r="N11" s="34">
        <f>SUMIFS('OB History'!F:F,'OB History'!B:B,A11)</f>
        <v>4</v>
      </c>
      <c r="O11" s="2">
        <f>SUMIFS('OB History'!E:E,'OB History'!B:B,A11)-N11</f>
        <v>0</v>
      </c>
      <c r="P11" s="88">
        <f>LOOKUP(2, 1/('OB History'!$B:$B=A11), 'OB History'!$AB:$AB)</f>
        <v>1</v>
      </c>
      <c r="Q11" s="34">
        <f>SUMIFS('OB History'!H:H,'OB History'!B:B,'Old Bow v2'!A11)</f>
        <v>12</v>
      </c>
      <c r="R11" s="2">
        <f>SUMIFS('OB History'!G:G,'OB History'!B:B,'Old Bow v2'!A11)-Q11</f>
        <v>5</v>
      </c>
      <c r="S11" s="88">
        <f>LOOKUP(2, 1/('OB History'!$B:$B=A11), 'OB History'!$AC:$AC)</f>
        <v>0.71</v>
      </c>
      <c r="T11" s="2">
        <f>COUNTIFS('OB History'!$B:$B,$A$11,'OB History'!K:K, 1)</f>
        <v>0</v>
      </c>
      <c r="U11" s="2">
        <f>COUNTIFS('OB History'!$B:$B,$A$11,'OB History'!L:L, 1)</f>
        <v>0</v>
      </c>
      <c r="V11" s="2">
        <f>COUNTIFS('OB History'!$B:$B,$A$11,'OB History'!M:M, 1)</f>
        <v>0</v>
      </c>
      <c r="W11" s="2">
        <f>COUNTIFS('OB History'!$B:$B,$A$11,'OB History'!N:N, 1)</f>
        <v>1</v>
      </c>
      <c r="X11" s="2">
        <f>COUNTIFS('OB History'!$B:$B,$A$11,'OB History'!O:O, 1)</f>
        <v>0</v>
      </c>
      <c r="Y11" s="2">
        <f>COUNTIFS('OB History'!$B:$B,$A$11,'OB History'!P:P, 1)</f>
        <v>1</v>
      </c>
      <c r="Z11" s="2">
        <f>COUNTIFS('OB History'!$B:$B,$A$11,'OB History'!Q:Q, 1)</f>
        <v>0</v>
      </c>
      <c r="AA11" s="2">
        <f>COUNTIFS('OB History'!$B:$B,$A$11,'OB History'!R:R, 1)</f>
        <v>0</v>
      </c>
      <c r="AB11" s="2">
        <f>COUNTIFS('OB History'!$B:$B,$A$11,'OB History'!S:S, 1)</f>
        <v>0</v>
      </c>
      <c r="AC11" s="2">
        <f>COUNTIFS('OB History'!$B:$B,$A$11,'OB History'!T:T, 1)</f>
        <v>0</v>
      </c>
      <c r="AD11" s="2">
        <f>COUNTIFS('OB History'!$B:$B,$A$11,'OB History'!U:U, 1)</f>
        <v>0</v>
      </c>
      <c r="AE11" s="2">
        <f>COUNTIFS('OB History'!$B:$B,$A$11,'OB History'!V:V, 1)</f>
        <v>0</v>
      </c>
      <c r="AF11" s="2">
        <f>COUNTIFS('OB History'!$B:$B,$A$11,'OB History'!W:W, 1)</f>
        <v>0</v>
      </c>
      <c r="AG11" s="2">
        <f>COUNTIFS('OB History'!$B:$B,$A$11,'OB History'!X:X, 1)</f>
        <v>1</v>
      </c>
      <c r="AH11" s="2">
        <f>COUNTIFS('OB History'!$B:$B,$A$11,'OB History'!Y:Y, 1)</f>
        <v>1</v>
      </c>
      <c r="AI11" s="2">
        <f>COUNTIFS('OB History'!$B:$B,$A$11,'OB History'!Z:Z, 1)</f>
        <v>0</v>
      </c>
    </row>
    <row r="12" spans="1:35" x14ac:dyDescent="0.25">
      <c r="A12" s="2" t="s">
        <v>25</v>
      </c>
      <c r="B12" s="2" t="s">
        <v>79</v>
      </c>
      <c r="C12" s="2" t="s">
        <v>79</v>
      </c>
      <c r="D12" s="3">
        <v>2</v>
      </c>
      <c r="E12" s="3"/>
      <c r="F12" s="3"/>
      <c r="G12" s="3"/>
      <c r="H12" s="34">
        <f>SUMIFS('OB History'!C:C,'OB History'!B:B,A12)</f>
        <v>557</v>
      </c>
      <c r="I12" s="4">
        <f>AVERAGEIFS('OB History'!C:C,'OB History'!B:B,A12)</f>
        <v>18.566666666666666</v>
      </c>
      <c r="J12" s="35">
        <f t="array" ref="J12">MAX(IF('OB History'!B:B=A12, 'OB History'!C:C))</f>
        <v>50</v>
      </c>
      <c r="K12" s="34">
        <f>COUNTIFS('OB History'!B:B,A12,'OB History'!D:D, 1)</f>
        <v>17</v>
      </c>
      <c r="L12" s="2">
        <f>COUNTIFS('OB History'!B:B,A12,'OB History'!D:D, 0)</f>
        <v>13</v>
      </c>
      <c r="M12" s="88">
        <f>LOOKUP(2, 1/('OB History'!$B:$B=A12), 'OB History'!$AD:$AD)</f>
        <v>0.56666666666666665</v>
      </c>
      <c r="N12" s="34">
        <f>SUMIFS('OB History'!F:F,'OB History'!B:B,A12)</f>
        <v>69</v>
      </c>
      <c r="O12" s="2">
        <f>SUMIFS('OB History'!E:E,'OB History'!B:B,A12)-N12</f>
        <v>57</v>
      </c>
      <c r="P12" s="88">
        <f>LOOKUP(2, 1/('OB History'!$B:$B=A12), 'OB History'!$AB:$AB)</f>
        <v>0.56333333333333324</v>
      </c>
      <c r="Q12" s="34">
        <f>SUMIFS('OB History'!H:H,'OB History'!B:B,'Old Bow v2'!A12)</f>
        <v>269</v>
      </c>
      <c r="R12" s="2">
        <f>SUMIFS('OB History'!G:G,'OB History'!B:B,'Old Bow v2'!A12)-Q12</f>
        <v>256</v>
      </c>
      <c r="S12" s="88">
        <f>LOOKUP(2, 1/('OB History'!$B:$B=A12), 'OB History'!$AC:$AC)</f>
        <v>0.52333333333333332</v>
      </c>
      <c r="T12" s="2">
        <f>COUNTIFS('OB History'!$B:$B,$A$12,'OB History'!K:K, 1)</f>
        <v>4</v>
      </c>
      <c r="U12" s="2">
        <f>COUNTIFS('OB History'!$B:$B,$A$12,'OB History'!L:L, 1)</f>
        <v>2</v>
      </c>
      <c r="V12" s="2">
        <f>COUNTIFS('OB History'!$B:$B,$A$12,'OB History'!M:M, 1)</f>
        <v>1</v>
      </c>
      <c r="W12" s="2">
        <f>COUNTIFS('OB History'!$B:$B,$A$12,'OB History'!N:N, 1)</f>
        <v>7</v>
      </c>
      <c r="X12" s="2">
        <f>COUNTIFS('OB History'!$B:$B,$A$12,'OB History'!O:O, 1)</f>
        <v>1</v>
      </c>
      <c r="Y12" s="2">
        <f>COUNTIFS('OB History'!$B:$B,$A$12,'OB History'!P:P, 1)</f>
        <v>6</v>
      </c>
      <c r="Z12" s="2">
        <f>COUNTIFS('OB History'!$B:$B,$A$12,'OB History'!Q:Q, 1)</f>
        <v>6</v>
      </c>
      <c r="AA12" s="2">
        <f>COUNTIFS('OB History'!$B:$B,$A$12,'OB History'!R:R, 1)</f>
        <v>4</v>
      </c>
      <c r="AB12" s="2">
        <f>COUNTIFS('OB History'!$B:$B,$A$12,'OB History'!S:S, 1)</f>
        <v>2</v>
      </c>
      <c r="AC12" s="2">
        <f>COUNTIFS('OB History'!$B:$B,$A$12,'OB History'!T:T, 1)</f>
        <v>1</v>
      </c>
      <c r="AD12" s="2">
        <f>COUNTIFS('OB History'!$B:$B,$A$12,'OB History'!U:U, 1)</f>
        <v>0</v>
      </c>
      <c r="AE12" s="2">
        <f>COUNTIFS('OB History'!$B:$B,$A$12,'OB History'!V:V, 1)</f>
        <v>2</v>
      </c>
      <c r="AF12" s="2">
        <f>COUNTIFS('OB History'!$B:$B,$A$12,'OB History'!W:W, 1)</f>
        <v>5</v>
      </c>
      <c r="AG12" s="2">
        <f>COUNTIFS('OB History'!$B:$B,$A$12,'OB History'!X:X, 1)</f>
        <v>11</v>
      </c>
      <c r="AH12" s="2">
        <f>COUNTIFS('OB History'!$B:$B,$A$12,'OB History'!Y:Y, 1)</f>
        <v>6</v>
      </c>
      <c r="AI12" s="2">
        <f>COUNTIFS('OB History'!$B:$B,$A$12,'OB History'!Z:Z, 1)</f>
        <v>11</v>
      </c>
    </row>
    <row r="13" spans="1:35" x14ac:dyDescent="0.25">
      <c r="A13" s="2" t="s">
        <v>146</v>
      </c>
      <c r="B13" s="2" t="s">
        <v>79</v>
      </c>
      <c r="C13" s="2" t="s">
        <v>79</v>
      </c>
      <c r="D13" s="3"/>
      <c r="E13" s="3"/>
      <c r="F13" s="3"/>
      <c r="G13" s="3"/>
      <c r="H13" s="34">
        <f>SUMIFS('OB History'!C:C,'OB History'!B:B,A13)</f>
        <v>224</v>
      </c>
      <c r="I13" s="4">
        <f>AVERAGEIFS('OB History'!C:C,'OB History'!B:B,A13)</f>
        <v>13.176470588235293</v>
      </c>
      <c r="J13" s="35">
        <f t="array" ref="J13">MAX(IF('OB History'!B:B=A13, 'OB History'!C:C))</f>
        <v>27</v>
      </c>
      <c r="K13" s="34">
        <f>COUNTIFS('OB History'!B:B,A13,'OB History'!D:D, 1)</f>
        <v>6</v>
      </c>
      <c r="L13" s="2">
        <f>COUNTIFS('OB History'!B:B,A13,'OB History'!D:D, 0)</f>
        <v>11</v>
      </c>
      <c r="M13" s="88">
        <f>LOOKUP(2, 1/('OB History'!$B:$B=A13), 'OB History'!$AD:$AD)</f>
        <v>0.35294117647058826</v>
      </c>
      <c r="N13" s="34">
        <f>SUMIFS('OB History'!F:F,'OB History'!B:B,A13)</f>
        <v>30</v>
      </c>
      <c r="O13" s="2">
        <f>SUMIFS('OB History'!E:E,'OB History'!B:B,A13)-N13</f>
        <v>41</v>
      </c>
      <c r="P13" s="88">
        <f>LOOKUP(2, 1/('OB History'!$B:$B=A13), 'OB History'!$AB:$AB)</f>
        <v>0.40588235294117642</v>
      </c>
      <c r="Q13" s="34">
        <f>SUMIFS('OB History'!H:H,'OB History'!B:B,'Old Bow v2'!A13)</f>
        <v>142</v>
      </c>
      <c r="R13" s="2">
        <f>SUMIFS('OB History'!G:G,'OB History'!B:B,'Old Bow v2'!A13)-Q13</f>
        <v>158</v>
      </c>
      <c r="S13" s="88">
        <f>LOOKUP(2, 1/('OB History'!$B:$B=A13), 'OB History'!$AC:$AC)</f>
        <v>0.46941176470588225</v>
      </c>
      <c r="T13" s="2">
        <f>COUNTIFS('OB History'!$B:$B,$A$13,'OB History'!K:K, 1)</f>
        <v>2</v>
      </c>
      <c r="U13" s="2">
        <f>COUNTIFS('OB History'!$B:$B,$A$13,'OB History'!L:L, 1)</f>
        <v>3</v>
      </c>
      <c r="V13" s="2">
        <f>COUNTIFS('OB History'!$B:$B,$A$13,'OB History'!M:M, 1)</f>
        <v>3</v>
      </c>
      <c r="W13" s="2">
        <f>COUNTIFS('OB History'!$B:$B,$A$13,'OB History'!N:N, 1)</f>
        <v>5</v>
      </c>
      <c r="X13" s="2">
        <f>COUNTIFS('OB History'!$B:$B,$A$13,'OB History'!O:O, 1)</f>
        <v>2</v>
      </c>
      <c r="Y13" s="2">
        <f>COUNTIFS('OB History'!$B:$B,$A$13,'OB History'!P:P, 1)</f>
        <v>1</v>
      </c>
      <c r="Z13" s="2">
        <f>COUNTIFS('OB History'!$B:$B,$A$13,'OB History'!Q:Q, 1)</f>
        <v>2</v>
      </c>
      <c r="AA13" s="2">
        <f>COUNTIFS('OB History'!$B:$B,$A$13,'OB History'!R:R, 1)</f>
        <v>1</v>
      </c>
      <c r="AB13" s="2">
        <f>COUNTIFS('OB History'!$B:$B,$A$13,'OB History'!S:S, 1)</f>
        <v>0</v>
      </c>
      <c r="AC13" s="2">
        <f>COUNTIFS('OB History'!$B:$B,$A$13,'OB History'!T:T, 1)</f>
        <v>0</v>
      </c>
      <c r="AD13" s="2">
        <f>COUNTIFS('OB History'!$B:$B,$A$13,'OB History'!U:U, 1)</f>
        <v>0</v>
      </c>
      <c r="AE13" s="2">
        <f>COUNTIFS('OB History'!$B:$B,$A$13,'OB History'!V:V, 1)</f>
        <v>1</v>
      </c>
      <c r="AF13" s="2">
        <f>COUNTIFS('OB History'!$B:$B,$A$13,'OB History'!W:W, 1)</f>
        <v>2</v>
      </c>
      <c r="AG13" s="2">
        <f>COUNTIFS('OB History'!$B:$B,$A$13,'OB History'!X:X, 1)</f>
        <v>6</v>
      </c>
      <c r="AH13" s="2">
        <f>COUNTIFS('OB History'!$B:$B,$A$13,'OB History'!Y:Y, 1)</f>
        <v>2</v>
      </c>
      <c r="AI13" s="2">
        <f>COUNTIFS('OB History'!$B:$B,$A$13,'OB History'!Z:Z, 1)</f>
        <v>0</v>
      </c>
    </row>
    <row r="14" spans="1:35" x14ac:dyDescent="0.25">
      <c r="A14" s="2" t="s">
        <v>27</v>
      </c>
      <c r="B14" s="6" t="s">
        <v>76</v>
      </c>
      <c r="C14" s="6" t="s">
        <v>79</v>
      </c>
      <c r="D14" s="3">
        <v>2</v>
      </c>
      <c r="E14" s="3"/>
      <c r="F14" s="3"/>
      <c r="G14" s="3"/>
      <c r="H14" s="34">
        <f>SUMIFS('OB History'!C:C,'OB History'!B:B,A14)</f>
        <v>431</v>
      </c>
      <c r="I14" s="4">
        <f>AVERAGEIFS('OB History'!C:C,'OB History'!B:B,A14)</f>
        <v>14.862068965517242</v>
      </c>
      <c r="J14" s="35">
        <f t="array" ref="J14">MAX(IF('OB History'!B:B=A14, 'OB History'!C:C))</f>
        <v>44</v>
      </c>
      <c r="K14" s="34">
        <f>COUNTIFS('OB History'!B:B,A14,'OB History'!D:D, 1)</f>
        <v>16</v>
      </c>
      <c r="L14" s="2">
        <f>COUNTIFS('OB History'!B:B,A14,'OB History'!D:D, 0)</f>
        <v>13</v>
      </c>
      <c r="M14" s="88">
        <f>LOOKUP(2, 1/('OB History'!$B:$B=A14), 'OB History'!$AD:$AD)</f>
        <v>0.55172413793103448</v>
      </c>
      <c r="N14" s="34">
        <f>SUMIFS('OB History'!F:F,'OB History'!B:B,A14)</f>
        <v>60</v>
      </c>
      <c r="O14" s="2">
        <f>SUMIFS('OB History'!E:E,'OB History'!B:B,A14)-N14</f>
        <v>57</v>
      </c>
      <c r="P14" s="88">
        <f>LOOKUP(2, 1/('OB History'!$B:$B=A14), 'OB History'!$AB:$AB)</f>
        <v>0.50689655172413794</v>
      </c>
      <c r="Q14" s="34">
        <f>SUMIFS('OB History'!H:H,'OB History'!B:B,'Old Bow v2'!A14)</f>
        <v>241</v>
      </c>
      <c r="R14" s="2">
        <f>SUMIFS('OB History'!G:G,'OB History'!B:B,'Old Bow v2'!A14)-Q14</f>
        <v>238</v>
      </c>
      <c r="S14" s="88">
        <f>LOOKUP(2, 1/('OB History'!$B:$B=A14), 'OB History'!$AC:$AC)</f>
        <v>0.50310344827586218</v>
      </c>
      <c r="T14" s="2">
        <f>COUNTIFS('OB History'!$B:$B,$A$14,'OB History'!K:K, 1)</f>
        <v>1</v>
      </c>
      <c r="U14" s="2">
        <f>COUNTIFS('OB History'!$B:$B,$A$14,'OB History'!L:L, 1)</f>
        <v>4</v>
      </c>
      <c r="V14" s="2">
        <f>COUNTIFS('OB History'!$B:$B,$A$14,'OB History'!M:M, 1)</f>
        <v>3</v>
      </c>
      <c r="W14" s="2">
        <f>COUNTIFS('OB History'!$B:$B,$A$14,'OB History'!N:N, 1)</f>
        <v>4</v>
      </c>
      <c r="X14" s="2">
        <f>COUNTIFS('OB History'!$B:$B,$A$14,'OB History'!O:O, 1)</f>
        <v>3</v>
      </c>
      <c r="Y14" s="2">
        <f>COUNTIFS('OB History'!$B:$B,$A$14,'OB History'!P:P, 1)</f>
        <v>7</v>
      </c>
      <c r="Z14" s="2">
        <f>COUNTIFS('OB History'!$B:$B,$A$14,'OB History'!Q:Q, 1)</f>
        <v>4</v>
      </c>
      <c r="AA14" s="2">
        <f>COUNTIFS('OB History'!$B:$B,$A$14,'OB History'!R:R, 1)</f>
        <v>3</v>
      </c>
      <c r="AB14" s="2">
        <f>COUNTIFS('OB History'!$B:$B,$A$14,'OB History'!S:S, 1)</f>
        <v>0</v>
      </c>
      <c r="AC14" s="2">
        <f>COUNTIFS('OB History'!$B:$B,$A$14,'OB History'!T:T, 1)</f>
        <v>1</v>
      </c>
      <c r="AD14" s="2">
        <f>COUNTIFS('OB History'!$B:$B,$A$14,'OB History'!U:U, 1)</f>
        <v>1</v>
      </c>
      <c r="AE14" s="2">
        <f>COUNTIFS('OB History'!$B:$B,$A$14,'OB History'!V:V, 1)</f>
        <v>1</v>
      </c>
      <c r="AF14" s="2">
        <f>COUNTIFS('OB History'!$B:$B,$A$14,'OB History'!W:W, 1)</f>
        <v>6</v>
      </c>
      <c r="AG14" s="2">
        <f>COUNTIFS('OB History'!$B:$B,$A$14,'OB History'!X:X, 1)</f>
        <v>10</v>
      </c>
      <c r="AH14" s="2">
        <f>COUNTIFS('OB History'!$B:$B,$A$14,'OB History'!Y:Y, 1)</f>
        <v>5</v>
      </c>
      <c r="AI14" s="2">
        <f>COUNTIFS('OB History'!$B:$B,$A$14,'OB History'!Z:Z, 1)</f>
        <v>7</v>
      </c>
    </row>
    <row r="15" spans="1:35" x14ac:dyDescent="0.25">
      <c r="A15" s="2" t="s">
        <v>26</v>
      </c>
      <c r="B15" s="6" t="s">
        <v>124</v>
      </c>
      <c r="C15" s="6" t="s">
        <v>79</v>
      </c>
      <c r="D15" s="3"/>
      <c r="E15" s="3"/>
      <c r="F15" s="3"/>
      <c r="G15" s="3"/>
      <c r="H15" s="34">
        <f>SUMIFS('OB History'!C:C,'OB History'!B:B,A15)</f>
        <v>514</v>
      </c>
      <c r="I15" s="4">
        <f>AVERAGEIFS('OB History'!C:C,'OB History'!B:B,A15)</f>
        <v>13.526315789473685</v>
      </c>
      <c r="J15" s="35">
        <f t="array" ref="J15">MAX(IF('OB History'!B:B=A15, 'OB History'!C:C))</f>
        <v>41</v>
      </c>
      <c r="K15" s="34">
        <f>COUNTIFS('OB History'!B:B,A15,'OB History'!D:D, 1)</f>
        <v>26</v>
      </c>
      <c r="L15" s="2">
        <f>COUNTIFS('OB History'!B:B,A15,'OB History'!D:D, 0)</f>
        <v>12</v>
      </c>
      <c r="M15" s="88">
        <f>LOOKUP(2, 1/('OB History'!$B:$B=A15), 'OB History'!$AD:$AD)</f>
        <v>0.68421052631578949</v>
      </c>
      <c r="N15" s="34">
        <f>SUMIFS('OB History'!F:F,'OB History'!B:B,A15)</f>
        <v>93</v>
      </c>
      <c r="O15" s="2">
        <f>SUMIFS('OB History'!E:E,'OB History'!B:B,A15)-N15</f>
        <v>60</v>
      </c>
      <c r="P15" s="88">
        <f>LOOKUP(2, 1/('OB History'!$B:$B=A15), 'OB History'!$AB:$AB)</f>
        <v>0.62763157894736832</v>
      </c>
      <c r="Q15" s="34">
        <f>SUMIFS('OB History'!H:H,'OB History'!B:B,'Old Bow v2'!A15)</f>
        <v>348</v>
      </c>
      <c r="R15" s="2">
        <f>SUMIFS('OB History'!G:G,'OB History'!B:B,'Old Bow v2'!A15)-Q15</f>
        <v>289</v>
      </c>
      <c r="S15" s="88">
        <f>LOOKUP(2, 1/('OB History'!$B:$B=A15), 'OB History'!$AC:$AC)</f>
        <v>0.55342105263157892</v>
      </c>
      <c r="T15" s="2">
        <f>COUNTIFS('OB History'!$B:$B,$A$15,'OB History'!K:K, 1)</f>
        <v>4</v>
      </c>
      <c r="U15" s="2">
        <f>COUNTIFS('OB History'!$B:$B,$A$15,'OB History'!L:L, 1)</f>
        <v>6</v>
      </c>
      <c r="V15" s="2">
        <f>COUNTIFS('OB History'!$B:$B,$A$15,'OB History'!M:M, 1)</f>
        <v>4</v>
      </c>
      <c r="W15" s="2">
        <f>COUNTIFS('OB History'!$B:$B,$A$15,'OB History'!N:N, 1)</f>
        <v>11</v>
      </c>
      <c r="X15" s="2">
        <f>COUNTIFS('OB History'!$B:$B,$A$15,'OB History'!O:O, 1)</f>
        <v>4</v>
      </c>
      <c r="Y15" s="2">
        <f>COUNTIFS('OB History'!$B:$B,$A$15,'OB History'!P:P, 1)</f>
        <v>13</v>
      </c>
      <c r="Z15" s="2">
        <f>COUNTIFS('OB History'!$B:$B,$A$15,'OB History'!Q:Q, 1)</f>
        <v>6</v>
      </c>
      <c r="AA15" s="2">
        <f>COUNTIFS('OB History'!$B:$B,$A$15,'OB History'!R:R, 1)</f>
        <v>4</v>
      </c>
      <c r="AB15" s="2">
        <f>COUNTIFS('OB History'!$B:$B,$A$15,'OB History'!S:S, 1)</f>
        <v>2</v>
      </c>
      <c r="AC15" s="2">
        <f>COUNTIFS('OB History'!$B:$B,$A$15,'OB History'!T:T, 1)</f>
        <v>2</v>
      </c>
      <c r="AD15" s="2">
        <f>COUNTIFS('OB History'!$B:$B,$A$15,'OB History'!U:U, 1)</f>
        <v>1</v>
      </c>
      <c r="AE15" s="2">
        <f>COUNTIFS('OB History'!$B:$B,$A$15,'OB History'!V:V, 1)</f>
        <v>3</v>
      </c>
      <c r="AF15" s="2">
        <f>COUNTIFS('OB History'!$B:$B,$A$15,'OB History'!W:W, 1)</f>
        <v>6</v>
      </c>
      <c r="AG15" s="2">
        <f>COUNTIFS('OB History'!$B:$B,$A$15,'OB History'!X:X, 1)</f>
        <v>10</v>
      </c>
      <c r="AH15" s="2">
        <f>COUNTIFS('OB History'!$B:$B,$A$15,'OB History'!Y:Y, 1)</f>
        <v>7</v>
      </c>
      <c r="AI15" s="2">
        <f>COUNTIFS('OB History'!$B:$B,$A$15,'OB History'!Z:Z, 1)</f>
        <v>10</v>
      </c>
    </row>
    <row r="16" spans="1:35" x14ac:dyDescent="0.25">
      <c r="A16" s="2" t="s">
        <v>74</v>
      </c>
      <c r="B16" s="6" t="s">
        <v>79</v>
      </c>
      <c r="C16" s="6" t="s">
        <v>79</v>
      </c>
      <c r="D16" s="3"/>
      <c r="E16" s="3"/>
      <c r="F16" s="3"/>
      <c r="G16" s="3"/>
      <c r="H16" s="34">
        <f>SUMIFS('OB History'!C:C,'OB History'!B:B,A16)</f>
        <v>10</v>
      </c>
      <c r="I16" s="4">
        <f>AVERAGEIFS('OB History'!C:C,'OB History'!B:B,A16)</f>
        <v>10</v>
      </c>
      <c r="J16" s="35">
        <f t="array" ref="J16">MAX(IF('OB History'!B:B=A16, 'OB History'!C:C))</f>
        <v>10</v>
      </c>
      <c r="K16" s="34">
        <f>COUNTIFS('OB History'!B:B,A16,'OB History'!D:D, 1)</f>
        <v>0</v>
      </c>
      <c r="L16" s="2">
        <f>COUNTIFS('OB History'!B:B,A16,'OB History'!D:D, 0)</f>
        <v>1</v>
      </c>
      <c r="M16" s="88">
        <f>LOOKUP(2, 1/('OB History'!$B:$B=A16), 'OB History'!$AD:$AD)</f>
        <v>0</v>
      </c>
      <c r="N16" s="34">
        <f>SUMIFS('OB History'!F:F,'OB History'!B:B,A16)</f>
        <v>2</v>
      </c>
      <c r="O16" s="2">
        <f>SUMIFS('OB History'!E:E,'OB History'!B:B,A16)-N16</f>
        <v>3</v>
      </c>
      <c r="P16" s="88">
        <f>LOOKUP(2, 1/('OB History'!$B:$B=A16), 'OB History'!$AB:$AB)</f>
        <v>0.4</v>
      </c>
      <c r="Q16" s="34">
        <f>SUMIFS('OB History'!H:H,'OB History'!B:B,'Old Bow v2'!A16)</f>
        <v>6</v>
      </c>
      <c r="R16" s="2">
        <f>SUMIFS('OB History'!G:G,'OB History'!B:B,'Old Bow v2'!A16)-Q16</f>
        <v>14</v>
      </c>
      <c r="S16" s="88">
        <f>LOOKUP(2, 1/('OB History'!$B:$B=A16), 'OB History'!$AC:$AC)</f>
        <v>0.3</v>
      </c>
      <c r="T16" s="2">
        <f>COUNTIFS('OB History'!$B:$B,$A$16,'OB History'!K:K, 1)</f>
        <v>0</v>
      </c>
      <c r="U16" s="2">
        <f>COUNTIFS('OB History'!$B:$B,$A$16,'OB History'!L:L, 1)</f>
        <v>0</v>
      </c>
      <c r="V16" s="2">
        <f>COUNTIFS('OB History'!$B:$B,$A$16,'OB History'!M:M, 1)</f>
        <v>0</v>
      </c>
      <c r="W16" s="2">
        <f>COUNTIFS('OB History'!$B:$B,$A$16,'OB History'!N:N, 1)</f>
        <v>0</v>
      </c>
      <c r="X16" s="2">
        <f>COUNTIFS('OB History'!$B:$B,$A$16,'OB History'!O:O, 1)</f>
        <v>0</v>
      </c>
      <c r="Y16" s="2">
        <f>COUNTIFS('OB History'!$B:$B,$A$16,'OB History'!P:P, 1)</f>
        <v>0</v>
      </c>
      <c r="Z16" s="2">
        <f>COUNTIFS('OB History'!$B:$B,$A$16,'OB History'!Q:Q, 1)</f>
        <v>0</v>
      </c>
      <c r="AA16" s="2">
        <f>COUNTIFS('OB History'!$B:$B,$A$16,'OB History'!R:R, 1)</f>
        <v>0</v>
      </c>
      <c r="AB16" s="2">
        <f>COUNTIFS('OB History'!$B:$B,$A$16,'OB History'!S:S, 1)</f>
        <v>0</v>
      </c>
      <c r="AC16" s="2">
        <f>COUNTIFS('OB History'!$B:$B,$A$16,'OB History'!T:T, 1)</f>
        <v>0</v>
      </c>
      <c r="AD16" s="2">
        <f>COUNTIFS('OB History'!$B:$B,$A$16,'OB History'!U:U, 1)</f>
        <v>0</v>
      </c>
      <c r="AE16" s="2">
        <f>COUNTIFS('OB History'!$B:$B,$A$16,'OB History'!V:V, 1)</f>
        <v>0</v>
      </c>
      <c r="AF16" s="2">
        <f>COUNTIFS('OB History'!$B:$B,$A$16,'OB History'!W:W, 1)</f>
        <v>1</v>
      </c>
      <c r="AG16" s="2">
        <f>COUNTIFS('OB History'!$B:$B,$A$16,'OB History'!X:X, 1)</f>
        <v>0</v>
      </c>
      <c r="AH16" s="2">
        <f>COUNTIFS('OB History'!$B:$B,$A$16,'OB History'!Y:Y, 1)</f>
        <v>1</v>
      </c>
      <c r="AI16" s="2">
        <f>COUNTIFS('OB History'!$B:$B,$A$16,'OB History'!Z:Z, 1)</f>
        <v>0</v>
      </c>
    </row>
    <row r="17" spans="1:35" x14ac:dyDescent="0.25">
      <c r="A17" s="2" t="s">
        <v>152</v>
      </c>
      <c r="B17" s="6" t="s">
        <v>79</v>
      </c>
      <c r="C17" s="6" t="s">
        <v>79</v>
      </c>
      <c r="D17" s="3"/>
      <c r="E17" s="3"/>
      <c r="F17" s="3"/>
      <c r="G17" s="3"/>
      <c r="H17" s="34">
        <f>SUMIFS('OB History'!C:C,'OB History'!B:B,A17)</f>
        <v>154</v>
      </c>
      <c r="I17" s="4">
        <f>AVERAGEIFS('OB History'!C:C,'OB History'!B:B,A17)</f>
        <v>14</v>
      </c>
      <c r="J17" s="35">
        <f t="array" ref="J17">MAX(IF('OB History'!B:B=A17, 'OB History'!C:C))</f>
        <v>19</v>
      </c>
      <c r="K17" s="34">
        <f>COUNTIFS('OB History'!B:B,A17,'OB History'!D:D, 1)</f>
        <v>2</v>
      </c>
      <c r="L17" s="2">
        <f>COUNTIFS('OB History'!B:B,A17,'OB History'!D:D, 0)</f>
        <v>9</v>
      </c>
      <c r="M17" s="88">
        <f>LOOKUP(2, 1/('OB History'!$B:$B=A17), 'OB History'!$AD:$AD)</f>
        <v>0.18181818181818182</v>
      </c>
      <c r="N17" s="34">
        <f>SUMIFS('OB History'!F:F,'OB History'!B:B,A17)</f>
        <v>12</v>
      </c>
      <c r="O17" s="2">
        <f>SUMIFS('OB History'!E:E,'OB History'!B:B,A17)-N17</f>
        <v>30</v>
      </c>
      <c r="P17" s="88">
        <f>LOOKUP(2, 1/('OB History'!$B:$B=A17), 'OB History'!$AB:$AB)</f>
        <v>0.25454545454545452</v>
      </c>
      <c r="Q17" s="34">
        <f>SUMIFS('OB History'!H:H,'OB History'!B:B,'Old Bow v2'!A17)</f>
        <v>67</v>
      </c>
      <c r="R17" s="2">
        <f>SUMIFS('OB History'!G:G,'OB History'!B:B,'Old Bow v2'!A17)-Q17</f>
        <v>111</v>
      </c>
      <c r="S17" s="88">
        <f>LOOKUP(2, 1/('OB History'!$B:$B=A17), 'OB History'!$AC:$AC)</f>
        <v>0.3572727272727273</v>
      </c>
      <c r="T17" s="2">
        <f>COUNTIFS('OB History'!$B:$B,$A$17,'OB History'!K:K, 1)</f>
        <v>1</v>
      </c>
      <c r="U17" s="2">
        <f>COUNTIFS('OB History'!$B:$B,$A$17,'OB History'!L:L, 1)</f>
        <v>0</v>
      </c>
      <c r="V17" s="2">
        <f>COUNTIFS('OB History'!$B:$B,$A$17,'OB History'!M:M, 1)</f>
        <v>2</v>
      </c>
      <c r="W17" s="2">
        <f>COUNTIFS('OB History'!$B:$B,$A$17,'OB History'!N:N, 1)</f>
        <v>0</v>
      </c>
      <c r="X17" s="2">
        <f>COUNTIFS('OB History'!$B:$B,$A$17,'OB History'!O:O, 1)</f>
        <v>0</v>
      </c>
      <c r="Y17" s="2">
        <f>COUNTIFS('OB History'!$B:$B,$A$17,'OB History'!P:P, 1)</f>
        <v>2</v>
      </c>
      <c r="Z17" s="2">
        <f>COUNTIFS('OB History'!$B:$B,$A$17,'OB History'!Q:Q, 1)</f>
        <v>2</v>
      </c>
      <c r="AA17" s="2">
        <f>COUNTIFS('OB History'!$B:$B,$A$17,'OB History'!R:R, 1)</f>
        <v>1</v>
      </c>
      <c r="AB17" s="2">
        <f>COUNTIFS('OB History'!$B:$B,$A$17,'OB History'!S:S, 1)</f>
        <v>0</v>
      </c>
      <c r="AC17" s="2">
        <f>COUNTIFS('OB History'!$B:$B,$A$17,'OB History'!T:T, 1)</f>
        <v>0</v>
      </c>
      <c r="AD17" s="2">
        <f>COUNTIFS('OB History'!$B:$B,$A$17,'OB History'!U:U, 1)</f>
        <v>0</v>
      </c>
      <c r="AE17" s="2">
        <f>COUNTIFS('OB History'!$B:$B,$A$17,'OB History'!V:V, 1)</f>
        <v>0</v>
      </c>
      <c r="AF17" s="2">
        <f>COUNTIFS('OB History'!$B:$B,$A$17,'OB History'!W:W, 1)</f>
        <v>0</v>
      </c>
      <c r="AG17" s="2">
        <f>COUNTIFS('OB History'!$B:$B,$A$17,'OB History'!X:X, 1)</f>
        <v>3</v>
      </c>
      <c r="AH17" s="2">
        <f>COUNTIFS('OB History'!$B:$B,$A$17,'OB History'!Y:Y, 1)</f>
        <v>0</v>
      </c>
      <c r="AI17" s="2">
        <f>COUNTIFS('OB History'!$B:$B,$A$17,'OB History'!Z:Z, 1)</f>
        <v>1</v>
      </c>
    </row>
    <row r="18" spans="1:35" x14ac:dyDescent="0.25">
      <c r="A18" s="2" t="s">
        <v>215</v>
      </c>
      <c r="B18" s="6" t="s">
        <v>79</v>
      </c>
      <c r="C18" s="6" t="s">
        <v>79</v>
      </c>
      <c r="D18" s="3"/>
      <c r="E18" s="3"/>
      <c r="F18" s="3"/>
      <c r="G18" s="3"/>
      <c r="H18" s="34">
        <f>SUMIFS('OB History'!C:C,'OB History'!B:B,A18)</f>
        <v>0</v>
      </c>
      <c r="I18" s="4">
        <f>AVERAGEIFS('OB History'!C:C,'OB History'!B:B,A18)</f>
        <v>0</v>
      </c>
      <c r="J18" s="35">
        <f t="array" ref="J18">MAX(IF('OB History'!B:B=A18, 'OB History'!C:C))</f>
        <v>0</v>
      </c>
      <c r="K18" s="34">
        <f>COUNTIFS('OB History'!B:B,A18,'OB History'!D:D, 1)</f>
        <v>0</v>
      </c>
      <c r="L18" s="2">
        <f>COUNTIFS('OB History'!B:B,A18,'OB History'!D:D, 0)</f>
        <v>1</v>
      </c>
      <c r="M18" s="88">
        <f>LOOKUP(2, 1/('OB History'!$B:$B=A18), 'OB History'!$AD:$AD)</f>
        <v>0</v>
      </c>
      <c r="N18" s="34">
        <f>SUMIFS('OB History'!F:F,'OB History'!B:B,A18)</f>
        <v>0</v>
      </c>
      <c r="O18" s="2">
        <f>SUMIFS('OB History'!E:E,'OB History'!B:B,A18)-N18</f>
        <v>3</v>
      </c>
      <c r="P18" s="88">
        <f>LOOKUP(2, 1/('OB History'!$B:$B=A18), 'OB History'!$AB:$AB)</f>
        <v>0</v>
      </c>
      <c r="Q18" s="34">
        <f>SUMIFS('OB History'!H:H,'OB History'!B:B,'Old Bow v2'!A18)</f>
        <v>3</v>
      </c>
      <c r="R18" s="2">
        <f>SUMIFS('OB History'!G:G,'OB History'!B:B,'Old Bow v2'!A18)-Q18</f>
        <v>9</v>
      </c>
      <c r="S18" s="88">
        <f>LOOKUP(2, 1/('OB History'!$B:$B=A18), 'OB History'!$AC:$AC)</f>
        <v>0.25</v>
      </c>
      <c r="T18" s="2">
        <f>COUNTIFS('OB History'!$B:$B,$A$18,'OB History'!K:K, 1)</f>
        <v>0</v>
      </c>
      <c r="U18" s="2">
        <f>COUNTIFS('OB History'!$B:$B,$A$18,'OB History'!L:L, 1)</f>
        <v>0</v>
      </c>
      <c r="V18" s="2">
        <f>COUNTIFS('OB History'!$B:$B,$A$18,'OB History'!M:M, 1)</f>
        <v>0</v>
      </c>
      <c r="W18" s="2">
        <f>COUNTIFS('OB History'!$B:$B,$A$18,'OB History'!N:N, 1)</f>
        <v>0</v>
      </c>
      <c r="X18" s="2">
        <f>COUNTIFS('OB History'!$B:$B,$A$18,'OB History'!O:O, 1)</f>
        <v>0</v>
      </c>
      <c r="Y18" s="2">
        <f>COUNTIFS('OB History'!$B:$B,$A$18,'OB History'!P:P, 1)</f>
        <v>0</v>
      </c>
      <c r="Z18" s="2">
        <f>COUNTIFS('OB History'!$B:$B,$A$18,'OB History'!Q:Q, 1)</f>
        <v>0</v>
      </c>
      <c r="AA18" s="2">
        <f>COUNTIFS('OB History'!$B:$B,$A$18,'OB History'!R:R, 1)</f>
        <v>0</v>
      </c>
      <c r="AB18" s="2">
        <f>COUNTIFS('OB History'!$B:$B,$A$18,'OB History'!S:S, 1)</f>
        <v>0</v>
      </c>
      <c r="AC18" s="2">
        <f>COUNTIFS('OB History'!$B:$B,$A$18,'OB History'!T:T, 1)</f>
        <v>0</v>
      </c>
      <c r="AD18" s="2">
        <f>COUNTIFS('OB History'!$B:$B,$A$18,'OB History'!U:U, 1)</f>
        <v>0</v>
      </c>
      <c r="AE18" s="2">
        <f>COUNTIFS('OB History'!$B:$B,$A$18,'OB History'!V:V, 1)</f>
        <v>0</v>
      </c>
      <c r="AF18" s="2">
        <f>COUNTIFS('OB History'!$B:$B,$A$18,'OB History'!W:W, 1)</f>
        <v>0</v>
      </c>
      <c r="AG18" s="2">
        <f>COUNTIFS('OB History'!$B:$B,$A$18,'OB History'!X:X, 1)</f>
        <v>0</v>
      </c>
      <c r="AH18" s="2">
        <f>COUNTIFS('OB History'!$B:$B,$A$18,'OB History'!Y:Y, 1)</f>
        <v>0</v>
      </c>
      <c r="AI18" s="2">
        <f>COUNTIFS('OB History'!$B:$B,$A$18,'OB History'!Z:Z, 1)</f>
        <v>0</v>
      </c>
    </row>
    <row r="19" spans="1:35" ht="15.75" x14ac:dyDescent="0.25">
      <c r="A19" s="1" t="s">
        <v>45</v>
      </c>
      <c r="B19" s="80" t="s">
        <v>60</v>
      </c>
      <c r="C19" s="2" t="s">
        <v>79</v>
      </c>
      <c r="D19" s="3"/>
      <c r="E19" s="3"/>
      <c r="F19" s="3"/>
      <c r="G19" s="3"/>
      <c r="H19" s="34">
        <f>SUMIFS('OB History'!C:C,'OB History'!B:B,A19)</f>
        <v>321</v>
      </c>
      <c r="I19" s="4">
        <f>AVERAGEIFS('OB History'!C:C,'OB History'!B:B,A19)</f>
        <v>13.375</v>
      </c>
      <c r="J19" s="35">
        <f t="array" ref="J19">MAX(IF('OB History'!B:B=A19, 'OB History'!C:C))</f>
        <v>29</v>
      </c>
      <c r="K19" s="34">
        <f>COUNTIFS('OB History'!B:B,A19,'OB History'!D:D, 1)</f>
        <v>9</v>
      </c>
      <c r="L19" s="2">
        <f>COUNTIFS('OB History'!B:B,A19,'OB History'!D:D, 0)</f>
        <v>15</v>
      </c>
      <c r="M19" s="88">
        <f>LOOKUP(2, 1/('OB History'!$B:$B=A19), 'OB History'!$AD:$AD)</f>
        <v>0.375</v>
      </c>
      <c r="N19" s="34">
        <f>SUMIFS('OB History'!F:F,'OB History'!B:B,A19)</f>
        <v>47</v>
      </c>
      <c r="O19" s="2">
        <f>SUMIFS('OB History'!E:E,'OB History'!B:B,A19)-N19</f>
        <v>56</v>
      </c>
      <c r="P19" s="88">
        <f>LOOKUP(2, 1/('OB History'!$B:$B=A19), 'OB History'!$AB:$AB)</f>
        <v>0.45208333333333339</v>
      </c>
      <c r="Q19" s="34">
        <f>SUMIFS('OB History'!H:H,'OB History'!B:B,'Old Bow v2'!A19)</f>
        <v>201</v>
      </c>
      <c r="R19" s="2">
        <f>SUMIFS('OB History'!G:G,'OB History'!B:B,'Old Bow v2'!A19)-Q19</f>
        <v>216</v>
      </c>
      <c r="S19" s="88">
        <f>LOOKUP(2, 1/('OB History'!$B:$B=A19), 'OB History'!$AC:$AC)</f>
        <v>0.48208333333333342</v>
      </c>
      <c r="T19" s="2">
        <f>COUNTIFS('OB History'!$B:$B,$A$19,'OB History'!K:K, 1)</f>
        <v>1</v>
      </c>
      <c r="U19" s="2">
        <f>COUNTIFS('OB History'!$B:$B,$A$19,'OB History'!L:L, 1)</f>
        <v>3</v>
      </c>
      <c r="V19" s="2">
        <f>COUNTIFS('OB History'!$B:$B,$A$19,'OB History'!M:M, 1)</f>
        <v>2</v>
      </c>
      <c r="W19" s="2">
        <f>COUNTIFS('OB History'!$B:$B,$A$19,'OB History'!N:N, 1)</f>
        <v>7</v>
      </c>
      <c r="X19" s="2">
        <f>COUNTIFS('OB History'!$B:$B,$A$19,'OB History'!O:O, 1)</f>
        <v>0</v>
      </c>
      <c r="Y19" s="2">
        <f>COUNTIFS('OB History'!$B:$B,$A$19,'OB History'!P:P, 1)</f>
        <v>6</v>
      </c>
      <c r="Z19" s="2">
        <f>COUNTIFS('OB History'!$B:$B,$A$19,'OB History'!Q:Q, 1)</f>
        <v>0</v>
      </c>
      <c r="AA19" s="2">
        <f>COUNTIFS('OB History'!$B:$B,$A$19,'OB History'!R:R, 1)</f>
        <v>1</v>
      </c>
      <c r="AB19" s="2">
        <f>COUNTIFS('OB History'!$B:$B,$A$19,'OB History'!S:S, 1)</f>
        <v>1</v>
      </c>
      <c r="AC19" s="2">
        <f>COUNTIFS('OB History'!$B:$B,$A$19,'OB History'!T:T, 1)</f>
        <v>1</v>
      </c>
      <c r="AD19" s="2">
        <f>COUNTIFS('OB History'!$B:$B,$A$19,'OB History'!U:U, 1)</f>
        <v>0</v>
      </c>
      <c r="AE19" s="2">
        <f>COUNTIFS('OB History'!$B:$B,$A$19,'OB History'!V:V, 1)</f>
        <v>0</v>
      </c>
      <c r="AF19" s="2">
        <f>COUNTIFS('OB History'!$B:$B,$A$19,'OB History'!W:W, 1)</f>
        <v>3</v>
      </c>
      <c r="AG19" s="2">
        <f>COUNTIFS('OB History'!$B:$B,$A$19,'OB History'!X:X, 1)</f>
        <v>8</v>
      </c>
      <c r="AH19" s="2">
        <f>COUNTIFS('OB History'!$B:$B,$A$19,'OB History'!Y:Y, 1)</f>
        <v>6</v>
      </c>
      <c r="AI19" s="2">
        <f>COUNTIFS('OB History'!$B:$B,$A$19,'OB History'!Z:Z, 1)</f>
        <v>8</v>
      </c>
    </row>
    <row r="20" spans="1:35" x14ac:dyDescent="0.25">
      <c r="A20" s="2" t="s">
        <v>50</v>
      </c>
      <c r="B20" s="2" t="s">
        <v>79</v>
      </c>
      <c r="C20" s="2" t="s">
        <v>79</v>
      </c>
      <c r="D20" s="3"/>
      <c r="E20" s="3"/>
      <c r="F20" s="3"/>
      <c r="G20" s="3"/>
      <c r="H20" s="34">
        <f>SUMIFS('OB History'!C:C,'OB History'!B:B,A20)</f>
        <v>59</v>
      </c>
      <c r="I20" s="4">
        <f>AVERAGEIFS('OB History'!C:C,'OB History'!B:B,A20)</f>
        <v>14.75</v>
      </c>
      <c r="J20" s="35">
        <f t="array" ref="J20">MAX(IF('OB History'!B:B=A20, 'OB History'!C:C))</f>
        <v>17</v>
      </c>
      <c r="K20" s="34">
        <f>COUNTIFS('OB History'!B:B,A20,'OB History'!D:D, 1)</f>
        <v>0</v>
      </c>
      <c r="L20" s="2">
        <f>COUNTIFS('OB History'!B:B,A20,'OB History'!D:D, 0)</f>
        <v>4</v>
      </c>
      <c r="M20" s="88">
        <f>LOOKUP(2, 1/('OB History'!$B:$B=A20), 'OB History'!$AD:$AD)</f>
        <v>0</v>
      </c>
      <c r="N20" s="34">
        <f>SUMIFS('OB History'!F:F,'OB History'!B:B,A20)</f>
        <v>5</v>
      </c>
      <c r="O20" s="2">
        <f>SUMIFS('OB History'!E:E,'OB History'!B:B,A20)-N20</f>
        <v>12</v>
      </c>
      <c r="P20" s="88">
        <f>LOOKUP(2, 1/('OB History'!$B:$B=A20), 'OB History'!$AB:$AB)</f>
        <v>0.28749999999999998</v>
      </c>
      <c r="Q20" s="34">
        <f>SUMIFS('OB History'!H:H,'OB History'!B:B,'Old Bow v2'!A20)</f>
        <v>33</v>
      </c>
      <c r="R20" s="2">
        <f>SUMIFS('OB History'!G:G,'OB History'!B:B,'Old Bow v2'!A20)-Q20</f>
        <v>41</v>
      </c>
      <c r="S20" s="88">
        <f>LOOKUP(2, 1/('OB History'!$B:$B=A20), 'OB History'!$AC:$AC)</f>
        <v>0.4375</v>
      </c>
      <c r="T20" s="2">
        <f>COUNTIFS('OB History'!$B:$B,$A$20,'OB History'!K:K, 1)</f>
        <v>1</v>
      </c>
      <c r="U20" s="2">
        <f>COUNTIFS('OB History'!$B:$B,$A$20,'OB History'!L:L, 1)</f>
        <v>0</v>
      </c>
      <c r="V20" s="2">
        <f>COUNTIFS('OB History'!$B:$B,$A$20,'OB History'!M:M, 1)</f>
        <v>0</v>
      </c>
      <c r="W20" s="2">
        <f>COUNTIFS('OB History'!$B:$B,$A$20,'OB History'!N:N, 1)</f>
        <v>0</v>
      </c>
      <c r="X20" s="2">
        <f>COUNTIFS('OB History'!$B:$B,$A$20,'OB History'!O:O, 1)</f>
        <v>0</v>
      </c>
      <c r="Y20" s="2">
        <f>COUNTIFS('OB History'!$B:$B,$A$20,'OB History'!P:P, 1)</f>
        <v>2</v>
      </c>
      <c r="Z20" s="2">
        <f>COUNTIFS('OB History'!$B:$B,$A$20,'OB History'!Q:Q, 1)</f>
        <v>0</v>
      </c>
      <c r="AA20" s="2">
        <f>COUNTIFS('OB History'!$B:$B,$A$20,'OB History'!R:R, 1)</f>
        <v>1</v>
      </c>
      <c r="AB20" s="2">
        <f>COUNTIFS('OB History'!$B:$B,$A$20,'OB History'!S:S, 1)</f>
        <v>0</v>
      </c>
      <c r="AC20" s="2">
        <f>COUNTIFS('OB History'!$B:$B,$A$20,'OB History'!T:T, 1)</f>
        <v>0</v>
      </c>
      <c r="AD20" s="2">
        <f>COUNTIFS('OB History'!$B:$B,$A$20,'OB History'!U:U, 1)</f>
        <v>0</v>
      </c>
      <c r="AE20" s="2">
        <f>COUNTIFS('OB History'!$B:$B,$A$20,'OB History'!V:V, 1)</f>
        <v>0</v>
      </c>
      <c r="AF20" s="2">
        <f>COUNTIFS('OB History'!$B:$B,$A$20,'OB History'!W:W, 1)</f>
        <v>1</v>
      </c>
      <c r="AG20" s="2">
        <f>COUNTIFS('OB History'!$B:$B,$A$20,'OB History'!X:X, 1)</f>
        <v>0</v>
      </c>
      <c r="AH20" s="2">
        <f>COUNTIFS('OB History'!$B:$B,$A$20,'OB History'!Y:Y, 1)</f>
        <v>0</v>
      </c>
      <c r="AI20" s="2">
        <f>COUNTIFS('OB History'!$B:$B,$A$20,'OB History'!Z:Z, 1)</f>
        <v>0</v>
      </c>
    </row>
    <row r="21" spans="1:35" x14ac:dyDescent="0.25">
      <c r="A21" s="2" t="s">
        <v>52</v>
      </c>
      <c r="B21" s="2" t="s">
        <v>79</v>
      </c>
      <c r="C21" s="2" t="s">
        <v>79</v>
      </c>
      <c r="D21" s="3"/>
      <c r="E21" s="3"/>
      <c r="F21" s="3"/>
      <c r="G21" s="3"/>
      <c r="H21" s="34">
        <f>SUMIFS('OB History'!C:C,'OB History'!B:B,A21)</f>
        <v>39</v>
      </c>
      <c r="I21" s="4">
        <f>AVERAGEIFS('OB History'!C:C,'OB History'!B:B,A21)</f>
        <v>19.5</v>
      </c>
      <c r="J21" s="35">
        <f t="array" ref="J21">MAX(IF('OB History'!B:B=A21, 'OB History'!C:C))</f>
        <v>34</v>
      </c>
      <c r="K21" s="34">
        <f>COUNTIFS('OB History'!B:B,A21,'OB History'!D:D, 1)</f>
        <v>0</v>
      </c>
      <c r="L21" s="2">
        <f>COUNTIFS('OB History'!B:B,A21,'OB History'!D:D, 0)</f>
        <v>2</v>
      </c>
      <c r="M21" s="88">
        <f>LOOKUP(2, 1/('OB History'!$B:$B=A21), 'OB History'!$AD:$AD)</f>
        <v>0</v>
      </c>
      <c r="N21" s="34">
        <f>SUMIFS('OB History'!F:F,'OB History'!B:B,A21)</f>
        <v>2</v>
      </c>
      <c r="O21" s="2">
        <f>SUMIFS('OB History'!E:E,'OB History'!B:B,A21)-N21</f>
        <v>6</v>
      </c>
      <c r="P21" s="88">
        <f>LOOKUP(2, 1/('OB History'!$B:$B=A21), 'OB History'!$AB:$AB)</f>
        <v>0.2</v>
      </c>
      <c r="Q21" s="34">
        <f>SUMIFS('OB History'!H:H,'OB History'!B:B,'Old Bow v2'!A21)</f>
        <v>12</v>
      </c>
      <c r="R21" s="2">
        <f>SUMIFS('OB History'!G:G,'OB History'!B:B,'Old Bow v2'!A21)-Q21</f>
        <v>22</v>
      </c>
      <c r="S21" s="88">
        <f>LOOKUP(2, 1/('OB History'!$B:$B=A21), 'OB History'!$AC:$AC)</f>
        <v>0.34499999999999997</v>
      </c>
      <c r="T21" s="2">
        <f>COUNTIFS('OB History'!$B:$B,$A$21,'OB History'!K:K, 1)</f>
        <v>0</v>
      </c>
      <c r="U21" s="2">
        <f>COUNTIFS('OB History'!$B:$B,$A$21,'OB History'!L:L, 1)</f>
        <v>0</v>
      </c>
      <c r="V21" s="2">
        <f>COUNTIFS('OB History'!$B:$B,$A$21,'OB History'!M:M, 1)</f>
        <v>0</v>
      </c>
      <c r="W21" s="2">
        <f>COUNTIFS('OB History'!$B:$B,$A$21,'OB History'!N:N, 1)</f>
        <v>0</v>
      </c>
      <c r="X21" s="2">
        <f>COUNTIFS('OB History'!$B:$B,$A$21,'OB History'!O:O, 1)</f>
        <v>0</v>
      </c>
      <c r="Y21" s="2">
        <f>COUNTIFS('OB History'!$B:$B,$A$21,'OB History'!P:P, 1)</f>
        <v>1</v>
      </c>
      <c r="Z21" s="2">
        <f>COUNTIFS('OB History'!$B:$B,$A$21,'OB History'!Q:Q, 1)</f>
        <v>0</v>
      </c>
      <c r="AA21" s="2">
        <f>COUNTIFS('OB History'!$B:$B,$A$21,'OB History'!R:R, 1)</f>
        <v>0</v>
      </c>
      <c r="AB21" s="2">
        <f>COUNTIFS('OB History'!$B:$B,$A$21,'OB History'!S:S, 1)</f>
        <v>0</v>
      </c>
      <c r="AC21" s="2">
        <f>COUNTIFS('OB History'!$B:$B,$A$21,'OB History'!T:T, 1)</f>
        <v>0</v>
      </c>
      <c r="AD21" s="2">
        <f>COUNTIFS('OB History'!$B:$B,$A$21,'OB History'!U:U, 1)</f>
        <v>0</v>
      </c>
      <c r="AE21" s="2">
        <f>COUNTIFS('OB History'!$B:$B,$A$21,'OB History'!V:V, 1)</f>
        <v>0</v>
      </c>
      <c r="AF21" s="2">
        <f>COUNTIFS('OB History'!$B:$B,$A$21,'OB History'!W:W, 1)</f>
        <v>0</v>
      </c>
      <c r="AG21" s="2">
        <f>COUNTIFS('OB History'!$B:$B,$A$21,'OB History'!X:X, 1)</f>
        <v>1</v>
      </c>
      <c r="AH21" s="2">
        <f>COUNTIFS('OB History'!$B:$B,$A$21,'OB History'!Y:Y, 1)</f>
        <v>0</v>
      </c>
      <c r="AI21" s="2">
        <f>COUNTIFS('OB History'!$B:$B,$A$21,'OB History'!Z:Z, 1)</f>
        <v>0</v>
      </c>
    </row>
    <row r="22" spans="1:35" x14ac:dyDescent="0.25">
      <c r="A22" s="1" t="s">
        <v>44</v>
      </c>
      <c r="B22" s="2" t="s">
        <v>79</v>
      </c>
      <c r="C22" s="2" t="s">
        <v>79</v>
      </c>
      <c r="D22" s="3"/>
      <c r="E22" s="3"/>
      <c r="F22" s="3"/>
      <c r="G22" s="3"/>
      <c r="H22" s="34">
        <f>SUMIFS('OB History'!C:C,'OB History'!B:B,A22)</f>
        <v>103</v>
      </c>
      <c r="I22" s="4">
        <f>AVERAGEIFS('OB History'!C:C,'OB History'!B:B,A22)</f>
        <v>14.714285714285714</v>
      </c>
      <c r="J22" s="35">
        <f t="array" ref="J22">MAX(IF('OB History'!B:B=A22, 'OB History'!C:C))</f>
        <v>28</v>
      </c>
      <c r="K22" s="34">
        <f>COUNTIFS('OB History'!B:B,A22,'OB History'!D:D, 1)</f>
        <v>7</v>
      </c>
      <c r="L22" s="2">
        <f>COUNTIFS('OB History'!B:B,A22,'OB History'!D:D, 0)</f>
        <v>0</v>
      </c>
      <c r="M22" s="88">
        <f>LOOKUP(2, 1/('OB History'!$B:$B=A22), 'OB History'!$AD:$AD)</f>
        <v>1</v>
      </c>
      <c r="N22" s="34">
        <f>SUMIFS('OB History'!F:F,'OB History'!B:B,A22)</f>
        <v>21</v>
      </c>
      <c r="O22" s="2">
        <f>SUMIFS('OB History'!E:E,'OB History'!B:B,A22)-N22</f>
        <v>5</v>
      </c>
      <c r="P22" s="88">
        <f>LOOKUP(2, 1/('OB History'!$B:$B=A22), 'OB History'!$AB:$AB)</f>
        <v>0.85</v>
      </c>
      <c r="Q22" s="34">
        <f>SUMIFS('OB History'!H:H,'OB History'!B:B,'Old Bow v2'!A22)</f>
        <v>70</v>
      </c>
      <c r="R22" s="2">
        <f>SUMIFS('OB History'!G:G,'OB History'!B:B,'Old Bow v2'!A22)-Q22</f>
        <v>39</v>
      </c>
      <c r="S22" s="88">
        <f>LOOKUP(2, 1/('OB History'!$B:$B=A22), 'OB History'!$AC:$AC)</f>
        <v>0.65857142857142847</v>
      </c>
      <c r="T22" s="2">
        <f>COUNTIFS('OB History'!$B:$B,$A$22,'OB History'!K:K, 1)</f>
        <v>0</v>
      </c>
      <c r="U22" s="2">
        <f>COUNTIFS('OB History'!$B:$B,$A$22,'OB History'!L:L, 1)</f>
        <v>2</v>
      </c>
      <c r="V22" s="2">
        <f>COUNTIFS('OB History'!$B:$B,$A$22,'OB History'!M:M, 1)</f>
        <v>2</v>
      </c>
      <c r="W22" s="2">
        <f>COUNTIFS('OB History'!$B:$B,$A$22,'OB History'!N:N, 1)</f>
        <v>0</v>
      </c>
      <c r="X22" s="2">
        <f>COUNTIFS('OB History'!$B:$B,$A$22,'OB History'!O:O, 1)</f>
        <v>0</v>
      </c>
      <c r="Y22" s="2">
        <f>COUNTIFS('OB History'!$B:$B,$A$22,'OB History'!P:P, 1)</f>
        <v>2</v>
      </c>
      <c r="Z22" s="2">
        <f>COUNTIFS('OB History'!$B:$B,$A$22,'OB History'!Q:Q, 1)</f>
        <v>1</v>
      </c>
      <c r="AA22" s="2">
        <f>COUNTIFS('OB History'!$B:$B,$A$22,'OB History'!R:R, 1)</f>
        <v>1</v>
      </c>
      <c r="AB22" s="2">
        <f>COUNTIFS('OB History'!$B:$B,$A$22,'OB History'!S:S, 1)</f>
        <v>0</v>
      </c>
      <c r="AC22" s="2">
        <f>COUNTIFS('OB History'!$B:$B,$A$22,'OB History'!T:T, 1)</f>
        <v>0</v>
      </c>
      <c r="AD22" s="2">
        <f>COUNTIFS('OB History'!$B:$B,$A$22,'OB History'!U:U, 1)</f>
        <v>0</v>
      </c>
      <c r="AE22" s="2">
        <f>COUNTIFS('OB History'!$B:$B,$A$22,'OB History'!V:V, 1)</f>
        <v>0</v>
      </c>
      <c r="AF22" s="2">
        <f>COUNTIFS('OB History'!$B:$B,$A$22,'OB History'!W:W, 1)</f>
        <v>2</v>
      </c>
      <c r="AG22" s="2">
        <f>COUNTIFS('OB History'!$B:$B,$A$22,'OB History'!X:X, 1)</f>
        <v>5</v>
      </c>
      <c r="AH22" s="2">
        <f>COUNTIFS('OB History'!$B:$B,$A$22,'OB History'!Y:Y, 1)</f>
        <v>4</v>
      </c>
      <c r="AI22" s="2">
        <f>COUNTIFS('OB History'!$B:$B,$A$22,'OB History'!Z:Z, 1)</f>
        <v>2</v>
      </c>
    </row>
    <row r="23" spans="1:35" x14ac:dyDescent="0.25">
      <c r="A23" s="2" t="s">
        <v>1</v>
      </c>
      <c r="B23" s="6" t="s">
        <v>124</v>
      </c>
      <c r="C23" s="2" t="s">
        <v>79</v>
      </c>
      <c r="D23" s="3"/>
      <c r="E23" s="3"/>
      <c r="F23" s="3"/>
      <c r="G23" s="3"/>
      <c r="H23" s="34">
        <f>SUMIFS('OB History'!C:C,'OB History'!B:B,A23)</f>
        <v>309</v>
      </c>
      <c r="I23" s="4">
        <f>AVERAGEIFS('OB History'!C:C,'OB History'!B:B,A23)</f>
        <v>23.76923076923077</v>
      </c>
      <c r="J23" s="35">
        <f t="array" ref="J23">MAX(IF('OB History'!B:B=A23, 'OB History'!C:C))</f>
        <v>37</v>
      </c>
      <c r="K23" s="34">
        <f>COUNTIFS('OB History'!B:B,A23,'OB History'!D:D, 1)</f>
        <v>8</v>
      </c>
      <c r="L23" s="2">
        <f>COUNTIFS('OB History'!B:B,A23,'OB History'!D:D, 0)</f>
        <v>5</v>
      </c>
      <c r="M23" s="88">
        <f>LOOKUP(2, 1/('OB History'!$B:$B=A23), 'OB History'!$AD:$AD)</f>
        <v>0.61538461538461542</v>
      </c>
      <c r="N23" s="34">
        <f>SUMIFS('OB History'!F:F,'OB History'!B:B,A23)</f>
        <v>30</v>
      </c>
      <c r="O23" s="2">
        <f>SUMIFS('OB History'!E:E,'OB History'!B:B,A23)-N23</f>
        <v>26</v>
      </c>
      <c r="P23" s="88">
        <f>LOOKUP(2, 1/('OB History'!$B:$B=A23), 'OB History'!$AB:$AB)</f>
        <v>0.5346153846153846</v>
      </c>
      <c r="Q23" s="34">
        <f>SUMIFS('OB History'!H:H,'OB History'!B:B,'Old Bow v2'!A23)</f>
        <v>116</v>
      </c>
      <c r="R23" s="2">
        <f>SUMIFS('OB History'!G:G,'OB History'!B:B,'Old Bow v2'!A23)-Q23</f>
        <v>117</v>
      </c>
      <c r="S23" s="88">
        <f>LOOKUP(2, 1/('OB History'!$B:$B=A23), 'OB History'!$AC:$AC)</f>
        <v>0.49230769230769234</v>
      </c>
      <c r="T23" s="2">
        <f>COUNTIFS('OB History'!$B:$B,$A$23,'OB History'!K:K, 1)</f>
        <v>0</v>
      </c>
      <c r="U23" s="2">
        <f>COUNTIFS('OB History'!$B:$B,$A$23,'OB History'!L:L, 1)</f>
        <v>3</v>
      </c>
      <c r="V23" s="2">
        <f>COUNTIFS('OB History'!$B:$B,$A$23,'OB History'!M:M, 1)</f>
        <v>4</v>
      </c>
      <c r="W23" s="2">
        <f>COUNTIFS('OB History'!$B:$B,$A$23,'OB History'!N:N, 1)</f>
        <v>1</v>
      </c>
      <c r="X23" s="2">
        <f>COUNTIFS('OB History'!$B:$B,$A$23,'OB History'!O:O, 1)</f>
        <v>2</v>
      </c>
      <c r="Y23" s="2">
        <f>COUNTIFS('OB History'!$B:$B,$A$23,'OB History'!P:P, 1)</f>
        <v>2</v>
      </c>
      <c r="Z23" s="2">
        <f>COUNTIFS('OB History'!$B:$B,$A$23,'OB History'!Q:Q, 1)</f>
        <v>0</v>
      </c>
      <c r="AA23" s="2">
        <f>COUNTIFS('OB History'!$B:$B,$A$23,'OB History'!R:R, 1)</f>
        <v>1</v>
      </c>
      <c r="AB23" s="2">
        <f>COUNTIFS('OB History'!$B:$B,$A$23,'OB History'!S:S, 1)</f>
        <v>0</v>
      </c>
      <c r="AC23" s="2">
        <f>COUNTIFS('OB History'!$B:$B,$A$23,'OB History'!T:T, 1)</f>
        <v>0</v>
      </c>
      <c r="AD23" s="2">
        <f>COUNTIFS('OB History'!$B:$B,$A$23,'OB History'!U:U, 1)</f>
        <v>0</v>
      </c>
      <c r="AE23" s="2">
        <f>COUNTIFS('OB History'!$B:$B,$A$23,'OB History'!V:V, 1)</f>
        <v>0</v>
      </c>
      <c r="AF23" s="2">
        <f>COUNTIFS('OB History'!$B:$B,$A$23,'OB History'!W:W, 1)</f>
        <v>4</v>
      </c>
      <c r="AG23" s="2">
        <f>COUNTIFS('OB History'!$B:$B,$A$23,'OB History'!X:X, 1)</f>
        <v>4</v>
      </c>
      <c r="AH23" s="2">
        <f>COUNTIFS('OB History'!$B:$B,$A$23,'OB History'!Y:Y, 1)</f>
        <v>4</v>
      </c>
      <c r="AI23" s="2">
        <f>COUNTIFS('OB History'!$B:$B,$A$23,'OB History'!Z:Z, 1)</f>
        <v>5</v>
      </c>
    </row>
    <row r="24" spans="1:35" x14ac:dyDescent="0.25">
      <c r="A24" s="2" t="s">
        <v>150</v>
      </c>
      <c r="B24" s="6" t="s">
        <v>79</v>
      </c>
      <c r="C24" s="2" t="s">
        <v>79</v>
      </c>
      <c r="D24" s="3">
        <v>2</v>
      </c>
      <c r="E24" s="3"/>
      <c r="F24" s="3"/>
      <c r="G24" s="3"/>
      <c r="H24" s="34">
        <f>SUMIFS('OB History'!C:C,'OB History'!B:B,A24)</f>
        <v>300</v>
      </c>
      <c r="I24" s="4">
        <f>AVERAGEIFS('OB History'!C:C,'OB History'!B:B,A24)</f>
        <v>18.75</v>
      </c>
      <c r="J24" s="35">
        <f t="array" ref="J24">MAX(IF('OB History'!B:B=A24, 'OB History'!C:C))</f>
        <v>41</v>
      </c>
      <c r="K24" s="34">
        <f>COUNTIFS('OB History'!B:B,A24,'OB History'!D:D, 1)</f>
        <v>12</v>
      </c>
      <c r="L24" s="2">
        <f>COUNTIFS('OB History'!B:B,A24,'OB History'!D:D, 0)</f>
        <v>4</v>
      </c>
      <c r="M24" s="88">
        <f>LOOKUP(2, 1/('OB History'!$B:$B=A24), 'OB History'!$AD:$AD)</f>
        <v>0.75</v>
      </c>
      <c r="N24" s="34">
        <f>SUMIFS('OB History'!F:F,'OB History'!B:B,A24)</f>
        <v>41</v>
      </c>
      <c r="O24" s="2">
        <f>SUMIFS('OB History'!E:E,'OB History'!B:B,A24)-N24</f>
        <v>22</v>
      </c>
      <c r="P24" s="88">
        <f>LOOKUP(2, 1/('OB History'!$B:$B=A24), 'OB History'!$AB:$AB)</f>
        <v>0.6875</v>
      </c>
      <c r="Q24" s="34">
        <f>SUMIFS('OB History'!H:H,'OB History'!B:B,'Old Bow v2'!A24)</f>
        <v>152</v>
      </c>
      <c r="R24" s="2">
        <f>SUMIFS('OB History'!G:G,'OB History'!B:B,'Old Bow v2'!A24)-Q24</f>
        <v>106</v>
      </c>
      <c r="S24" s="88">
        <f>LOOKUP(2, 1/('OB History'!$B:$B=A24), 'OB History'!$AC:$AC)</f>
        <v>0.60187499999999983</v>
      </c>
      <c r="T24" s="2">
        <f>COUNTIFS('OB History'!$B:$B,$A$24,'OB History'!K:K, 1)</f>
        <v>2</v>
      </c>
      <c r="U24" s="2">
        <f>COUNTIFS('OB History'!$B:$B,$A$24,'OB History'!L:L, 1)</f>
        <v>2</v>
      </c>
      <c r="V24" s="2">
        <f>COUNTIFS('OB History'!$B:$B,$A$24,'OB History'!M:M, 1)</f>
        <v>3</v>
      </c>
      <c r="W24" s="2">
        <f>COUNTIFS('OB History'!$B:$B,$A$24,'OB History'!N:N, 1)</f>
        <v>4</v>
      </c>
      <c r="X24" s="2">
        <f>COUNTIFS('OB History'!$B:$B,$A$24,'OB History'!O:O, 1)</f>
        <v>0</v>
      </c>
      <c r="Y24" s="2">
        <f>COUNTIFS('OB History'!$B:$B,$A$24,'OB History'!P:P, 1)</f>
        <v>4</v>
      </c>
      <c r="Z24" s="2">
        <f>COUNTIFS('OB History'!$B:$B,$A$24,'OB History'!Q:Q, 1)</f>
        <v>1</v>
      </c>
      <c r="AA24" s="2">
        <f>COUNTIFS('OB History'!$B:$B,$A$24,'OB History'!R:R, 1)</f>
        <v>1</v>
      </c>
      <c r="AB24" s="2">
        <f>COUNTIFS('OB History'!$B:$B,$A$24,'OB History'!S:S, 1)</f>
        <v>0</v>
      </c>
      <c r="AC24" s="2">
        <f>COUNTIFS('OB History'!$B:$B,$A$24,'OB History'!T:T, 1)</f>
        <v>0</v>
      </c>
      <c r="AD24" s="2">
        <f>COUNTIFS('OB History'!$B:$B,$A$24,'OB History'!U:U, 1)</f>
        <v>1</v>
      </c>
      <c r="AE24" s="2">
        <f>COUNTIFS('OB History'!$B:$B,$A$24,'OB History'!V:V, 1)</f>
        <v>0</v>
      </c>
      <c r="AF24" s="2">
        <f>COUNTIFS('OB History'!$B:$B,$A$24,'OB History'!W:W, 1)</f>
        <v>4</v>
      </c>
      <c r="AG24" s="2">
        <f>COUNTIFS('OB History'!$B:$B,$A$24,'OB History'!X:X, 1)</f>
        <v>7</v>
      </c>
      <c r="AH24" s="2">
        <f>COUNTIFS('OB History'!$B:$B,$A$24,'OB History'!Y:Y, 1)</f>
        <v>8</v>
      </c>
      <c r="AI24" s="2">
        <f>COUNTIFS('OB History'!$B:$B,$A$24,'OB History'!Z:Z, 1)</f>
        <v>4</v>
      </c>
    </row>
    <row r="25" spans="1:35" x14ac:dyDescent="0.25">
      <c r="A25" s="2" t="s">
        <v>29</v>
      </c>
      <c r="B25" s="6" t="s">
        <v>171</v>
      </c>
      <c r="C25" s="2" t="s">
        <v>79</v>
      </c>
      <c r="D25" s="3">
        <v>1</v>
      </c>
      <c r="E25" s="3"/>
      <c r="F25" s="3"/>
      <c r="G25" s="3"/>
      <c r="H25" s="34">
        <f>SUMIFS('OB History'!C:C,'OB History'!B:B,A25)</f>
        <v>543</v>
      </c>
      <c r="I25" s="4">
        <f>AVERAGEIFS('OB History'!C:C,'OB History'!B:B,A25)</f>
        <v>10.647058823529411</v>
      </c>
      <c r="J25" s="35">
        <f t="array" ref="J25">MAX(IF('OB History'!B:B=A25, 'OB History'!C:C))</f>
        <v>21</v>
      </c>
      <c r="K25" s="34">
        <f>COUNTIFS('OB History'!B:B,A25,'OB History'!D:D, 1)</f>
        <v>23</v>
      </c>
      <c r="L25" s="2">
        <f>COUNTIFS('OB History'!B:B,A25,'OB History'!D:D, 0)</f>
        <v>28</v>
      </c>
      <c r="M25" s="88">
        <f>LOOKUP(2, 1/('OB History'!$B:$B=A25), 'OB History'!$AD:$AD)</f>
        <v>0.45098039215686275</v>
      </c>
      <c r="N25" s="34">
        <f>SUMIFS('OB History'!F:F,'OB History'!B:B,A25)</f>
        <v>100</v>
      </c>
      <c r="O25" s="2">
        <f>SUMIFS('OB History'!E:E,'OB History'!B:B,A25)-N25</f>
        <v>105</v>
      </c>
      <c r="P25" s="88">
        <f>LOOKUP(2, 1/('OB History'!$B:$B=A25), 'OB History'!$AB:$AB)</f>
        <v>0.4823529411764706</v>
      </c>
      <c r="Q25" s="34">
        <f>SUMIFS('OB History'!H:H,'OB History'!B:B,'Old Bow v2'!A25)</f>
        <v>424</v>
      </c>
      <c r="R25" s="2">
        <f>SUMIFS('OB History'!G:G,'OB History'!B:B,'Old Bow v2'!A25)-Q25</f>
        <v>428</v>
      </c>
      <c r="S25" s="88">
        <f>LOOKUP(2, 1/('OB History'!$B:$B=A25), 'OB History'!$AC:$AC)</f>
        <v>0.50176470588235289</v>
      </c>
      <c r="T25" s="2">
        <f>COUNTIFS('OB History'!$B:$B,$A$25,'OB History'!K:K, 1)</f>
        <v>6</v>
      </c>
      <c r="U25" s="2">
        <f>COUNTIFS('OB History'!$B:$B,$A$25,'OB History'!L:L, 1)</f>
        <v>8</v>
      </c>
      <c r="V25" s="2">
        <f>COUNTIFS('OB History'!$B:$B,$A$25,'OB History'!M:M, 1)</f>
        <v>2</v>
      </c>
      <c r="W25" s="2">
        <f>COUNTIFS('OB History'!$B:$B,$A$25,'OB History'!N:N, 1)</f>
        <v>13</v>
      </c>
      <c r="X25" s="2">
        <f>COUNTIFS('OB History'!$B:$B,$A$25,'OB History'!O:O, 1)</f>
        <v>4</v>
      </c>
      <c r="Y25" s="2">
        <f>COUNTIFS('OB History'!$B:$B,$A$25,'OB History'!P:P, 1)</f>
        <v>10</v>
      </c>
      <c r="Z25" s="2">
        <f>COUNTIFS('OB History'!$B:$B,$A$25,'OB History'!Q:Q, 1)</f>
        <v>1</v>
      </c>
      <c r="AA25" s="2">
        <f>COUNTIFS('OB History'!$B:$B,$A$25,'OB History'!R:R, 1)</f>
        <v>1</v>
      </c>
      <c r="AB25" s="2">
        <f>COUNTIFS('OB History'!$B:$B,$A$25,'OB History'!S:S, 1)</f>
        <v>0</v>
      </c>
      <c r="AC25" s="2">
        <f>COUNTIFS('OB History'!$B:$B,$A$25,'OB History'!T:T, 1)</f>
        <v>0</v>
      </c>
      <c r="AD25" s="2">
        <f>COUNTIFS('OB History'!$B:$B,$A$25,'OB History'!U:U, 1)</f>
        <v>0</v>
      </c>
      <c r="AE25" s="2">
        <f>COUNTIFS('OB History'!$B:$B,$A$25,'OB History'!V:V, 1)</f>
        <v>3</v>
      </c>
      <c r="AF25" s="2">
        <f>COUNTIFS('OB History'!$B:$B,$A$25,'OB History'!W:W, 1)</f>
        <v>14</v>
      </c>
      <c r="AG25" s="2">
        <f>COUNTIFS('OB History'!$B:$B,$A$25,'OB History'!X:X, 1)</f>
        <v>17</v>
      </c>
      <c r="AH25" s="2">
        <f>COUNTIFS('OB History'!$B:$B,$A$25,'OB History'!Y:Y, 1)</f>
        <v>11</v>
      </c>
      <c r="AI25" s="2">
        <f>COUNTIFS('OB History'!$B:$B,$A$25,'OB History'!Z:Z, 1)</f>
        <v>10</v>
      </c>
    </row>
    <row r="26" spans="1:35" x14ac:dyDescent="0.25">
      <c r="A26" s="2" t="s">
        <v>46</v>
      </c>
      <c r="B26" s="2" t="s">
        <v>79</v>
      </c>
      <c r="C26" s="2" t="s">
        <v>79</v>
      </c>
      <c r="D26" s="3"/>
      <c r="E26" s="3"/>
      <c r="F26" s="3"/>
      <c r="G26" s="3"/>
      <c r="H26" s="34">
        <f>SUMIFS('OB History'!C:C,'OB History'!B:B,A26)</f>
        <v>202</v>
      </c>
      <c r="I26" s="4">
        <f>AVERAGEIFS('OB History'!C:C,'OB History'!B:B,A26)</f>
        <v>20.2</v>
      </c>
      <c r="J26" s="35">
        <f t="array" ref="J26">MAX(IF('OB History'!B:B=A26, 'OB History'!C:C))</f>
        <v>36</v>
      </c>
      <c r="K26" s="34">
        <f>COUNTIFS('OB History'!B:B,A26,'OB History'!D:D, 1)</f>
        <v>4</v>
      </c>
      <c r="L26" s="2">
        <f>COUNTIFS('OB History'!B:B,A26,'OB History'!D:D, 0)</f>
        <v>6</v>
      </c>
      <c r="M26" s="88">
        <f>LOOKUP(2, 1/('OB History'!$B:$B=A26), 'OB History'!$AD:$AD)</f>
        <v>0.4</v>
      </c>
      <c r="N26" s="34">
        <f>SUMIFS('OB History'!F:F,'OB History'!B:B,A26)</f>
        <v>17</v>
      </c>
      <c r="O26" s="2">
        <f>SUMIFS('OB History'!E:E,'OB History'!B:B,A26)-N26</f>
        <v>23</v>
      </c>
      <c r="P26" s="88">
        <f>LOOKUP(2, 1/('OB History'!$B:$B=A26), 'OB History'!$AB:$AB)</f>
        <v>0.4</v>
      </c>
      <c r="Q26" s="34">
        <f>SUMIFS('OB History'!H:H,'OB History'!B:B,'Old Bow v2'!A26)</f>
        <v>74</v>
      </c>
      <c r="R26" s="2">
        <f>SUMIFS('OB History'!G:G,'OB History'!B:B,'Old Bow v2'!A26)-Q26</f>
        <v>94</v>
      </c>
      <c r="S26" s="88">
        <f>LOOKUP(2, 1/('OB History'!$B:$B=A26), 'OB History'!$AC:$AC)</f>
        <v>0.43200000000000005</v>
      </c>
      <c r="T26" s="2">
        <f>COUNTIFS('OB History'!$B:$B,$A$26,'OB History'!K:K, 1)</f>
        <v>0</v>
      </c>
      <c r="U26" s="2">
        <f>COUNTIFS('OB History'!$B:$B,$A$26,'OB History'!L:L, 1)</f>
        <v>1</v>
      </c>
      <c r="V26" s="2">
        <f>COUNTIFS('OB History'!$B:$B,$A$26,'OB History'!M:M, 1)</f>
        <v>1</v>
      </c>
      <c r="W26" s="2">
        <f>COUNTIFS('OB History'!$B:$B,$A$26,'OB History'!N:N, 1)</f>
        <v>1</v>
      </c>
      <c r="X26" s="2">
        <f>COUNTIFS('OB History'!$B:$B,$A$26,'OB History'!O:O, 1)</f>
        <v>0</v>
      </c>
      <c r="Y26" s="2">
        <f>COUNTIFS('OB History'!$B:$B,$A$26,'OB History'!P:P, 1)</f>
        <v>5</v>
      </c>
      <c r="Z26" s="2">
        <f>COUNTIFS('OB History'!$B:$B,$A$26,'OB History'!Q:Q, 1)</f>
        <v>0</v>
      </c>
      <c r="AA26" s="2">
        <f>COUNTIFS('OB History'!$B:$B,$A$26,'OB History'!R:R, 1)</f>
        <v>1</v>
      </c>
      <c r="AB26" s="2">
        <f>COUNTIFS('OB History'!$B:$B,$A$26,'OB History'!S:S, 1)</f>
        <v>0</v>
      </c>
      <c r="AC26" s="2">
        <f>COUNTIFS('OB History'!$B:$B,$A$26,'OB History'!T:T, 1)</f>
        <v>0</v>
      </c>
      <c r="AD26" s="2">
        <f>COUNTIFS('OB History'!$B:$B,$A$26,'OB History'!U:U, 1)</f>
        <v>0</v>
      </c>
      <c r="AE26" s="2">
        <f>COUNTIFS('OB History'!$B:$B,$A$26,'OB History'!V:V, 1)</f>
        <v>0</v>
      </c>
      <c r="AF26" s="2">
        <f>COUNTIFS('OB History'!$B:$B,$A$26,'OB History'!W:W, 1)</f>
        <v>1</v>
      </c>
      <c r="AG26" s="2">
        <f>COUNTIFS('OB History'!$B:$B,$A$26,'OB History'!X:X, 1)</f>
        <v>4</v>
      </c>
      <c r="AH26" s="2">
        <f>COUNTIFS('OB History'!$B:$B,$A$26,'OB History'!Y:Y, 1)</f>
        <v>1</v>
      </c>
      <c r="AI26" s="2">
        <f>COUNTIFS('OB History'!$B:$B,$A$26,'OB History'!Z:Z, 1)</f>
        <v>2</v>
      </c>
    </row>
    <row r="27" spans="1:35" x14ac:dyDescent="0.25">
      <c r="A27" s="2" t="s">
        <v>139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221</v>
      </c>
      <c r="I27" s="4">
        <f>AVERAGEIFS('OB History'!C:C,'OB History'!B:B,A27)</f>
        <v>10.523809523809524</v>
      </c>
      <c r="J27" s="35">
        <f t="array" ref="J27">MAX(IF('OB History'!B:B=A27, 'OB History'!C:C))</f>
        <v>17</v>
      </c>
      <c r="K27" s="34">
        <f>COUNTIFS('OB History'!B:B,A27,'OB History'!D:D, 1)</f>
        <v>11</v>
      </c>
      <c r="L27" s="2">
        <f>COUNTIFS('OB History'!B:B,A27,'OB History'!D:D, 0)</f>
        <v>10</v>
      </c>
      <c r="M27" s="88">
        <f>LOOKUP(2, 1/('OB History'!$B:$B=A27), 'OB History'!$AD:$AD)</f>
        <v>0.52380952380952384</v>
      </c>
      <c r="N27" s="34">
        <f>SUMIFS('OB History'!F:F,'OB History'!B:B,A27)</f>
        <v>41</v>
      </c>
      <c r="O27" s="2">
        <f>SUMIFS('OB History'!E:E,'OB History'!B:B,A27)-N27</f>
        <v>46</v>
      </c>
      <c r="P27" s="88">
        <f>LOOKUP(2, 1/('OB History'!$B:$B=A27), 'OB History'!$AB:$AB)</f>
        <v>0.4547619047619047</v>
      </c>
      <c r="Q27" s="34">
        <f>SUMIFS('OB History'!H:H,'OB History'!B:B,'Old Bow v2'!A27)</f>
        <v>180</v>
      </c>
      <c r="R27" s="2">
        <f>SUMIFS('OB History'!G:G,'OB History'!B:B,'Old Bow v2'!A27)-Q27</f>
        <v>178</v>
      </c>
      <c r="S27" s="88">
        <f>LOOKUP(2, 1/('OB History'!$B:$B=A27), 'OB History'!$AC:$AC)</f>
        <v>0.49999999999999989</v>
      </c>
      <c r="T27" s="2">
        <f>COUNTIFS('OB History'!$B:$B,$A$27,'OB History'!K:K, 1)</f>
        <v>1</v>
      </c>
      <c r="U27" s="2">
        <f>COUNTIFS('OB History'!$B:$B,$A$27,'OB History'!L:L, 1)</f>
        <v>4</v>
      </c>
      <c r="V27" s="2">
        <f>COUNTIFS('OB History'!$B:$B,$A$27,'OB History'!M:M, 1)</f>
        <v>1</v>
      </c>
      <c r="W27" s="2">
        <f>COUNTIFS('OB History'!$B:$B,$A$27,'OB History'!N:N, 1)</f>
        <v>4</v>
      </c>
      <c r="X27" s="2">
        <f>COUNTIFS('OB History'!$B:$B,$A$27,'OB History'!O:O, 1)</f>
        <v>0</v>
      </c>
      <c r="Y27" s="2">
        <f>COUNTIFS('OB History'!$B:$B,$A$27,'OB History'!P:P, 1)</f>
        <v>3</v>
      </c>
      <c r="Z27" s="2">
        <f>COUNTIFS('OB History'!$B:$B,$A$27,'OB History'!Q:Q, 1)</f>
        <v>2</v>
      </c>
      <c r="AA27" s="2">
        <f>COUNTIFS('OB History'!$B:$B,$A$27,'OB History'!R:R, 1)</f>
        <v>4</v>
      </c>
      <c r="AB27" s="2">
        <f>COUNTIFS('OB History'!$B:$B,$A$27,'OB History'!S:S, 1)</f>
        <v>0</v>
      </c>
      <c r="AC27" s="2">
        <f>COUNTIFS('OB History'!$B:$B,$A$27,'OB History'!T:T, 1)</f>
        <v>0</v>
      </c>
      <c r="AD27" s="2">
        <f>COUNTIFS('OB History'!$B:$B,$A$27,'OB History'!U:U, 1)</f>
        <v>0</v>
      </c>
      <c r="AE27" s="2">
        <f>COUNTIFS('OB History'!$B:$B,$A$27,'OB History'!V:V, 1)</f>
        <v>2</v>
      </c>
      <c r="AF27" s="2">
        <f>COUNTIFS('OB History'!$B:$B,$A$27,'OB History'!W:W, 1)</f>
        <v>0</v>
      </c>
      <c r="AG27" s="2">
        <f>COUNTIFS('OB History'!$B:$B,$A$27,'OB History'!X:X, 1)</f>
        <v>10</v>
      </c>
      <c r="AH27" s="2">
        <f>COUNTIFS('OB History'!$B:$B,$A$27,'OB History'!Y:Y, 1)</f>
        <v>4</v>
      </c>
      <c r="AI27" s="2">
        <f>COUNTIFS('OB History'!$B:$B,$A$27,'OB History'!Z:Z, 1)</f>
        <v>6</v>
      </c>
    </row>
    <row r="28" spans="1:35" x14ac:dyDescent="0.25">
      <c r="A28" s="2" t="s">
        <v>28</v>
      </c>
      <c r="B28" s="6" t="s">
        <v>60</v>
      </c>
      <c r="C28" s="2" t="s">
        <v>79</v>
      </c>
      <c r="D28" s="3">
        <v>1</v>
      </c>
      <c r="E28" s="3"/>
      <c r="F28" s="3"/>
      <c r="G28" s="3"/>
      <c r="H28" s="34">
        <f>SUMIFS('OB History'!C:C,'OB History'!B:B,A28)</f>
        <v>355</v>
      </c>
      <c r="I28" s="4">
        <f>AVERAGEIFS('OB History'!C:C,'OB History'!B:B,A28)</f>
        <v>15.434782608695652</v>
      </c>
      <c r="J28" s="35">
        <f t="array" ref="J28">MAX(IF('OB History'!B:B=A28, 'OB History'!C:C))</f>
        <v>43</v>
      </c>
      <c r="K28" s="34">
        <f>COUNTIFS('OB History'!B:B,A28,'OB History'!D:D, 1)</f>
        <v>9</v>
      </c>
      <c r="L28" s="2">
        <f>COUNTIFS('OB History'!B:B,A28,'OB History'!D:D, 0)</f>
        <v>14</v>
      </c>
      <c r="M28" s="88">
        <f>LOOKUP(2, 1/('OB History'!$B:$B=A28), 'OB History'!$AD:$AD)</f>
        <v>0.39130434782608697</v>
      </c>
      <c r="N28" s="34">
        <f>SUMIFS('OB History'!F:F,'OB History'!B:B,A28)</f>
        <v>42</v>
      </c>
      <c r="O28" s="2">
        <f>SUMIFS('OB History'!E:E,'OB History'!B:B,A28)-N28</f>
        <v>56</v>
      </c>
      <c r="P28" s="88">
        <f>LOOKUP(2, 1/('OB History'!$B:$B=A28), 'OB History'!$AB:$AB)</f>
        <v>0.40217391304347827</v>
      </c>
      <c r="Q28" s="34">
        <f>SUMIFS('OB History'!H:H,'OB History'!B:B,'Old Bow v2'!A28)</f>
        <v>192</v>
      </c>
      <c r="R28" s="2">
        <f>SUMIFS('OB History'!G:G,'OB History'!B:B,'Old Bow v2'!A28)-Q28</f>
        <v>218</v>
      </c>
      <c r="S28" s="88">
        <f>LOOKUP(2, 1/('OB History'!$B:$B=A28), 'OB History'!$AC:$AC)</f>
        <v>0.45521739130434791</v>
      </c>
      <c r="T28" s="2">
        <f>COUNTIFS('OB History'!$B:$B,$A$28,'OB History'!K:K, 1)</f>
        <v>5</v>
      </c>
      <c r="U28" s="2">
        <f>COUNTIFS('OB History'!$B:$B,$A$28,'OB History'!L:L, 1)</f>
        <v>2</v>
      </c>
      <c r="V28" s="2">
        <f>COUNTIFS('OB History'!$B:$B,$A$28,'OB History'!M:M, 1)</f>
        <v>1</v>
      </c>
      <c r="W28" s="2">
        <f>COUNTIFS('OB History'!$B:$B,$A$28,'OB History'!N:N, 1)</f>
        <v>2</v>
      </c>
      <c r="X28" s="2">
        <f>COUNTIFS('OB History'!$B:$B,$A$28,'OB History'!O:O, 1)</f>
        <v>2</v>
      </c>
      <c r="Y28" s="2">
        <f>COUNTIFS('OB History'!$B:$B,$A$28,'OB History'!P:P, 1)</f>
        <v>4</v>
      </c>
      <c r="Z28" s="2">
        <f>COUNTIFS('OB History'!$B:$B,$A$28,'OB History'!Q:Q, 1)</f>
        <v>2</v>
      </c>
      <c r="AA28" s="2">
        <f>COUNTIFS('OB History'!$B:$B,$A$28,'OB History'!R:R, 1)</f>
        <v>1</v>
      </c>
      <c r="AB28" s="2">
        <f>COUNTIFS('OB History'!$B:$B,$A$28,'OB History'!S:S, 1)</f>
        <v>1</v>
      </c>
      <c r="AC28" s="2">
        <f>COUNTIFS('OB History'!$B:$B,$A$28,'OB History'!T:T, 1)</f>
        <v>0</v>
      </c>
      <c r="AD28" s="2">
        <f>COUNTIFS('OB History'!$B:$B,$A$28,'OB History'!U:U, 1)</f>
        <v>1</v>
      </c>
      <c r="AE28" s="2">
        <f>COUNTIFS('OB History'!$B:$B,$A$28,'OB History'!V:V, 1)</f>
        <v>1</v>
      </c>
      <c r="AF28" s="2">
        <f>COUNTIFS('OB History'!$B:$B,$A$28,'OB History'!W:W, 1)</f>
        <v>1</v>
      </c>
      <c r="AG28" s="2">
        <f>COUNTIFS('OB History'!$B:$B,$A$28,'OB History'!X:X, 1)</f>
        <v>8</v>
      </c>
      <c r="AH28" s="2">
        <f>COUNTIFS('OB History'!$B:$B,$A$28,'OB History'!Y:Y, 1)</f>
        <v>2</v>
      </c>
      <c r="AI28" s="2">
        <f>COUNTIFS('OB History'!$B:$B,$A$28,'OB History'!Z:Z, 1)</f>
        <v>9</v>
      </c>
    </row>
    <row r="29" spans="1:35" x14ac:dyDescent="0.25">
      <c r="A29" s="2" t="s">
        <v>53</v>
      </c>
      <c r="B29" s="6" t="s">
        <v>60</v>
      </c>
      <c r="C29" s="6" t="s">
        <v>79</v>
      </c>
      <c r="D29" s="3"/>
      <c r="E29" s="3"/>
      <c r="F29" s="3"/>
      <c r="G29" s="3"/>
      <c r="H29" s="34">
        <f>SUMIFS('OB History'!C:C,'OB History'!B:B,A29)</f>
        <v>92</v>
      </c>
      <c r="I29" s="4">
        <f>AVERAGEIFS('OB History'!C:C,'OB History'!B:B,A29)</f>
        <v>15.333333333333334</v>
      </c>
      <c r="J29" s="35">
        <f t="array" ref="J29">MAX(IF('OB History'!B:B=A29, 'OB History'!C:C))</f>
        <v>25</v>
      </c>
      <c r="K29" s="34">
        <f>COUNTIFS('OB History'!B:B,A29,'OB History'!D:D, 1)</f>
        <v>4</v>
      </c>
      <c r="L29" s="2">
        <f>COUNTIFS('OB History'!B:B,A29,'OB History'!D:D, 0)</f>
        <v>2</v>
      </c>
      <c r="M29" s="88">
        <f>LOOKUP(2, 1/('OB History'!$B:$B=A29), 'OB History'!$AD:$AD)</f>
        <v>0.66666666666666663</v>
      </c>
      <c r="N29" s="34">
        <f>SUMIFS('OB History'!F:F,'OB History'!B:B,A29)</f>
        <v>13</v>
      </c>
      <c r="O29" s="2">
        <f>SUMIFS('OB History'!E:E,'OB History'!B:B,A29)-N29</f>
        <v>12</v>
      </c>
      <c r="P29" s="88">
        <f>LOOKUP(2, 1/('OB History'!$B:$B=A29), 'OB History'!$AB:$AB)</f>
        <v>0.4916666666666667</v>
      </c>
      <c r="Q29" s="34">
        <f>SUMIFS('OB History'!H:H,'OB History'!B:B,'Old Bow v2'!A29)</f>
        <v>54</v>
      </c>
      <c r="R29" s="2">
        <f>SUMIFS('OB History'!G:G,'OB History'!B:B,'Old Bow v2'!A29)-Q29</f>
        <v>47</v>
      </c>
      <c r="S29" s="88">
        <f>LOOKUP(2, 1/('OB History'!$B:$B=A29), 'OB History'!$AC:$AC)</f>
        <v>0.53</v>
      </c>
      <c r="T29" s="2">
        <f>COUNTIFS('OB History'!$B:$B,$A$29,'OB History'!K:K, 1)</f>
        <v>1</v>
      </c>
      <c r="U29" s="2">
        <f>COUNTIFS('OB History'!$B:$B,$A$29,'OB History'!L:L, 1)</f>
        <v>1</v>
      </c>
      <c r="V29" s="2">
        <f>COUNTIFS('OB History'!$B:$B,$A$29,'OB History'!M:M, 1)</f>
        <v>0</v>
      </c>
      <c r="W29" s="2">
        <f>COUNTIFS('OB History'!$B:$B,$A$29,'OB History'!N:N, 1)</f>
        <v>2</v>
      </c>
      <c r="X29" s="2">
        <f>COUNTIFS('OB History'!$B:$B,$A$29,'OB History'!O:O, 1)</f>
        <v>3</v>
      </c>
      <c r="Y29" s="2">
        <f>COUNTIFS('OB History'!$B:$B,$A$29,'OB History'!P:P, 1)</f>
        <v>2</v>
      </c>
      <c r="Z29" s="2">
        <f>COUNTIFS('OB History'!$B:$B,$A$29,'OB History'!Q:Q, 1)</f>
        <v>2</v>
      </c>
      <c r="AA29" s="2">
        <f>COUNTIFS('OB History'!$B:$B,$A$29,'OB History'!R:R, 1)</f>
        <v>0</v>
      </c>
      <c r="AB29" s="2">
        <f>COUNTIFS('OB History'!$B:$B,$A$29,'OB History'!S:S, 1)</f>
        <v>0</v>
      </c>
      <c r="AC29" s="2">
        <f>COUNTIFS('OB History'!$B:$B,$A$29,'OB History'!T:T, 1)</f>
        <v>0</v>
      </c>
      <c r="AD29" s="2">
        <f>COUNTIFS('OB History'!$B:$B,$A$29,'OB History'!U:U, 1)</f>
        <v>0</v>
      </c>
      <c r="AE29" s="2">
        <f>COUNTIFS('OB History'!$B:$B,$A$29,'OB History'!V:V, 1)</f>
        <v>0</v>
      </c>
      <c r="AF29" s="2">
        <f>COUNTIFS('OB History'!$B:$B,$A$29,'OB History'!W:W, 1)</f>
        <v>1</v>
      </c>
      <c r="AG29" s="2">
        <f>COUNTIFS('OB History'!$B:$B,$A$29,'OB History'!X:X, 1)</f>
        <v>1</v>
      </c>
      <c r="AH29" s="2">
        <f>COUNTIFS('OB History'!$B:$B,$A$29,'OB History'!Y:Y, 1)</f>
        <v>0</v>
      </c>
      <c r="AI29" s="2">
        <f>COUNTIFS('OB History'!$B:$B,$A$29,'OB History'!Z:Z, 1)</f>
        <v>0</v>
      </c>
    </row>
    <row r="30" spans="1:35" x14ac:dyDescent="0.25">
      <c r="A30" s="2" t="s">
        <v>51</v>
      </c>
      <c r="B30" s="2" t="s">
        <v>79</v>
      </c>
      <c r="C30" s="2" t="s">
        <v>79</v>
      </c>
      <c r="D30" s="3"/>
      <c r="E30" s="3"/>
      <c r="F30" s="3"/>
      <c r="G30" s="3"/>
      <c r="H30" s="34">
        <f>SUMIFS('OB History'!C:C,'OB History'!B:B,A30)</f>
        <v>180</v>
      </c>
      <c r="I30" s="4">
        <f>AVERAGEIFS('OB History'!C:C,'OB History'!B:B,A30)</f>
        <v>13.846153846153847</v>
      </c>
      <c r="J30" s="35">
        <f t="array" ref="J30">MAX(IF('OB History'!B:B=A30, 'OB History'!C:C))</f>
        <v>22</v>
      </c>
      <c r="K30" s="34">
        <f>COUNTIFS('OB History'!B:B,A30,'OB History'!D:D, 1)</f>
        <v>7</v>
      </c>
      <c r="L30" s="2">
        <f>COUNTIFS('OB History'!B:B,A30,'OB History'!D:D, 0)</f>
        <v>6</v>
      </c>
      <c r="M30" s="88">
        <f>LOOKUP(2, 1/('OB History'!$B:$B=A30), 'OB History'!$AD:$AD)</f>
        <v>0.53846153846153844</v>
      </c>
      <c r="N30" s="34">
        <f>SUMIFS('OB History'!F:F,'OB History'!B:B,A30)</f>
        <v>29</v>
      </c>
      <c r="O30" s="2">
        <f>SUMIFS('OB History'!E:E,'OB History'!B:B,A30)-N30</f>
        <v>26</v>
      </c>
      <c r="P30" s="88">
        <f>LOOKUP(2, 1/('OB History'!$B:$B=A30), 'OB History'!$AB:$AB)</f>
        <v>0.53846153846153855</v>
      </c>
      <c r="Q30" s="34">
        <f>SUMIFS('OB History'!H:H,'OB History'!B:B,'Old Bow v2'!A30)</f>
        <v>111</v>
      </c>
      <c r="R30" s="2">
        <f>SUMIFS('OB History'!G:G,'OB History'!B:B,'Old Bow v2'!A30)-Q30</f>
        <v>111</v>
      </c>
      <c r="S30" s="88">
        <f>LOOKUP(2, 1/('OB History'!$B:$B=A30), 'OB History'!$AC:$AC)</f>
        <v>0.50461538461538469</v>
      </c>
      <c r="T30" s="2">
        <f>COUNTIFS('OB History'!$B:$B,$A$30,'OB History'!K:K, 1)</f>
        <v>4</v>
      </c>
      <c r="U30" s="2">
        <f>COUNTIFS('OB History'!$B:$B,$A$30,'OB History'!L:L, 1)</f>
        <v>1</v>
      </c>
      <c r="V30" s="2">
        <f>COUNTIFS('OB History'!$B:$B,$A$30,'OB History'!M:M, 1)</f>
        <v>0</v>
      </c>
      <c r="W30" s="2">
        <f>COUNTIFS('OB History'!$B:$B,$A$30,'OB History'!N:N, 1)</f>
        <v>3</v>
      </c>
      <c r="X30" s="2">
        <f>COUNTIFS('OB History'!$B:$B,$A$30,'OB History'!O:O, 1)</f>
        <v>0</v>
      </c>
      <c r="Y30" s="2">
        <f>COUNTIFS('OB History'!$B:$B,$A$30,'OB History'!P:P, 1)</f>
        <v>3</v>
      </c>
      <c r="Z30" s="2">
        <f>COUNTIFS('OB History'!$B:$B,$A$30,'OB History'!Q:Q, 1)</f>
        <v>0</v>
      </c>
      <c r="AA30" s="2">
        <f>COUNTIFS('OB History'!$B:$B,$A$30,'OB History'!R:R, 1)</f>
        <v>1</v>
      </c>
      <c r="AB30" s="2">
        <f>COUNTIFS('OB History'!$B:$B,$A$30,'OB History'!S:S, 1)</f>
        <v>0</v>
      </c>
      <c r="AC30" s="2">
        <f>COUNTIFS('OB History'!$B:$B,$A$30,'OB History'!T:T, 1)</f>
        <v>0</v>
      </c>
      <c r="AD30" s="2">
        <f>COUNTIFS('OB History'!$B:$B,$A$30,'OB History'!U:U, 1)</f>
        <v>0</v>
      </c>
      <c r="AE30" s="2">
        <f>COUNTIFS('OB History'!$B:$B,$A$30,'OB History'!V:V, 1)</f>
        <v>2</v>
      </c>
      <c r="AF30" s="2">
        <f>COUNTIFS('OB History'!$B:$B,$A$30,'OB History'!W:W, 1)</f>
        <v>5</v>
      </c>
      <c r="AG30" s="2">
        <f>COUNTIFS('OB History'!$B:$B,$A$30,'OB History'!X:X, 1)</f>
        <v>4</v>
      </c>
      <c r="AH30" s="2">
        <f>COUNTIFS('OB History'!$B:$B,$A$30,'OB History'!Y:Y, 1)</f>
        <v>3</v>
      </c>
      <c r="AI30" s="2">
        <f>COUNTIFS('OB History'!$B:$B,$A$30,'OB History'!Z:Z, 1)</f>
        <v>3</v>
      </c>
    </row>
    <row r="31" spans="1:35" ht="15.75" x14ac:dyDescent="0.25">
      <c r="A31" s="2" t="s">
        <v>20</v>
      </c>
      <c r="B31" s="80" t="s">
        <v>60</v>
      </c>
      <c r="C31" s="2" t="s">
        <v>79</v>
      </c>
      <c r="D31" s="3"/>
      <c r="E31" s="3"/>
      <c r="F31" s="3"/>
      <c r="G31" s="3"/>
      <c r="H31" s="34">
        <f>SUMIFS('OB History'!C:C,'OB History'!B:B,A31)</f>
        <v>482</v>
      </c>
      <c r="I31" s="4">
        <f>AVERAGEIFS('OB History'!C:C,'OB History'!B:B,A31)</f>
        <v>14.606060606060606</v>
      </c>
      <c r="J31" s="35">
        <f t="array" ref="J31">MAX(IF('OB History'!B:B=A31, 'OB History'!C:C))</f>
        <v>37</v>
      </c>
      <c r="K31" s="34">
        <f>COUNTIFS('OB History'!B:B,A31,'OB History'!D:D, 1)</f>
        <v>14</v>
      </c>
      <c r="L31" s="2">
        <f>COUNTIFS('OB History'!B:B,A31,'OB History'!D:D, 0)</f>
        <v>19</v>
      </c>
      <c r="M31" s="88">
        <f>LOOKUP(2, 1/('OB History'!$B:$B=A31), 'OB History'!$AD:$AD)</f>
        <v>0.42424242424242425</v>
      </c>
      <c r="N31" s="34">
        <f>SUMIFS('OB History'!F:F,'OB History'!B:B,A31)</f>
        <v>69</v>
      </c>
      <c r="O31" s="2">
        <f>SUMIFS('OB History'!E:E,'OB History'!B:B,A31)-N31</f>
        <v>71</v>
      </c>
      <c r="P31" s="88">
        <f>LOOKUP(2, 1/('OB History'!$B:$B=A31), 'OB History'!$AB:$AB)</f>
        <v>0.49848484848484859</v>
      </c>
      <c r="Q31" s="34">
        <f>SUMIFS('OB History'!H:H,'OB History'!B:B,'Old Bow v2'!A31)</f>
        <v>294</v>
      </c>
      <c r="R31" s="2">
        <f>SUMIFS('OB History'!G:G,'OB History'!B:B,'Old Bow v2'!A31)-Q31</f>
        <v>291</v>
      </c>
      <c r="S31" s="88">
        <f>LOOKUP(2, 1/('OB History'!$B:$B=A31), 'OB History'!$AC:$AC)</f>
        <v>0.50333333333333352</v>
      </c>
      <c r="T31" s="2">
        <f>COUNTIFS('OB History'!$B:$B,$A$31,'OB History'!K:K, 1)</f>
        <v>4</v>
      </c>
      <c r="U31" s="2">
        <f>COUNTIFS('OB History'!$B:$B,$A$31,'OB History'!L:L, 1)</f>
        <v>5</v>
      </c>
      <c r="V31" s="2">
        <f>COUNTIFS('OB History'!$B:$B,$A$31,'OB History'!M:M, 1)</f>
        <v>1</v>
      </c>
      <c r="W31" s="2">
        <f>COUNTIFS('OB History'!$B:$B,$A$31,'OB History'!N:N, 1)</f>
        <v>14</v>
      </c>
      <c r="X31" s="2">
        <f>COUNTIFS('OB History'!$B:$B,$A$31,'OB History'!O:O, 1)</f>
        <v>0</v>
      </c>
      <c r="Y31" s="2">
        <f>COUNTIFS('OB History'!$B:$B,$A$31,'OB History'!P:P, 1)</f>
        <v>7</v>
      </c>
      <c r="Z31" s="2">
        <f>COUNTIFS('OB History'!$B:$B,$A$31,'OB History'!Q:Q, 1)</f>
        <v>2</v>
      </c>
      <c r="AA31" s="2">
        <f>COUNTIFS('OB History'!$B:$B,$A$31,'OB History'!R:R, 1)</f>
        <v>3</v>
      </c>
      <c r="AB31" s="2">
        <f>COUNTIFS('OB History'!$B:$B,$A$31,'OB History'!S:S, 1)</f>
        <v>0</v>
      </c>
      <c r="AC31" s="2">
        <f>COUNTIFS('OB History'!$B:$B,$A$31,'OB History'!T:T, 1)</f>
        <v>1</v>
      </c>
      <c r="AD31" s="2">
        <f>COUNTIFS('OB History'!$B:$B,$A$31,'OB History'!U:U, 1)</f>
        <v>0</v>
      </c>
      <c r="AE31" s="2">
        <f>COUNTIFS('OB History'!$B:$B,$A$31,'OB History'!V:V, 1)</f>
        <v>2</v>
      </c>
      <c r="AF31" s="2">
        <f>COUNTIFS('OB History'!$B:$B,$A$31,'OB History'!W:W, 1)</f>
        <v>9</v>
      </c>
      <c r="AG31" s="2">
        <f>COUNTIFS('OB History'!$B:$B,$A$31,'OB History'!X:X, 1)</f>
        <v>9</v>
      </c>
      <c r="AH31" s="2">
        <f>COUNTIFS('OB History'!$B:$B,$A$31,'OB History'!Y:Y, 1)</f>
        <v>5</v>
      </c>
      <c r="AI31" s="2">
        <f>COUNTIFS('OB History'!$B:$B,$A$31,'OB History'!Z:Z, 1)</f>
        <v>7</v>
      </c>
    </row>
    <row r="32" spans="1:35" x14ac:dyDescent="0.25">
      <c r="A32" s="1" t="s">
        <v>47</v>
      </c>
      <c r="B32" s="2" t="s">
        <v>79</v>
      </c>
      <c r="C32" s="2" t="s">
        <v>79</v>
      </c>
      <c r="D32" s="3"/>
      <c r="E32" s="3"/>
      <c r="F32" s="3"/>
      <c r="G32" s="3"/>
      <c r="H32" s="34">
        <f>SUMIFS('OB History'!C:C,'OB History'!B:B,A32)</f>
        <v>101</v>
      </c>
      <c r="I32" s="4">
        <f>AVERAGEIFS('OB History'!C:C,'OB History'!B:B,A32)</f>
        <v>8.4166666666666661</v>
      </c>
      <c r="J32" s="35">
        <f t="array" ref="J32">MAX(IF('OB History'!B:B=A32, 'OB History'!C:C))</f>
        <v>14</v>
      </c>
      <c r="K32" s="34">
        <f>COUNTIFS('OB History'!B:B,A32,'OB History'!D:D, 1)</f>
        <v>6</v>
      </c>
      <c r="L32" s="2">
        <f>COUNTIFS('OB History'!B:B,A32,'OB History'!D:D, 0)</f>
        <v>6</v>
      </c>
      <c r="M32" s="88">
        <f>LOOKUP(2, 1/('OB History'!$B:$B=A32), 'OB History'!$AD:$AD)</f>
        <v>0.5</v>
      </c>
      <c r="N32" s="34">
        <f>SUMIFS('OB History'!F:F,'OB History'!B:B,A32)</f>
        <v>26</v>
      </c>
      <c r="O32" s="2">
        <f>SUMIFS('OB History'!E:E,'OB History'!B:B,A32)-N32</f>
        <v>26</v>
      </c>
      <c r="P32" s="88">
        <f>LOOKUP(2, 1/('OB History'!$B:$B=A32), 'OB History'!$AB:$AB)</f>
        <v>0.5</v>
      </c>
      <c r="Q32" s="34">
        <f>SUMIFS('OB History'!H:H,'OB History'!B:B,'Old Bow v2'!A32)</f>
        <v>106</v>
      </c>
      <c r="R32" s="2">
        <f>SUMIFS('OB History'!G:G,'OB History'!B:B,'Old Bow v2'!A32)-Q32</f>
        <v>111</v>
      </c>
      <c r="S32" s="88">
        <f>LOOKUP(2, 1/('OB History'!$B:$B=A32), 'OB History'!$AC:$AC)</f>
        <v>0.48333333333333323</v>
      </c>
      <c r="T32" s="2">
        <f>COUNTIFS('OB History'!$B:$B,$A$32,'OB History'!K:K, 1)</f>
        <v>2</v>
      </c>
      <c r="U32" s="2">
        <f>COUNTIFS('OB History'!$B:$B,$A$32,'OB History'!L:L, 1)</f>
        <v>1</v>
      </c>
      <c r="V32" s="2">
        <f>COUNTIFS('OB History'!$B:$B,$A$32,'OB History'!M:M, 1)</f>
        <v>1</v>
      </c>
      <c r="W32" s="2">
        <f>COUNTIFS('OB History'!$B:$B,$A$32,'OB History'!N:N, 1)</f>
        <v>4</v>
      </c>
      <c r="X32" s="2">
        <f>COUNTIFS('OB History'!$B:$B,$A$32,'OB History'!O:O, 1)</f>
        <v>1</v>
      </c>
      <c r="Y32" s="2">
        <f>COUNTIFS('OB History'!$B:$B,$A$32,'OB History'!P:P, 1)</f>
        <v>2</v>
      </c>
      <c r="Z32" s="2">
        <f>COUNTIFS('OB History'!$B:$B,$A$32,'OB History'!Q:Q, 1)</f>
        <v>0</v>
      </c>
      <c r="AA32" s="2">
        <f>COUNTIFS('OB History'!$B:$B,$A$32,'OB History'!R:R, 1)</f>
        <v>0</v>
      </c>
      <c r="AB32" s="2">
        <f>COUNTIFS('OB History'!$B:$B,$A$32,'OB History'!S:S, 1)</f>
        <v>0</v>
      </c>
      <c r="AC32" s="2">
        <f>COUNTIFS('OB History'!$B:$B,$A$32,'OB History'!T:T, 1)</f>
        <v>0</v>
      </c>
      <c r="AD32" s="2">
        <f>COUNTIFS('OB History'!$B:$B,$A$32,'OB History'!U:U, 1)</f>
        <v>0</v>
      </c>
      <c r="AE32" s="2">
        <f>COUNTIFS('OB History'!$B:$B,$A$32,'OB History'!V:V, 1)</f>
        <v>1</v>
      </c>
      <c r="AF32" s="2">
        <f>COUNTIFS('OB History'!$B:$B,$A$32,'OB History'!W:W, 1)</f>
        <v>5</v>
      </c>
      <c r="AG32" s="2">
        <f>COUNTIFS('OB History'!$B:$B,$A$32,'OB History'!X:X, 1)</f>
        <v>4</v>
      </c>
      <c r="AH32" s="2">
        <f>COUNTIFS('OB History'!$B:$B,$A$32,'OB History'!Y:Y, 1)</f>
        <v>0</v>
      </c>
      <c r="AI32" s="2">
        <f>COUNTIFS('OB History'!$B:$B,$A$32,'OB History'!Z:Z, 1)</f>
        <v>5</v>
      </c>
    </row>
    <row r="33" spans="1:35" x14ac:dyDescent="0.25">
      <c r="A33" s="2" t="s">
        <v>3</v>
      </c>
      <c r="B33" s="6" t="s">
        <v>60</v>
      </c>
      <c r="C33" s="1" t="s">
        <v>159</v>
      </c>
      <c r="D33" s="3"/>
      <c r="E33" s="3"/>
      <c r="F33" s="3"/>
      <c r="G33" s="3"/>
      <c r="H33" s="34">
        <f>SUMIFS('OB History'!C:C,'OB History'!B:B,A33)</f>
        <v>230</v>
      </c>
      <c r="I33" s="4">
        <f>AVERAGEIFS('OB History'!C:C,'OB History'!B:B,A33)</f>
        <v>23</v>
      </c>
      <c r="J33" s="35">
        <f t="array" ref="J33">MAX(IF('OB History'!B:B=A33, 'OB History'!C:C))</f>
        <v>44</v>
      </c>
      <c r="K33" s="34">
        <f>COUNTIFS('OB History'!B:B,A33,'OB History'!D:D, 1)</f>
        <v>6</v>
      </c>
      <c r="L33" s="2">
        <f>COUNTIFS('OB History'!B:B,A33,'OB History'!D:D, 0)</f>
        <v>4</v>
      </c>
      <c r="M33" s="88">
        <f>LOOKUP(2, 1/('OB History'!$B:$B=A33), 'OB History'!$AD:$AD)</f>
        <v>0.6</v>
      </c>
      <c r="N33" s="34">
        <f>SUMIFS('OB History'!F:F,'OB History'!B:B,A33)</f>
        <v>22</v>
      </c>
      <c r="O33" s="2">
        <f>SUMIFS('OB History'!E:E,'OB History'!B:B,A33)-N33</f>
        <v>21</v>
      </c>
      <c r="P33" s="88">
        <f>LOOKUP(2, 1/('OB History'!$B:$B=A33), 'OB History'!$AB:$AB)</f>
        <v>0.495</v>
      </c>
      <c r="Q33" s="34">
        <f>SUMIFS('OB History'!H:H,'OB History'!B:B,'Old Bow v2'!A33)</f>
        <v>87</v>
      </c>
      <c r="R33" s="2">
        <f>SUMIFS('OB History'!G:G,'OB History'!B:B,'Old Bow v2'!A33)-Q33</f>
        <v>88</v>
      </c>
      <c r="S33" s="88">
        <f>LOOKUP(2, 1/('OB History'!$B:$B=A33), 'OB History'!$AC:$AC)</f>
        <v>0.48999999999999994</v>
      </c>
      <c r="T33" s="2">
        <f>COUNTIFS('OB History'!$B:$B,$A$33,'OB History'!K:K, 1)</f>
        <v>2</v>
      </c>
      <c r="U33" s="2">
        <f>COUNTIFS('OB History'!$B:$B,$A$33,'OB History'!L:L, 1)</f>
        <v>3</v>
      </c>
      <c r="V33" s="2">
        <f>COUNTIFS('OB History'!$B:$B,$A$33,'OB History'!M:M, 1)</f>
        <v>1</v>
      </c>
      <c r="W33" s="2">
        <f>COUNTIFS('OB History'!$B:$B,$A$33,'OB History'!N:N, 1)</f>
        <v>1</v>
      </c>
      <c r="X33" s="2">
        <f>COUNTIFS('OB History'!$B:$B,$A$33,'OB History'!O:O, 1)</f>
        <v>2</v>
      </c>
      <c r="Y33" s="2">
        <f>COUNTIFS('OB History'!$B:$B,$A$33,'OB History'!P:P, 1)</f>
        <v>2</v>
      </c>
      <c r="Z33" s="2">
        <f>COUNTIFS('OB History'!$B:$B,$A$33,'OB History'!Q:Q, 1)</f>
        <v>3</v>
      </c>
      <c r="AA33" s="2">
        <f>COUNTIFS('OB History'!$B:$B,$A$33,'OB History'!R:R, 1)</f>
        <v>0</v>
      </c>
      <c r="AB33" s="2">
        <f>COUNTIFS('OB History'!$B:$B,$A$33,'OB History'!S:S, 1)</f>
        <v>0</v>
      </c>
      <c r="AC33" s="2">
        <f>COUNTIFS('OB History'!$B:$B,$A$33,'OB History'!T:T, 1)</f>
        <v>0</v>
      </c>
      <c r="AD33" s="2">
        <f>COUNTIFS('OB History'!$B:$B,$A$33,'OB History'!U:U, 1)</f>
        <v>0</v>
      </c>
      <c r="AE33" s="2">
        <f>COUNTIFS('OB History'!$B:$B,$A$33,'OB History'!V:V, 1)</f>
        <v>1</v>
      </c>
      <c r="AF33" s="2">
        <f>COUNTIFS('OB History'!$B:$B,$A$33,'OB History'!W:W, 1)</f>
        <v>1</v>
      </c>
      <c r="AG33" s="2">
        <f>COUNTIFS('OB History'!$B:$B,$A$33,'OB History'!X:X, 1)</f>
        <v>3</v>
      </c>
      <c r="AH33" s="2">
        <f>COUNTIFS('OB History'!$B:$B,$A$33,'OB History'!Y:Y, 1)</f>
        <v>2</v>
      </c>
      <c r="AI33" s="2">
        <f>COUNTIFS('OB History'!$B:$B,$A$33,'OB History'!Z:Z, 1)</f>
        <v>1</v>
      </c>
    </row>
    <row r="34" spans="1:35" x14ac:dyDescent="0.25">
      <c r="A34" s="2" t="s">
        <v>148</v>
      </c>
      <c r="B34" s="6" t="s">
        <v>79</v>
      </c>
      <c r="C34" s="6" t="s">
        <v>79</v>
      </c>
      <c r="D34" s="3">
        <v>4</v>
      </c>
      <c r="E34" s="3">
        <v>1</v>
      </c>
      <c r="F34" s="3"/>
      <c r="G34" s="3"/>
      <c r="H34" s="34">
        <f>SUMIFS('OB History'!C:C,'OB History'!B:B,A34)</f>
        <v>433</v>
      </c>
      <c r="I34" s="4">
        <f>AVERAGEIFS('OB History'!C:C,'OB History'!B:B,A34)</f>
        <v>12.735294117647058</v>
      </c>
      <c r="J34" s="35">
        <f t="array" ref="J34">MAX(IF('OB History'!B:B=A34, 'OB History'!C:C))</f>
        <v>23</v>
      </c>
      <c r="K34" s="34">
        <f>COUNTIFS('OB History'!B:B,A34,'OB History'!D:D, 1)</f>
        <v>19</v>
      </c>
      <c r="L34" s="2">
        <f>COUNTIFS('OB History'!B:B,A34,'OB History'!D:D, 0)</f>
        <v>15</v>
      </c>
      <c r="M34" s="88">
        <f>LOOKUP(2, 1/('OB History'!$B:$B=A34), 'OB History'!$AD:$AD)</f>
        <v>0.55882352941176472</v>
      </c>
      <c r="N34" s="34">
        <f>SUMIFS('OB History'!F:F,'OB History'!B:B,A34)</f>
        <v>71</v>
      </c>
      <c r="O34" s="2">
        <f>SUMIFS('OB History'!E:E,'OB History'!B:B,A34)-N34</f>
        <v>64</v>
      </c>
      <c r="P34" s="88">
        <f>LOOKUP(2, 1/('OB History'!$B:$B=A34), 'OB History'!$AB:$AB)</f>
        <v>0.5338235294117647</v>
      </c>
      <c r="Q34" s="34">
        <f>SUMIFS('OB History'!H:H,'OB History'!B:B,'Old Bow v2'!A34)</f>
        <v>284</v>
      </c>
      <c r="R34" s="2">
        <f>SUMIFS('OB History'!G:G,'OB History'!B:B,'Old Bow v2'!A34)-Q34</f>
        <v>271</v>
      </c>
      <c r="S34" s="88">
        <f>LOOKUP(2, 1/('OB History'!$B:$B=A34), 'OB History'!$AC:$AC)</f>
        <v>0.51647058823529413</v>
      </c>
      <c r="T34" s="2">
        <f>COUNTIFS('OB History'!$B:$B,$A$34,'OB History'!K:K, 1)</f>
        <v>2</v>
      </c>
      <c r="U34" s="2">
        <f>COUNTIFS('OB History'!$B:$B,$A$34,'OB History'!L:L, 1)</f>
        <v>6</v>
      </c>
      <c r="V34" s="2">
        <f>COUNTIFS('OB History'!$B:$B,$A$34,'OB History'!M:M, 1)</f>
        <v>2</v>
      </c>
      <c r="W34" s="2">
        <f>COUNTIFS('OB History'!$B:$B,$A$34,'OB History'!N:N, 1)</f>
        <v>7</v>
      </c>
      <c r="X34" s="2">
        <f>COUNTIFS('OB History'!$B:$B,$A$34,'OB History'!O:O, 1)</f>
        <v>0</v>
      </c>
      <c r="Y34" s="2">
        <f>COUNTIFS('OB History'!$B:$B,$A$34,'OB History'!P:P, 1)</f>
        <v>4</v>
      </c>
      <c r="Z34" s="2">
        <f>COUNTIFS('OB History'!$B:$B,$A$34,'OB History'!Q:Q, 1)</f>
        <v>2</v>
      </c>
      <c r="AA34" s="2">
        <f>COUNTIFS('OB History'!$B:$B,$A$34,'OB History'!R:R, 1)</f>
        <v>4</v>
      </c>
      <c r="AB34" s="2">
        <f>COUNTIFS('OB History'!$B:$B,$A$34,'OB History'!S:S, 1)</f>
        <v>2</v>
      </c>
      <c r="AC34" s="2">
        <f>COUNTIFS('OB History'!$B:$B,$A$34,'OB History'!T:T, 1)</f>
        <v>2</v>
      </c>
      <c r="AD34" s="2">
        <f>COUNTIFS('OB History'!$B:$B,$A$34,'OB History'!U:U, 1)</f>
        <v>1</v>
      </c>
      <c r="AE34" s="2">
        <f>COUNTIFS('OB History'!$B:$B,$A$34,'OB History'!V:V, 1)</f>
        <v>1</v>
      </c>
      <c r="AF34" s="2">
        <f>COUNTIFS('OB History'!$B:$B,$A$34,'OB History'!W:W, 1)</f>
        <v>4</v>
      </c>
      <c r="AG34" s="2">
        <f>COUNTIFS('OB History'!$B:$B,$A$34,'OB History'!X:X, 1)</f>
        <v>15</v>
      </c>
      <c r="AH34" s="2">
        <f>COUNTIFS('OB History'!$B:$B,$A$34,'OB History'!Y:Y, 1)</f>
        <v>9</v>
      </c>
      <c r="AI34" s="2">
        <f>COUNTIFS('OB History'!$B:$B,$A$34,'OB History'!Z:Z, 1)</f>
        <v>10</v>
      </c>
    </row>
    <row r="35" spans="1:35" x14ac:dyDescent="0.25">
      <c r="A35" s="2" t="s">
        <v>15</v>
      </c>
      <c r="B35" s="2" t="s">
        <v>79</v>
      </c>
      <c r="C35" s="2" t="s">
        <v>79</v>
      </c>
      <c r="D35" s="3">
        <v>3</v>
      </c>
      <c r="E35" s="3">
        <v>1</v>
      </c>
      <c r="F35" s="3"/>
      <c r="G35" s="3"/>
      <c r="H35" s="34">
        <f>SUMIFS('OB History'!C:C,'OB History'!B:B,A35)</f>
        <v>1025</v>
      </c>
      <c r="I35" s="4">
        <f>AVERAGEIFS('OB History'!C:C,'OB History'!B:B,A35)</f>
        <v>22.777777777777779</v>
      </c>
      <c r="J35" s="35">
        <f t="array" ref="J35">MAX(IF('OB History'!B:B=A35, 'OB History'!C:C))</f>
        <v>55</v>
      </c>
      <c r="K35" s="34">
        <f>COUNTIFS('OB History'!B:B,A35,'OB History'!D:D, 1)</f>
        <v>17</v>
      </c>
      <c r="L35" s="2">
        <f>COUNTIFS('OB History'!B:B,A35,'OB History'!D:D, 0)</f>
        <v>28</v>
      </c>
      <c r="M35" s="88">
        <f>LOOKUP(2, 1/('OB History'!$B:$B=A35), 'OB History'!$AD:$AD)</f>
        <v>0.37777777777777777</v>
      </c>
      <c r="N35" s="34">
        <f>SUMIFS('OB History'!F:F,'OB History'!B:B,A35)</f>
        <v>81</v>
      </c>
      <c r="O35" s="2">
        <f>SUMIFS('OB History'!E:E,'OB History'!B:B,A35)-N35</f>
        <v>101</v>
      </c>
      <c r="P35" s="88">
        <f>LOOKUP(2, 1/('OB History'!$B:$B=A35), 'OB History'!$AB:$AB)</f>
        <v>0.44666666666666671</v>
      </c>
      <c r="Q35" s="34">
        <f>SUMIFS('OB History'!H:H,'OB History'!B:B,'Old Bow v2'!A35)</f>
        <v>365</v>
      </c>
      <c r="R35" s="2">
        <f>SUMIFS('OB History'!G:G,'OB History'!B:B,'Old Bow v2'!A35)-Q35</f>
        <v>392</v>
      </c>
      <c r="S35" s="88">
        <f>LOOKUP(2, 1/('OB History'!$B:$B=A35), 'OB History'!$AC:$AC)</f>
        <v>0.4844444444444444</v>
      </c>
      <c r="T35" s="2">
        <f>COUNTIFS('OB History'!$B:$B,$A$35,'OB History'!K:K, 1)</f>
        <v>5</v>
      </c>
      <c r="U35" s="2">
        <f>COUNTIFS('OB History'!$B:$B,$A$35,'OB History'!L:L, 1)</f>
        <v>5</v>
      </c>
      <c r="V35" s="2">
        <f>COUNTIFS('OB History'!$B:$B,$A$35,'OB History'!M:M, 1)</f>
        <v>0</v>
      </c>
      <c r="W35" s="2">
        <f>COUNTIFS('OB History'!$B:$B,$A$35,'OB History'!N:N, 1)</f>
        <v>12</v>
      </c>
      <c r="X35" s="2">
        <f>COUNTIFS('OB History'!$B:$B,$A$35,'OB History'!O:O, 1)</f>
        <v>1</v>
      </c>
      <c r="Y35" s="2">
        <f>COUNTIFS('OB History'!$B:$B,$A$35,'OB History'!P:P, 1)</f>
        <v>8</v>
      </c>
      <c r="Z35" s="2">
        <f>COUNTIFS('OB History'!$B:$B,$A$35,'OB History'!Q:Q, 1)</f>
        <v>4</v>
      </c>
      <c r="AA35" s="2">
        <f>COUNTIFS('OB History'!$B:$B,$A$35,'OB History'!R:R, 1)</f>
        <v>1</v>
      </c>
      <c r="AB35" s="2">
        <f>COUNTIFS('OB History'!$B:$B,$A$35,'OB History'!S:S, 1)</f>
        <v>1</v>
      </c>
      <c r="AC35" s="2">
        <f>COUNTIFS('OB History'!$B:$B,$A$35,'OB History'!T:T, 1)</f>
        <v>1</v>
      </c>
      <c r="AD35" s="2">
        <f>COUNTIFS('OB History'!$B:$B,$A$35,'OB History'!U:U, 1)</f>
        <v>1</v>
      </c>
      <c r="AE35" s="2">
        <f>COUNTIFS('OB History'!$B:$B,$A$35,'OB History'!V:V, 1)</f>
        <v>1</v>
      </c>
      <c r="AF35" s="2">
        <f>COUNTIFS('OB History'!$B:$B,$A$35,'OB History'!W:W, 1)</f>
        <v>7</v>
      </c>
      <c r="AG35" s="2">
        <f>COUNTIFS('OB History'!$B:$B,$A$35,'OB History'!X:X, 1)</f>
        <v>17</v>
      </c>
      <c r="AH35" s="2">
        <f>COUNTIFS('OB History'!$B:$B,$A$35,'OB History'!Y:Y, 1)</f>
        <v>7</v>
      </c>
      <c r="AI35" s="2">
        <f>COUNTIFS('OB History'!$B:$B,$A$35,'OB History'!Z:Z, 1)</f>
        <v>10</v>
      </c>
    </row>
    <row r="36" spans="1:35" x14ac:dyDescent="0.25">
      <c r="A36" s="2" t="s">
        <v>161</v>
      </c>
      <c r="B36" s="2" t="s">
        <v>79</v>
      </c>
      <c r="C36" s="2" t="s">
        <v>79</v>
      </c>
      <c r="D36" s="3"/>
      <c r="E36" s="3"/>
      <c r="F36" s="3"/>
      <c r="G36" s="3"/>
      <c r="H36" s="34">
        <f>SUMIFS('OB History'!C:C,'OB History'!B:B,A36)</f>
        <v>31</v>
      </c>
      <c r="I36" s="4">
        <f>AVERAGEIFS('OB History'!C:C,'OB History'!B:B,A36)</f>
        <v>15.5</v>
      </c>
      <c r="J36" s="35">
        <f t="array" ref="J36">MAX(IF('OB History'!B:B=A36, 'OB History'!C:C))</f>
        <v>16</v>
      </c>
      <c r="K36" s="34">
        <f>COUNTIFS('OB History'!B:B,A36,'OB History'!D:D, 1)</f>
        <v>0</v>
      </c>
      <c r="L36" s="2">
        <f>COUNTIFS('OB History'!B:B,A36,'OB History'!D:D, 0)</f>
        <v>2</v>
      </c>
      <c r="M36" s="88">
        <f>LOOKUP(2, 1/('OB History'!$B:$B=A36), 'OB History'!$AD:$AD)</f>
        <v>0</v>
      </c>
      <c r="N36" s="34">
        <f>SUMIFS('OB History'!F:F,'OB History'!B:B,A36)</f>
        <v>2</v>
      </c>
      <c r="O36" s="2">
        <f>SUMIFS('OB History'!E:E,'OB History'!B:B,A36)-N36</f>
        <v>6</v>
      </c>
      <c r="P36" s="88">
        <f>LOOKUP(2, 1/('OB History'!$B:$B=A36), 'OB History'!$AB:$AB)</f>
        <v>0.25</v>
      </c>
      <c r="Q36" s="34">
        <f>SUMIFS('OB History'!H:H,'OB History'!B:B,'Old Bow v2'!A36)</f>
        <v>16</v>
      </c>
      <c r="R36" s="2">
        <f>SUMIFS('OB History'!G:G,'OB History'!B:B,'Old Bow v2'!A36)-Q36</f>
        <v>22</v>
      </c>
      <c r="S36" s="88">
        <f>LOOKUP(2, 1/('OB History'!$B:$B=A36), 'OB History'!$AC:$AC)</f>
        <v>0.42</v>
      </c>
      <c r="T36" s="2">
        <f>COUNTIFS('OB History'!$B:$B,$A$36,'OB History'!K:K, 1)</f>
        <v>0</v>
      </c>
      <c r="U36" s="2">
        <f>COUNTIFS('OB History'!$B:$B,$A$36,'OB History'!L:L, 1)</f>
        <v>0</v>
      </c>
      <c r="V36" s="2">
        <f>COUNTIFS('OB History'!$B:$B,$A$36,'OB History'!M:M, 1)</f>
        <v>0</v>
      </c>
      <c r="W36" s="2">
        <f>COUNTIFS('OB History'!$B:$B,$A$36,'OB History'!N:N, 1)</f>
        <v>0</v>
      </c>
      <c r="X36" s="2">
        <f>COUNTIFS('OB History'!$B:$B,$A$36,'OB History'!O:O, 1)</f>
        <v>0</v>
      </c>
      <c r="Y36" s="2">
        <f>COUNTIFS('OB History'!$B:$B,$A$36,'OB History'!P:P, 1)</f>
        <v>0</v>
      </c>
      <c r="Z36" s="2">
        <f>COUNTIFS('OB History'!$B:$B,$A$36,'OB History'!Q:Q, 1)</f>
        <v>0</v>
      </c>
      <c r="AA36" s="2">
        <f>COUNTIFS('OB History'!$B:$B,$A$36,'OB History'!R:R, 1)</f>
        <v>0</v>
      </c>
      <c r="AB36" s="2">
        <f>COUNTIFS('OB History'!$B:$B,$A$36,'OB History'!S:S, 1)</f>
        <v>0</v>
      </c>
      <c r="AC36" s="2">
        <f>COUNTIFS('OB History'!$B:$B,$A$36,'OB History'!T:T, 1)</f>
        <v>0</v>
      </c>
      <c r="AD36" s="2">
        <f>COUNTIFS('OB History'!$B:$B,$A$36,'OB History'!U:U, 1)</f>
        <v>0</v>
      </c>
      <c r="AE36" s="2">
        <f>COUNTIFS('OB History'!$B:$B,$A$36,'OB History'!V:V, 1)</f>
        <v>0</v>
      </c>
      <c r="AF36" s="2">
        <f>COUNTIFS('OB History'!$B:$B,$A$36,'OB History'!W:W, 1)</f>
        <v>1</v>
      </c>
      <c r="AG36" s="2">
        <f>COUNTIFS('OB History'!$B:$B,$A$36,'OB History'!X:X, 1)</f>
        <v>0</v>
      </c>
      <c r="AH36" s="2">
        <f>COUNTIFS('OB History'!$B:$B,$A$36,'OB History'!Y:Y, 1)</f>
        <v>1</v>
      </c>
      <c r="AI36" s="2">
        <f>COUNTIFS('OB History'!$B:$B,$A$36,'OB History'!Z:Z, 1)</f>
        <v>0</v>
      </c>
    </row>
    <row r="37" spans="1:35" x14ac:dyDescent="0.25">
      <c r="A37" s="1" t="s">
        <v>43</v>
      </c>
      <c r="B37" s="2" t="s">
        <v>79</v>
      </c>
      <c r="C37" s="2" t="s">
        <v>79</v>
      </c>
      <c r="D37" s="3"/>
      <c r="E37" s="3"/>
      <c r="F37" s="3"/>
      <c r="G37" s="3"/>
      <c r="H37" s="34">
        <f>SUMIFS('OB History'!C:C,'OB History'!B:B,A37)</f>
        <v>4</v>
      </c>
      <c r="I37" s="4">
        <f>AVERAGEIFS('OB History'!C:C,'OB History'!B:B,A37)</f>
        <v>4</v>
      </c>
      <c r="J37" s="35">
        <f t="array" ref="J37">MAX(IF('OB History'!B:B=A37, 'OB History'!C:C))</f>
        <v>4</v>
      </c>
      <c r="K37" s="34">
        <f>COUNTIFS('OB History'!B:B,A37,'OB History'!D:D, 1)</f>
        <v>1</v>
      </c>
      <c r="L37" s="2">
        <f>COUNTIFS('OB History'!B:B,A37,'OB History'!D:D, 0)</f>
        <v>0</v>
      </c>
      <c r="M37" s="88">
        <f>LOOKUP(2, 1/('OB History'!$B:$B=A37), 'OB History'!$AD:$AD)</f>
        <v>1</v>
      </c>
      <c r="N37" s="34">
        <f>SUMIFS('OB History'!F:F,'OB History'!B:B,A37)</f>
        <v>3</v>
      </c>
      <c r="O37" s="2">
        <f>SUMIFS('OB History'!E:E,'OB History'!B:B,A37)-N37</f>
        <v>0</v>
      </c>
      <c r="P37" s="88">
        <f>LOOKUP(2, 1/('OB History'!$B:$B=A37), 'OB History'!$AB:$AB)</f>
        <v>1</v>
      </c>
      <c r="Q37" s="34">
        <f>SUMIFS('OB History'!H:H,'OB History'!B:B,'Old Bow v2'!A37)</f>
        <v>9</v>
      </c>
      <c r="R37" s="2">
        <f>SUMIFS('OB History'!G:G,'OB History'!B:B,'Old Bow v2'!A37)-Q37</f>
        <v>4</v>
      </c>
      <c r="S37" s="88">
        <f>LOOKUP(2, 1/('OB History'!$B:$B=A37), 'OB History'!$AC:$AC)</f>
        <v>0.69</v>
      </c>
      <c r="T37" s="2">
        <f>COUNTIFS('OB History'!$B:$B,$A$37,'OB History'!K:K, 1)</f>
        <v>0</v>
      </c>
      <c r="U37" s="2">
        <f>COUNTIFS('OB History'!$B:$B,$A$37,'OB History'!L:L, 1)</f>
        <v>0</v>
      </c>
      <c r="V37" s="2">
        <f>COUNTIFS('OB History'!$B:$B,$A$37,'OB History'!M:M, 1)</f>
        <v>0</v>
      </c>
      <c r="W37" s="2">
        <f>COUNTIFS('OB History'!$B:$B,$A$37,'OB History'!N:N, 1)</f>
        <v>0</v>
      </c>
      <c r="X37" s="2">
        <f>COUNTIFS('OB History'!$B:$B,$A$37,'OB History'!O:O, 1)</f>
        <v>0</v>
      </c>
      <c r="Y37" s="2">
        <f>COUNTIFS('OB History'!$B:$B,$A$37,'OB History'!P:P, 1)</f>
        <v>1</v>
      </c>
      <c r="Z37" s="2">
        <f>COUNTIFS('OB History'!$B:$B,$A$37,'OB History'!Q:Q, 1)</f>
        <v>0</v>
      </c>
      <c r="AA37" s="2">
        <f>COUNTIFS('OB History'!$B:$B,$A$37,'OB History'!R:R, 1)</f>
        <v>0</v>
      </c>
      <c r="AB37" s="2">
        <f>COUNTIFS('OB History'!$B:$B,$A$37,'OB History'!S:S, 1)</f>
        <v>0</v>
      </c>
      <c r="AC37" s="2">
        <f>COUNTIFS('OB History'!$B:$B,$A$37,'OB History'!T:T, 1)</f>
        <v>0</v>
      </c>
      <c r="AD37" s="2">
        <f>COUNTIFS('OB History'!$B:$B,$A$37,'OB History'!U:U, 1)</f>
        <v>0</v>
      </c>
      <c r="AE37" s="2">
        <f>COUNTIFS('OB History'!$B:$B,$A$37,'OB History'!V:V, 1)</f>
        <v>0</v>
      </c>
      <c r="AF37" s="2">
        <f>COUNTIFS('OB History'!$B:$B,$A$37,'OB History'!W:W, 1)</f>
        <v>0</v>
      </c>
      <c r="AG37" s="2">
        <f>COUNTIFS('OB History'!$B:$B,$A$37,'OB History'!X:X, 1)</f>
        <v>1</v>
      </c>
      <c r="AH37" s="2">
        <f>COUNTIFS('OB History'!$B:$B,$A$37,'OB History'!Y:Y, 1)</f>
        <v>0</v>
      </c>
      <c r="AI37" s="2">
        <f>COUNTIFS('OB History'!$B:$B,$A$37,'OB History'!Z:Z, 1)</f>
        <v>1</v>
      </c>
    </row>
    <row r="38" spans="1:35" x14ac:dyDescent="0.25">
      <c r="A38" s="2" t="s">
        <v>13</v>
      </c>
      <c r="B38" s="6" t="s">
        <v>124</v>
      </c>
      <c r="C38" s="1" t="s">
        <v>159</v>
      </c>
      <c r="D38" s="3">
        <v>7</v>
      </c>
      <c r="E38" s="3">
        <v>2</v>
      </c>
      <c r="F38" s="3">
        <v>1</v>
      </c>
      <c r="G38" s="3"/>
      <c r="H38" s="34">
        <f>SUMIFS('OB History'!C:C,'OB History'!B:B,A38)</f>
        <v>1745</v>
      </c>
      <c r="I38" s="4">
        <f>AVERAGEIFS('OB History'!C:C,'OB History'!B:B,A38)</f>
        <v>26.044776119402986</v>
      </c>
      <c r="J38" s="35">
        <f t="array" ref="J38">MAX(IF('OB History'!B:B=A38, 'OB History'!C:C))</f>
        <v>58</v>
      </c>
      <c r="K38" s="34">
        <f>COUNTIFS('OB History'!B:B,A38,'OB History'!D:D, 1)</f>
        <v>42</v>
      </c>
      <c r="L38" s="2">
        <f>COUNTIFS('OB History'!B:B,A38,'OB History'!D:D, 0)</f>
        <v>25</v>
      </c>
      <c r="M38" s="88">
        <f>LOOKUP(2, 1/('OB History'!$B:$B=A38), 'OB History'!$AD:$AD)</f>
        <v>0.62686567164179108</v>
      </c>
      <c r="N38" s="34">
        <f>SUMIFS('OB History'!F:F,'OB History'!B:B,A38)</f>
        <v>154</v>
      </c>
      <c r="O38" s="2">
        <f>SUMIFS('OB History'!E:E,'OB History'!B:B,A38)-N38</f>
        <v>115</v>
      </c>
      <c r="P38" s="88">
        <f>LOOKUP(2, 1/('OB History'!$B:$B=A38), 'OB History'!$AB:$AB)</f>
        <v>0.57611940298507469</v>
      </c>
      <c r="Q38" s="34">
        <f>SUMIFS('OB History'!H:H,'OB History'!B:B,'Old Bow v2'!A38)</f>
        <v>600</v>
      </c>
      <c r="R38" s="2">
        <f>SUMIFS('OB History'!G:G,'OB History'!B:B,'Old Bow v2'!A38)-Q38</f>
        <v>504</v>
      </c>
      <c r="S38" s="88">
        <f>LOOKUP(2, 1/('OB History'!$B:$B=A38), 'OB History'!$AC:$AC)</f>
        <v>0.54567164179104477</v>
      </c>
      <c r="T38" s="2">
        <f>COUNTIFS('OB History'!$B:$B,$A$38,'OB History'!K:K, 1)</f>
        <v>9</v>
      </c>
      <c r="U38" s="2">
        <f>COUNTIFS('OB History'!$B:$B,$A$38,'OB History'!L:L, 1)</f>
        <v>12</v>
      </c>
      <c r="V38" s="2">
        <f>COUNTIFS('OB History'!$B:$B,$A$38,'OB History'!M:M, 1)</f>
        <v>4</v>
      </c>
      <c r="W38" s="2">
        <f>COUNTIFS('OB History'!$B:$B,$A$38,'OB History'!N:N, 1)</f>
        <v>18</v>
      </c>
      <c r="X38" s="2">
        <f>COUNTIFS('OB History'!$B:$B,$A$38,'OB History'!O:O, 1)</f>
        <v>3</v>
      </c>
      <c r="Y38" s="2">
        <f>COUNTIFS('OB History'!$B:$B,$A$38,'OB History'!P:P, 1)</f>
        <v>19</v>
      </c>
      <c r="Z38" s="2">
        <f>COUNTIFS('OB History'!$B:$B,$A$38,'OB History'!Q:Q, 1)</f>
        <v>5</v>
      </c>
      <c r="AA38" s="2">
        <f>COUNTIFS('OB History'!$B:$B,$A$38,'OB History'!R:R, 1)</f>
        <v>5</v>
      </c>
      <c r="AB38" s="2">
        <f>COUNTIFS('OB History'!$B:$B,$A$38,'OB History'!S:S, 1)</f>
        <v>2</v>
      </c>
      <c r="AC38" s="2">
        <f>COUNTIFS('OB History'!$B:$B,$A$38,'OB History'!T:T, 1)</f>
        <v>4</v>
      </c>
      <c r="AD38" s="2">
        <f>COUNTIFS('OB History'!$B:$B,$A$38,'OB History'!U:U, 1)</f>
        <v>2</v>
      </c>
      <c r="AE38" s="2">
        <f>COUNTIFS('OB History'!$B:$B,$A$38,'OB History'!V:V, 1)</f>
        <v>5</v>
      </c>
      <c r="AF38" s="2">
        <f>COUNTIFS('OB History'!$B:$B,$A$38,'OB History'!W:W, 1)</f>
        <v>14</v>
      </c>
      <c r="AG38" s="2">
        <f>COUNTIFS('OB History'!$B:$B,$A$38,'OB History'!X:X, 1)</f>
        <v>19</v>
      </c>
      <c r="AH38" s="2">
        <f>COUNTIFS('OB History'!$B:$B,$A$38,'OB History'!Y:Y, 1)</f>
        <v>15</v>
      </c>
      <c r="AI38" s="2">
        <f>COUNTIFS('OB History'!$B:$B,$A$38,'OB History'!Z:Z, 1)</f>
        <v>18</v>
      </c>
    </row>
    <row r="39" spans="1:35" x14ac:dyDescent="0.25">
      <c r="A39" s="2" t="s">
        <v>2</v>
      </c>
      <c r="B39" s="6" t="s">
        <v>60</v>
      </c>
      <c r="C39" s="2" t="s">
        <v>79</v>
      </c>
      <c r="D39" s="3">
        <v>1</v>
      </c>
      <c r="E39" s="3"/>
      <c r="F39" s="3"/>
      <c r="G39" s="3"/>
      <c r="H39" s="34">
        <f>SUMIFS('OB History'!C:C,'OB History'!B:B,A39)</f>
        <v>548</v>
      </c>
      <c r="I39" s="4">
        <f>AVERAGEIFS('OB History'!C:C,'OB History'!B:B,A39)</f>
        <v>28.842105263157894</v>
      </c>
      <c r="J39" s="35">
        <f t="array" ref="J39">MAX(IF('OB History'!B:B=A39, 'OB History'!C:C))</f>
        <v>68</v>
      </c>
      <c r="K39" s="34">
        <f>COUNTIFS('OB History'!B:B,A39,'OB History'!D:D, 1)</f>
        <v>11</v>
      </c>
      <c r="L39" s="2">
        <f>COUNTIFS('OB History'!B:B,A39,'OB History'!D:D, 0)</f>
        <v>8</v>
      </c>
      <c r="M39" s="88">
        <f>LOOKUP(2, 1/('OB History'!$B:$B=A39), 'OB History'!$AD:$AD)</f>
        <v>0.57894736842105265</v>
      </c>
      <c r="N39" s="34">
        <f>SUMIFS('OB History'!F:F,'OB History'!B:B,A39)</f>
        <v>46</v>
      </c>
      <c r="O39" s="2">
        <f>SUMIFS('OB History'!E:E,'OB History'!B:B,A39)-N39</f>
        <v>32</v>
      </c>
      <c r="P39" s="88">
        <f>LOOKUP(2, 1/('OB History'!$B:$B=A39), 'OB History'!$AB:$AB)</f>
        <v>0.62368421052631584</v>
      </c>
      <c r="Q39" s="34">
        <f>SUMIFS('OB History'!H:H,'OB History'!B:B,'Old Bow v2'!A39)</f>
        <v>180</v>
      </c>
      <c r="R39" s="2">
        <f>SUMIFS('OB History'!G:G,'OB History'!B:B,'Old Bow v2'!A39)-Q39</f>
        <v>150</v>
      </c>
      <c r="S39" s="88">
        <f>LOOKUP(2, 1/('OB History'!$B:$B=A39), 'OB History'!$AC:$AC)</f>
        <v>0.55947368421052623</v>
      </c>
      <c r="T39" s="2">
        <f>COUNTIFS('OB History'!$B:$B,$A$39,'OB History'!K:K, 1)</f>
        <v>3</v>
      </c>
      <c r="U39" s="2">
        <f>COUNTIFS('OB History'!$B:$B,$A$39,'OB History'!L:L, 1)</f>
        <v>4</v>
      </c>
      <c r="V39" s="2">
        <f>COUNTIFS('OB History'!$B:$B,$A$39,'OB History'!M:M, 1)</f>
        <v>2</v>
      </c>
      <c r="W39" s="2">
        <f>COUNTIFS('OB History'!$B:$B,$A$39,'OB History'!N:N, 1)</f>
        <v>9</v>
      </c>
      <c r="X39" s="2">
        <f>COUNTIFS('OB History'!$B:$B,$A$39,'OB History'!O:O, 1)</f>
        <v>0</v>
      </c>
      <c r="Y39" s="2">
        <f>COUNTIFS('OB History'!$B:$B,$A$39,'OB History'!P:P, 1)</f>
        <v>4</v>
      </c>
      <c r="Z39" s="2">
        <f>COUNTIFS('OB History'!$B:$B,$A$39,'OB History'!Q:Q, 1)</f>
        <v>0</v>
      </c>
      <c r="AA39" s="2">
        <f>COUNTIFS('OB History'!$B:$B,$A$39,'OB History'!R:R, 1)</f>
        <v>1</v>
      </c>
      <c r="AB39" s="2">
        <f>COUNTIFS('OB History'!$B:$B,$A$39,'OB History'!S:S, 1)</f>
        <v>0</v>
      </c>
      <c r="AC39" s="2">
        <f>COUNTIFS('OB History'!$B:$B,$A$39,'OB History'!T:T, 1)</f>
        <v>0</v>
      </c>
      <c r="AD39" s="2">
        <f>COUNTIFS('OB History'!$B:$B,$A$39,'OB History'!U:U, 1)</f>
        <v>0</v>
      </c>
      <c r="AE39" s="2">
        <f>COUNTIFS('OB History'!$B:$B,$A$39,'OB History'!V:V, 1)</f>
        <v>0</v>
      </c>
      <c r="AF39" s="2">
        <f>COUNTIFS('OB History'!$B:$B,$A$39,'OB History'!W:W, 1)</f>
        <v>5</v>
      </c>
      <c r="AG39" s="2">
        <f>COUNTIFS('OB History'!$B:$B,$A$39,'OB History'!X:X, 1)</f>
        <v>4</v>
      </c>
      <c r="AH39" s="2">
        <f>COUNTIFS('OB History'!$B:$B,$A$39,'OB History'!Y:Y, 1)</f>
        <v>6</v>
      </c>
      <c r="AI39" s="2">
        <f>COUNTIFS('OB History'!$B:$B,$A$39,'OB History'!Z:Z, 1)</f>
        <v>8</v>
      </c>
    </row>
    <row r="40" spans="1:35" x14ac:dyDescent="0.25">
      <c r="A40" s="2" t="s">
        <v>54</v>
      </c>
      <c r="B40" s="6" t="s">
        <v>60</v>
      </c>
      <c r="C40" s="6" t="s">
        <v>79</v>
      </c>
      <c r="D40" s="3"/>
      <c r="E40" s="3"/>
      <c r="F40" s="3"/>
      <c r="G40" s="3"/>
      <c r="H40" s="34">
        <f>SUMIFS('OB History'!C:C,'OB History'!B:B,A40)</f>
        <v>65</v>
      </c>
      <c r="I40" s="4">
        <f>AVERAGEIFS('OB History'!C:C,'OB History'!B:B,A40)</f>
        <v>21.666666666666668</v>
      </c>
      <c r="J40" s="35">
        <f t="array" ref="J40">MAX(IF('OB History'!B:B=A40, 'OB History'!C:C))</f>
        <v>29</v>
      </c>
      <c r="K40" s="34">
        <f>COUNTIFS('OB History'!B:B,A40,'OB History'!D:D, 1)</f>
        <v>3</v>
      </c>
      <c r="L40" s="2">
        <f>COUNTIFS('OB History'!B:B,A40,'OB History'!D:D, 0)</f>
        <v>0</v>
      </c>
      <c r="M40" s="88">
        <f>LOOKUP(2, 1/('OB History'!$B:$B=A40), 'OB History'!$AD:$AD)</f>
        <v>1</v>
      </c>
      <c r="N40" s="34">
        <f>SUMIFS('OB History'!F:F,'OB History'!B:B,A40)</f>
        <v>9</v>
      </c>
      <c r="O40" s="2">
        <f>SUMIFS('OB History'!E:E,'OB History'!B:B,A40)-N40</f>
        <v>6</v>
      </c>
      <c r="P40" s="88">
        <f>LOOKUP(2, 1/('OB History'!$B:$B=A40), 'OB History'!$AB:$AB)</f>
        <v>0.6</v>
      </c>
      <c r="Q40" s="34">
        <f>SUMIFS('OB History'!H:H,'OB History'!B:B,'Old Bow v2'!A40)</f>
        <v>36</v>
      </c>
      <c r="R40" s="2">
        <f>SUMIFS('OB History'!G:G,'OB History'!B:B,'Old Bow v2'!A40)-Q40</f>
        <v>26</v>
      </c>
      <c r="S40" s="88">
        <f>LOOKUP(2, 1/('OB History'!$B:$B=A40), 'OB History'!$AC:$AC)</f>
        <v>0.57999999999999996</v>
      </c>
      <c r="T40" s="2">
        <f>COUNTIFS('OB History'!$B:$B,$A$40,'OB History'!K:K, 1)</f>
        <v>0</v>
      </c>
      <c r="U40" s="2">
        <f>COUNTIFS('OB History'!$B:$B,$A$40,'OB History'!L:L, 1)</f>
        <v>1</v>
      </c>
      <c r="V40" s="2">
        <f>COUNTIFS('OB History'!$B:$B,$A$40,'OB History'!M:M, 1)</f>
        <v>0</v>
      </c>
      <c r="W40" s="2">
        <f>COUNTIFS('OB History'!$B:$B,$A$40,'OB History'!N:N, 1)</f>
        <v>1</v>
      </c>
      <c r="X40" s="2">
        <f>COUNTIFS('OB History'!$B:$B,$A$40,'OB History'!O:O, 1)</f>
        <v>2</v>
      </c>
      <c r="Y40" s="2">
        <f>COUNTIFS('OB History'!$B:$B,$A$40,'OB History'!P:P, 1)</f>
        <v>1</v>
      </c>
      <c r="Z40" s="2">
        <f>COUNTIFS('OB History'!$B:$B,$A$40,'OB History'!Q:Q, 1)</f>
        <v>2</v>
      </c>
      <c r="AA40" s="2">
        <f>COUNTIFS('OB History'!$B:$B,$A$40,'OB History'!R:R, 1)</f>
        <v>0</v>
      </c>
      <c r="AB40" s="2">
        <f>COUNTIFS('OB History'!$B:$B,$A$40,'OB History'!S:S, 1)</f>
        <v>0</v>
      </c>
      <c r="AC40" s="2">
        <f>COUNTIFS('OB History'!$B:$B,$A$40,'OB History'!T:T, 1)</f>
        <v>0</v>
      </c>
      <c r="AD40" s="2">
        <f>COUNTIFS('OB History'!$B:$B,$A$40,'OB History'!U:U, 1)</f>
        <v>0</v>
      </c>
      <c r="AE40" s="2">
        <f>COUNTIFS('OB History'!$B:$B,$A$40,'OB History'!V:V, 1)</f>
        <v>1</v>
      </c>
      <c r="AF40" s="2">
        <f>COUNTIFS('OB History'!$B:$B,$A$40,'OB History'!W:W, 1)</f>
        <v>1</v>
      </c>
      <c r="AG40" s="2">
        <f>COUNTIFS('OB History'!$B:$B,$A$40,'OB History'!X:X, 1)</f>
        <v>0</v>
      </c>
      <c r="AH40" s="2">
        <f>COUNTIFS('OB History'!$B:$B,$A$40,'OB History'!Y:Y, 1)</f>
        <v>0</v>
      </c>
      <c r="AI40" s="2">
        <f>COUNTIFS('OB History'!$B:$B,$A$40,'OB History'!Z:Z, 1)</f>
        <v>0</v>
      </c>
    </row>
    <row r="41" spans="1:35" x14ac:dyDescent="0.25">
      <c r="A41" s="2" t="s">
        <v>5</v>
      </c>
      <c r="B41" s="6" t="s">
        <v>124</v>
      </c>
      <c r="C41" s="1" t="s">
        <v>159</v>
      </c>
      <c r="D41" s="3">
        <v>3</v>
      </c>
      <c r="E41" s="3"/>
      <c r="F41" s="3"/>
      <c r="G41" s="3"/>
      <c r="H41" s="34">
        <f>SUMIFS('OB History'!C:C,'OB History'!B:B,A41)</f>
        <v>530</v>
      </c>
      <c r="I41" s="4">
        <f>AVERAGEIFS('OB History'!C:C,'OB History'!B:B,A41)</f>
        <v>23.043478260869566</v>
      </c>
      <c r="J41" s="35">
        <f t="array" ref="J41">MAX(IF('OB History'!B:B=A41, 'OB History'!C:C))</f>
        <v>51</v>
      </c>
      <c r="K41" s="34">
        <f>COUNTIFS('OB History'!B:B,A41,'OB History'!D:D, 1)</f>
        <v>11</v>
      </c>
      <c r="L41" s="2">
        <f>COUNTIFS('OB History'!B:B,A41,'OB History'!D:D, 0)</f>
        <v>12</v>
      </c>
      <c r="M41" s="88">
        <f>LOOKUP(2, 1/('OB History'!$B:$B=A41), 'OB History'!$AD:$AD)</f>
        <v>0.47826086956521741</v>
      </c>
      <c r="N41" s="34">
        <f>SUMIFS('OB History'!F:F,'OB History'!B:B,A41)</f>
        <v>46</v>
      </c>
      <c r="O41" s="2">
        <f>SUMIFS('OB History'!E:E,'OB History'!B:B,A41)-N41</f>
        <v>50</v>
      </c>
      <c r="P41" s="88">
        <f>LOOKUP(2, 1/('OB History'!$B:$B=A41), 'OB History'!$AB:$AB)</f>
        <v>0.4804347826086956</v>
      </c>
      <c r="Q41" s="34">
        <f>SUMIFS('OB History'!H:H,'OB History'!B:B,'Old Bow v2'!A41)</f>
        <v>196</v>
      </c>
      <c r="R41" s="2">
        <f>SUMIFS('OB History'!G:G,'OB History'!B:B,'Old Bow v2'!A41)-Q41</f>
        <v>203</v>
      </c>
      <c r="S41" s="88">
        <f>LOOKUP(2, 1/('OB History'!$B:$B=A41), 'OB History'!$AC:$AC)</f>
        <v>0.48652173913043478</v>
      </c>
      <c r="T41" s="2">
        <f>COUNTIFS('OB History'!$B:$B,$A$41,'OB History'!K:K, 1)</f>
        <v>4</v>
      </c>
      <c r="U41" s="2">
        <f>COUNTIFS('OB History'!$B:$B,$A$41,'OB History'!L:L, 1)</f>
        <v>5</v>
      </c>
      <c r="V41" s="2">
        <f>COUNTIFS('OB History'!$B:$B,$A$41,'OB History'!M:M, 1)</f>
        <v>4</v>
      </c>
      <c r="W41" s="2">
        <f>COUNTIFS('OB History'!$B:$B,$A$41,'OB History'!N:N, 1)</f>
        <v>4</v>
      </c>
      <c r="X41" s="2">
        <f>COUNTIFS('OB History'!$B:$B,$A$41,'OB History'!O:O, 1)</f>
        <v>3</v>
      </c>
      <c r="Y41" s="2">
        <f>COUNTIFS('OB History'!$B:$B,$A$41,'OB History'!P:P, 1)</f>
        <v>4</v>
      </c>
      <c r="Z41" s="2">
        <f>COUNTIFS('OB History'!$B:$B,$A$41,'OB History'!Q:Q, 1)</f>
        <v>0</v>
      </c>
      <c r="AA41" s="2">
        <f>COUNTIFS('OB History'!$B:$B,$A$41,'OB History'!R:R, 1)</f>
        <v>2</v>
      </c>
      <c r="AB41" s="2">
        <f>COUNTIFS('OB History'!$B:$B,$A$41,'OB History'!S:S, 1)</f>
        <v>0</v>
      </c>
      <c r="AC41" s="2">
        <f>COUNTIFS('OB History'!$B:$B,$A$41,'OB History'!T:T, 1)</f>
        <v>0</v>
      </c>
      <c r="AD41" s="2">
        <f>COUNTIFS('OB History'!$B:$B,$A$41,'OB History'!U:U, 1)</f>
        <v>0</v>
      </c>
      <c r="AE41" s="2">
        <f>COUNTIFS('OB History'!$B:$B,$A$41,'OB History'!V:V, 1)</f>
        <v>0</v>
      </c>
      <c r="AF41" s="2">
        <f>COUNTIFS('OB History'!$B:$B,$A$41,'OB History'!W:W, 1)</f>
        <v>3</v>
      </c>
      <c r="AG41" s="2">
        <f>COUNTIFS('OB History'!$B:$B,$A$41,'OB History'!X:X, 1)</f>
        <v>8</v>
      </c>
      <c r="AH41" s="2">
        <f>COUNTIFS('OB History'!$B:$B,$A$41,'OB History'!Y:Y, 1)</f>
        <v>5</v>
      </c>
      <c r="AI41" s="2">
        <f>COUNTIFS('OB History'!$B:$B,$A$41,'OB History'!Z:Z, 1)</f>
        <v>4</v>
      </c>
    </row>
    <row r="42" spans="1:35" x14ac:dyDescent="0.25">
      <c r="A42" s="2" t="s">
        <v>38</v>
      </c>
      <c r="B42" s="2" t="s">
        <v>79</v>
      </c>
      <c r="C42" s="2" t="s">
        <v>79</v>
      </c>
      <c r="D42" s="3">
        <v>1</v>
      </c>
      <c r="E42" s="3"/>
      <c r="F42" s="3"/>
      <c r="G42" s="3"/>
      <c r="H42" s="34">
        <f>SUMIFS('OB History'!C:C,'OB History'!B:B,A42)</f>
        <v>120</v>
      </c>
      <c r="I42" s="4">
        <f>AVERAGEIFS('OB History'!C:C,'OB History'!B:B,A42)</f>
        <v>8</v>
      </c>
      <c r="J42" s="35">
        <f t="array" ref="J42">MAX(IF('OB History'!B:B=A42, 'OB History'!C:C))</f>
        <v>28</v>
      </c>
      <c r="K42" s="34">
        <f>COUNTIFS('OB History'!B:B,A42,'OB History'!D:D, 1)</f>
        <v>7</v>
      </c>
      <c r="L42" s="2">
        <f>COUNTIFS('OB History'!B:B,A42,'OB History'!D:D, 0)</f>
        <v>8</v>
      </c>
      <c r="M42" s="88">
        <f>LOOKUP(2, 1/('OB History'!$B:$B=A42), 'OB History'!$AD:$AD)</f>
        <v>0.46666666666666667</v>
      </c>
      <c r="N42" s="34">
        <f>SUMIFS('OB History'!F:F,'OB History'!B:B,A42)</f>
        <v>27</v>
      </c>
      <c r="O42" s="2">
        <f>SUMIFS('OB History'!E:E,'OB History'!B:B,A42)-N42</f>
        <v>31</v>
      </c>
      <c r="P42" s="88">
        <f>LOOKUP(2, 1/('OB History'!$B:$B=A42), 'OB History'!$AB:$AB)</f>
        <v>0.44000000000000006</v>
      </c>
      <c r="Q42" s="34">
        <f>SUMIFS('OB History'!H:H,'OB History'!B:B,'Old Bow v2'!A42)</f>
        <v>112</v>
      </c>
      <c r="R42" s="2">
        <f>SUMIFS('OB History'!G:G,'OB History'!B:B,'Old Bow v2'!A42)-Q42</f>
        <v>126</v>
      </c>
      <c r="S42" s="88">
        <f>LOOKUP(2, 1/('OB History'!$B:$B=A42), 'OB History'!$AC:$AC)</f>
        <v>0.46133333333333332</v>
      </c>
      <c r="T42" s="2">
        <f>COUNTIFS('OB History'!$B:$B,$A$42,'OB History'!K:K, 1)</f>
        <v>1</v>
      </c>
      <c r="U42" s="2">
        <f>COUNTIFS('OB History'!$B:$B,$A$42,'OB History'!L:L, 1)</f>
        <v>1</v>
      </c>
      <c r="V42" s="2">
        <f>COUNTIFS('OB History'!$B:$B,$A$42,'OB History'!M:M, 1)</f>
        <v>1</v>
      </c>
      <c r="W42" s="2">
        <f>COUNTIFS('OB History'!$B:$B,$A$42,'OB History'!N:N, 1)</f>
        <v>4</v>
      </c>
      <c r="X42" s="2">
        <f>COUNTIFS('OB History'!$B:$B,$A$42,'OB History'!O:O, 1)</f>
        <v>0</v>
      </c>
      <c r="Y42" s="2">
        <f>COUNTIFS('OB History'!$B:$B,$A$42,'OB History'!P:P, 1)</f>
        <v>4</v>
      </c>
      <c r="Z42" s="2">
        <f>COUNTIFS('OB History'!$B:$B,$A$42,'OB History'!Q:Q, 1)</f>
        <v>1</v>
      </c>
      <c r="AA42" s="2">
        <f>COUNTIFS('OB History'!$B:$B,$A$42,'OB History'!R:R, 1)</f>
        <v>3</v>
      </c>
      <c r="AB42" s="2">
        <f>COUNTIFS('OB History'!$B:$B,$A$42,'OB History'!S:S, 1)</f>
        <v>0</v>
      </c>
      <c r="AC42" s="2">
        <f>COUNTIFS('OB History'!$B:$B,$A$42,'OB History'!T:T, 1)</f>
        <v>0</v>
      </c>
      <c r="AD42" s="2">
        <f>COUNTIFS('OB History'!$B:$B,$A$42,'OB History'!U:U, 1)</f>
        <v>0</v>
      </c>
      <c r="AE42" s="2">
        <f>COUNTIFS('OB History'!$B:$B,$A$42,'OB History'!V:V, 1)</f>
        <v>0</v>
      </c>
      <c r="AF42" s="2">
        <f>COUNTIFS('OB History'!$B:$B,$A$42,'OB History'!W:W, 1)</f>
        <v>2</v>
      </c>
      <c r="AG42" s="2">
        <f>COUNTIFS('OB History'!$B:$B,$A$42,'OB History'!X:X, 1)</f>
        <v>4</v>
      </c>
      <c r="AH42" s="2">
        <f>COUNTIFS('OB History'!$B:$B,$A$42,'OB History'!Y:Y, 1)</f>
        <v>3</v>
      </c>
      <c r="AI42" s="2">
        <f>COUNTIFS('OB History'!$B:$B,$A$42,'OB History'!Z:Z, 1)</f>
        <v>3</v>
      </c>
    </row>
    <row r="43" spans="1:35" x14ac:dyDescent="0.25">
      <c r="A43" s="2" t="s">
        <v>141</v>
      </c>
      <c r="B43" s="2" t="s">
        <v>79</v>
      </c>
      <c r="C43" s="2" t="s">
        <v>79</v>
      </c>
      <c r="D43" s="3">
        <v>1</v>
      </c>
      <c r="E43" s="3"/>
      <c r="F43" s="3"/>
      <c r="G43" s="3"/>
      <c r="H43" s="34">
        <f>SUMIFS('OB History'!C:C,'OB History'!B:B,A43)</f>
        <v>222</v>
      </c>
      <c r="I43" s="4">
        <f>AVERAGEIFS('OB History'!C:C,'OB History'!B:B,A43)</f>
        <v>17.076923076923077</v>
      </c>
      <c r="J43" s="35">
        <f t="array" ref="J43">MAX(IF('OB History'!B:B=A43, 'OB History'!C:C))</f>
        <v>33</v>
      </c>
      <c r="K43" s="34">
        <f>COUNTIFS('OB History'!B:B,A43,'OB History'!D:D, 1)</f>
        <v>5</v>
      </c>
      <c r="L43" s="2">
        <f>COUNTIFS('OB History'!B:B,A43,'OB History'!D:D, 0)</f>
        <v>8</v>
      </c>
      <c r="M43" s="88">
        <f>LOOKUP(2, 1/('OB History'!$B:$B=A43), 'OB History'!$AD:$AD)</f>
        <v>0.38461538461538464</v>
      </c>
      <c r="N43" s="34">
        <f>SUMIFS('OB History'!F:F,'OB History'!B:B,A43)</f>
        <v>22</v>
      </c>
      <c r="O43" s="2">
        <f>SUMIFS('OB History'!E:E,'OB History'!B:B,A43)-N43</f>
        <v>28</v>
      </c>
      <c r="P43" s="88">
        <f>LOOKUP(2, 1/('OB History'!$B:$B=A43), 'OB History'!$AB:$AB)</f>
        <v>0.44615384615384612</v>
      </c>
      <c r="Q43" s="34">
        <f>SUMIFS('OB History'!H:H,'OB History'!B:B,'Old Bow v2'!A43)</f>
        <v>101</v>
      </c>
      <c r="R43" s="2">
        <f>SUMIFS('OB History'!G:G,'OB History'!B:B,'Old Bow v2'!A43)-Q43</f>
        <v>110</v>
      </c>
      <c r="S43" s="88">
        <f>LOOKUP(2, 1/('OB History'!$B:$B=A43), 'OB History'!$AC:$AC)</f>
        <v>0.48076923076923078</v>
      </c>
      <c r="T43" s="2">
        <f>COUNTIFS('OB History'!$B:$B,$A$43,'OB History'!K:K, 1)</f>
        <v>3</v>
      </c>
      <c r="U43" s="2">
        <f>COUNTIFS('OB History'!$B:$B,$A$43,'OB History'!L:L, 1)</f>
        <v>2</v>
      </c>
      <c r="V43" s="2">
        <f>COUNTIFS('OB History'!$B:$B,$A$43,'OB History'!M:M, 1)</f>
        <v>0</v>
      </c>
      <c r="W43" s="2">
        <f>COUNTIFS('OB History'!$B:$B,$A$43,'OB History'!N:N, 1)</f>
        <v>3</v>
      </c>
      <c r="X43" s="2">
        <f>COUNTIFS('OB History'!$B:$B,$A$43,'OB History'!O:O, 1)</f>
        <v>1</v>
      </c>
      <c r="Y43" s="2">
        <f>COUNTIFS('OB History'!$B:$B,$A$43,'OB History'!P:P, 1)</f>
        <v>1</v>
      </c>
      <c r="Z43" s="2">
        <f>COUNTIFS('OB History'!$B:$B,$A$43,'OB History'!Q:Q, 1)</f>
        <v>2</v>
      </c>
      <c r="AA43" s="2">
        <f>COUNTIFS('OB History'!$B:$B,$A$43,'OB History'!R:R, 1)</f>
        <v>1</v>
      </c>
      <c r="AB43" s="2">
        <f>COUNTIFS('OB History'!$B:$B,$A$43,'OB History'!S:S, 1)</f>
        <v>0</v>
      </c>
      <c r="AC43" s="2">
        <f>COUNTIFS('OB History'!$B:$B,$A$43,'OB History'!T:T, 1)</f>
        <v>1</v>
      </c>
      <c r="AD43" s="2">
        <f>COUNTIFS('OB History'!$B:$B,$A$43,'OB History'!U:U, 1)</f>
        <v>0</v>
      </c>
      <c r="AE43" s="2">
        <f>COUNTIFS('OB History'!$B:$B,$A$43,'OB History'!V:V, 1)</f>
        <v>0</v>
      </c>
      <c r="AF43" s="2">
        <f>COUNTIFS('OB History'!$B:$B,$A$43,'OB History'!W:W, 1)</f>
        <v>2</v>
      </c>
      <c r="AG43" s="2">
        <f>COUNTIFS('OB History'!$B:$B,$A$43,'OB History'!X:X, 1)</f>
        <v>2</v>
      </c>
      <c r="AH43" s="2">
        <f>COUNTIFS('OB History'!$B:$B,$A$43,'OB History'!Y:Y, 1)</f>
        <v>2</v>
      </c>
      <c r="AI43" s="2">
        <f>COUNTIFS('OB History'!$B:$B,$A$43,'OB History'!Z:Z, 1)</f>
        <v>2</v>
      </c>
    </row>
    <row r="44" spans="1:35" x14ac:dyDescent="0.25">
      <c r="A44" s="2" t="s">
        <v>149</v>
      </c>
      <c r="B44" s="2" t="s">
        <v>79</v>
      </c>
      <c r="C44" s="2" t="s">
        <v>79</v>
      </c>
      <c r="D44" s="3"/>
      <c r="E44" s="3"/>
      <c r="F44" s="3"/>
      <c r="G44" s="3"/>
      <c r="H44" s="34">
        <f>SUMIFS('OB History'!C:C,'OB History'!B:B,A44)</f>
        <v>4</v>
      </c>
      <c r="I44" s="4">
        <f>AVERAGEIFS('OB History'!C:C,'OB History'!B:B,A44)</f>
        <v>4</v>
      </c>
      <c r="J44" s="35">
        <f t="array" ref="J44">MAX(IF('OB History'!B:B=A44, 'OB History'!C:C))</f>
        <v>4</v>
      </c>
      <c r="K44" s="34">
        <f>COUNTIFS('OB History'!B:B,A44,'OB History'!D:D, 1)</f>
        <v>0</v>
      </c>
      <c r="L44" s="2">
        <f>COUNTIFS('OB History'!B:B,A44,'OB History'!D:D, 0)</f>
        <v>1</v>
      </c>
      <c r="M44" s="88">
        <f>LOOKUP(2, 1/('OB History'!$B:$B=A44), 'OB History'!$AD:$AD)</f>
        <v>0</v>
      </c>
      <c r="N44" s="34">
        <f>SUMIFS('OB History'!F:F,'OB History'!B:B,A44)</f>
        <v>2</v>
      </c>
      <c r="O44" s="2">
        <f>SUMIFS('OB History'!E:E,'OB History'!B:B,A44)-N44</f>
        <v>3</v>
      </c>
      <c r="P44" s="88">
        <f>LOOKUP(2, 1/('OB History'!$B:$B=A44), 'OB History'!$AB:$AB)</f>
        <v>0.4</v>
      </c>
      <c r="Q44" s="34">
        <f>SUMIFS('OB History'!H:H,'OB History'!B:B,'Old Bow v2'!A44)</f>
        <v>8</v>
      </c>
      <c r="R44" s="2">
        <f>SUMIFS('OB History'!G:G,'OB History'!B:B,'Old Bow v2'!A44)-Q44</f>
        <v>10</v>
      </c>
      <c r="S44" s="88">
        <f>LOOKUP(2, 1/('OB History'!$B:$B=A44), 'OB History'!$AC:$AC)</f>
        <v>0.44</v>
      </c>
      <c r="T44" s="2">
        <f>COUNTIFS('OB History'!$B:$B,$A$44,'OB History'!K:K, 1)</f>
        <v>1</v>
      </c>
      <c r="U44" s="2">
        <f>COUNTIFS('OB History'!$B:$B,$A$44,'OB History'!L:L, 1)</f>
        <v>0</v>
      </c>
      <c r="V44" s="2">
        <f>COUNTIFS('OB History'!$B:$B,$A$44,'OB History'!M:M, 1)</f>
        <v>0</v>
      </c>
      <c r="W44" s="2">
        <f>COUNTIFS('OB History'!$B:$B,$A$44,'OB History'!N:N, 1)</f>
        <v>0</v>
      </c>
      <c r="X44" s="2">
        <f>COUNTIFS('OB History'!$B:$B,$A$44,'OB History'!O:O, 1)</f>
        <v>0</v>
      </c>
      <c r="Y44" s="2">
        <f>COUNTIFS('OB History'!$B:$B,$A$44,'OB History'!P:P, 1)</f>
        <v>1</v>
      </c>
      <c r="Z44" s="2">
        <f>COUNTIFS('OB History'!$B:$B,$A$44,'OB History'!Q:Q, 1)</f>
        <v>0</v>
      </c>
      <c r="AA44" s="2">
        <f>COUNTIFS('OB History'!$B:$B,$A$44,'OB History'!R:R, 1)</f>
        <v>0</v>
      </c>
      <c r="AB44" s="2">
        <f>COUNTIFS('OB History'!$B:$B,$A$44,'OB History'!S:S, 1)</f>
        <v>0</v>
      </c>
      <c r="AC44" s="2">
        <f>COUNTIFS('OB History'!$B:$B,$A$44,'OB History'!T:T, 1)</f>
        <v>0</v>
      </c>
      <c r="AD44" s="2">
        <f>COUNTIFS('OB History'!$B:$B,$A$44,'OB History'!U:U, 1)</f>
        <v>0</v>
      </c>
      <c r="AE44" s="2">
        <f>COUNTIFS('OB History'!$B:$B,$A$44,'OB History'!V:V, 1)</f>
        <v>0</v>
      </c>
      <c r="AF44" s="2">
        <f>COUNTIFS('OB History'!$B:$B,$A$44,'OB History'!W:W, 1)</f>
        <v>0</v>
      </c>
      <c r="AG44" s="2">
        <f>COUNTIFS('OB History'!$B:$B,$A$44,'OB History'!X:X, 1)</f>
        <v>0</v>
      </c>
      <c r="AH44" s="2">
        <f>COUNTIFS('OB History'!$B:$B,$A$44,'OB History'!Y:Y, 1)</f>
        <v>0</v>
      </c>
      <c r="AI44" s="2">
        <f>COUNTIFS('OB History'!$B:$B,$A$44,'OB History'!Z:Z, 1)</f>
        <v>0</v>
      </c>
    </row>
    <row r="45" spans="1:35" x14ac:dyDescent="0.25">
      <c r="A45" s="2" t="s">
        <v>40</v>
      </c>
      <c r="B45" s="2" t="s">
        <v>79</v>
      </c>
      <c r="C45" s="2" t="s">
        <v>79</v>
      </c>
      <c r="D45" s="3">
        <v>1</v>
      </c>
      <c r="E45" s="3"/>
      <c r="F45" s="3"/>
      <c r="G45" s="3"/>
      <c r="H45" s="34">
        <f>SUMIFS('OB History'!C:C,'OB History'!B:B,A45)</f>
        <v>342</v>
      </c>
      <c r="I45" s="4">
        <f>AVERAGEIFS('OB History'!C:C,'OB History'!B:B,A45)</f>
        <v>19</v>
      </c>
      <c r="J45" s="35">
        <f t="array" ref="J45">MAX(IF('OB History'!B:B=A45, 'OB History'!C:C))</f>
        <v>40</v>
      </c>
      <c r="K45" s="34">
        <f>COUNTIFS('OB History'!B:B,A45,'OB History'!D:D, 1)</f>
        <v>8</v>
      </c>
      <c r="L45" s="2">
        <f>COUNTIFS('OB History'!B:B,A45,'OB History'!D:D, 0)</f>
        <v>10</v>
      </c>
      <c r="M45" s="88">
        <f>LOOKUP(2, 1/('OB History'!$B:$B=A45), 'OB History'!$AD:$AD)</f>
        <v>0.44444444444444442</v>
      </c>
      <c r="N45" s="34">
        <f>SUMIFS('OB History'!F:F,'OB History'!B:B,A45)</f>
        <v>37</v>
      </c>
      <c r="O45" s="2">
        <f>SUMIFS('OB History'!E:E,'OB History'!B:B,A45)-N45</f>
        <v>38</v>
      </c>
      <c r="P45" s="88">
        <f>LOOKUP(2, 1/('OB History'!$B:$B=A45), 'OB History'!$AB:$AB)</f>
        <v>0.50277777777777777</v>
      </c>
      <c r="Q45" s="34">
        <f>SUMIFS('OB History'!H:H,'OB History'!B:B,'Old Bow v2'!A45)</f>
        <v>146</v>
      </c>
      <c r="R45" s="2">
        <f>SUMIFS('OB History'!G:G,'OB History'!B:B,'Old Bow v2'!A45)-Q45</f>
        <v>162</v>
      </c>
      <c r="S45" s="88">
        <f>LOOKUP(2, 1/('OB History'!$B:$B=A45), 'OB History'!$AC:$AC)</f>
        <v>0.47</v>
      </c>
      <c r="T45" s="2">
        <f>COUNTIFS('OB History'!$B:$B,$A$45,'OB History'!K:K, 1)</f>
        <v>4</v>
      </c>
      <c r="U45" s="2">
        <f>COUNTIFS('OB History'!$B:$B,$A$45,'OB History'!L:L, 1)</f>
        <v>2</v>
      </c>
      <c r="V45" s="2">
        <f>COUNTIFS('OB History'!$B:$B,$A$45,'OB History'!M:M, 1)</f>
        <v>4</v>
      </c>
      <c r="W45" s="2">
        <f>COUNTIFS('OB History'!$B:$B,$A$45,'OB History'!N:N, 1)</f>
        <v>3</v>
      </c>
      <c r="X45" s="2">
        <f>COUNTIFS('OB History'!$B:$B,$A$45,'OB History'!O:O, 1)</f>
        <v>2</v>
      </c>
      <c r="Y45" s="2">
        <f>COUNTIFS('OB History'!$B:$B,$A$45,'OB History'!P:P, 1)</f>
        <v>2</v>
      </c>
      <c r="Z45" s="2">
        <f>COUNTIFS('OB History'!$B:$B,$A$45,'OB History'!Q:Q, 1)</f>
        <v>2</v>
      </c>
      <c r="AA45" s="2">
        <f>COUNTIFS('OB History'!$B:$B,$A$45,'OB History'!R:R, 1)</f>
        <v>0</v>
      </c>
      <c r="AB45" s="2">
        <f>COUNTIFS('OB History'!$B:$B,$A$45,'OB History'!S:S, 1)</f>
        <v>1</v>
      </c>
      <c r="AC45" s="2">
        <f>COUNTIFS('OB History'!$B:$B,$A$45,'OB History'!T:T, 1)</f>
        <v>0</v>
      </c>
      <c r="AD45" s="2">
        <f>COUNTIFS('OB History'!$B:$B,$A$45,'OB History'!U:U, 1)</f>
        <v>0</v>
      </c>
      <c r="AE45" s="2">
        <f>COUNTIFS('OB History'!$B:$B,$A$45,'OB History'!V:V, 1)</f>
        <v>0</v>
      </c>
      <c r="AF45" s="2">
        <f>COUNTIFS('OB History'!$B:$B,$A$45,'OB History'!W:W, 1)</f>
        <v>1</v>
      </c>
      <c r="AG45" s="2">
        <f>COUNTIFS('OB History'!$B:$B,$A$45,'OB History'!X:X, 1)</f>
        <v>6</v>
      </c>
      <c r="AH45" s="2">
        <f>COUNTIFS('OB History'!$B:$B,$A$45,'OB History'!Y:Y, 1)</f>
        <v>5</v>
      </c>
      <c r="AI45" s="2">
        <f>COUNTIFS('OB History'!$B:$B,$A$45,'OB History'!Z:Z, 1)</f>
        <v>5</v>
      </c>
    </row>
    <row r="46" spans="1:35" x14ac:dyDescent="0.25">
      <c r="A46" s="2" t="s">
        <v>147</v>
      </c>
      <c r="B46" s="2" t="s">
        <v>79</v>
      </c>
      <c r="C46" s="2" t="s">
        <v>79</v>
      </c>
      <c r="D46" s="3"/>
      <c r="E46" s="3"/>
      <c r="F46" s="3"/>
      <c r="G46" s="3"/>
      <c r="H46" s="34">
        <f>SUMIFS('OB History'!C:C,'OB History'!B:B,A46)</f>
        <v>217</v>
      </c>
      <c r="I46" s="4">
        <f>AVERAGEIFS('OB History'!C:C,'OB History'!B:B,A46)</f>
        <v>18.083333333333332</v>
      </c>
      <c r="J46" s="35">
        <f t="array" ref="J46">MAX(IF('OB History'!B:B=A46, 'OB History'!C:C))</f>
        <v>35</v>
      </c>
      <c r="K46" s="34">
        <f>COUNTIFS('OB History'!B:B,A46,'OB History'!D:D, 1)</f>
        <v>4</v>
      </c>
      <c r="L46" s="2">
        <f>COUNTIFS('OB History'!B:B,A46,'OB History'!D:D, 0)</f>
        <v>8</v>
      </c>
      <c r="M46" s="88">
        <f>LOOKUP(2, 1/('OB History'!$B:$B=A46), 'OB History'!$AD:$AD)</f>
        <v>0.33333333333333331</v>
      </c>
      <c r="N46" s="34">
        <f>SUMIFS('OB History'!F:F,'OB History'!B:B,A46)</f>
        <v>20</v>
      </c>
      <c r="O46" s="2">
        <f>SUMIFS('OB History'!E:E,'OB History'!B:B,A46)-N46</f>
        <v>28</v>
      </c>
      <c r="P46" s="88">
        <f>LOOKUP(2, 1/('OB History'!$B:$B=A46), 'OB History'!$AB:$AB)</f>
        <v>0.39166666666666666</v>
      </c>
      <c r="Q46" s="34">
        <f>SUMIFS('OB History'!H:H,'OB History'!B:B,'Old Bow v2'!A46)</f>
        <v>92</v>
      </c>
      <c r="R46" s="2">
        <f>SUMIFS('OB History'!G:G,'OB History'!B:B,'Old Bow v2'!A46)-Q46</f>
        <v>106</v>
      </c>
      <c r="S46" s="88">
        <f>LOOKUP(2, 1/('OB History'!$B:$B=A46), 'OB History'!$AC:$AC)</f>
        <v>0.45083333333333342</v>
      </c>
      <c r="T46" s="2">
        <f>COUNTIFS('OB History'!$B:$B,$A$46,'OB History'!K:K, 1)</f>
        <v>4</v>
      </c>
      <c r="U46" s="2">
        <f>COUNTIFS('OB History'!$B:$B,$A$46,'OB History'!L:L, 1)</f>
        <v>1</v>
      </c>
      <c r="V46" s="2">
        <f>COUNTIFS('OB History'!$B:$B,$A$46,'OB History'!M:M, 1)</f>
        <v>2</v>
      </c>
      <c r="W46" s="2">
        <f>COUNTIFS('OB History'!$B:$B,$A$46,'OB History'!N:N, 1)</f>
        <v>2</v>
      </c>
      <c r="X46" s="2">
        <f>COUNTIFS('OB History'!$B:$B,$A$46,'OB History'!O:O, 1)</f>
        <v>1</v>
      </c>
      <c r="Y46" s="2">
        <f>COUNTIFS('OB History'!$B:$B,$A$46,'OB History'!P:P, 1)</f>
        <v>3</v>
      </c>
      <c r="Z46" s="2">
        <f>COUNTIFS('OB History'!$B:$B,$A$46,'OB History'!Q:Q, 1)</f>
        <v>1</v>
      </c>
      <c r="AA46" s="2">
        <f>COUNTIFS('OB History'!$B:$B,$A$46,'OB History'!R:R, 1)</f>
        <v>0</v>
      </c>
      <c r="AB46" s="2">
        <f>COUNTIFS('OB History'!$B:$B,$A$46,'OB History'!S:S, 1)</f>
        <v>1</v>
      </c>
      <c r="AC46" s="2">
        <f>COUNTIFS('OB History'!$B:$B,$A$46,'OB History'!T:T, 1)</f>
        <v>0</v>
      </c>
      <c r="AD46" s="2">
        <f>COUNTIFS('OB History'!$B:$B,$A$46,'OB History'!U:U, 1)</f>
        <v>0</v>
      </c>
      <c r="AE46" s="2">
        <f>COUNTIFS('OB History'!$B:$B,$A$46,'OB History'!V:V, 1)</f>
        <v>0</v>
      </c>
      <c r="AF46" s="2">
        <f>COUNTIFS('OB History'!$B:$B,$A$46,'OB History'!W:W, 1)</f>
        <v>0</v>
      </c>
      <c r="AG46" s="2">
        <f>COUNTIFS('OB History'!$B:$B,$A$46,'OB History'!X:X, 1)</f>
        <v>2</v>
      </c>
      <c r="AH46" s="2">
        <f>COUNTIFS('OB History'!$B:$B,$A$46,'OB History'!Y:Y, 1)</f>
        <v>2</v>
      </c>
      <c r="AI46" s="2">
        <f>COUNTIFS('OB History'!$B:$B,$A$46,'OB History'!Z:Z, 1)</f>
        <v>1</v>
      </c>
    </row>
    <row r="47" spans="1:35" ht="14.25" customHeight="1" x14ac:dyDescent="0.25">
      <c r="A47" s="2" t="s">
        <v>17</v>
      </c>
      <c r="B47" s="2" t="s">
        <v>79</v>
      </c>
      <c r="C47" s="2" t="s">
        <v>79</v>
      </c>
      <c r="D47" s="3">
        <v>13</v>
      </c>
      <c r="E47" s="3">
        <v>3</v>
      </c>
      <c r="F47" s="3"/>
      <c r="G47" s="3"/>
      <c r="H47" s="34">
        <f>SUMIFS('OB History'!C:C,'OB History'!B:B,A47)</f>
        <v>1464</v>
      </c>
      <c r="I47" s="4">
        <f>AVERAGEIFS('OB History'!C:C,'OB History'!B:B,A47)</f>
        <v>24.8135593220339</v>
      </c>
      <c r="J47" s="35">
        <f t="array" ref="J47">MAX(IF('OB History'!B:B=A47, 'OB History'!C:C))</f>
        <v>58</v>
      </c>
      <c r="K47" s="34">
        <f>COUNTIFS('OB History'!B:B,A47,'OB History'!D:D, 1)</f>
        <v>24</v>
      </c>
      <c r="L47" s="2">
        <f>COUNTIFS('OB History'!B:B,A47,'OB History'!D:D, 0)</f>
        <v>35</v>
      </c>
      <c r="M47" s="88">
        <f>LOOKUP(2, 1/('OB History'!$B:$B=A47), 'OB History'!$AD:$AD)</f>
        <v>0.40677966101694918</v>
      </c>
      <c r="N47" s="34">
        <f>SUMIFS('OB History'!F:F,'OB History'!B:B,A47)</f>
        <v>110</v>
      </c>
      <c r="O47" s="2">
        <f>SUMIFS('OB History'!E:E,'OB History'!B:B,A47)-N47</f>
        <v>128</v>
      </c>
      <c r="P47" s="88">
        <f>LOOKUP(2, 1/('OB History'!$B:$B=A47), 'OB History'!$AB:$AB)</f>
        <v>0.46186440677966112</v>
      </c>
      <c r="Q47" s="34">
        <f>SUMIFS('OB History'!H:H,'OB History'!B:B,'Old Bow v2'!A47)</f>
        <v>485</v>
      </c>
      <c r="R47" s="2">
        <f>SUMIFS('OB History'!G:G,'OB History'!B:B,'Old Bow v2'!A47)-Q47</f>
        <v>501</v>
      </c>
      <c r="S47" s="88">
        <f>LOOKUP(2, 1/('OB History'!$B:$B=A47), 'OB History'!$AC:$AC)</f>
        <v>0.49576271186440651</v>
      </c>
      <c r="T47" s="2">
        <f>COUNTIFS('OB History'!$B:$B,$A$47,'OB History'!K:K, 1)</f>
        <v>7</v>
      </c>
      <c r="U47" s="2">
        <f>COUNTIFS('OB History'!$B:$B,$A$47,'OB History'!L:L, 1)</f>
        <v>7</v>
      </c>
      <c r="V47" s="2">
        <f>COUNTIFS('OB History'!$B:$B,$A$47,'OB History'!M:M, 1)</f>
        <v>3</v>
      </c>
      <c r="W47" s="2">
        <f>COUNTIFS('OB History'!$B:$B,$A$47,'OB History'!N:N, 1)</f>
        <v>11</v>
      </c>
      <c r="X47" s="2">
        <f>COUNTIFS('OB History'!$B:$B,$A$47,'OB History'!O:O, 1)</f>
        <v>1</v>
      </c>
      <c r="Y47" s="2">
        <f>COUNTIFS('OB History'!$B:$B,$A$47,'OB History'!P:P, 1)</f>
        <v>10</v>
      </c>
      <c r="Z47" s="2">
        <f>COUNTIFS('OB History'!$B:$B,$A$47,'OB History'!Q:Q, 1)</f>
        <v>5</v>
      </c>
      <c r="AA47" s="2">
        <f>COUNTIFS('OB History'!$B:$B,$A$47,'OB History'!R:R, 1)</f>
        <v>6</v>
      </c>
      <c r="AB47" s="2">
        <f>COUNTIFS('OB History'!$B:$B,$A$47,'OB History'!S:S, 1)</f>
        <v>1</v>
      </c>
      <c r="AC47" s="2">
        <f>COUNTIFS('OB History'!$B:$B,$A$47,'OB History'!T:T, 1)</f>
        <v>2</v>
      </c>
      <c r="AD47" s="2">
        <f>COUNTIFS('OB History'!$B:$B,$A$47,'OB History'!U:U, 1)</f>
        <v>1</v>
      </c>
      <c r="AE47" s="2">
        <f>COUNTIFS('OB History'!$B:$B,$A$47,'OB History'!V:V, 1)</f>
        <v>3</v>
      </c>
      <c r="AF47" s="2">
        <f>COUNTIFS('OB History'!$B:$B,$A$47,'OB History'!W:W, 1)</f>
        <v>7</v>
      </c>
      <c r="AG47" s="2">
        <f>COUNTIFS('OB History'!$B:$B,$A$47,'OB History'!X:X, 1)</f>
        <v>21</v>
      </c>
      <c r="AH47" s="2">
        <f>COUNTIFS('OB History'!$B:$B,$A$47,'OB History'!Y:Y, 1)</f>
        <v>8</v>
      </c>
      <c r="AI47" s="2">
        <f>COUNTIFS('OB History'!$B:$B,$A$47,'OB History'!Z:Z, 1)</f>
        <v>17</v>
      </c>
    </row>
    <row r="48" spans="1:35" x14ac:dyDescent="0.25">
      <c r="A48" s="2" t="s">
        <v>155</v>
      </c>
      <c r="B48" s="6" t="s">
        <v>60</v>
      </c>
      <c r="C48" s="2" t="s">
        <v>79</v>
      </c>
      <c r="D48" s="3">
        <v>8</v>
      </c>
      <c r="E48" s="3">
        <v>1</v>
      </c>
      <c r="F48" s="3"/>
      <c r="G48" s="3"/>
      <c r="H48" s="34">
        <f>SUMIFS('OB History'!C:C,'OB History'!B:B,A48)</f>
        <v>540</v>
      </c>
      <c r="I48" s="4">
        <f>AVERAGEIFS('OB History'!C:C,'OB History'!B:B,A48)</f>
        <v>17.419354838709676</v>
      </c>
      <c r="J48" s="35">
        <f t="array" ref="J48">MAX(IF('OB History'!B:B=A48, 'OB History'!C:C))</f>
        <v>43</v>
      </c>
      <c r="K48" s="34">
        <f>COUNTIFS('OB History'!B:B,A48,'OB History'!D:D, 1)</f>
        <v>10</v>
      </c>
      <c r="L48" s="2">
        <f>COUNTIFS('OB History'!B:B,A48,'OB History'!D:D, 0)</f>
        <v>21</v>
      </c>
      <c r="M48" s="88">
        <f>LOOKUP(2, 1/('OB History'!$B:$B=A48), 'OB History'!$AD:$AD)</f>
        <v>0.32258064516129031</v>
      </c>
      <c r="N48" s="34">
        <f>SUMIFS('OB History'!F:F,'OB History'!B:B,A48)</f>
        <v>52</v>
      </c>
      <c r="O48" s="2">
        <f>SUMIFS('OB History'!E:E,'OB History'!B:B,A48)-N48</f>
        <v>76</v>
      </c>
      <c r="P48" s="88">
        <f>LOOKUP(2, 1/('OB History'!$B:$B=A48), 'OB History'!$AB:$AB)</f>
        <v>0.38709677419354838</v>
      </c>
      <c r="Q48" s="34">
        <f>SUMIFS('OB History'!H:H,'OB History'!B:B,'Old Bow v2'!A48)</f>
        <v>250</v>
      </c>
      <c r="R48" s="2">
        <f>SUMIFS('OB History'!G:G,'OB History'!B:B,'Old Bow v2'!A48)-Q48</f>
        <v>274</v>
      </c>
      <c r="S48" s="88">
        <f>LOOKUP(2, 1/('OB History'!$B:$B=A48), 'OB History'!$AC:$AC)</f>
        <v>0.46580645161290329</v>
      </c>
      <c r="T48" s="2">
        <f>COUNTIFS('OB History'!$B:$B,$A$48,'OB History'!K:K, 1)</f>
        <v>4</v>
      </c>
      <c r="U48" s="2">
        <f>COUNTIFS('OB History'!$B:$B,$A$48,'OB History'!L:L, 1)</f>
        <v>4</v>
      </c>
      <c r="V48" s="2">
        <f>COUNTIFS('OB History'!$B:$B,$A$48,'OB History'!M:M, 1)</f>
        <v>2</v>
      </c>
      <c r="W48" s="2">
        <f>COUNTIFS('OB History'!$B:$B,$A$48,'OB History'!N:N, 1)</f>
        <v>9</v>
      </c>
      <c r="X48" s="2">
        <f>COUNTIFS('OB History'!$B:$B,$A$48,'OB History'!O:O, 1)</f>
        <v>3</v>
      </c>
      <c r="Y48" s="2">
        <f>COUNTIFS('OB History'!$B:$B,$A$48,'OB History'!P:P, 1)</f>
        <v>7</v>
      </c>
      <c r="Z48" s="2">
        <f>COUNTIFS('OB History'!$B:$B,$A$48,'OB History'!Q:Q, 1)</f>
        <v>1</v>
      </c>
      <c r="AA48" s="2">
        <f>COUNTIFS('OB History'!$B:$B,$A$48,'OB History'!R:R, 1)</f>
        <v>1</v>
      </c>
      <c r="AB48" s="2">
        <f>COUNTIFS('OB History'!$B:$B,$A$48,'OB History'!S:S, 1)</f>
        <v>1</v>
      </c>
      <c r="AC48" s="2">
        <f>COUNTIFS('OB History'!$B:$B,$A$48,'OB History'!T:T, 1)</f>
        <v>3</v>
      </c>
      <c r="AD48" s="2">
        <f>COUNTIFS('OB History'!$B:$B,$A$48,'OB History'!U:U, 1)</f>
        <v>0</v>
      </c>
      <c r="AE48" s="2">
        <f>COUNTIFS('OB History'!$B:$B,$A$48,'OB History'!V:V, 1)</f>
        <v>1</v>
      </c>
      <c r="AF48" s="2">
        <f>COUNTIFS('OB History'!$B:$B,$A$48,'OB History'!W:W, 1)</f>
        <v>3</v>
      </c>
      <c r="AG48" s="2">
        <f>COUNTIFS('OB History'!$B:$B,$A$48,'OB History'!X:X, 1)</f>
        <v>5</v>
      </c>
      <c r="AH48" s="2">
        <f>COUNTIFS('OB History'!$B:$B,$A$48,'OB History'!Y:Y, 1)</f>
        <v>5</v>
      </c>
      <c r="AI48" s="2">
        <f>COUNTIFS('OB History'!$B:$B,$A$48,'OB History'!Z:Z, 1)</f>
        <v>3</v>
      </c>
    </row>
    <row r="49" spans="1:35" x14ac:dyDescent="0.25">
      <c r="A49" s="2" t="s">
        <v>6</v>
      </c>
      <c r="B49" s="2" t="s">
        <v>60</v>
      </c>
      <c r="C49" s="2" t="s">
        <v>79</v>
      </c>
      <c r="D49" s="3">
        <v>1</v>
      </c>
      <c r="E49" s="3">
        <v>1</v>
      </c>
      <c r="F49" s="3"/>
      <c r="G49" s="3"/>
      <c r="H49" s="34">
        <f>SUMIFS('OB History'!C:C,'OB History'!B:B,A49)</f>
        <v>777</v>
      </c>
      <c r="I49" s="4">
        <f>AVERAGEIFS('OB History'!C:C,'OB History'!B:B,A49)</f>
        <v>24.28125</v>
      </c>
      <c r="J49" s="35">
        <f t="array" ref="J49">MAX(IF('OB History'!B:B=A49, 'OB History'!C:C))</f>
        <v>66</v>
      </c>
      <c r="K49" s="34">
        <f>COUNTIFS('OB History'!B:B,A49,'OB History'!D:D, 1)</f>
        <v>23</v>
      </c>
      <c r="L49" s="2">
        <f>COUNTIFS('OB History'!B:B,A49,'OB History'!D:D, 0)</f>
        <v>9</v>
      </c>
      <c r="M49" s="88">
        <f>LOOKUP(2, 1/('OB History'!$B:$B=A49), 'OB History'!$AD:$AD)</f>
        <v>0.71875</v>
      </c>
      <c r="N49" s="34">
        <f>SUMIFS('OB History'!F:F,'OB History'!B:B,A49)</f>
        <v>80</v>
      </c>
      <c r="O49" s="2">
        <f>SUMIFS('OB History'!E:E,'OB History'!B:B,A49)-N49</f>
        <v>49</v>
      </c>
      <c r="P49" s="88">
        <f>LOOKUP(2, 1/('OB History'!$B:$B=A49), 'OB History'!$AB:$AB)</f>
        <v>0.64218750000000002</v>
      </c>
      <c r="Q49" s="34">
        <f>SUMIFS('OB History'!H:H,'OB History'!B:B,'Old Bow v2'!A49)</f>
        <v>303</v>
      </c>
      <c r="R49" s="2">
        <f>SUMIFS('OB History'!G:G,'OB History'!B:B,'Old Bow v2'!A49)-Q49</f>
        <v>241</v>
      </c>
      <c r="S49" s="88">
        <f>LOOKUP(2, 1/('OB History'!$B:$B=A49), 'OB History'!$AC:$AC)</f>
        <v>0.56718749999999996</v>
      </c>
      <c r="T49" s="2">
        <f>COUNTIFS('OB History'!$B:$B,$A$49,'OB History'!K:K, 1)</f>
        <v>3</v>
      </c>
      <c r="U49" s="2">
        <f>COUNTIFS('OB History'!$B:$B,$A$49,'OB History'!L:L, 1)</f>
        <v>8</v>
      </c>
      <c r="V49" s="2">
        <f>COUNTIFS('OB History'!$B:$B,$A$49,'OB History'!M:M, 1)</f>
        <v>8</v>
      </c>
      <c r="W49" s="2">
        <f>COUNTIFS('OB History'!$B:$B,$A$49,'OB History'!N:N, 1)</f>
        <v>6</v>
      </c>
      <c r="X49" s="2">
        <f>COUNTIFS('OB History'!$B:$B,$A$49,'OB History'!O:O, 1)</f>
        <v>3</v>
      </c>
      <c r="Y49" s="2">
        <f>COUNTIFS('OB History'!$B:$B,$A$49,'OB History'!P:P, 1)</f>
        <v>9</v>
      </c>
      <c r="Z49" s="2">
        <f>COUNTIFS('OB History'!$B:$B,$A$49,'OB History'!Q:Q, 1)</f>
        <v>4</v>
      </c>
      <c r="AA49" s="2">
        <f>COUNTIFS('OB History'!$B:$B,$A$49,'OB History'!R:R, 1)</f>
        <v>2</v>
      </c>
      <c r="AB49" s="2">
        <f>COUNTIFS('OB History'!$B:$B,$A$49,'OB History'!S:S, 1)</f>
        <v>1</v>
      </c>
      <c r="AC49" s="2">
        <f>COUNTIFS('OB History'!$B:$B,$A$49,'OB History'!T:T, 1)</f>
        <v>3</v>
      </c>
      <c r="AD49" s="2">
        <f>COUNTIFS('OB History'!$B:$B,$A$49,'OB History'!U:U, 1)</f>
        <v>0</v>
      </c>
      <c r="AE49" s="2">
        <f>COUNTIFS('OB History'!$B:$B,$A$49,'OB History'!V:V, 1)</f>
        <v>1</v>
      </c>
      <c r="AF49" s="2">
        <f>COUNTIFS('OB History'!$B:$B,$A$49,'OB History'!W:W, 1)</f>
        <v>7</v>
      </c>
      <c r="AG49" s="2">
        <f>COUNTIFS('OB History'!$B:$B,$A$49,'OB History'!X:X, 1)</f>
        <v>9</v>
      </c>
      <c r="AH49" s="2">
        <f>COUNTIFS('OB History'!$B:$B,$A$49,'OB History'!Y:Y, 1)</f>
        <v>6</v>
      </c>
      <c r="AI49" s="2">
        <f>COUNTIFS('OB History'!$B:$B,$A$49,'OB History'!Z:Z, 1)</f>
        <v>10</v>
      </c>
    </row>
    <row r="50" spans="1:35" x14ac:dyDescent="0.25">
      <c r="A50" s="2" t="s">
        <v>18</v>
      </c>
      <c r="B50" s="6" t="s">
        <v>60</v>
      </c>
      <c r="C50" s="2" t="s">
        <v>79</v>
      </c>
      <c r="D50" s="3">
        <v>6</v>
      </c>
      <c r="E50" s="3">
        <v>3</v>
      </c>
      <c r="F50" s="3"/>
      <c r="G50" s="3">
        <v>1</v>
      </c>
      <c r="H50" s="34">
        <f>SUMIFS('OB History'!C:C,'OB History'!B:B,A50)</f>
        <v>904</v>
      </c>
      <c r="I50" s="4">
        <f>AVERAGEIFS('OB History'!C:C,'OB History'!B:B,A50)</f>
        <v>27.393939393939394</v>
      </c>
      <c r="J50" s="35">
        <f t="array" ref="J50">MAX(IF('OB History'!B:B=A50, 'OB History'!C:C))</f>
        <v>58</v>
      </c>
      <c r="K50" s="34">
        <f>COUNTIFS('OB History'!B:B,A50,'OB History'!D:D, 1)</f>
        <v>16</v>
      </c>
      <c r="L50" s="2">
        <f>COUNTIFS('OB History'!B:B,A50,'OB History'!D:D, 0)</f>
        <v>17</v>
      </c>
      <c r="M50" s="88">
        <f>LOOKUP(2, 1/('OB History'!$B:$B=A50), 'OB History'!$AD:$AD)</f>
        <v>0.48484848484848486</v>
      </c>
      <c r="N50" s="34">
        <f>SUMIFS('OB History'!F:F,'OB History'!B:B,A50)</f>
        <v>67</v>
      </c>
      <c r="O50" s="2">
        <f>SUMIFS('OB History'!E:E,'OB History'!B:B,A50)-N50</f>
        <v>69</v>
      </c>
      <c r="P50" s="88">
        <f>LOOKUP(2, 1/('OB History'!$B:$B=A50), 'OB History'!$AB:$AB)</f>
        <v>0.48636363636363639</v>
      </c>
      <c r="Q50" s="34">
        <f>SUMIFS('OB History'!H:H,'OB History'!B:B,'Old Bow v2'!A50)</f>
        <v>279</v>
      </c>
      <c r="R50" s="2">
        <f>SUMIFS('OB History'!G:G,'OB History'!B:B,'Old Bow v2'!A50)-Q50</f>
        <v>286</v>
      </c>
      <c r="S50" s="88">
        <f>LOOKUP(2, 1/('OB History'!$B:$B=A50), 'OB History'!$AC:$AC)</f>
        <v>0.49212121212121218</v>
      </c>
      <c r="T50" s="2">
        <f>COUNTIFS('OB History'!$B:$B,$A$50,'OB History'!K:K, 1)</f>
        <v>5</v>
      </c>
      <c r="U50" s="2">
        <f>COUNTIFS('OB History'!$B:$B,$A$50,'OB History'!L:L, 1)</f>
        <v>3</v>
      </c>
      <c r="V50" s="2">
        <f>COUNTIFS('OB History'!$B:$B,$A$50,'OB History'!M:M, 1)</f>
        <v>1</v>
      </c>
      <c r="W50" s="2">
        <f>COUNTIFS('OB History'!$B:$B,$A$50,'OB History'!N:N, 1)</f>
        <v>11</v>
      </c>
      <c r="X50" s="2">
        <f>COUNTIFS('OB History'!$B:$B,$A$50,'OB History'!O:O, 1)</f>
        <v>3</v>
      </c>
      <c r="Y50" s="2">
        <f>COUNTIFS('OB History'!$B:$B,$A$50,'OB History'!P:P, 1)</f>
        <v>8</v>
      </c>
      <c r="Z50" s="2">
        <f>COUNTIFS('OB History'!$B:$B,$A$50,'OB History'!Q:Q, 1)</f>
        <v>4</v>
      </c>
      <c r="AA50" s="2">
        <f>COUNTIFS('OB History'!$B:$B,$A$50,'OB History'!R:R, 1)</f>
        <v>3</v>
      </c>
      <c r="AB50" s="2">
        <f>COUNTIFS('OB History'!$B:$B,$A$50,'OB History'!S:S, 1)</f>
        <v>0</v>
      </c>
      <c r="AC50" s="2">
        <f>COUNTIFS('OB History'!$B:$B,$A$50,'OB History'!T:T, 1)</f>
        <v>1</v>
      </c>
      <c r="AD50" s="2">
        <f>COUNTIFS('OB History'!$B:$B,$A$50,'OB History'!U:U, 1)</f>
        <v>1</v>
      </c>
      <c r="AE50" s="2">
        <f>COUNTIFS('OB History'!$B:$B,$A$50,'OB History'!V:V, 1)</f>
        <v>0</v>
      </c>
      <c r="AF50" s="2">
        <f>COUNTIFS('OB History'!$B:$B,$A$50,'OB History'!W:W, 1)</f>
        <v>7</v>
      </c>
      <c r="AG50" s="2">
        <f>COUNTIFS('OB History'!$B:$B,$A$50,'OB History'!X:X, 1)</f>
        <v>8</v>
      </c>
      <c r="AH50" s="2">
        <f>COUNTIFS('OB History'!$B:$B,$A$50,'OB History'!Y:Y, 1)</f>
        <v>4</v>
      </c>
      <c r="AI50" s="2">
        <f>COUNTIFS('OB History'!$B:$B,$A$50,'OB History'!Z:Z, 1)</f>
        <v>8</v>
      </c>
    </row>
    <row r="51" spans="1:35" x14ac:dyDescent="0.25">
      <c r="A51" s="2" t="s">
        <v>113</v>
      </c>
      <c r="B51" s="2" t="s">
        <v>79</v>
      </c>
      <c r="C51" s="2" t="s">
        <v>79</v>
      </c>
      <c r="D51" s="3">
        <v>1</v>
      </c>
      <c r="E51" s="3"/>
      <c r="F51" s="3"/>
      <c r="G51" s="3"/>
      <c r="H51" s="34">
        <f>SUMIFS('OB History'!C:C,'OB History'!B:B,A51)</f>
        <v>305</v>
      </c>
      <c r="I51" s="4">
        <f>AVERAGEIFS('OB History'!C:C,'OB History'!B:B,A51)</f>
        <v>20.333333333333332</v>
      </c>
      <c r="J51" s="35">
        <f t="array" ref="J51">MAX(IF('OB History'!B:B=A51, 'OB History'!C:C))</f>
        <v>50</v>
      </c>
      <c r="K51" s="34">
        <f>COUNTIFS('OB History'!B:B,A51,'OB History'!D:D, 1)</f>
        <v>10</v>
      </c>
      <c r="L51" s="2">
        <f>COUNTIFS('OB History'!B:B,A51,'OB History'!D:D, 0)</f>
        <v>5</v>
      </c>
      <c r="M51" s="88">
        <f>LOOKUP(2, 1/('OB History'!$B:$B=A51), 'OB History'!$AD:$AD)</f>
        <v>0.66666666666666663</v>
      </c>
      <c r="N51" s="34">
        <f>SUMIFS('OB History'!F:F,'OB History'!B:B,A51)</f>
        <v>33</v>
      </c>
      <c r="O51" s="2">
        <f>SUMIFS('OB History'!E:E,'OB History'!B:B,A51)-N51</f>
        <v>24</v>
      </c>
      <c r="P51" s="88">
        <f>LOOKUP(2, 1/('OB History'!$B:$B=A51), 'OB History'!$AB:$AB)</f>
        <v>0.58000000000000007</v>
      </c>
      <c r="Q51" s="34">
        <f>SUMIFS('OB History'!H:H,'OB History'!B:B,'Old Bow v2'!A51)</f>
        <v>126</v>
      </c>
      <c r="R51" s="2">
        <f>SUMIFS('OB History'!G:G,'OB History'!B:B,'Old Bow v2'!A51)-Q51</f>
        <v>112</v>
      </c>
      <c r="S51" s="88">
        <f>LOOKUP(2, 1/('OB History'!$B:$B=A51), 'OB History'!$AC:$AC)</f>
        <v>0.5246666666666665</v>
      </c>
      <c r="T51" s="2">
        <f>COUNTIFS('OB History'!$B:$B,$A$51,'OB History'!K:K, 1)</f>
        <v>0</v>
      </c>
      <c r="U51" s="2">
        <f>COUNTIFS('OB History'!$B:$B,$A$51,'OB History'!L:L, 1)</f>
        <v>6</v>
      </c>
      <c r="V51" s="2">
        <f>COUNTIFS('OB History'!$B:$B,$A$51,'OB History'!M:M, 1)</f>
        <v>3</v>
      </c>
      <c r="W51" s="2">
        <f>COUNTIFS('OB History'!$B:$B,$A$51,'OB History'!N:N, 1)</f>
        <v>3</v>
      </c>
      <c r="X51" s="2">
        <f>COUNTIFS('OB History'!$B:$B,$A$51,'OB History'!O:O, 1)</f>
        <v>1</v>
      </c>
      <c r="Y51" s="2">
        <f>COUNTIFS('OB History'!$B:$B,$A$51,'OB History'!P:P, 1)</f>
        <v>2</v>
      </c>
      <c r="Z51" s="2">
        <f>COUNTIFS('OB History'!$B:$B,$A$51,'OB History'!Q:Q, 1)</f>
        <v>2</v>
      </c>
      <c r="AA51" s="2">
        <f>COUNTIFS('OB History'!$B:$B,$A$51,'OB History'!R:R, 1)</f>
        <v>1</v>
      </c>
      <c r="AB51" s="2">
        <f>COUNTIFS('OB History'!$B:$B,$A$51,'OB History'!S:S, 1)</f>
        <v>0</v>
      </c>
      <c r="AC51" s="2">
        <f>COUNTIFS('OB History'!$B:$B,$A$51,'OB History'!T:T, 1)</f>
        <v>0</v>
      </c>
      <c r="AD51" s="2">
        <f>COUNTIFS('OB History'!$B:$B,$A$51,'OB History'!U:U, 1)</f>
        <v>0</v>
      </c>
      <c r="AE51" s="2">
        <f>COUNTIFS('OB History'!$B:$B,$A$51,'OB History'!V:V, 1)</f>
        <v>1</v>
      </c>
      <c r="AF51" s="2">
        <f>COUNTIFS('OB History'!$B:$B,$A$51,'OB History'!W:W, 1)</f>
        <v>2</v>
      </c>
      <c r="AG51" s="2">
        <f>COUNTIFS('OB History'!$B:$B,$A$51,'OB History'!X:X, 1)</f>
        <v>5</v>
      </c>
      <c r="AH51" s="2">
        <f>COUNTIFS('OB History'!$B:$B,$A$51,'OB History'!Y:Y, 1)</f>
        <v>3</v>
      </c>
      <c r="AI51" s="2">
        <f>COUNTIFS('OB History'!$B:$B,$A$51,'OB History'!Z:Z, 1)</f>
        <v>4</v>
      </c>
    </row>
    <row r="52" spans="1:35" x14ac:dyDescent="0.25">
      <c r="A52" s="2" t="s">
        <v>169</v>
      </c>
      <c r="B52" s="2" t="s">
        <v>79</v>
      </c>
      <c r="C52" s="2" t="s">
        <v>79</v>
      </c>
      <c r="D52" s="3"/>
      <c r="E52" s="3"/>
      <c r="F52" s="3"/>
      <c r="G52" s="3"/>
      <c r="H52" s="34">
        <f>SUMIFS('OB History'!C:C,'OB History'!B:B,A52)</f>
        <v>2</v>
      </c>
      <c r="I52" s="4">
        <f>AVERAGEIFS('OB History'!C:C,'OB History'!B:B,A52)</f>
        <v>2</v>
      </c>
      <c r="J52" s="35">
        <f t="array" ref="J52">MAX(IF('OB History'!B:B=A52, 'OB History'!C:C))</f>
        <v>2</v>
      </c>
      <c r="K52" s="34">
        <f>COUNTIFS('OB History'!B:B,A52,'OB History'!D:D, 1)</f>
        <v>0</v>
      </c>
      <c r="L52" s="2">
        <f>COUNTIFS('OB History'!B:B,A52,'OB History'!D:D, 0)</f>
        <v>1</v>
      </c>
      <c r="M52" s="88">
        <f>LOOKUP(2, 1/('OB History'!$B:$B=A52), 'OB History'!$AD:$AD)</f>
        <v>0</v>
      </c>
      <c r="N52" s="34">
        <f>SUMIFS('OB History'!F:F,'OB History'!B:B,A52)</f>
        <v>2</v>
      </c>
      <c r="O52" s="2">
        <f>SUMIFS('OB History'!E:E,'OB History'!B:B,A52)-N52</f>
        <v>3</v>
      </c>
      <c r="P52" s="88">
        <f>LOOKUP(2, 1/('OB History'!$B:$B=A52), 'OB History'!$AB:$AB)</f>
        <v>0.4</v>
      </c>
      <c r="Q52" s="34">
        <f>SUMIFS('OB History'!H:H,'OB History'!B:B,'Old Bow v2'!A52)</f>
        <v>6</v>
      </c>
      <c r="R52" s="2">
        <f>SUMIFS('OB History'!G:G,'OB History'!B:B,'Old Bow v2'!A52)-Q52</f>
        <v>14</v>
      </c>
      <c r="S52" s="88">
        <f>LOOKUP(2, 1/('OB History'!$B:$B=A52), 'OB History'!$AC:$AC)</f>
        <v>0.3</v>
      </c>
      <c r="T52" s="2">
        <f>COUNTIFS('OB History'!$B:$B,$A$52,'OB History'!K:K, 1)</f>
        <v>0</v>
      </c>
      <c r="U52" s="2">
        <f>COUNTIFS('OB History'!$B:$B,$A$52,'OB History'!L:L, 1)</f>
        <v>0</v>
      </c>
      <c r="V52" s="2">
        <f>COUNTIFS('OB History'!$B:$B,$A$52,'OB History'!M:M, 1)</f>
        <v>0</v>
      </c>
      <c r="W52" s="2">
        <f>COUNTIFS('OB History'!$B:$B,$A$52,'OB History'!N:N, 1)</f>
        <v>0</v>
      </c>
      <c r="X52" s="2">
        <f>COUNTIFS('OB History'!$B:$B,$A$52,'OB History'!O:O, 1)</f>
        <v>0</v>
      </c>
      <c r="Y52" s="2">
        <f>COUNTIFS('OB History'!$B:$B,$A$52,'OB History'!P:P, 1)</f>
        <v>0</v>
      </c>
      <c r="Z52" s="2">
        <f>COUNTIFS('OB History'!$B:$B,$A$52,'OB History'!Q:Q, 1)</f>
        <v>0</v>
      </c>
      <c r="AA52" s="2">
        <f>COUNTIFS('OB History'!$B:$B,$A$52,'OB History'!R:R, 1)</f>
        <v>0</v>
      </c>
      <c r="AB52" s="2">
        <f>COUNTIFS('OB History'!$B:$B,$A$52,'OB History'!S:S, 1)</f>
        <v>0</v>
      </c>
      <c r="AC52" s="2">
        <f>COUNTIFS('OB History'!$B:$B,$A$52,'OB History'!T:T, 1)</f>
        <v>0</v>
      </c>
      <c r="AD52" s="2">
        <f>COUNTIFS('OB History'!$B:$B,$A$52,'OB History'!U:U, 1)</f>
        <v>0</v>
      </c>
      <c r="AE52" s="2">
        <f>COUNTIFS('OB History'!$B:$B,$A$52,'OB History'!V:V, 1)</f>
        <v>0</v>
      </c>
      <c r="AF52" s="2">
        <f>COUNTIFS('OB History'!$B:$B,$A$52,'OB History'!W:W, 1)</f>
        <v>1</v>
      </c>
      <c r="AG52" s="2">
        <f>COUNTIFS('OB History'!$B:$B,$A$52,'OB History'!X:X, 1)</f>
        <v>0</v>
      </c>
      <c r="AH52" s="2">
        <f>COUNTIFS('OB History'!$B:$B,$A$52,'OB History'!Y:Y, 1)</f>
        <v>1</v>
      </c>
      <c r="AI52" s="2">
        <f>COUNTIFS('OB History'!$B:$B,$A$52,'OB History'!Z:Z, 1)</f>
        <v>0</v>
      </c>
    </row>
    <row r="53" spans="1:35" x14ac:dyDescent="0.25">
      <c r="A53" s="2" t="s">
        <v>14</v>
      </c>
      <c r="B53" s="6" t="s">
        <v>124</v>
      </c>
      <c r="C53" s="1" t="s">
        <v>160</v>
      </c>
      <c r="D53" s="3">
        <v>4</v>
      </c>
      <c r="E53" s="3">
        <v>1</v>
      </c>
      <c r="F53" s="3"/>
      <c r="G53" s="3"/>
      <c r="H53" s="34">
        <f>SUMIFS('OB History'!C:C,'OB History'!B:B,A53)</f>
        <v>1157</v>
      </c>
      <c r="I53" s="4">
        <f>AVERAGEIFS('OB History'!C:C,'OB History'!B:B,A53)</f>
        <v>24.104166666666668</v>
      </c>
      <c r="J53" s="35">
        <f t="array" ref="J53">MAX(IF('OB History'!B:B=A53, 'OB History'!C:C))</f>
        <v>56</v>
      </c>
      <c r="K53" s="34">
        <f>COUNTIFS('OB History'!B:B,A53,'OB History'!D:D, 1)</f>
        <v>22</v>
      </c>
      <c r="L53" s="2">
        <f>COUNTIFS('OB History'!B:B,A53,'OB History'!D:D, 0)</f>
        <v>26</v>
      </c>
      <c r="M53" s="88">
        <f>LOOKUP(2, 1/('OB History'!$B:$B=A53), 'OB History'!$AD:$AD)</f>
        <v>0.45833333333333331</v>
      </c>
      <c r="N53" s="34">
        <f>SUMIFS('OB History'!F:F,'OB History'!B:B,A53)</f>
        <v>92</v>
      </c>
      <c r="O53" s="2">
        <f>SUMIFS('OB History'!E:E,'OB History'!B:B,A53)-N53</f>
        <v>103</v>
      </c>
      <c r="P53" s="88">
        <f>LOOKUP(2, 1/('OB History'!$B:$B=A53), 'OB History'!$AB:$AB)</f>
        <v>0.47187499999999999</v>
      </c>
      <c r="Q53" s="34">
        <f>SUMIFS('OB History'!H:H,'OB History'!B:B,'Old Bow v2'!A53)</f>
        <v>387</v>
      </c>
      <c r="R53" s="2">
        <f>SUMIFS('OB History'!G:G,'OB History'!B:B,'Old Bow v2'!A53)-Q53</f>
        <v>422</v>
      </c>
      <c r="S53" s="88">
        <f>LOOKUP(2, 1/('OB History'!$B:$B=A53), 'OB History'!$AC:$AC)</f>
        <v>0.48312500000000003</v>
      </c>
      <c r="T53" s="2">
        <f>COUNTIFS('OB History'!$B:$B,$A$53,'OB History'!K:K, 1)</f>
        <v>6</v>
      </c>
      <c r="U53" s="2">
        <f>COUNTIFS('OB History'!$B:$B,$A$53,'OB History'!L:L, 1)</f>
        <v>10</v>
      </c>
      <c r="V53" s="2">
        <f>COUNTIFS('OB History'!$B:$B,$A$53,'OB History'!M:M, 1)</f>
        <v>4</v>
      </c>
      <c r="W53" s="2">
        <f>COUNTIFS('OB History'!$B:$B,$A$53,'OB History'!N:N, 1)</f>
        <v>8</v>
      </c>
      <c r="X53" s="2">
        <f>COUNTIFS('OB History'!$B:$B,$A$53,'OB History'!O:O, 1)</f>
        <v>3</v>
      </c>
      <c r="Y53" s="2">
        <f>COUNTIFS('OB History'!$B:$B,$A$53,'OB History'!P:P, 1)</f>
        <v>6</v>
      </c>
      <c r="Z53" s="2">
        <f>COUNTIFS('OB History'!$B:$B,$A$53,'OB History'!Q:Q, 1)</f>
        <v>2</v>
      </c>
      <c r="AA53" s="2">
        <f>COUNTIFS('OB History'!$B:$B,$A$53,'OB History'!R:R, 1)</f>
        <v>1</v>
      </c>
      <c r="AB53" s="2">
        <f>COUNTIFS('OB History'!$B:$B,$A$53,'OB History'!S:S, 1)</f>
        <v>1</v>
      </c>
      <c r="AC53" s="2">
        <f>COUNTIFS('OB History'!$B:$B,$A$53,'OB History'!T:T, 1)</f>
        <v>0</v>
      </c>
      <c r="AD53" s="2">
        <f>COUNTIFS('OB History'!$B:$B,$A$53,'OB History'!U:U, 1)</f>
        <v>0</v>
      </c>
      <c r="AE53" s="2">
        <f>COUNTIFS('OB History'!$B:$B,$A$53,'OB History'!V:V, 1)</f>
        <v>3</v>
      </c>
      <c r="AF53" s="2">
        <f>COUNTIFS('OB History'!$B:$B,$A$53,'OB History'!W:W, 1)</f>
        <v>9</v>
      </c>
      <c r="AG53" s="2">
        <f>COUNTIFS('OB History'!$B:$B,$A$53,'OB History'!X:X, 1)</f>
        <v>23</v>
      </c>
      <c r="AH53" s="2">
        <f>COUNTIFS('OB History'!$B:$B,$A$53,'OB History'!Y:Y, 1)</f>
        <v>5</v>
      </c>
      <c r="AI53" s="2">
        <f>COUNTIFS('OB History'!$B:$B,$A$53,'OB History'!Z:Z, 1)</f>
        <v>11</v>
      </c>
    </row>
    <row r="54" spans="1:35" x14ac:dyDescent="0.25">
      <c r="A54" s="2" t="s">
        <v>70</v>
      </c>
      <c r="B54" s="6" t="s">
        <v>79</v>
      </c>
      <c r="C54" s="6" t="s">
        <v>79</v>
      </c>
      <c r="D54" s="3"/>
      <c r="E54" s="3"/>
      <c r="F54" s="3"/>
      <c r="G54" s="3"/>
      <c r="H54" s="34">
        <f>SUMIFS('OB History'!C:C,'OB History'!B:B,A54)</f>
        <v>99</v>
      </c>
      <c r="I54" s="4">
        <f>AVERAGEIFS('OB History'!C:C,'OB History'!B:B,A54)</f>
        <v>19.8</v>
      </c>
      <c r="J54" s="35">
        <f t="array" ref="J54">MAX(IF('OB History'!B:B=A54, 'OB History'!C:C))</f>
        <v>27</v>
      </c>
      <c r="K54" s="34">
        <f>COUNTIFS('OB History'!B:B,A54,'OB History'!D:D, 1)</f>
        <v>3</v>
      </c>
      <c r="L54" s="2">
        <f>COUNTIFS('OB History'!B:B,A54,'OB History'!D:D, 0)</f>
        <v>2</v>
      </c>
      <c r="M54" s="88">
        <f>LOOKUP(2, 1/('OB History'!$B:$B=A54), 'OB History'!$AD:$AD)</f>
        <v>0.6</v>
      </c>
      <c r="N54" s="34">
        <f>SUMIFS('OB History'!F:F,'OB History'!B:B,A54)</f>
        <v>13</v>
      </c>
      <c r="O54" s="2">
        <f>SUMIFS('OB History'!E:E,'OB History'!B:B,A54)-N54</f>
        <v>10</v>
      </c>
      <c r="P54" s="88">
        <f>LOOKUP(2, 1/('OB History'!$B:$B=A54), 'OB History'!$AB:$AB)</f>
        <v>0.6</v>
      </c>
      <c r="Q54" s="34">
        <f>SUMIFS('OB History'!H:H,'OB History'!B:B,'Old Bow v2'!A54)</f>
        <v>51</v>
      </c>
      <c r="R54" s="2">
        <f>SUMIFS('OB History'!G:G,'OB History'!B:B,'Old Bow v2'!A54)-Q54</f>
        <v>46</v>
      </c>
      <c r="S54" s="88">
        <f>LOOKUP(2, 1/('OB History'!$B:$B=A54), 'OB History'!$AC:$AC)</f>
        <v>0.53600000000000003</v>
      </c>
      <c r="T54" s="2">
        <f>COUNTIFS('OB History'!$B:$B,$A$54,'OB History'!K:K, 1)</f>
        <v>1</v>
      </c>
      <c r="U54" s="2">
        <f>COUNTIFS('OB History'!$B:$B,$A$54,'OB History'!L:L, 1)</f>
        <v>0</v>
      </c>
      <c r="V54" s="2">
        <f>COUNTIFS('OB History'!$B:$B,$A$54,'OB History'!M:M, 1)</f>
        <v>0</v>
      </c>
      <c r="W54" s="2">
        <f>COUNTIFS('OB History'!$B:$B,$A$54,'OB History'!N:N, 1)</f>
        <v>2</v>
      </c>
      <c r="X54" s="2">
        <f>COUNTIFS('OB History'!$B:$B,$A$54,'OB History'!O:O, 1)</f>
        <v>1</v>
      </c>
      <c r="Y54" s="2">
        <f>COUNTIFS('OB History'!$B:$B,$A$54,'OB History'!P:P, 1)</f>
        <v>0</v>
      </c>
      <c r="Z54" s="2">
        <f>COUNTIFS('OB History'!$B:$B,$A$54,'OB History'!Q:Q, 1)</f>
        <v>0</v>
      </c>
      <c r="AA54" s="2">
        <f>COUNTIFS('OB History'!$B:$B,$A$54,'OB History'!R:R, 1)</f>
        <v>2</v>
      </c>
      <c r="AB54" s="2">
        <f>COUNTIFS('OB History'!$B:$B,$A$54,'OB History'!S:S, 1)</f>
        <v>0</v>
      </c>
      <c r="AC54" s="2">
        <f>COUNTIFS('OB History'!$B:$B,$A$54,'OB History'!T:T, 1)</f>
        <v>0</v>
      </c>
      <c r="AD54" s="2">
        <f>COUNTIFS('OB History'!$B:$B,$A$54,'OB History'!U:U, 1)</f>
        <v>0</v>
      </c>
      <c r="AE54" s="2">
        <f>COUNTIFS('OB History'!$B:$B,$A$54,'OB History'!V:V, 1)</f>
        <v>1</v>
      </c>
      <c r="AF54" s="2">
        <f>COUNTIFS('OB History'!$B:$B,$A$54,'OB History'!W:W, 1)</f>
        <v>0</v>
      </c>
      <c r="AG54" s="2">
        <f>COUNTIFS('OB History'!$B:$B,$A$54,'OB History'!X:X, 1)</f>
        <v>4</v>
      </c>
      <c r="AH54" s="2">
        <f>COUNTIFS('OB History'!$B:$B,$A$54,'OB History'!Y:Y, 1)</f>
        <v>0</v>
      </c>
      <c r="AI54" s="2">
        <f>COUNTIFS('OB History'!$B:$B,$A$54,'OB History'!Z:Z, 1)</f>
        <v>2</v>
      </c>
    </row>
    <row r="55" spans="1:35" x14ac:dyDescent="0.25">
      <c r="A55" s="2" t="s">
        <v>4</v>
      </c>
      <c r="B55" s="6" t="s">
        <v>60</v>
      </c>
      <c r="C55" s="2" t="s">
        <v>79</v>
      </c>
      <c r="D55" s="3">
        <v>2</v>
      </c>
      <c r="E55" s="3"/>
      <c r="F55" s="3"/>
      <c r="G55" s="3"/>
      <c r="H55" s="34">
        <f>SUMIFS('OB History'!C:C,'OB History'!B:B,A55)</f>
        <v>317</v>
      </c>
      <c r="I55" s="4">
        <f>AVERAGEIFS('OB History'!C:C,'OB History'!B:B,A55)</f>
        <v>21.133333333333333</v>
      </c>
      <c r="J55" s="35">
        <f t="array" ref="J55">MAX(IF('OB History'!B:B=A55, 'OB History'!C:C))</f>
        <v>46</v>
      </c>
      <c r="K55" s="34">
        <f>COUNTIFS('OB History'!B:B,A55,'OB History'!D:D, 1)</f>
        <v>9</v>
      </c>
      <c r="L55" s="2">
        <f>COUNTIFS('OB History'!B:B,A55,'OB History'!D:D, 0)</f>
        <v>6</v>
      </c>
      <c r="M55" s="88">
        <f>LOOKUP(2, 1/('OB History'!$B:$B=A55), 'OB History'!$AD:$AD)</f>
        <v>0.6</v>
      </c>
      <c r="N55" s="34">
        <f>SUMIFS('OB History'!F:F,'OB History'!B:B,A55)</f>
        <v>30</v>
      </c>
      <c r="O55" s="2">
        <f>SUMIFS('OB History'!E:E,'OB History'!B:B,A55)-N55</f>
        <v>29</v>
      </c>
      <c r="P55" s="88">
        <f>LOOKUP(2, 1/('OB History'!$B:$B=A55), 'OB History'!$AB:$AB)</f>
        <v>0.5033333333333333</v>
      </c>
      <c r="Q55" s="34">
        <f>SUMIFS('OB History'!H:H,'OB History'!B:B,'Old Bow v2'!A55)</f>
        <v>121</v>
      </c>
      <c r="R55" s="2">
        <f>SUMIFS('OB History'!G:G,'OB History'!B:B,'Old Bow v2'!A55)-Q55</f>
        <v>120</v>
      </c>
      <c r="S55" s="88">
        <f>LOOKUP(2, 1/('OB History'!$B:$B=A55), 'OB History'!$AC:$AC)</f>
        <v>0.49266666666666664</v>
      </c>
      <c r="T55" s="2">
        <f>COUNTIFS('OB History'!$B:$B,$A$55,'OB History'!K:K, 1)</f>
        <v>2</v>
      </c>
      <c r="U55" s="2">
        <f>COUNTIFS('OB History'!$B:$B,$A$55,'OB History'!L:L, 1)</f>
        <v>6</v>
      </c>
      <c r="V55" s="2">
        <f>COUNTIFS('OB History'!$B:$B,$A$55,'OB History'!M:M, 1)</f>
        <v>3</v>
      </c>
      <c r="W55" s="2">
        <f>COUNTIFS('OB History'!$B:$B,$A$55,'OB History'!N:N, 1)</f>
        <v>1</v>
      </c>
      <c r="X55" s="2">
        <f>COUNTIFS('OB History'!$B:$B,$A$55,'OB History'!O:O, 1)</f>
        <v>3</v>
      </c>
      <c r="Y55" s="2">
        <f>COUNTIFS('OB History'!$B:$B,$A$55,'OB History'!P:P, 1)</f>
        <v>3</v>
      </c>
      <c r="Z55" s="2">
        <f>COUNTIFS('OB History'!$B:$B,$A$55,'OB History'!Q:Q, 1)</f>
        <v>1</v>
      </c>
      <c r="AA55" s="2">
        <f>COUNTIFS('OB History'!$B:$B,$A$55,'OB History'!R:R, 1)</f>
        <v>0</v>
      </c>
      <c r="AB55" s="2">
        <f>COUNTIFS('OB History'!$B:$B,$A$55,'OB History'!S:S, 1)</f>
        <v>0</v>
      </c>
      <c r="AC55" s="2">
        <f>COUNTIFS('OB History'!$B:$B,$A$55,'OB History'!T:T, 1)</f>
        <v>0</v>
      </c>
      <c r="AD55" s="2">
        <f>COUNTIFS('OB History'!$B:$B,$A$55,'OB History'!U:U, 1)</f>
        <v>0</v>
      </c>
      <c r="AE55" s="2">
        <f>COUNTIFS('OB History'!$B:$B,$A$55,'OB History'!V:V, 1)</f>
        <v>0</v>
      </c>
      <c r="AF55" s="2">
        <f>COUNTIFS('OB History'!$B:$B,$A$55,'OB History'!W:W, 1)</f>
        <v>2</v>
      </c>
      <c r="AG55" s="2">
        <f>COUNTIFS('OB History'!$B:$B,$A$55,'OB History'!X:X, 1)</f>
        <v>4</v>
      </c>
      <c r="AH55" s="2">
        <f>COUNTIFS('OB History'!$B:$B,$A$55,'OB History'!Y:Y, 1)</f>
        <v>3</v>
      </c>
      <c r="AI55" s="2">
        <f>COUNTIFS('OB History'!$B:$B,$A$55,'OB History'!Z:Z, 1)</f>
        <v>2</v>
      </c>
    </row>
    <row r="56" spans="1:35" x14ac:dyDescent="0.25">
      <c r="A56" s="2" t="s">
        <v>55</v>
      </c>
      <c r="B56" s="2" t="s">
        <v>79</v>
      </c>
      <c r="C56" s="2" t="s">
        <v>79</v>
      </c>
      <c r="D56" s="3"/>
      <c r="E56" s="3"/>
      <c r="F56" s="3"/>
      <c r="G56" s="3"/>
      <c r="H56" s="34">
        <f>SUMIFS('OB History'!C:C,'OB History'!B:B,A56)</f>
        <v>156</v>
      </c>
      <c r="I56" s="4">
        <f>AVERAGEIFS('OB History'!C:C,'OB History'!B:B,A56)</f>
        <v>10.4</v>
      </c>
      <c r="J56" s="35">
        <f t="array" ref="J56">MAX(IF('OB History'!B:B=A56, 'OB History'!C:C))</f>
        <v>20</v>
      </c>
      <c r="K56" s="34">
        <f>COUNTIFS('OB History'!B:B,A56,'OB History'!D:D, 1)</f>
        <v>9</v>
      </c>
      <c r="L56" s="2">
        <f>COUNTIFS('OB History'!B:B,A56,'OB History'!D:D, 0)</f>
        <v>6</v>
      </c>
      <c r="M56" s="88">
        <f>LOOKUP(2, 1/('OB History'!$B:$B=A56), 'OB History'!$AD:$AD)</f>
        <v>0.6</v>
      </c>
      <c r="N56" s="34">
        <f>SUMIFS('OB History'!F:F,'OB History'!B:B,A56)</f>
        <v>35</v>
      </c>
      <c r="O56" s="2">
        <f>SUMIFS('OB History'!E:E,'OB History'!B:B,A56)-N56</f>
        <v>27</v>
      </c>
      <c r="P56" s="88">
        <f>LOOKUP(2, 1/('OB History'!$B:$B=A56), 'OB History'!$AB:$AB)</f>
        <v>0.58333333333333337</v>
      </c>
      <c r="Q56" s="34">
        <f>SUMIFS('OB History'!H:H,'OB History'!B:B,'Old Bow v2'!A56)</f>
        <v>137</v>
      </c>
      <c r="R56" s="2">
        <f>SUMIFS('OB History'!G:G,'OB History'!B:B,'Old Bow v2'!A56)-Q56</f>
        <v>116</v>
      </c>
      <c r="S56" s="88">
        <f>LOOKUP(2, 1/('OB History'!$B:$B=A56), 'OB History'!$AC:$AC)</f>
        <v>0.54600000000000004</v>
      </c>
      <c r="T56" s="2">
        <f>COUNTIFS('OB History'!$B:$B,$A$56,'OB History'!K:K, 1)</f>
        <v>3</v>
      </c>
      <c r="U56" s="2">
        <f>COUNTIFS('OB History'!$B:$B,$A$56,'OB History'!L:L, 1)</f>
        <v>1</v>
      </c>
      <c r="V56" s="2">
        <f>COUNTIFS('OB History'!$B:$B,$A$56,'OB History'!M:M, 1)</f>
        <v>1</v>
      </c>
      <c r="W56" s="2">
        <f>COUNTIFS('OB History'!$B:$B,$A$56,'OB History'!N:N, 1)</f>
        <v>6</v>
      </c>
      <c r="X56" s="2">
        <f>COUNTIFS('OB History'!$B:$B,$A$56,'OB History'!O:O, 1)</f>
        <v>1</v>
      </c>
      <c r="Y56" s="2">
        <f>COUNTIFS('OB History'!$B:$B,$A$56,'OB History'!P:P, 1)</f>
        <v>1</v>
      </c>
      <c r="Z56" s="2">
        <f>COUNTIFS('OB History'!$B:$B,$A$56,'OB History'!Q:Q, 1)</f>
        <v>2</v>
      </c>
      <c r="AA56" s="2">
        <f>COUNTIFS('OB History'!$B:$B,$A$56,'OB History'!R:R, 1)</f>
        <v>1</v>
      </c>
      <c r="AB56" s="2">
        <f>COUNTIFS('OB History'!$B:$B,$A$56,'OB History'!S:S, 1)</f>
        <v>0</v>
      </c>
      <c r="AC56" s="2">
        <f>COUNTIFS('OB History'!$B:$B,$A$56,'OB History'!T:T, 1)</f>
        <v>0</v>
      </c>
      <c r="AD56" s="2">
        <f>COUNTIFS('OB History'!$B:$B,$A$56,'OB History'!U:U, 1)</f>
        <v>1</v>
      </c>
      <c r="AE56" s="2">
        <f>COUNTIFS('OB History'!$B:$B,$A$56,'OB History'!V:V, 1)</f>
        <v>0</v>
      </c>
      <c r="AF56" s="2">
        <f>COUNTIFS('OB History'!$B:$B,$A$56,'OB History'!W:W, 1)</f>
        <v>3</v>
      </c>
      <c r="AG56" s="2">
        <f>COUNTIFS('OB History'!$B:$B,$A$56,'OB History'!X:X, 1)</f>
        <v>8</v>
      </c>
      <c r="AH56" s="2">
        <f>COUNTIFS('OB History'!$B:$B,$A$56,'OB History'!Y:Y, 1)</f>
        <v>3</v>
      </c>
      <c r="AI56" s="2">
        <f>COUNTIFS('OB History'!$B:$B,$A$56,'OB History'!Z:Z, 1)</f>
        <v>4</v>
      </c>
    </row>
  </sheetData>
  <autoFilter ref="A1:AI56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1042"/>
  <sheetViews>
    <sheetView workbookViewId="0">
      <pane ySplit="1" topLeftCell="A1015" activePane="bottomLeft" state="frozen"/>
      <selection pane="bottomLeft" activeCell="Z1031" sqref="A1031:Z1042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152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16.25</v>
      </c>
      <c r="AB736" s="86">
        <f>AVERAGEIFS($I$2:I736, $B$2:B736, B736)</f>
        <v>0.2</v>
      </c>
      <c r="AC736" s="86">
        <f>AVERAGEIFS($J$2:J736, $B$2:B736, B736)</f>
        <v>0.36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152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15.2</v>
      </c>
      <c r="AB751" s="86">
        <f>AVERAGEIFS($I$2:I751, $B$2:B751, B751)</f>
        <v>0.16</v>
      </c>
      <c r="AC751" s="86">
        <f>AVERAGEIFS($J$2:J751, $B$2:B751, B751)</f>
        <v>0.33799999999999997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168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169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  <row r="827" spans="1:30" x14ac:dyDescent="0.25">
      <c r="A827" s="85">
        <v>46144</v>
      </c>
      <c r="B827" t="s">
        <v>113</v>
      </c>
      <c r="C827">
        <v>25</v>
      </c>
      <c r="D827" s="86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86">
        <f>AVERAGEIFS($C$2:C827, $B$2:B827, B827)</f>
        <v>19.727272727272727</v>
      </c>
      <c r="AB827" s="86">
        <f>AVERAGEIFS($I$2:I827, $B$2:B827, B827)</f>
        <v>0.6454545454545455</v>
      </c>
      <c r="AC827" s="86">
        <f>AVERAGEIFS($J$2:J827, $B$2:B827, B827)</f>
        <v>0.54272727272727261</v>
      </c>
      <c r="AD827" s="86">
        <f>AVERAGEIFS($D$2:D827, $B$2:B827, B827)</f>
        <v>0.72727272727272729</v>
      </c>
    </row>
    <row r="828" spans="1:30" x14ac:dyDescent="0.25">
      <c r="A828" s="85">
        <v>46144</v>
      </c>
      <c r="B828" t="s">
        <v>150</v>
      </c>
      <c r="C828">
        <v>24</v>
      </c>
      <c r="D828" s="86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86">
        <f>AVERAGEIFS($C$2:C828, $B$2:B828, B828)</f>
        <v>18.125</v>
      </c>
      <c r="AB828" s="86">
        <f>AVERAGEIFS($I$2:I828, $B$2:B828, B828)</f>
        <v>0.73124999999999996</v>
      </c>
      <c r="AC828" s="86">
        <f>AVERAGEIFS($J$2:J828, $B$2:B828, B828)</f>
        <v>0.64999999999999991</v>
      </c>
      <c r="AD828" s="86">
        <f>AVERAGEIFS($D$2:D828, $B$2:B828, B828)</f>
        <v>0.875</v>
      </c>
    </row>
    <row r="829" spans="1:30" x14ac:dyDescent="0.25">
      <c r="A829" s="85">
        <v>46144</v>
      </c>
      <c r="B829" t="s">
        <v>4</v>
      </c>
      <c r="C829">
        <v>19</v>
      </c>
      <c r="D829" s="86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86">
        <f>AVERAGEIFS($C$2:C829, $B$2:B829, B829)</f>
        <v>22.583333333333332</v>
      </c>
      <c r="AB829" s="86">
        <f>AVERAGEIFS($I$2:I829, $B$2:B829, B829)</f>
        <v>0.48333333333333334</v>
      </c>
      <c r="AC829" s="86">
        <f>AVERAGEIFS($J$2:J829, $B$2:B829, B829)</f>
        <v>0.48249999999999998</v>
      </c>
      <c r="AD829" s="86">
        <f>AVERAGEIFS($D$2:D829, $B$2:B829, B829)</f>
        <v>0.58333333333333337</v>
      </c>
    </row>
    <row r="830" spans="1:30" x14ac:dyDescent="0.25">
      <c r="A830" s="85">
        <v>46144</v>
      </c>
      <c r="B830" t="s">
        <v>6</v>
      </c>
      <c r="C830">
        <v>17</v>
      </c>
      <c r="D830" s="86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86">
        <f>AVERAGEIFS($C$2:C830, $B$2:B830, B830)</f>
        <v>23.576923076923077</v>
      </c>
      <c r="AB830" s="86">
        <f>AVERAGEIFS($I$2:I830, $B$2:B830, B830)</f>
        <v>0.63269230769230766</v>
      </c>
      <c r="AC830" s="86">
        <f>AVERAGEIFS($J$2:J830, $B$2:B830, B830)</f>
        <v>0.55884615384615388</v>
      </c>
      <c r="AD830" s="86">
        <f>AVERAGEIFS($D$2:D830, $B$2:B830, B830)</f>
        <v>0.69230769230769229</v>
      </c>
    </row>
    <row r="831" spans="1:30" x14ac:dyDescent="0.25">
      <c r="A831" s="85">
        <v>46144</v>
      </c>
      <c r="B831" t="s">
        <v>5</v>
      </c>
      <c r="C831">
        <v>17</v>
      </c>
      <c r="D831" s="86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86">
        <f>AVERAGEIFS($C$2:C831, $B$2:B831, B831)</f>
        <v>25.375</v>
      </c>
      <c r="AB831" s="86">
        <f>AVERAGEIFS($I$2:I831, $B$2:B831, B831)</f>
        <v>0.47187499999999993</v>
      </c>
      <c r="AC831" s="86">
        <f>AVERAGEIFS($J$2:J831, $B$2:B831, B831)</f>
        <v>0.479375</v>
      </c>
      <c r="AD831" s="86">
        <f>AVERAGEIFS($D$2:D831, $B$2:B831, B831)</f>
        <v>0.5</v>
      </c>
    </row>
    <row r="832" spans="1:30" x14ac:dyDescent="0.25">
      <c r="A832" s="85">
        <v>46144</v>
      </c>
      <c r="B832" t="s">
        <v>2</v>
      </c>
      <c r="C832">
        <v>14</v>
      </c>
      <c r="D832" s="86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86">
        <f>AVERAGEIFS($C$2:C832, $B$2:B832, B832)</f>
        <v>27.375</v>
      </c>
      <c r="AB832" s="86">
        <f>AVERAGEIFS($I$2:I832, $B$2:B832, B832)</f>
        <v>0.59062500000000007</v>
      </c>
      <c r="AC832" s="86">
        <f>AVERAGEIFS($J$2:J832, $B$2:B832, B832)</f>
        <v>0.54812499999999997</v>
      </c>
      <c r="AD832" s="86">
        <f>AVERAGEIFS($D$2:D832, $B$2:B832, B832)</f>
        <v>0.5625</v>
      </c>
    </row>
    <row r="833" spans="1:30" x14ac:dyDescent="0.25">
      <c r="A833" s="85">
        <v>46144</v>
      </c>
      <c r="B833" t="s">
        <v>44</v>
      </c>
      <c r="C833">
        <v>13</v>
      </c>
      <c r="D833" s="86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86">
        <f>AVERAGEIFS($C$2:C833, $B$2:B833, B833)</f>
        <v>16</v>
      </c>
      <c r="AB833" s="86">
        <f>AVERAGEIFS($I$2:I833, $B$2:B833, B833)</f>
        <v>0.84000000000000008</v>
      </c>
      <c r="AC833" s="86">
        <f>AVERAGEIFS($J$2:J833, $B$2:B833, B833)</f>
        <v>0.63400000000000001</v>
      </c>
      <c r="AD833" s="86">
        <f>AVERAGEIFS($D$2:D833, $B$2:B833, B833)</f>
        <v>1</v>
      </c>
    </row>
    <row r="834" spans="1:30" x14ac:dyDescent="0.25">
      <c r="A834" s="85">
        <v>46144</v>
      </c>
      <c r="B834" t="s">
        <v>179</v>
      </c>
      <c r="C834">
        <v>8</v>
      </c>
      <c r="D834" s="86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86">
        <f>AVERAGEIFS($C$2:C834, $B$2:B834, B834)</f>
        <v>8</v>
      </c>
      <c r="AB834" s="86">
        <f>AVERAGEIFS($I$2:I834, $B$2:B834, B834)</f>
        <v>1</v>
      </c>
      <c r="AC834" s="86">
        <f>AVERAGEIFS($J$2:J834, $B$2:B834, B834)</f>
        <v>0.64</v>
      </c>
      <c r="AD834" s="86">
        <f>AVERAGEIFS($D$2:D834, $B$2:B834, B834)</f>
        <v>1</v>
      </c>
    </row>
    <row r="835" spans="1:30" x14ac:dyDescent="0.25">
      <c r="A835" s="85">
        <v>46144</v>
      </c>
      <c r="B835" t="s">
        <v>14</v>
      </c>
      <c r="C835">
        <v>26</v>
      </c>
      <c r="D835" s="86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86">
        <f>AVERAGEIFS($C$2:C835, $B$2:B835, B835)</f>
        <v>24.727272727272727</v>
      </c>
      <c r="AB835" s="86">
        <f>AVERAGEIFS($I$2:I835, $B$2:B835, B835)</f>
        <v>0.46363636363636362</v>
      </c>
      <c r="AC835" s="86">
        <f>AVERAGEIFS($J$2:J835, $B$2:B835, B835)</f>
        <v>0.48227272727272735</v>
      </c>
      <c r="AD835" s="86">
        <f>AVERAGEIFS($D$2:D835, $B$2:B835, B835)</f>
        <v>0.45454545454545453</v>
      </c>
    </row>
    <row r="836" spans="1:30" x14ac:dyDescent="0.25">
      <c r="A836" s="85">
        <v>46144</v>
      </c>
      <c r="B836" t="s">
        <v>17</v>
      </c>
      <c r="C836">
        <v>24</v>
      </c>
      <c r="D836" s="86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86">
        <f>AVERAGEIFS($C$2:C836, $B$2:B836, B836)</f>
        <v>25.98</v>
      </c>
      <c r="AB836" s="86">
        <f>AVERAGEIFS($I$2:I836, $B$2:B836, B836)</f>
        <v>0.50000000000000011</v>
      </c>
      <c r="AC836" s="86">
        <f>AVERAGEIFS($J$2:J836, $B$2:B836, B836)</f>
        <v>0.51279999999999992</v>
      </c>
      <c r="AD836" s="86">
        <f>AVERAGEIFS($D$2:D836, $B$2:B836, B836)</f>
        <v>0.44</v>
      </c>
    </row>
    <row r="837" spans="1:30" x14ac:dyDescent="0.25">
      <c r="A837" s="85">
        <v>46144</v>
      </c>
      <c r="B837" t="s">
        <v>13</v>
      </c>
      <c r="C837">
        <v>24</v>
      </c>
      <c r="D837" s="86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86">
        <f>AVERAGEIFS($C$2:C837, $B$2:B837, B837)</f>
        <v>26.842105263157894</v>
      </c>
      <c r="AB837" s="86">
        <f>AVERAGEIFS($I$2:I837, $B$2:B837, B837)</f>
        <v>0.57192982456140351</v>
      </c>
      <c r="AC837" s="86">
        <f>AVERAGEIFS($J$2:J837, $B$2:B837, B837)</f>
        <v>0.54701754385964907</v>
      </c>
      <c r="AD837" s="86">
        <f>AVERAGEIFS($D$2:D837, $B$2:B837, B837)</f>
        <v>0.63157894736842102</v>
      </c>
    </row>
    <row r="838" spans="1:30" x14ac:dyDescent="0.25">
      <c r="A838" s="85">
        <v>46144</v>
      </c>
      <c r="B838" t="s">
        <v>148</v>
      </c>
      <c r="C838">
        <v>11</v>
      </c>
      <c r="D838" s="86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86">
        <f>AVERAGEIFS($C$2:C838, $B$2:B838, B838)</f>
        <v>13.222222222222221</v>
      </c>
      <c r="AB838" s="86">
        <f>AVERAGEIFS($I$2:I838, $B$2:B838, B838)</f>
        <v>0.56111111111111101</v>
      </c>
      <c r="AC838" s="86">
        <f>AVERAGEIFS($J$2:J838, $B$2:B838, B838)</f>
        <v>0.52814814814814826</v>
      </c>
      <c r="AD838" s="86">
        <f>AVERAGEIFS($D$2:D838, $B$2:B838, B838)</f>
        <v>0.59259259259259256</v>
      </c>
    </row>
    <row r="839" spans="1:30" x14ac:dyDescent="0.25">
      <c r="A839" s="85">
        <v>46144</v>
      </c>
      <c r="B839" t="s">
        <v>29</v>
      </c>
      <c r="C839">
        <v>11</v>
      </c>
      <c r="D839" s="86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10.75</v>
      </c>
      <c r="AB839" s="86">
        <f>AVERAGEIFS($I$2:I839, $B$2:B839, B839)</f>
        <v>0.45681818181818185</v>
      </c>
      <c r="AC839" s="86">
        <f>AVERAGEIFS($J$2:J839, $B$2:B839, B839)</f>
        <v>0.49249999999999994</v>
      </c>
      <c r="AD839" s="86">
        <f>AVERAGEIFS($D$2:D839, $B$2:B839, B839)</f>
        <v>0.43181818181818182</v>
      </c>
    </row>
    <row r="840" spans="1:30" x14ac:dyDescent="0.25">
      <c r="A840" s="85">
        <v>46144</v>
      </c>
      <c r="B840" t="s">
        <v>155</v>
      </c>
      <c r="C840">
        <v>9</v>
      </c>
      <c r="D840" s="86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17.25</v>
      </c>
      <c r="AB840" s="86">
        <f>AVERAGEIFS($I$2:I840, $B$2:B840, B840)</f>
        <v>0.36249999999999993</v>
      </c>
      <c r="AC840" s="86">
        <f>AVERAGEIFS($J$2:J840, $B$2:B840, B840)</f>
        <v>0.45199999999999996</v>
      </c>
      <c r="AD840" s="86">
        <f>AVERAGEIFS($D$2:D840, $B$2:B840, B840)</f>
        <v>0.3</v>
      </c>
    </row>
    <row r="841" spans="1:30" x14ac:dyDescent="0.25">
      <c r="A841" s="85">
        <v>46144</v>
      </c>
      <c r="B841" t="s">
        <v>140</v>
      </c>
      <c r="C841">
        <v>5</v>
      </c>
      <c r="D841" s="86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8.1999999999999993</v>
      </c>
      <c r="AB841" s="86">
        <f>AVERAGEIFS($I$2:I841, $B$2:B841, B841)</f>
        <v>0.495</v>
      </c>
      <c r="AC841" s="86">
        <f>AVERAGEIFS($J$2:J841, $B$2:B841, B841)</f>
        <v>0.5</v>
      </c>
      <c r="AD841" s="86">
        <f>AVERAGEIFS($D$2:D841, $B$2:B841, B841)</f>
        <v>0.6</v>
      </c>
    </row>
    <row r="842" spans="1:30" x14ac:dyDescent="0.25">
      <c r="A842" s="85">
        <v>46144</v>
      </c>
      <c r="B842" t="s">
        <v>139</v>
      </c>
      <c r="C842">
        <v>3</v>
      </c>
      <c r="D842" s="86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10.647058823529411</v>
      </c>
      <c r="AB842" s="86">
        <f>AVERAGEIFS($I$2:I842, $B$2:B842, B842)</f>
        <v>0.54705882352941171</v>
      </c>
      <c r="AC842" s="86">
        <f>AVERAGEIFS($J$2:J842, $B$2:B842, B842)</f>
        <v>0.53470588235294103</v>
      </c>
      <c r="AD842" s="86">
        <f>AVERAGEIFS($D$2:D842, $B$2:B842, B842)</f>
        <v>0.6470588235294118</v>
      </c>
    </row>
    <row r="843" spans="1:30" x14ac:dyDescent="0.25">
      <c r="A843" s="85">
        <v>46144</v>
      </c>
      <c r="B843" t="s">
        <v>6</v>
      </c>
      <c r="C843">
        <v>20</v>
      </c>
      <c r="D843" s="86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86">
        <f>AVERAGEIFS($C$2:C843, $B$2:B843, B843)</f>
        <v>23.444444444444443</v>
      </c>
      <c r="AB843" s="86">
        <f>AVERAGEIFS($I$2:I843, $B$2:B843, B843)</f>
        <v>0.63703703703703696</v>
      </c>
      <c r="AC843" s="86">
        <f>AVERAGEIFS($J$2:J843, $B$2:B843, B843)</f>
        <v>0.56370370370370371</v>
      </c>
      <c r="AD843" s="86">
        <f>AVERAGEIFS($D$2:D843, $B$2:B843, B843)</f>
        <v>0.70370370370370372</v>
      </c>
    </row>
    <row r="844" spans="1:30" x14ac:dyDescent="0.25">
      <c r="A844" s="85">
        <v>46144</v>
      </c>
      <c r="B844" t="s">
        <v>44</v>
      </c>
      <c r="C844">
        <v>16</v>
      </c>
      <c r="D844" s="86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86">
        <f>AVERAGEIFS($C$2:C844, $B$2:B844, B844)</f>
        <v>16</v>
      </c>
      <c r="AB844" s="86">
        <f>AVERAGEIFS($I$2:I844, $B$2:B844, B844)</f>
        <v>0.82500000000000007</v>
      </c>
      <c r="AC844" s="86">
        <f>AVERAGEIFS($J$2:J844, $B$2:B844, B844)</f>
        <v>0.64333333333333331</v>
      </c>
      <c r="AD844" s="86">
        <f>AVERAGEIFS($D$2:D844, $B$2:B844, B844)</f>
        <v>1</v>
      </c>
    </row>
    <row r="845" spans="1:30" x14ac:dyDescent="0.25">
      <c r="A845" s="85">
        <v>46144</v>
      </c>
      <c r="B845" t="s">
        <v>40</v>
      </c>
      <c r="C845">
        <v>25</v>
      </c>
      <c r="D845" s="86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86">
        <f>AVERAGEIFS($C$2:C845, $B$2:B845, B845)</f>
        <v>18</v>
      </c>
      <c r="AB845" s="86">
        <f>AVERAGEIFS($I$2:I845, $B$2:B845, B845)</f>
        <v>0.4466666666666666</v>
      </c>
      <c r="AC845" s="86">
        <f>AVERAGEIFS($J$2:J845, $B$2:B845, B845)</f>
        <v>0.45</v>
      </c>
      <c r="AD845" s="86">
        <f>AVERAGEIFS($D$2:D845, $B$2:B845, B845)</f>
        <v>0.33333333333333331</v>
      </c>
    </row>
    <row r="846" spans="1:30" x14ac:dyDescent="0.25">
      <c r="A846" s="85">
        <v>46144</v>
      </c>
      <c r="B846" t="s">
        <v>147</v>
      </c>
      <c r="C846">
        <v>16</v>
      </c>
      <c r="D846" s="86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86">
        <f>AVERAGEIFS($C$2:C846, $B$2:B846, B846)</f>
        <v>17.100000000000001</v>
      </c>
      <c r="AB846" s="86">
        <f>AVERAGEIFS($I$2:I846, $B$2:B846, B846)</f>
        <v>0.33500000000000002</v>
      </c>
      <c r="AC846" s="86">
        <f>AVERAGEIFS($J$2:J846, $B$2:B846, B846)</f>
        <v>0.42800000000000005</v>
      </c>
      <c r="AD846" s="86">
        <f>AVERAGEIFS($D$2:D846, $B$2:B846, B846)</f>
        <v>0.2</v>
      </c>
    </row>
    <row r="847" spans="1:30" x14ac:dyDescent="0.25">
      <c r="A847" s="85">
        <v>46144</v>
      </c>
      <c r="B847" t="s">
        <v>140</v>
      </c>
      <c r="C847">
        <v>11</v>
      </c>
      <c r="D847" s="86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86">
        <f>AVERAGEIFS($C$2:C847, $B$2:B847, B847)</f>
        <v>8.454545454545455</v>
      </c>
      <c r="AB847" s="86">
        <f>AVERAGEIFS($I$2:I847, $B$2:B847, B847)</f>
        <v>0.51818181818181819</v>
      </c>
      <c r="AC847" s="86">
        <f>AVERAGEIFS($J$2:J847, $B$2:B847, B847)</f>
        <v>0.51727272727272722</v>
      </c>
      <c r="AD847" s="86">
        <f>AVERAGEIFS($D$2:D847, $B$2:B847, B847)</f>
        <v>0.63636363636363635</v>
      </c>
    </row>
    <row r="848" spans="1:30" x14ac:dyDescent="0.25">
      <c r="A848" s="85">
        <v>46144</v>
      </c>
      <c r="B848" t="s">
        <v>5</v>
      </c>
      <c r="C848">
        <v>22</v>
      </c>
      <c r="D848" s="86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86">
        <f>AVERAGEIFS($C$2:C848, $B$2:B848, B848)</f>
        <v>25.176470588235293</v>
      </c>
      <c r="AB848" s="86">
        <f>AVERAGEIFS($I$2:I848, $B$2:B848, B848)</f>
        <v>0.48823529411764699</v>
      </c>
      <c r="AC848" s="86">
        <f>AVERAGEIFS($J$2:J848, $B$2:B848, B848)</f>
        <v>0.49176470588235288</v>
      </c>
      <c r="AD848" s="86">
        <f>AVERAGEIFS($D$2:D848, $B$2:B848, B848)</f>
        <v>0.52941176470588236</v>
      </c>
    </row>
    <row r="849" spans="1:30" x14ac:dyDescent="0.25">
      <c r="A849" s="85">
        <v>46144</v>
      </c>
      <c r="B849" t="s">
        <v>150</v>
      </c>
      <c r="C849">
        <v>22</v>
      </c>
      <c r="D849" s="86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86">
        <f>AVERAGEIFS($C$2:C849, $B$2:B849, B849)</f>
        <v>18.555555555555557</v>
      </c>
      <c r="AB849" s="86">
        <f>AVERAGEIFS($I$2:I849, $B$2:B849, B849)</f>
        <v>0.73333333333333328</v>
      </c>
      <c r="AC849" s="86">
        <f>AVERAGEIFS($J$2:J849, $B$2:B849, B849)</f>
        <v>0.65444444444444427</v>
      </c>
      <c r="AD849" s="86">
        <f>AVERAGEIFS($D$2:D849, $B$2:B849, B849)</f>
        <v>0.88888888888888884</v>
      </c>
    </row>
    <row r="850" spans="1:30" x14ac:dyDescent="0.25">
      <c r="A850" s="85">
        <v>46144</v>
      </c>
      <c r="B850" t="s">
        <v>113</v>
      </c>
      <c r="C850">
        <v>4</v>
      </c>
      <c r="D850" s="86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86">
        <f>AVERAGEIFS($C$2:C850, $B$2:B850, B850)</f>
        <v>18.416666666666668</v>
      </c>
      <c r="AB850" s="86">
        <f>AVERAGEIFS($I$2:I850, $B$2:B850, B850)</f>
        <v>0.65416666666666667</v>
      </c>
      <c r="AC850" s="86">
        <f>AVERAGEIFS($J$2:J850, $B$2:B850, B850)</f>
        <v>0.55499999999999983</v>
      </c>
      <c r="AD850" s="86">
        <f>AVERAGEIFS($D$2:D850, $B$2:B850, B850)</f>
        <v>0.75</v>
      </c>
    </row>
    <row r="851" spans="1:30" x14ac:dyDescent="0.25">
      <c r="A851" s="85">
        <v>46144</v>
      </c>
      <c r="B851" t="s">
        <v>17</v>
      </c>
      <c r="C851">
        <v>7</v>
      </c>
      <c r="D851" s="86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86">
        <f>AVERAGEIFS($C$2:C851, $B$2:B851, B851)</f>
        <v>25.607843137254903</v>
      </c>
      <c r="AB851" s="86">
        <f>AVERAGEIFS($I$2:I851, $B$2:B851, B851)</f>
        <v>0.4950980392156864</v>
      </c>
      <c r="AC851" s="86">
        <f>AVERAGEIFS($J$2:J851, $B$2:B851, B851)</f>
        <v>0.50882352941176456</v>
      </c>
      <c r="AD851" s="86">
        <f>AVERAGEIFS($D$2:D851, $B$2:B851, B851)</f>
        <v>0.43137254901960786</v>
      </c>
    </row>
    <row r="852" spans="1:30" x14ac:dyDescent="0.25">
      <c r="A852" s="85">
        <v>46144</v>
      </c>
      <c r="B852" t="s">
        <v>13</v>
      </c>
      <c r="C852">
        <v>19</v>
      </c>
      <c r="D852" s="86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86">
        <f>AVERAGEIFS($C$2:C852, $B$2:B852, B852)</f>
        <v>26.706896551724139</v>
      </c>
      <c r="AB852" s="86">
        <f>AVERAGEIFS($I$2:I852, $B$2:B852, B852)</f>
        <v>0.56637931034482758</v>
      </c>
      <c r="AC852" s="86">
        <f>AVERAGEIFS($J$2:J852, $B$2:B852, B852)</f>
        <v>0.54293103448275848</v>
      </c>
      <c r="AD852" s="86">
        <f>AVERAGEIFS($D$2:D852, $B$2:B852, B852)</f>
        <v>0.62068965517241381</v>
      </c>
    </row>
    <row r="853" spans="1:30" x14ac:dyDescent="0.25">
      <c r="A853" s="85">
        <v>46144</v>
      </c>
      <c r="B853" t="s">
        <v>141</v>
      </c>
      <c r="C853">
        <v>24</v>
      </c>
      <c r="D853" s="86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86">
        <f>AVERAGEIFS($C$2:C853, $B$2:B853, B853)</f>
        <v>18.75</v>
      </c>
      <c r="AB853" s="86">
        <f>AVERAGEIFS($I$2:I853, $B$2:B853, B853)</f>
        <v>0.51249999999999996</v>
      </c>
      <c r="AC853" s="86">
        <f>AVERAGEIFS($J$2:J853, $B$2:B853, B853)</f>
        <v>0.46499999999999997</v>
      </c>
      <c r="AD853" s="86">
        <f>AVERAGEIFS($D$2:D853, $B$2:B853, B853)</f>
        <v>0.25</v>
      </c>
    </row>
    <row r="854" spans="1:30" x14ac:dyDescent="0.25">
      <c r="A854" s="85">
        <v>46144</v>
      </c>
      <c r="B854" t="s">
        <v>155</v>
      </c>
      <c r="C854">
        <v>13</v>
      </c>
      <c r="D854" s="86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86">
        <f>AVERAGEIFS($C$2:C854, $B$2:B854, B854)</f>
        <v>17.047619047619047</v>
      </c>
      <c r="AB854" s="86">
        <f>AVERAGEIFS($I$2:I854, $B$2:B854, B854)</f>
        <v>0.3571428571428571</v>
      </c>
      <c r="AC854" s="86">
        <f>AVERAGEIFS($J$2:J854, $B$2:B854, B854)</f>
        <v>0.44523809523809521</v>
      </c>
      <c r="AD854" s="86">
        <f>AVERAGEIFS($D$2:D854, $B$2:B854, B854)</f>
        <v>0.2857142857142857</v>
      </c>
    </row>
    <row r="855" spans="1:30" x14ac:dyDescent="0.25">
      <c r="A855" s="85">
        <v>46144</v>
      </c>
      <c r="B855" t="s">
        <v>148</v>
      </c>
      <c r="C855">
        <v>11</v>
      </c>
      <c r="D855" s="86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86">
        <f>AVERAGEIFS($C$2:C855, $B$2:B855, B855)</f>
        <v>13.142857142857142</v>
      </c>
      <c r="AB855" s="86">
        <f>AVERAGEIFS($I$2:I855, $B$2:B855, B855)</f>
        <v>0.54999999999999993</v>
      </c>
      <c r="AC855" s="86">
        <f>AVERAGEIFS($J$2:J855, $B$2:B855, B855)</f>
        <v>0.52035714285714296</v>
      </c>
      <c r="AD855" s="86">
        <f>AVERAGEIFS($D$2:D855, $B$2:B855, B855)</f>
        <v>0.5714285714285714</v>
      </c>
    </row>
    <row r="856" spans="1:30" x14ac:dyDescent="0.25">
      <c r="A856" s="85">
        <v>46144</v>
      </c>
      <c r="B856" t="s">
        <v>37</v>
      </c>
      <c r="C856">
        <v>19</v>
      </c>
      <c r="D856" s="86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86">
        <f>AVERAGEIFS($C$2:C856, $B$2:B856, B856)</f>
        <v>19.37037037037037</v>
      </c>
      <c r="AB856" s="86">
        <f>AVERAGEIFS($I$2:I856, $B$2:B856, B856)</f>
        <v>0.42777777777777776</v>
      </c>
      <c r="AC856" s="86">
        <f>AVERAGEIFS($J$2:J856, $B$2:B856, B856)</f>
        <v>0.45333333333333337</v>
      </c>
      <c r="AD856" s="86">
        <f>AVERAGEIFS($D$2:D856, $B$2:B856, B856)</f>
        <v>0.44444444444444442</v>
      </c>
    </row>
    <row r="857" spans="1:30" x14ac:dyDescent="0.25">
      <c r="A857" s="85">
        <v>46144</v>
      </c>
      <c r="B857" t="s">
        <v>35</v>
      </c>
      <c r="C857">
        <v>13</v>
      </c>
      <c r="D857" s="86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86">
        <f>AVERAGEIFS($C$2:C857, $B$2:B857, B857)</f>
        <v>12.551724137931034</v>
      </c>
      <c r="AB857" s="86">
        <f>AVERAGEIFS($I$2:I857, $B$2:B857, B857)</f>
        <v>0.45517241379310341</v>
      </c>
      <c r="AC857" s="86">
        <f>AVERAGEIFS($J$2:J857, $B$2:B857, B857)</f>
        <v>0.47241379310344839</v>
      </c>
      <c r="AD857" s="86">
        <f>AVERAGEIFS($D$2:D857, $B$2:B857, B857)</f>
        <v>0.55172413793103448</v>
      </c>
    </row>
    <row r="858" spans="1:30" x14ac:dyDescent="0.25">
      <c r="A858" s="85">
        <v>46144</v>
      </c>
      <c r="B858" t="s">
        <v>179</v>
      </c>
      <c r="C858">
        <v>19</v>
      </c>
      <c r="D858" s="86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86">
        <f>AVERAGEIFS($C$2:C858, $B$2:B858, B858)</f>
        <v>13.5</v>
      </c>
      <c r="AB858" s="86">
        <f>AVERAGEIFS($I$2:I858, $B$2:B858, B858)</f>
        <v>0.625</v>
      </c>
      <c r="AC858" s="86">
        <f>AVERAGEIFS($J$2:J858, $B$2:B858, B858)</f>
        <v>0.47499999999999998</v>
      </c>
      <c r="AD858" s="86">
        <f>AVERAGEIFS($D$2:D858, $B$2:B858, B858)</f>
        <v>0.5</v>
      </c>
    </row>
    <row r="859" spans="1:30" x14ac:dyDescent="0.25">
      <c r="A859" s="85">
        <v>46145</v>
      </c>
      <c r="B859" t="s">
        <v>13</v>
      </c>
      <c r="C859">
        <v>28</v>
      </c>
      <c r="D859" s="86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86">
        <f>AVERAGEIFS($C$2:C859, $B$2:B859, B859)</f>
        <v>26.728813559322035</v>
      </c>
      <c r="AB859" s="86">
        <f>AVERAGEIFS($I$2:I859, $B$2:B859, B859)</f>
        <v>0.56101694915254241</v>
      </c>
      <c r="AC859" s="86">
        <f>AVERAGEIFS($J$2:J859, $B$2:B859, B859)</f>
        <v>0.54084745762711861</v>
      </c>
      <c r="AD859" s="86">
        <f>AVERAGEIFS($D$2:D859, $B$2:B859, B859)</f>
        <v>0.61016949152542377</v>
      </c>
    </row>
    <row r="860" spans="1:30" x14ac:dyDescent="0.25">
      <c r="A860" s="85">
        <v>46145</v>
      </c>
      <c r="B860" t="s">
        <v>37</v>
      </c>
      <c r="C860">
        <v>35</v>
      </c>
      <c r="D860" s="86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86">
        <f>AVERAGEIFS($C$2:C860, $B$2:B860, B860)</f>
        <v>19.928571428571427</v>
      </c>
      <c r="AB860" s="86">
        <f>AVERAGEIFS($I$2:I860, $B$2:B860, B860)</f>
        <v>0.42142857142857137</v>
      </c>
      <c r="AC860" s="86">
        <f>AVERAGEIFS($J$2:J860, $B$2:B860, B860)</f>
        <v>0.45214285714285712</v>
      </c>
      <c r="AD860" s="86">
        <f>AVERAGEIFS($D$2:D860, $B$2:B860, B860)</f>
        <v>0.42857142857142855</v>
      </c>
    </row>
    <row r="861" spans="1:30" x14ac:dyDescent="0.25">
      <c r="A861" s="85">
        <v>46145</v>
      </c>
      <c r="B861" t="s">
        <v>141</v>
      </c>
      <c r="C861">
        <v>16</v>
      </c>
      <c r="D861" s="86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86">
        <f>AVERAGEIFS($C$2:C861, $B$2:B861, B861)</f>
        <v>18.2</v>
      </c>
      <c r="AB861" s="86">
        <f>AVERAGEIFS($I$2:I861, $B$2:B861, B861)</f>
        <v>0.45999999999999996</v>
      </c>
      <c r="AC861" s="86">
        <f>AVERAGEIFS($J$2:J861, $B$2:B861, B861)</f>
        <v>0.45599999999999996</v>
      </c>
      <c r="AD861" s="86">
        <f>AVERAGEIFS($D$2:D861, $B$2:B861, B861)</f>
        <v>0.2</v>
      </c>
    </row>
    <row r="862" spans="1:30" x14ac:dyDescent="0.25">
      <c r="A862" s="85">
        <v>46145</v>
      </c>
      <c r="B862" t="s">
        <v>155</v>
      </c>
      <c r="C862">
        <v>20</v>
      </c>
      <c r="D862" s="86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86">
        <f>AVERAGEIFS($C$2:C862, $B$2:B862, B862)</f>
        <v>17.181818181818183</v>
      </c>
      <c r="AB862" s="86">
        <f>AVERAGEIFS($I$2:I862, $B$2:B862, B862)</f>
        <v>0.35227272727272724</v>
      </c>
      <c r="AC862" s="86">
        <f>AVERAGEIFS($J$2:J862, $B$2:B862, B862)</f>
        <v>0.44409090909090909</v>
      </c>
      <c r="AD862" s="86">
        <f>AVERAGEIFS($D$2:D862, $B$2:B862, B862)</f>
        <v>0.27272727272727271</v>
      </c>
    </row>
    <row r="863" spans="1:30" x14ac:dyDescent="0.25">
      <c r="A863" s="85">
        <v>46145</v>
      </c>
      <c r="B863" t="s">
        <v>161</v>
      </c>
      <c r="C863">
        <v>16</v>
      </c>
      <c r="D863" s="86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86">
        <f>AVERAGEIFS($C$2:C863, $B$2:B863, B863)</f>
        <v>15.5</v>
      </c>
      <c r="AB863" s="86">
        <f>AVERAGEIFS($I$2:I863, $B$2:B863, B863)</f>
        <v>0.25</v>
      </c>
      <c r="AC863" s="86">
        <f>AVERAGEIFS($J$2:J863, $B$2:B863, B863)</f>
        <v>0.42</v>
      </c>
      <c r="AD863" s="86">
        <f>AVERAGEIFS($D$2:D863, $B$2:B863, B863)</f>
        <v>0</v>
      </c>
    </row>
    <row r="864" spans="1:30" x14ac:dyDescent="0.25">
      <c r="A864" s="85">
        <v>46145</v>
      </c>
      <c r="B864" t="s">
        <v>26</v>
      </c>
      <c r="C864">
        <v>29</v>
      </c>
      <c r="D864" s="86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13.787878787878787</v>
      </c>
      <c r="AB864" s="86">
        <f>AVERAGEIFS($I$2:I864, $B$2:B864, B864)</f>
        <v>0.61666666666666659</v>
      </c>
      <c r="AC864" s="86">
        <f>AVERAGEIFS($J$2:J864, $B$2:B864, B864)</f>
        <v>0.5542424242424242</v>
      </c>
      <c r="AD864" s="86">
        <f>AVERAGEIFS($D$2:D864, $B$2:B864, B864)</f>
        <v>0.66666666666666663</v>
      </c>
    </row>
    <row r="865" spans="1:30" x14ac:dyDescent="0.25">
      <c r="A865" s="85">
        <v>46145</v>
      </c>
      <c r="B865" t="s">
        <v>29</v>
      </c>
      <c r="C865">
        <v>13</v>
      </c>
      <c r="D865" s="86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10.8</v>
      </c>
      <c r="AB865" s="86">
        <f>AVERAGEIFS($I$2:I865, $B$2:B865, B865)</f>
        <v>0.45222222222222225</v>
      </c>
      <c r="AC865" s="86">
        <f>AVERAGEIFS($J$2:J865, $B$2:B865, B865)</f>
        <v>0.49088888888888887</v>
      </c>
      <c r="AD865" s="86">
        <f>AVERAGEIFS($D$2:D865, $B$2:B865, B865)</f>
        <v>0.42222222222222222</v>
      </c>
    </row>
    <row r="866" spans="1:30" x14ac:dyDescent="0.25">
      <c r="A866" s="85">
        <v>46145</v>
      </c>
      <c r="B866" t="s">
        <v>140</v>
      </c>
      <c r="C866">
        <v>17</v>
      </c>
      <c r="D866" s="86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9.1666666666666661</v>
      </c>
      <c r="AB866" s="86">
        <f>AVERAGEIFS($I$2:I866, $B$2:B866, B866)</f>
        <v>0.49583333333333335</v>
      </c>
      <c r="AC866" s="86">
        <f>AVERAGEIFS($J$2:J866, $B$2:B866, B866)</f>
        <v>0.50916666666666666</v>
      </c>
      <c r="AD866" s="86">
        <f>AVERAGEIFS($D$2:D866, $B$2:B866, B866)</f>
        <v>0.58333333333333337</v>
      </c>
    </row>
    <row r="867" spans="1:30" x14ac:dyDescent="0.25">
      <c r="A867" s="85">
        <v>46145</v>
      </c>
      <c r="B867" t="s">
        <v>18</v>
      </c>
      <c r="C867">
        <v>39</v>
      </c>
      <c r="D867" s="86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86">
        <f>AVERAGEIFS($C$2:C867, $B$2:B867, B867)</f>
        <v>27.03448275862069</v>
      </c>
      <c r="AB867" s="86">
        <f>AVERAGEIFS($I$2:I867, $B$2:B867, B867)</f>
        <v>0.47931034482758622</v>
      </c>
      <c r="AC867" s="86">
        <f>AVERAGEIFS($J$2:J867, $B$2:B867, B867)</f>
        <v>0.48724137931034489</v>
      </c>
      <c r="AD867" s="86">
        <f>AVERAGEIFS($D$2:D867, $B$2:B867, B867)</f>
        <v>0.48275862068965519</v>
      </c>
    </row>
    <row r="868" spans="1:30" x14ac:dyDescent="0.25">
      <c r="A868" s="85">
        <v>46145</v>
      </c>
      <c r="B868" t="s">
        <v>17</v>
      </c>
      <c r="C868">
        <v>27</v>
      </c>
      <c r="D868" s="86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86">
        <f>AVERAGEIFS($C$2:C868, $B$2:B868, B868)</f>
        <v>25.634615384615383</v>
      </c>
      <c r="AB868" s="86">
        <f>AVERAGEIFS($I$2:I868, $B$2:B868, B868)</f>
        <v>0.50000000000000011</v>
      </c>
      <c r="AC868" s="86">
        <f>AVERAGEIFS($J$2:J868, $B$2:B868, B868)</f>
        <v>0.5101923076923075</v>
      </c>
      <c r="AD868" s="86">
        <f>AVERAGEIFS($D$2:D868, $B$2:B868, B868)</f>
        <v>0.44230769230769229</v>
      </c>
    </row>
    <row r="869" spans="1:30" x14ac:dyDescent="0.25">
      <c r="A869" s="85">
        <v>46145</v>
      </c>
      <c r="B869" t="s">
        <v>25</v>
      </c>
      <c r="C869">
        <v>30</v>
      </c>
      <c r="D869" s="86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86">
        <f>AVERAGEIFS($C$2:C869, $B$2:B869, B869)</f>
        <v>17.892857142857142</v>
      </c>
      <c r="AB869" s="86">
        <f>AVERAGEIFS($I$2:I869, $B$2:B869, B869)</f>
        <v>0.5892857142857143</v>
      </c>
      <c r="AC869" s="86">
        <f>AVERAGEIFS($J$2:J869, $B$2:B869, B869)</f>
        <v>0.53249999999999997</v>
      </c>
      <c r="AD869" s="86">
        <f>AVERAGEIFS($D$2:D869, $B$2:B869, B869)</f>
        <v>0.6071428571428571</v>
      </c>
    </row>
    <row r="870" spans="1:30" x14ac:dyDescent="0.25">
      <c r="A870" s="85">
        <v>46145</v>
      </c>
      <c r="B870" t="s">
        <v>152</v>
      </c>
      <c r="C870">
        <v>16</v>
      </c>
      <c r="D870" s="86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86">
        <f>AVERAGEIFS($C$2:C870, $B$2:B870, B870)</f>
        <v>15.333333333333334</v>
      </c>
      <c r="AB870" s="86">
        <f>AVERAGEIFS($I$2:I870, $B$2:B870, B870)</f>
        <v>0.25833333333333336</v>
      </c>
      <c r="AC870" s="86">
        <f>AVERAGEIFS($J$2:J870, $B$2:B870, B870)</f>
        <v>0.37833333333333335</v>
      </c>
      <c r="AD870" s="86">
        <f>AVERAGEIFS($D$2:D870, $B$2:B870, B870)</f>
        <v>0.16666666666666666</v>
      </c>
    </row>
    <row r="871" spans="1:30" x14ac:dyDescent="0.25">
      <c r="A871" s="85">
        <v>46145</v>
      </c>
      <c r="B871" t="s">
        <v>27</v>
      </c>
      <c r="C871">
        <v>22</v>
      </c>
      <c r="D871" s="86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86">
        <f>AVERAGEIFS($C$2:C871, $B$2:B871, B871)</f>
        <v>15.4</v>
      </c>
      <c r="AB871" s="86">
        <f>AVERAGEIFS($I$2:I871, $B$2:B871, B871)</f>
        <v>0.50800000000000001</v>
      </c>
      <c r="AC871" s="86">
        <f>AVERAGEIFS($J$2:J871, $B$2:B871, B871)</f>
        <v>0.50760000000000005</v>
      </c>
      <c r="AD871" s="86">
        <f>AVERAGEIFS($D$2:D871, $B$2:B871, B871)</f>
        <v>0.56000000000000005</v>
      </c>
    </row>
    <row r="872" spans="1:30" x14ac:dyDescent="0.25">
      <c r="A872" s="85">
        <v>46145</v>
      </c>
      <c r="B872" t="s">
        <v>148</v>
      </c>
      <c r="C872">
        <v>21</v>
      </c>
      <c r="D872" s="86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86">
        <f>AVERAGEIFS($C$2:C872, $B$2:B872, B872)</f>
        <v>13.413793103448276</v>
      </c>
      <c r="AB872" s="86">
        <f>AVERAGEIFS($I$2:I872, $B$2:B872, B872)</f>
        <v>0.55689655172413788</v>
      </c>
      <c r="AC872" s="86">
        <f>AVERAGEIFS($J$2:J872, $B$2:B872, B872)</f>
        <v>0.52241379310344838</v>
      </c>
      <c r="AD872" s="86">
        <f>AVERAGEIFS($D$2:D872, $B$2:B872, B872)</f>
        <v>0.58620689655172409</v>
      </c>
    </row>
    <row r="873" spans="1:30" x14ac:dyDescent="0.25">
      <c r="A873" s="85">
        <v>46145</v>
      </c>
      <c r="B873" t="s">
        <v>55</v>
      </c>
      <c r="C873">
        <v>17</v>
      </c>
      <c r="D873" s="86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86">
        <f>AVERAGEIFS($C$2:C873, $B$2:B873, B873)</f>
        <v>10.4</v>
      </c>
      <c r="AB873" s="86">
        <f>AVERAGEIFS($I$2:I873, $B$2:B873, B873)</f>
        <v>0.58333333333333337</v>
      </c>
      <c r="AC873" s="86">
        <f>AVERAGEIFS($J$2:J873, $B$2:B873, B873)</f>
        <v>0.54600000000000004</v>
      </c>
      <c r="AD873" s="86">
        <f>AVERAGEIFS($D$2:D873, $B$2:B873, B873)</f>
        <v>0.6</v>
      </c>
    </row>
    <row r="874" spans="1:30" x14ac:dyDescent="0.25">
      <c r="A874" s="85">
        <v>46145</v>
      </c>
      <c r="B874" t="s">
        <v>38</v>
      </c>
      <c r="C874">
        <v>8</v>
      </c>
      <c r="D874" s="86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86">
        <f>AVERAGEIFS($C$2:C874, $B$2:B874, B874)</f>
        <v>8.0769230769230766</v>
      </c>
      <c r="AB874" s="86">
        <f>AVERAGEIFS($I$2:I874, $B$2:B874, B874)</f>
        <v>0.43076923076923079</v>
      </c>
      <c r="AC874" s="86">
        <f>AVERAGEIFS($J$2:J874, $B$2:B874, B874)</f>
        <v>0.4538461538461539</v>
      </c>
      <c r="AD874" s="86">
        <f>AVERAGEIFS($D$2:D874, $B$2:B874, B874)</f>
        <v>0.46153846153846156</v>
      </c>
    </row>
    <row r="875" spans="1:30" x14ac:dyDescent="0.25">
      <c r="A875" s="85">
        <v>46145</v>
      </c>
      <c r="B875" t="s">
        <v>13</v>
      </c>
      <c r="C875">
        <v>23</v>
      </c>
      <c r="D875" s="86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86">
        <f>AVERAGEIFS($C$2:C875, $B$2:B875, B875)</f>
        <v>26.666666666666668</v>
      </c>
      <c r="AB875" s="86">
        <f>AVERAGEIFS($I$2:I875, $B$2:B875, B875)</f>
        <v>0.56833333333333336</v>
      </c>
      <c r="AC875" s="86">
        <f>AVERAGEIFS($J$2:J875, $B$2:B875, B875)</f>
        <v>0.54333333333333322</v>
      </c>
      <c r="AD875" s="86">
        <f>AVERAGEIFS($D$2:D875, $B$2:B875, B875)</f>
        <v>0.6166666666666667</v>
      </c>
    </row>
    <row r="876" spans="1:30" x14ac:dyDescent="0.25">
      <c r="A876" s="85">
        <v>46145</v>
      </c>
      <c r="B876" t="s">
        <v>15</v>
      </c>
      <c r="C876">
        <v>13</v>
      </c>
      <c r="D876" s="86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86">
        <f>AVERAGEIFS($C$2:C876, $B$2:B876, B876)</f>
        <v>24.189189189189189</v>
      </c>
      <c r="AB876" s="86">
        <f>AVERAGEIFS($I$2:I876, $B$2:B876, B876)</f>
        <v>0.48918918918918924</v>
      </c>
      <c r="AC876" s="86">
        <f>AVERAGEIFS($J$2:J876, $B$2:B876, B876)</f>
        <v>0.5008108108108108</v>
      </c>
      <c r="AD876" s="86">
        <f>AVERAGEIFS($D$2:D876, $B$2:B876, B876)</f>
        <v>0.40540540540540543</v>
      </c>
    </row>
    <row r="877" spans="1:30" x14ac:dyDescent="0.25">
      <c r="A877" s="85">
        <v>46145</v>
      </c>
      <c r="B877" t="s">
        <v>6</v>
      </c>
      <c r="C877">
        <v>10</v>
      </c>
      <c r="D877" s="86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86">
        <f>AVERAGEIFS($C$2:C877, $B$2:B877, B877)</f>
        <v>22.964285714285715</v>
      </c>
      <c r="AB877" s="86">
        <f>AVERAGEIFS($I$2:I877, $B$2:B877, B877)</f>
        <v>0.65</v>
      </c>
      <c r="AC877" s="86">
        <f>AVERAGEIFS($J$2:J877, $B$2:B877, B877)</f>
        <v>0.56821428571428567</v>
      </c>
      <c r="AD877" s="86">
        <f>AVERAGEIFS($D$2:D877, $B$2:B877, B877)</f>
        <v>0.7142857142857143</v>
      </c>
    </row>
    <row r="878" spans="1:30" x14ac:dyDescent="0.25">
      <c r="A878" s="85">
        <v>46145</v>
      </c>
      <c r="B878" t="s">
        <v>155</v>
      </c>
      <c r="C878">
        <v>10</v>
      </c>
      <c r="D878" s="86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86">
        <f>AVERAGEIFS($C$2:C878, $B$2:B878, B878)</f>
        <v>16.869565217391305</v>
      </c>
      <c r="AB878" s="86">
        <f>AVERAGEIFS($I$2:I878, $B$2:B878, B878)</f>
        <v>0.38043478260869568</v>
      </c>
      <c r="AC878" s="86">
        <f>AVERAGEIFS($J$2:J878, $B$2:B878, B878)</f>
        <v>0.45478260869565212</v>
      </c>
      <c r="AD878" s="86">
        <f>AVERAGEIFS($D$2:D878, $B$2:B878, B878)</f>
        <v>0.30434782608695654</v>
      </c>
    </row>
    <row r="879" spans="1:30" x14ac:dyDescent="0.25">
      <c r="A879" s="85">
        <v>46145</v>
      </c>
      <c r="B879" t="s">
        <v>27</v>
      </c>
      <c r="C879">
        <v>9</v>
      </c>
      <c r="D879" s="86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86">
        <f>AVERAGEIFS($C$2:C879, $B$2:B879, B879)</f>
        <v>15.153846153846153</v>
      </c>
      <c r="AB879" s="86">
        <f>AVERAGEIFS($I$2:I879, $B$2:B879, B879)</f>
        <v>0.52692307692307694</v>
      </c>
      <c r="AC879" s="86">
        <f>AVERAGEIFS($J$2:J879, $B$2:B879, B879)</f>
        <v>0.5146153846153847</v>
      </c>
      <c r="AD879" s="86">
        <f>AVERAGEIFS($D$2:D879, $B$2:B879, B879)</f>
        <v>0.57692307692307687</v>
      </c>
    </row>
    <row r="880" spans="1:30" x14ac:dyDescent="0.25">
      <c r="A880" s="85">
        <v>46145</v>
      </c>
      <c r="B880" t="s">
        <v>179</v>
      </c>
      <c r="C880">
        <v>15</v>
      </c>
      <c r="D880" s="86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86">
        <f>AVERAGEIFS($C$2:C880, $B$2:B880, B880)</f>
        <v>14</v>
      </c>
      <c r="AB880" s="86">
        <f>AVERAGEIFS($I$2:I880, $B$2:B880, B880)</f>
        <v>0.75</v>
      </c>
      <c r="AC880" s="86">
        <f>AVERAGEIFS($J$2:J880, $B$2:B880, B880)</f>
        <v>0.54666666666666663</v>
      </c>
      <c r="AD880" s="86">
        <f>AVERAGEIFS($D$2:D880, $B$2:B880, B880)</f>
        <v>0.66666666666666663</v>
      </c>
    </row>
    <row r="881" spans="1:30" x14ac:dyDescent="0.25">
      <c r="A881" s="85">
        <v>46145</v>
      </c>
      <c r="B881" t="s">
        <v>26</v>
      </c>
      <c r="C881">
        <v>8</v>
      </c>
      <c r="D881" s="86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86">
        <f>AVERAGEIFS($C$2:C881, $B$2:B881, B881)</f>
        <v>13.617647058823529</v>
      </c>
      <c r="AB881" s="86">
        <f>AVERAGEIFS($I$2:I881, $B$2:B881, B881)</f>
        <v>0.62794117647058822</v>
      </c>
      <c r="AC881" s="86">
        <f>AVERAGEIFS($J$2:J881, $B$2:B881, B881)</f>
        <v>0.55823529411764705</v>
      </c>
      <c r="AD881" s="86">
        <f>AVERAGEIFS($D$2:D881, $B$2:B881, B881)</f>
        <v>0.67647058823529416</v>
      </c>
    </row>
    <row r="882" spans="1:30" x14ac:dyDescent="0.25">
      <c r="A882" s="85">
        <v>46145</v>
      </c>
      <c r="B882" t="s">
        <v>18</v>
      </c>
      <c r="C882">
        <v>9</v>
      </c>
      <c r="D882" s="86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26.433333333333334</v>
      </c>
      <c r="AB882" s="86">
        <f>AVERAGEIFS($I$2:I882, $B$2:B882, B882)</f>
        <v>0.46333333333333332</v>
      </c>
      <c r="AC882" s="86">
        <f>AVERAGEIFS($J$2:J882, $B$2:B882, B882)</f>
        <v>0.48133333333333345</v>
      </c>
      <c r="AD882" s="86">
        <f>AVERAGEIFS($D$2:D882, $B$2:B882, B882)</f>
        <v>0.46666666666666667</v>
      </c>
    </row>
    <row r="883" spans="1:30" x14ac:dyDescent="0.25">
      <c r="A883" s="85">
        <v>46145</v>
      </c>
      <c r="B883" t="s">
        <v>17</v>
      </c>
      <c r="C883">
        <v>11</v>
      </c>
      <c r="D883" s="86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25.358490566037737</v>
      </c>
      <c r="AB883" s="86">
        <f>AVERAGEIFS($I$2:I883, $B$2:B883, B883)</f>
        <v>0.49056603773584917</v>
      </c>
      <c r="AC883" s="86">
        <f>AVERAGEIFS($J$2:J883, $B$2:B883, B883)</f>
        <v>0.5064150943396224</v>
      </c>
      <c r="AD883" s="86">
        <f>AVERAGEIFS($D$2:D883, $B$2:B883, B883)</f>
        <v>0.43396226415094341</v>
      </c>
    </row>
    <row r="884" spans="1:30" x14ac:dyDescent="0.25">
      <c r="A884" s="85">
        <v>46145</v>
      </c>
      <c r="B884" t="s">
        <v>37</v>
      </c>
      <c r="C884">
        <v>18</v>
      </c>
      <c r="D884" s="86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19.862068965517242</v>
      </c>
      <c r="AB884" s="86">
        <f>AVERAGEIFS($I$2:I884, $B$2:B884, B884)</f>
        <v>0.40689655172413791</v>
      </c>
      <c r="AC884" s="86">
        <f>AVERAGEIFS($J$2:J884, $B$2:B884, B884)</f>
        <v>0.44724137931034486</v>
      </c>
      <c r="AD884" s="86">
        <f>AVERAGEIFS($D$2:D884, $B$2:B884, B884)</f>
        <v>0.41379310344827586</v>
      </c>
    </row>
    <row r="885" spans="1:30" x14ac:dyDescent="0.25">
      <c r="A885" s="85">
        <v>46145</v>
      </c>
      <c r="B885" t="s">
        <v>141</v>
      </c>
      <c r="C885">
        <v>10</v>
      </c>
      <c r="D885" s="86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16.833333333333332</v>
      </c>
      <c r="AB885" s="86">
        <f>AVERAGEIFS($I$2:I885, $B$2:B885, B885)</f>
        <v>0.3833333333333333</v>
      </c>
      <c r="AC885" s="86">
        <f>AVERAGEIFS($J$2:J885, $B$2:B885, B885)</f>
        <v>0.43166666666666664</v>
      </c>
      <c r="AD885" s="86">
        <f>AVERAGEIFS($D$2:D885, $B$2:B885, B885)</f>
        <v>0.16666666666666666</v>
      </c>
    </row>
    <row r="886" spans="1:30" x14ac:dyDescent="0.25">
      <c r="A886" s="85">
        <v>46145</v>
      </c>
      <c r="B886" t="s">
        <v>25</v>
      </c>
      <c r="C886">
        <v>6</v>
      </c>
      <c r="D886" s="86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17.482758620689655</v>
      </c>
      <c r="AB886" s="86">
        <f>AVERAGEIFS($I$2:I886, $B$2:B886, B886)</f>
        <v>0.56896551724137934</v>
      </c>
      <c r="AC886" s="86">
        <f>AVERAGEIFS($J$2:J886, $B$2:B886, B886)</f>
        <v>0.52482758620689662</v>
      </c>
      <c r="AD886" s="86">
        <f>AVERAGEIFS($D$2:D886, $B$2:B886, B886)</f>
        <v>0.58620689655172409</v>
      </c>
    </row>
    <row r="887" spans="1:30" x14ac:dyDescent="0.25">
      <c r="A887" s="85">
        <v>46145</v>
      </c>
      <c r="B887" t="s">
        <v>146</v>
      </c>
      <c r="C887">
        <v>12</v>
      </c>
      <c r="D887" s="86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13.384615384615385</v>
      </c>
      <c r="AB887" s="86">
        <f>AVERAGEIFS($I$2:I887, $B$2:B887, B887)</f>
        <v>0.35</v>
      </c>
      <c r="AC887" s="86">
        <f>AVERAGEIFS($J$2:J887, $B$2:B887, B887)</f>
        <v>0.44153846153846149</v>
      </c>
      <c r="AD887" s="86">
        <f>AVERAGEIFS($D$2:D887, $B$2:B887, B887)</f>
        <v>0.23076923076923078</v>
      </c>
    </row>
    <row r="888" spans="1:30" x14ac:dyDescent="0.25">
      <c r="A888" s="85">
        <v>46145</v>
      </c>
      <c r="B888" t="s">
        <v>140</v>
      </c>
      <c r="C888">
        <v>11</v>
      </c>
      <c r="D888" s="86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86">
        <f>AVERAGEIFS($C$2:C888, $B$2:B888, B888)</f>
        <v>9.3076923076923084</v>
      </c>
      <c r="AB888" s="86">
        <f>AVERAGEIFS($I$2:I888, $B$2:B888, B888)</f>
        <v>0.45769230769230773</v>
      </c>
      <c r="AC888" s="86">
        <f>AVERAGEIFS($J$2:J888, $B$2:B888, B888)</f>
        <v>0.49384615384615377</v>
      </c>
      <c r="AD888" s="86">
        <f>AVERAGEIFS($D$2:D888, $B$2:B888, B888)</f>
        <v>0.53846153846153844</v>
      </c>
    </row>
    <row r="889" spans="1:30" x14ac:dyDescent="0.25">
      <c r="A889" s="85">
        <v>46149</v>
      </c>
      <c r="B889" t="s">
        <v>14</v>
      </c>
      <c r="C889">
        <v>30</v>
      </c>
      <c r="D889" s="86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86">
        <f>AVERAGEIFS($C$2:C889, $B$2:B889, B889)</f>
        <v>24.844444444444445</v>
      </c>
      <c r="AB889" s="86">
        <f>AVERAGEIFS($I$2:I889, $B$2:B889, B889)</f>
        <v>0.47555555555555551</v>
      </c>
      <c r="AC889" s="86">
        <f>AVERAGEIFS($J$2:J889, $B$2:B889, B889)</f>
        <v>0.48688888888888898</v>
      </c>
      <c r="AD889" s="86">
        <f>AVERAGEIFS($D$2:D889, $B$2:B889, B889)</f>
        <v>0.46666666666666667</v>
      </c>
    </row>
    <row r="890" spans="1:30" x14ac:dyDescent="0.25">
      <c r="A890" s="85">
        <v>46149</v>
      </c>
      <c r="B890" t="s">
        <v>18</v>
      </c>
      <c r="C890">
        <v>23</v>
      </c>
      <c r="D890" s="86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86">
        <f>AVERAGEIFS($C$2:C890, $B$2:B890, B890)</f>
        <v>26.322580645161292</v>
      </c>
      <c r="AB890" s="86">
        <f>AVERAGEIFS($I$2:I890, $B$2:B890, B890)</f>
        <v>0.48064516129032259</v>
      </c>
      <c r="AC890" s="86">
        <f>AVERAGEIFS($J$2:J890, $B$2:B890, B890)</f>
        <v>0.48806451612903234</v>
      </c>
      <c r="AD890" s="86">
        <f>AVERAGEIFS($D$2:D890, $B$2:B890, B890)</f>
        <v>0.4838709677419355</v>
      </c>
    </row>
    <row r="891" spans="1:30" x14ac:dyDescent="0.25">
      <c r="A891" s="85">
        <v>46149</v>
      </c>
      <c r="B891" t="s">
        <v>5</v>
      </c>
      <c r="C891">
        <v>21</v>
      </c>
      <c r="D891" s="86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86">
        <f>AVERAGEIFS($C$2:C891, $B$2:B891, B891)</f>
        <v>24.944444444444443</v>
      </c>
      <c r="AB891" s="86">
        <f>AVERAGEIFS($I$2:I891, $B$2:B891, B891)</f>
        <v>0.51666666666666661</v>
      </c>
      <c r="AC891" s="86">
        <f>AVERAGEIFS($J$2:J891, $B$2:B891, B891)</f>
        <v>0.50277777777777777</v>
      </c>
      <c r="AD891" s="86">
        <f>AVERAGEIFS($D$2:D891, $B$2:B891, B891)</f>
        <v>0.55555555555555558</v>
      </c>
    </row>
    <row r="892" spans="1:30" x14ac:dyDescent="0.25">
      <c r="A892" s="85">
        <v>46149</v>
      </c>
      <c r="B892" t="s">
        <v>2</v>
      </c>
      <c r="C892">
        <v>19</v>
      </c>
      <c r="D892" s="86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86">
        <f>AVERAGEIFS($C$2:C892, $B$2:B892, B892)</f>
        <v>26.882352941176471</v>
      </c>
      <c r="AB892" s="86">
        <f>AVERAGEIFS($I$2:I892, $B$2:B892, B892)</f>
        <v>0.61470588235294121</v>
      </c>
      <c r="AC892" s="86">
        <f>AVERAGEIFS($J$2:J892, $B$2:B892, B892)</f>
        <v>0.55647058823529405</v>
      </c>
      <c r="AD892" s="86">
        <f>AVERAGEIFS($D$2:D892, $B$2:B892, B892)</f>
        <v>0.58823529411764708</v>
      </c>
    </row>
    <row r="893" spans="1:30" x14ac:dyDescent="0.25">
      <c r="A893" s="85">
        <v>46149</v>
      </c>
      <c r="B893" t="s">
        <v>150</v>
      </c>
      <c r="C893">
        <v>12</v>
      </c>
      <c r="D893" s="86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86">
        <f>AVERAGEIFS($C$2:C893, $B$2:B893, B893)</f>
        <v>17.899999999999999</v>
      </c>
      <c r="AB893" s="86">
        <f>AVERAGEIFS($I$2:I893, $B$2:B893, B893)</f>
        <v>0.76</v>
      </c>
      <c r="AC893" s="86">
        <f>AVERAGEIFS($J$2:J893, $B$2:B893, B893)</f>
        <v>0.65799999999999981</v>
      </c>
      <c r="AD893" s="86">
        <f>AVERAGEIFS($D$2:D893, $B$2:B893, B893)</f>
        <v>0.9</v>
      </c>
    </row>
    <row r="894" spans="1:30" x14ac:dyDescent="0.25">
      <c r="A894" s="85">
        <v>46149</v>
      </c>
      <c r="B894" t="s">
        <v>37</v>
      </c>
      <c r="C894">
        <v>12</v>
      </c>
      <c r="D894" s="86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86">
        <f>AVERAGEIFS($C$2:C894, $B$2:B894, B894)</f>
        <v>19.600000000000001</v>
      </c>
      <c r="AB894" s="86">
        <f>AVERAGEIFS($I$2:I894, $B$2:B894, B894)</f>
        <v>0.42666666666666664</v>
      </c>
      <c r="AC894" s="86">
        <f>AVERAGEIFS($J$2:J894, $B$2:B894, B894)</f>
        <v>0.45533333333333331</v>
      </c>
      <c r="AD894" s="86">
        <f>AVERAGEIFS($D$2:D894, $B$2:B894, B894)</f>
        <v>0.43333333333333335</v>
      </c>
    </row>
    <row r="895" spans="1:30" x14ac:dyDescent="0.25">
      <c r="A895" s="85">
        <v>46149</v>
      </c>
      <c r="B895" t="s">
        <v>35</v>
      </c>
      <c r="C895">
        <v>5</v>
      </c>
      <c r="D895" s="86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86">
        <f>AVERAGEIFS($C$2:C895, $B$2:B895, B895)</f>
        <v>12.3</v>
      </c>
      <c r="AB895" s="86">
        <f>AVERAGEIFS($I$2:I895, $B$2:B895, B895)</f>
        <v>0.47333333333333333</v>
      </c>
      <c r="AC895" s="86">
        <f>AVERAGEIFS($J$2:J895, $B$2:B895, B895)</f>
        <v>0.47966666666666674</v>
      </c>
      <c r="AD895" s="86">
        <f>AVERAGEIFS($D$2:D895, $B$2:B895, B895)</f>
        <v>0.56666666666666665</v>
      </c>
    </row>
    <row r="896" spans="1:30" x14ac:dyDescent="0.25">
      <c r="A896" s="85">
        <v>46149</v>
      </c>
      <c r="B896" t="s">
        <v>140</v>
      </c>
      <c r="C896">
        <v>3</v>
      </c>
      <c r="D896" s="86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86">
        <f>AVERAGEIFS($C$2:C896, $B$2:B896, B896)</f>
        <v>8.8571428571428577</v>
      </c>
      <c r="AB896" s="86">
        <f>AVERAGEIFS($I$2:I896, $B$2:B896, B896)</f>
        <v>0.49642857142857144</v>
      </c>
      <c r="AC896" s="86">
        <f>AVERAGEIFS($J$2:J896, $B$2:B896, B896)</f>
        <v>0.50785714285714278</v>
      </c>
      <c r="AD896" s="86">
        <f>AVERAGEIFS($D$2:D896, $B$2:B896, B896)</f>
        <v>0.5714285714285714</v>
      </c>
    </row>
    <row r="897" spans="1:30" x14ac:dyDescent="0.25">
      <c r="A897" s="85">
        <v>46149</v>
      </c>
      <c r="B897" t="s">
        <v>13</v>
      </c>
      <c r="C897">
        <v>18</v>
      </c>
      <c r="D897" s="86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86">
        <f>AVERAGEIFS($C$2:C897, $B$2:B897, B897)</f>
        <v>26.524590163934427</v>
      </c>
      <c r="AB897" s="86">
        <f>AVERAGEIFS($I$2:I897, $B$2:B897, B897)</f>
        <v>0.55901639344262299</v>
      </c>
      <c r="AC897" s="86">
        <f>AVERAGEIFS($J$2:J897, $B$2:B897, B897)</f>
        <v>0.53950819672131145</v>
      </c>
      <c r="AD897" s="86">
        <f>AVERAGEIFS($D$2:D897, $B$2:B897, B897)</f>
        <v>0.60655737704918034</v>
      </c>
    </row>
    <row r="898" spans="1:30" x14ac:dyDescent="0.25">
      <c r="A898" s="85">
        <v>46149</v>
      </c>
      <c r="B898" t="s">
        <v>113</v>
      </c>
      <c r="C898">
        <v>18</v>
      </c>
      <c r="D898" s="86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86">
        <f>AVERAGEIFS($C$2:C898, $B$2:B898, B898)</f>
        <v>18.384615384615383</v>
      </c>
      <c r="AB898" s="86">
        <f>AVERAGEIFS($I$2:I898, $B$2:B898, B898)</f>
        <v>0.60384615384615392</v>
      </c>
      <c r="AC898" s="86">
        <f>AVERAGEIFS($J$2:J898, $B$2:B898, B898)</f>
        <v>0.53615384615384598</v>
      </c>
      <c r="AD898" s="86">
        <f>AVERAGEIFS($D$2:D898, $B$2:B898, B898)</f>
        <v>0.69230769230769229</v>
      </c>
    </row>
    <row r="899" spans="1:30" x14ac:dyDescent="0.25">
      <c r="A899" s="85">
        <v>46149</v>
      </c>
      <c r="B899" t="s">
        <v>15</v>
      </c>
      <c r="C899">
        <v>16</v>
      </c>
      <c r="D899" s="86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86">
        <f>AVERAGEIFS($C$2:C899, $B$2:B899, B899)</f>
        <v>23.973684210526315</v>
      </c>
      <c r="AB899" s="86">
        <f>AVERAGEIFS($I$2:I899, $B$2:B899, B899)</f>
        <v>0.47631578947368425</v>
      </c>
      <c r="AC899" s="86">
        <f>AVERAGEIFS($J$2:J899, $B$2:B899, B899)</f>
        <v>0.4957894736842105</v>
      </c>
      <c r="AD899" s="86">
        <f>AVERAGEIFS($D$2:D899, $B$2:B899, B899)</f>
        <v>0.39473684210526316</v>
      </c>
    </row>
    <row r="900" spans="1:30" x14ac:dyDescent="0.25">
      <c r="A900" s="85">
        <v>46149</v>
      </c>
      <c r="B900" t="s">
        <v>155</v>
      </c>
      <c r="C900">
        <v>15</v>
      </c>
      <c r="D900" s="86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86">
        <f>AVERAGEIFS($C$2:C900, $B$2:B900, B900)</f>
        <v>16.791666666666668</v>
      </c>
      <c r="AB900" s="86">
        <f>AVERAGEIFS($I$2:I900, $B$2:B900, B900)</f>
        <v>0.36458333333333331</v>
      </c>
      <c r="AC900" s="86">
        <f>AVERAGEIFS($J$2:J900, $B$2:B900, B900)</f>
        <v>0.44874999999999998</v>
      </c>
      <c r="AD900" s="86">
        <f>AVERAGEIFS($D$2:D900, $B$2:B900, B900)</f>
        <v>0.29166666666666669</v>
      </c>
    </row>
    <row r="901" spans="1:30" x14ac:dyDescent="0.25">
      <c r="A901" s="85">
        <v>46149</v>
      </c>
      <c r="B901" t="s">
        <v>154</v>
      </c>
      <c r="C901">
        <v>10</v>
      </c>
      <c r="D901" s="86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86">
        <f>AVERAGEIFS($C$2:C901, $B$2:B901, B901)</f>
        <v>11.3</v>
      </c>
      <c r="AB901" s="86">
        <f>AVERAGEIFS($I$2:I901, $B$2:B901, B901)</f>
        <v>0.53500000000000003</v>
      </c>
      <c r="AC901" s="86">
        <f>AVERAGEIFS($J$2:J901, $B$2:B901, B901)</f>
        <v>0.52499999999999991</v>
      </c>
      <c r="AD901" s="86">
        <f>AVERAGEIFS($D$2:D901, $B$2:B901, B901)</f>
        <v>0.6</v>
      </c>
    </row>
    <row r="902" spans="1:30" x14ac:dyDescent="0.25">
      <c r="A902" s="85">
        <v>46149</v>
      </c>
      <c r="B902" t="s">
        <v>148</v>
      </c>
      <c r="C902">
        <v>9</v>
      </c>
      <c r="D902" s="86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86">
        <f>AVERAGEIFS($C$2:C902, $B$2:B902, B902)</f>
        <v>13.266666666666667</v>
      </c>
      <c r="AB902" s="86">
        <f>AVERAGEIFS($I$2:I902, $B$2:B902, B902)</f>
        <v>0.53833333333333333</v>
      </c>
      <c r="AC902" s="86">
        <f>AVERAGEIFS($J$2:J902, $B$2:B902, B902)</f>
        <v>0.51533333333333342</v>
      </c>
      <c r="AD902" s="86">
        <f>AVERAGEIFS($D$2:D902, $B$2:B902, B902)</f>
        <v>0.56666666666666665</v>
      </c>
    </row>
    <row r="903" spans="1:30" x14ac:dyDescent="0.25">
      <c r="A903" s="85">
        <v>46149</v>
      </c>
      <c r="B903" t="s">
        <v>17</v>
      </c>
      <c r="C903">
        <v>9</v>
      </c>
      <c r="D903" s="86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86">
        <f>AVERAGEIFS($C$2:C903, $B$2:B903, B903)</f>
        <v>25.055555555555557</v>
      </c>
      <c r="AB903" s="86">
        <f>AVERAGEIFS($I$2:I903, $B$2:B903, B903)</f>
        <v>0.48148148148148162</v>
      </c>
      <c r="AC903" s="86">
        <f>AVERAGEIFS($J$2:J903, $B$2:B903, B903)</f>
        <v>0.50277777777777755</v>
      </c>
      <c r="AD903" s="86">
        <f>AVERAGEIFS($D$2:D903, $B$2:B903, B903)</f>
        <v>0.42592592592592593</v>
      </c>
    </row>
    <row r="904" spans="1:30" x14ac:dyDescent="0.25">
      <c r="A904" s="85">
        <v>46149</v>
      </c>
      <c r="B904" t="s">
        <v>139</v>
      </c>
      <c r="C904">
        <v>5</v>
      </c>
      <c r="D904" s="86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86">
        <f>AVERAGEIFS($C$2:C904, $B$2:B904, B904)</f>
        <v>10.333333333333334</v>
      </c>
      <c r="AB904" s="86">
        <f>AVERAGEIFS($I$2:I904, $B$2:B904, B904)</f>
        <v>0.51666666666666661</v>
      </c>
      <c r="AC904" s="86">
        <f>AVERAGEIFS($J$2:J904, $B$2:B904, B904)</f>
        <v>0.52222222222222214</v>
      </c>
      <c r="AD904" s="86">
        <f>AVERAGEIFS($D$2:D904, $B$2:B904, B904)</f>
        <v>0.61111111111111116</v>
      </c>
    </row>
    <row r="905" spans="1:30" x14ac:dyDescent="0.25">
      <c r="A905" s="85">
        <v>46149</v>
      </c>
      <c r="B905" t="s">
        <v>13</v>
      </c>
      <c r="C905">
        <v>16</v>
      </c>
      <c r="D905" s="86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86">
        <f>AVERAGEIFS($C$2:C905, $B$2:B905, B905)</f>
        <v>26.35483870967742</v>
      </c>
      <c r="AB905" s="86">
        <f>AVERAGEIFS($I$2:I905, $B$2:B905, B905)</f>
        <v>0.56209677419354842</v>
      </c>
      <c r="AC905" s="86">
        <f>AVERAGEIFS($J$2:J905, $B$2:B905, B905)</f>
        <v>0.5409677419354838</v>
      </c>
      <c r="AD905" s="86">
        <f>AVERAGEIFS($D$2:D905, $B$2:B905, B905)</f>
        <v>0.61290322580645162</v>
      </c>
    </row>
    <row r="906" spans="1:30" x14ac:dyDescent="0.25">
      <c r="A906" s="85">
        <v>46149</v>
      </c>
      <c r="B906" t="s">
        <v>15</v>
      </c>
      <c r="C906">
        <v>14</v>
      </c>
      <c r="D906" s="86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86">
        <f>AVERAGEIFS($C$2:C906, $B$2:B906, B906)</f>
        <v>23.717948717948719</v>
      </c>
      <c r="AB906" s="86">
        <f>AVERAGEIFS($I$2:I906, $B$2:B906, B906)</f>
        <v>0.48333333333333339</v>
      </c>
      <c r="AC906" s="86">
        <f>AVERAGEIFS($J$2:J906, $B$2:B906, B906)</f>
        <v>0.4992307692307692</v>
      </c>
      <c r="AD906" s="86">
        <f>AVERAGEIFS($D$2:D906, $B$2:B906, B906)</f>
        <v>0.41025641025641024</v>
      </c>
    </row>
    <row r="907" spans="1:30" x14ac:dyDescent="0.25">
      <c r="A907" s="85">
        <v>46149</v>
      </c>
      <c r="B907" t="s">
        <v>29</v>
      </c>
      <c r="C907">
        <v>9</v>
      </c>
      <c r="D907" s="86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86">
        <f>AVERAGEIFS($C$2:C907, $B$2:B907, B907)</f>
        <v>10.760869565217391</v>
      </c>
      <c r="AB907" s="86">
        <f>AVERAGEIFS($I$2:I907, $B$2:B907, B907)</f>
        <v>0.45869565217391306</v>
      </c>
      <c r="AC907" s="86">
        <f>AVERAGEIFS($J$2:J907, $B$2:B907, B907)</f>
        <v>0.49391304347826087</v>
      </c>
      <c r="AD907" s="86">
        <f>AVERAGEIFS($D$2:D907, $B$2:B907, B907)</f>
        <v>0.43478260869565216</v>
      </c>
    </row>
    <row r="908" spans="1:30" x14ac:dyDescent="0.25">
      <c r="A908" s="85">
        <v>46149</v>
      </c>
      <c r="B908" t="s">
        <v>18</v>
      </c>
      <c r="C908">
        <v>30</v>
      </c>
      <c r="D908" s="86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86">
        <f>AVERAGEIFS($C$2:C908, $B$2:B908, B908)</f>
        <v>26.4375</v>
      </c>
      <c r="AB908" s="86">
        <f>AVERAGEIFS($I$2:I908, $B$2:B908, B908)</f>
        <v>0.48906250000000001</v>
      </c>
      <c r="AC908" s="86">
        <f>AVERAGEIFS($J$2:J908, $B$2:B908, B908)</f>
        <v>0.4925000000000001</v>
      </c>
      <c r="AD908" s="86">
        <f>AVERAGEIFS($D$2:D908, $B$2:B908, B908)</f>
        <v>0.5</v>
      </c>
    </row>
    <row r="909" spans="1:30" x14ac:dyDescent="0.25">
      <c r="A909" s="85">
        <v>46149</v>
      </c>
      <c r="B909" t="s">
        <v>141</v>
      </c>
      <c r="C909">
        <v>17</v>
      </c>
      <c r="D909" s="86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86">
        <f>AVERAGEIFS($C$2:C909, $B$2:B909, B909)</f>
        <v>16.857142857142858</v>
      </c>
      <c r="AB909" s="86">
        <f>AVERAGEIFS($I$2:I909, $B$2:B909, B909)</f>
        <v>0.43571428571428567</v>
      </c>
      <c r="AC909" s="86">
        <f>AVERAGEIFS($J$2:J909, $B$2:B909, B909)</f>
        <v>0.45999999999999996</v>
      </c>
      <c r="AD909" s="86">
        <f>AVERAGEIFS($D$2:D909, $B$2:B909, B909)</f>
        <v>0.2857142857142857</v>
      </c>
    </row>
    <row r="910" spans="1:30" x14ac:dyDescent="0.25">
      <c r="A910" s="85">
        <v>46149</v>
      </c>
      <c r="B910" t="s">
        <v>155</v>
      </c>
      <c r="C910">
        <v>18</v>
      </c>
      <c r="D910" s="86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86">
        <f>AVERAGEIFS($C$2:C910, $B$2:B910, B910)</f>
        <v>16.84</v>
      </c>
      <c r="AB910" s="86">
        <f>AVERAGEIFS($I$2:I910, $B$2:B910, B910)</f>
        <v>0.38</v>
      </c>
      <c r="AC910" s="86">
        <f>AVERAGEIFS($J$2:J910, $B$2:B910, B910)</f>
        <v>0.45600000000000002</v>
      </c>
      <c r="AD910" s="86">
        <f>AVERAGEIFS($D$2:D910, $B$2:B910, B910)</f>
        <v>0.32</v>
      </c>
    </row>
    <row r="911" spans="1:30" x14ac:dyDescent="0.25">
      <c r="A911" s="85">
        <v>46149</v>
      </c>
      <c r="B911" t="s">
        <v>35</v>
      </c>
      <c r="C911">
        <v>13</v>
      </c>
      <c r="D911" s="86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86">
        <f>AVERAGEIFS($C$2:C911, $B$2:B911, B911)</f>
        <v>12.32258064516129</v>
      </c>
      <c r="AB911" s="86">
        <f>AVERAGEIFS($I$2:I911, $B$2:B911, B911)</f>
        <v>0.48225806451612901</v>
      </c>
      <c r="AC911" s="86">
        <f>AVERAGEIFS($J$2:J911, $B$2:B911, B911)</f>
        <v>0.48451612903225816</v>
      </c>
      <c r="AD911" s="86">
        <f>AVERAGEIFS($D$2:D911, $B$2:B911, B911)</f>
        <v>0.58064516129032262</v>
      </c>
    </row>
    <row r="912" spans="1:30" x14ac:dyDescent="0.25">
      <c r="A912" s="85">
        <v>46149</v>
      </c>
      <c r="B912" t="s">
        <v>6</v>
      </c>
      <c r="C912">
        <v>16</v>
      </c>
      <c r="D912" s="86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86">
        <f>AVERAGEIFS($C$2:C912, $B$2:B912, B912)</f>
        <v>22.724137931034484</v>
      </c>
      <c r="AB912" s="86">
        <f>AVERAGEIFS($I$2:I912, $B$2:B912, B912)</f>
        <v>0.63620689655172413</v>
      </c>
      <c r="AC912" s="86">
        <f>AVERAGEIFS($J$2:J912, $B$2:B912, B912)</f>
        <v>0.56172413793103448</v>
      </c>
      <c r="AD912" s="86">
        <f>AVERAGEIFS($D$2:D912, $B$2:B912, B912)</f>
        <v>0.68965517241379315</v>
      </c>
    </row>
    <row r="913" spans="1:30" x14ac:dyDescent="0.25">
      <c r="A913" s="85">
        <v>46149</v>
      </c>
      <c r="B913" t="s">
        <v>146</v>
      </c>
      <c r="C913">
        <v>8</v>
      </c>
      <c r="D913" s="86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86">
        <f>AVERAGEIFS($C$2:C913, $B$2:B913, B913)</f>
        <v>13</v>
      </c>
      <c r="AB913" s="86">
        <f>AVERAGEIFS($I$2:I913, $B$2:B913, B913)</f>
        <v>0.34285714285714286</v>
      </c>
      <c r="AC913" s="86">
        <f>AVERAGEIFS($J$2:J913, $B$2:B913, B913)</f>
        <v>0.43714285714285711</v>
      </c>
      <c r="AD913" s="86">
        <f>AVERAGEIFS($D$2:D913, $B$2:B913, B913)</f>
        <v>0.21428571428571427</v>
      </c>
    </row>
    <row r="914" spans="1:30" x14ac:dyDescent="0.25">
      <c r="A914" s="85">
        <v>46149</v>
      </c>
      <c r="B914" t="s">
        <v>154</v>
      </c>
      <c r="C914">
        <v>12</v>
      </c>
      <c r="D914" s="86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86">
        <f>AVERAGEIFS($C$2:C914, $B$2:B914, B914)</f>
        <v>11.363636363636363</v>
      </c>
      <c r="AB914" s="86">
        <f>AVERAGEIFS($I$2:I914, $B$2:B914, B914)</f>
        <v>0.50909090909090915</v>
      </c>
      <c r="AC914" s="86">
        <f>AVERAGEIFS($J$2:J914, $B$2:B914, B914)</f>
        <v>0.51181818181818173</v>
      </c>
      <c r="AD914" s="86">
        <f>AVERAGEIFS($D$2:D914, $B$2:B914, B914)</f>
        <v>0.54545454545454541</v>
      </c>
    </row>
    <row r="915" spans="1:30" x14ac:dyDescent="0.25">
      <c r="A915" s="85">
        <v>46149</v>
      </c>
      <c r="B915" t="s">
        <v>113</v>
      </c>
      <c r="C915">
        <v>16</v>
      </c>
      <c r="D915" s="86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86">
        <f>AVERAGEIFS($C$2:C915, $B$2:B915, B915)</f>
        <v>18.214285714285715</v>
      </c>
      <c r="AB915" s="86">
        <f>AVERAGEIFS($I$2:I915, $B$2:B915, B915)</f>
        <v>0.57857142857142863</v>
      </c>
      <c r="AC915" s="86">
        <f>AVERAGEIFS($J$2:J915, $B$2:B915, B915)</f>
        <v>0.5249999999999998</v>
      </c>
      <c r="AD915" s="86">
        <f>AVERAGEIFS($D$2:D915, $B$2:B915, B915)</f>
        <v>0.6428571428571429</v>
      </c>
    </row>
    <row r="916" spans="1:30" x14ac:dyDescent="0.25">
      <c r="A916" s="85">
        <v>46149</v>
      </c>
      <c r="B916" t="s">
        <v>5</v>
      </c>
      <c r="C916">
        <v>18</v>
      </c>
      <c r="D916" s="86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86">
        <f>AVERAGEIFS($C$2:C916, $B$2:B916, B916)</f>
        <v>24.578947368421051</v>
      </c>
      <c r="AB916" s="86">
        <f>AVERAGEIFS($I$2:I916, $B$2:B916, B916)</f>
        <v>0.50263157894736832</v>
      </c>
      <c r="AC916" s="86">
        <f>AVERAGEIFS($J$2:J916, $B$2:B916, B916)</f>
        <v>0.49631578947368421</v>
      </c>
      <c r="AD916" s="86">
        <f>AVERAGEIFS($D$2:D916, $B$2:B916, B916)</f>
        <v>0.52631578947368418</v>
      </c>
    </row>
    <row r="917" spans="1:30" x14ac:dyDescent="0.25">
      <c r="A917" s="85">
        <v>46149</v>
      </c>
      <c r="B917" t="s">
        <v>150</v>
      </c>
      <c r="C917">
        <v>15</v>
      </c>
      <c r="D917" s="86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86">
        <f>AVERAGEIFS($C$2:C917, $B$2:B917, B917)</f>
        <v>17.636363636363637</v>
      </c>
      <c r="AB917" s="86">
        <f>AVERAGEIFS($I$2:I917, $B$2:B917, B917)</f>
        <v>0.71363636363636362</v>
      </c>
      <c r="AC917" s="86">
        <f>AVERAGEIFS($J$2:J917, $B$2:B917, B917)</f>
        <v>0.63272727272727258</v>
      </c>
      <c r="AD917" s="86">
        <f>AVERAGEIFS($D$2:D917, $B$2:B917, B917)</f>
        <v>0.81818181818181823</v>
      </c>
    </row>
    <row r="918" spans="1:30" x14ac:dyDescent="0.25">
      <c r="A918" s="85">
        <v>46149</v>
      </c>
      <c r="B918" t="s">
        <v>140</v>
      </c>
      <c r="C918">
        <v>12</v>
      </c>
      <c r="D918" s="86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86">
        <f>AVERAGEIFS($C$2:C918, $B$2:B918, B918)</f>
        <v>9.0666666666666664</v>
      </c>
      <c r="AB918" s="86">
        <f>AVERAGEIFS($I$2:I918, $B$2:B918, B918)</f>
        <v>0.48000000000000004</v>
      </c>
      <c r="AC918" s="86">
        <f>AVERAGEIFS($J$2:J918, $B$2:B918, B918)</f>
        <v>0.4993333333333333</v>
      </c>
      <c r="AD918" s="86">
        <f>AVERAGEIFS($D$2:D918, $B$2:B918, B918)</f>
        <v>0.53333333333333333</v>
      </c>
    </row>
    <row r="919" spans="1:30" x14ac:dyDescent="0.25">
      <c r="A919" s="85">
        <v>46149</v>
      </c>
      <c r="B919" t="s">
        <v>6</v>
      </c>
      <c r="C919">
        <v>66</v>
      </c>
      <c r="D919" s="86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86">
        <f>AVERAGEIFS($C$2:C919, $B$2:B919, B919)</f>
        <v>24.166666666666668</v>
      </c>
      <c r="AB919" s="86">
        <f>AVERAGEIFS($I$2:I919, $B$2:B919, B919)</f>
        <v>0.63500000000000001</v>
      </c>
      <c r="AC919" s="86">
        <f>AVERAGEIFS($J$2:J919, $B$2:B919, B919)</f>
        <v>0.56033333333333324</v>
      </c>
      <c r="AD919" s="86">
        <f>AVERAGEIFS($D$2:D919, $B$2:B919, B919)</f>
        <v>0.7</v>
      </c>
    </row>
    <row r="920" spans="1:30" x14ac:dyDescent="0.25">
      <c r="A920" s="85">
        <v>46149</v>
      </c>
      <c r="B920" t="s">
        <v>113</v>
      </c>
      <c r="C920">
        <v>50</v>
      </c>
      <c r="D920" s="86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86">
        <f>AVERAGEIFS($C$2:C920, $B$2:B920, B920)</f>
        <v>20.333333333333332</v>
      </c>
      <c r="AB920" s="86">
        <f>AVERAGEIFS($I$2:I920, $B$2:B920, B920)</f>
        <v>0.58000000000000007</v>
      </c>
      <c r="AC920" s="86">
        <f>AVERAGEIFS($J$2:J920, $B$2:B920, B920)</f>
        <v>0.5246666666666665</v>
      </c>
      <c r="AD920" s="86">
        <f>AVERAGEIFS($D$2:D920, $B$2:B920, B920)</f>
        <v>0.66666666666666663</v>
      </c>
    </row>
    <row r="921" spans="1:30" x14ac:dyDescent="0.25">
      <c r="A921" s="85">
        <v>46149</v>
      </c>
      <c r="B921" t="s">
        <v>40</v>
      </c>
      <c r="C921">
        <v>40</v>
      </c>
      <c r="D921" s="86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86">
        <f>AVERAGEIFS($C$2:C921, $B$2:B921, B921)</f>
        <v>19.375</v>
      </c>
      <c r="AB921" s="86">
        <f>AVERAGEIFS($I$2:I921, $B$2:B921, B921)</f>
        <v>0.45624999999999993</v>
      </c>
      <c r="AC921" s="86">
        <f>AVERAGEIFS($J$2:J921, $B$2:B921, B921)</f>
        <v>0.45437499999999997</v>
      </c>
      <c r="AD921" s="86">
        <f>AVERAGEIFS($D$2:D921, $B$2:B921, B921)</f>
        <v>0.375</v>
      </c>
    </row>
    <row r="922" spans="1:30" x14ac:dyDescent="0.25">
      <c r="A922" s="85">
        <v>46149</v>
      </c>
      <c r="B922" t="s">
        <v>147</v>
      </c>
      <c r="C922">
        <v>35</v>
      </c>
      <c r="D922" s="86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86">
        <f>AVERAGEIFS($C$2:C922, $B$2:B922, B922)</f>
        <v>18.727272727272727</v>
      </c>
      <c r="AB922" s="86">
        <f>AVERAGEIFS($I$2:I922, $B$2:B922, B922)</f>
        <v>0.35909090909090913</v>
      </c>
      <c r="AC922" s="86">
        <f>AVERAGEIFS($J$2:J922, $B$2:B922, B922)</f>
        <v>0.43636363636363645</v>
      </c>
      <c r="AD922" s="86">
        <f>AVERAGEIFS($D$2:D922, $B$2:B922, B922)</f>
        <v>0.27272727272727271</v>
      </c>
    </row>
    <row r="923" spans="1:30" x14ac:dyDescent="0.25">
      <c r="A923" s="85">
        <v>46149</v>
      </c>
      <c r="B923" t="s">
        <v>154</v>
      </c>
      <c r="C923">
        <v>35</v>
      </c>
      <c r="D923" s="86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86">
        <f>AVERAGEIFS($C$2:C923, $B$2:B923, B923)</f>
        <v>13.333333333333334</v>
      </c>
      <c r="AB923" s="86">
        <f>AVERAGEIFS($I$2:I923, $B$2:B923, B923)</f>
        <v>0.51666666666666672</v>
      </c>
      <c r="AC923" s="86">
        <f>AVERAGEIFS($J$2:J923, $B$2:B923, B923)</f>
        <v>0.51249999999999984</v>
      </c>
      <c r="AD923" s="86">
        <f>AVERAGEIFS($D$2:D923, $B$2:B923, B923)</f>
        <v>0.58333333333333337</v>
      </c>
    </row>
    <row r="924" spans="1:30" x14ac:dyDescent="0.25">
      <c r="A924" s="85">
        <v>46149</v>
      </c>
      <c r="B924" t="s">
        <v>146</v>
      </c>
      <c r="C924">
        <v>22</v>
      </c>
      <c r="D924" s="86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86">
        <f>AVERAGEIFS($C$2:C924, $B$2:B924, B924)</f>
        <v>13.6</v>
      </c>
      <c r="AB924" s="86">
        <f>AVERAGEIFS($I$2:I924, $B$2:B924, B924)</f>
        <v>0.36</v>
      </c>
      <c r="AC924" s="86">
        <f>AVERAGEIFS($J$2:J924, $B$2:B924, B924)</f>
        <v>0.4426666666666666</v>
      </c>
      <c r="AD924" s="86">
        <f>AVERAGEIFS($D$2:D924, $B$2:B924, B924)</f>
        <v>0.26666666666666666</v>
      </c>
    </row>
    <row r="925" spans="1:30" x14ac:dyDescent="0.25">
      <c r="A925" s="85">
        <v>46149</v>
      </c>
      <c r="B925" t="s">
        <v>2</v>
      </c>
      <c r="C925">
        <v>68</v>
      </c>
      <c r="D925" s="86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86">
        <f>AVERAGEIFS($C$2:C925, $B$2:B925, B925)</f>
        <v>29.166666666666668</v>
      </c>
      <c r="AB925" s="86">
        <f>AVERAGEIFS($I$2:I925, $B$2:B925, B925)</f>
        <v>0.60277777777777786</v>
      </c>
      <c r="AC925" s="86">
        <f>AVERAGEIFS($J$2:J925, $B$2:B925, B925)</f>
        <v>0.55222222222222217</v>
      </c>
      <c r="AD925" s="86">
        <f>AVERAGEIFS($D$2:D925, $B$2:B925, B925)</f>
        <v>0.55555555555555558</v>
      </c>
    </row>
    <row r="926" spans="1:30" x14ac:dyDescent="0.25">
      <c r="A926" s="85">
        <v>46149</v>
      </c>
      <c r="B926" t="s">
        <v>18</v>
      </c>
      <c r="C926">
        <v>58</v>
      </c>
      <c r="D926" s="86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86">
        <f>AVERAGEIFS($C$2:C926, $B$2:B926, B926)</f>
        <v>27.393939393939394</v>
      </c>
      <c r="AB926" s="86">
        <f>AVERAGEIFS($I$2:I926, $B$2:B926, B926)</f>
        <v>0.48636363636363639</v>
      </c>
      <c r="AC926" s="86">
        <f>AVERAGEIFS($J$2:J926, $B$2:B926, B926)</f>
        <v>0.49212121212121218</v>
      </c>
      <c r="AD926" s="86">
        <f>AVERAGEIFS($D$2:D926, $B$2:B926, B926)</f>
        <v>0.48484848484848486</v>
      </c>
    </row>
    <row r="927" spans="1:30" x14ac:dyDescent="0.25">
      <c r="A927" s="85">
        <v>46149</v>
      </c>
      <c r="B927" t="s">
        <v>25</v>
      </c>
      <c r="C927">
        <v>50</v>
      </c>
      <c r="D927" s="86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86">
        <f>AVERAGEIFS($C$2:C927, $B$2:B927, B927)</f>
        <v>18.566666666666666</v>
      </c>
      <c r="AB927" s="86">
        <f>AVERAGEIFS($I$2:I927, $B$2:B927, B927)</f>
        <v>0.56333333333333324</v>
      </c>
      <c r="AC927" s="86">
        <f>AVERAGEIFS($J$2:J927, $B$2:B927, B927)</f>
        <v>0.52333333333333332</v>
      </c>
      <c r="AD927" s="86">
        <f>AVERAGEIFS($D$2:D927, $B$2:B927, B927)</f>
        <v>0.56666666666666665</v>
      </c>
    </row>
    <row r="928" spans="1:30" x14ac:dyDescent="0.25">
      <c r="A928" s="85">
        <v>46149</v>
      </c>
      <c r="B928" t="s">
        <v>150</v>
      </c>
      <c r="C928">
        <v>41</v>
      </c>
      <c r="D928" s="86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86">
        <f>AVERAGEIFS($C$2:C928, $B$2:B928, B928)</f>
        <v>19.583333333333332</v>
      </c>
      <c r="AB928" s="86">
        <f>AVERAGEIFS($I$2:I928, $B$2:B928, B928)</f>
        <v>0.6875</v>
      </c>
      <c r="AC928" s="86">
        <f>AVERAGEIFS($J$2:J928, $B$2:B928, B928)</f>
        <v>0.61999999999999977</v>
      </c>
      <c r="AD928" s="86">
        <f>AVERAGEIFS($D$2:D928, $B$2:B928, B928)</f>
        <v>0.75</v>
      </c>
    </row>
    <row r="929" spans="1:30" x14ac:dyDescent="0.25">
      <c r="A929" s="85">
        <v>46149</v>
      </c>
      <c r="B929" t="s">
        <v>45</v>
      </c>
      <c r="C929">
        <v>29</v>
      </c>
      <c r="D929" s="86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86">
        <f>AVERAGEIFS($C$2:C929, $B$2:B929, B929)</f>
        <v>13.434782608695652</v>
      </c>
      <c r="AB929" s="86">
        <f>AVERAGEIFS($I$2:I929, $B$2:B929, B929)</f>
        <v>0.46086956521739136</v>
      </c>
      <c r="AC929" s="86">
        <f>AVERAGEIFS($J$2:J929, $B$2:B929, B929)</f>
        <v>0.48130434782608705</v>
      </c>
      <c r="AD929" s="86">
        <f>AVERAGEIFS($D$2:D929, $B$2:B929, B929)</f>
        <v>0.39130434782608697</v>
      </c>
    </row>
    <row r="930" spans="1:30" x14ac:dyDescent="0.25">
      <c r="A930" s="85">
        <v>46149</v>
      </c>
      <c r="B930" t="s">
        <v>140</v>
      </c>
      <c r="C930">
        <v>18</v>
      </c>
      <c r="D930" s="86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86">
        <f>AVERAGEIFS($C$2:C930, $B$2:B930, B930)</f>
        <v>9.625</v>
      </c>
      <c r="AB930" s="86">
        <f>AVERAGEIFS($I$2:I930, $B$2:B930, B930)</f>
        <v>0.47500000000000003</v>
      </c>
      <c r="AC930" s="86">
        <f>AVERAGEIFS($J$2:J930, $B$2:B930, B930)</f>
        <v>0.49812499999999993</v>
      </c>
      <c r="AD930" s="86">
        <f>AVERAGEIFS($D$2:D930, $B$2:B930, B930)</f>
        <v>0.5</v>
      </c>
    </row>
    <row r="931" spans="1:30" x14ac:dyDescent="0.25">
      <c r="A931" s="85">
        <v>46150</v>
      </c>
      <c r="B931" t="s">
        <v>35</v>
      </c>
      <c r="C931">
        <v>17</v>
      </c>
      <c r="D931" s="86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86">
        <f>AVERAGEIFS($C$2:C931, $B$2:B931, B931)</f>
        <v>12.46875</v>
      </c>
      <c r="AB931" s="86">
        <f>AVERAGEIFS($I$2:I931, $B$2:B931, B931)</f>
        <v>0.49843749999999998</v>
      </c>
      <c r="AC931" s="86">
        <f>AVERAGEIFS($J$2:J931, $B$2:B931, B931)</f>
        <v>0.4928125000000001</v>
      </c>
      <c r="AD931" s="86">
        <f>AVERAGEIFS($D$2:D931, $B$2:B931, B931)</f>
        <v>0.59375</v>
      </c>
    </row>
    <row r="932" spans="1:30" x14ac:dyDescent="0.25">
      <c r="A932" s="85">
        <v>46150</v>
      </c>
      <c r="B932" t="s">
        <v>17</v>
      </c>
      <c r="C932">
        <v>17</v>
      </c>
      <c r="D932" s="86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86">
        <f>AVERAGEIFS($C$2:C932, $B$2:B932, B932)</f>
        <v>24.90909090909091</v>
      </c>
      <c r="AB932" s="86">
        <f>AVERAGEIFS($I$2:I932, $B$2:B932, B932)</f>
        <v>0.49090909090909102</v>
      </c>
      <c r="AC932" s="86">
        <f>AVERAGEIFS($J$2:J932, $B$2:B932, B932)</f>
        <v>0.5072727272727271</v>
      </c>
      <c r="AD932" s="86">
        <f>AVERAGEIFS($D$2:D932, $B$2:B932, B932)</f>
        <v>0.43636363636363634</v>
      </c>
    </row>
    <row r="933" spans="1:30" x14ac:dyDescent="0.25">
      <c r="A933" s="85">
        <v>46150</v>
      </c>
      <c r="B933" t="s">
        <v>179</v>
      </c>
      <c r="C933">
        <v>14</v>
      </c>
      <c r="D933" s="86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86">
        <f>AVERAGEIFS($C$2:C933, $B$2:B933, B933)</f>
        <v>14</v>
      </c>
      <c r="AB933" s="86">
        <f>AVERAGEIFS($I$2:I933, $B$2:B933, B933)</f>
        <v>0.8125</v>
      </c>
      <c r="AC933" s="86">
        <f>AVERAGEIFS($J$2:J933, $B$2:B933, B933)</f>
        <v>0.59749999999999992</v>
      </c>
      <c r="AD933" s="86">
        <f>AVERAGEIFS($D$2:D933, $B$2:B933, B933)</f>
        <v>0.75</v>
      </c>
    </row>
    <row r="934" spans="1:30" x14ac:dyDescent="0.25">
      <c r="A934" s="85">
        <v>46150</v>
      </c>
      <c r="B934" t="s">
        <v>29</v>
      </c>
      <c r="C934">
        <v>11</v>
      </c>
      <c r="D934" s="86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86">
        <f>AVERAGEIFS($C$2:C934, $B$2:B934, B934)</f>
        <v>10.76595744680851</v>
      </c>
      <c r="AB934" s="86">
        <f>AVERAGEIFS($I$2:I934, $B$2:B934, B934)</f>
        <v>0.47021276595744682</v>
      </c>
      <c r="AC934" s="86">
        <f>AVERAGEIFS($J$2:J934, $B$2:B934, B934)</f>
        <v>0.49936170212765957</v>
      </c>
      <c r="AD934" s="86">
        <f>AVERAGEIFS($D$2:D934, $B$2:B934, B934)</f>
        <v>0.44680851063829785</v>
      </c>
    </row>
    <row r="935" spans="1:30" x14ac:dyDescent="0.25">
      <c r="A935" s="85">
        <v>46150</v>
      </c>
      <c r="B935" t="s">
        <v>148</v>
      </c>
      <c r="C935">
        <v>11</v>
      </c>
      <c r="D935" s="86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86">
        <f>AVERAGEIFS($C$2:C935, $B$2:B935, B935)</f>
        <v>13.193548387096774</v>
      </c>
      <c r="AB935" s="86">
        <f>AVERAGEIFS($I$2:I935, $B$2:B935, B935)</f>
        <v>0.5532258064516129</v>
      </c>
      <c r="AC935" s="86">
        <f>AVERAGEIFS($J$2:J935, $B$2:B935, B935)</f>
        <v>0.52290322580645165</v>
      </c>
      <c r="AD935" s="86">
        <f>AVERAGEIFS($D$2:D935, $B$2:B935, B935)</f>
        <v>0.58064516129032262</v>
      </c>
    </row>
    <row r="936" spans="1:30" x14ac:dyDescent="0.25">
      <c r="A936" s="85">
        <v>46150</v>
      </c>
      <c r="B936" t="s">
        <v>13</v>
      </c>
      <c r="C936">
        <v>10</v>
      </c>
      <c r="D936" s="86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86">
        <f>AVERAGEIFS($C$2:C936, $B$2:B936, B936)</f>
        <v>26.095238095238095</v>
      </c>
      <c r="AB936" s="86">
        <f>AVERAGEIFS($I$2:I936, $B$2:B936, B936)</f>
        <v>0.56904761904761902</v>
      </c>
      <c r="AC936" s="86">
        <f>AVERAGEIFS($J$2:J936, $B$2:B936, B936)</f>
        <v>0.54428571428571426</v>
      </c>
      <c r="AD936" s="86">
        <f>AVERAGEIFS($D$2:D936, $B$2:B936, B936)</f>
        <v>0.61904761904761907</v>
      </c>
    </row>
    <row r="937" spans="1:30" x14ac:dyDescent="0.25">
      <c r="A937" s="85">
        <v>46150</v>
      </c>
      <c r="B937" t="s">
        <v>4</v>
      </c>
      <c r="C937">
        <v>17</v>
      </c>
      <c r="D937" s="86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86">
        <f>AVERAGEIFS($C$2:C937, $B$2:B937, B937)</f>
        <v>22.153846153846153</v>
      </c>
      <c r="AB937" s="86">
        <f>AVERAGEIFS($I$2:I937, $B$2:B937, B937)</f>
        <v>0.44615384615384612</v>
      </c>
      <c r="AC937" s="86">
        <f>AVERAGEIFS($J$2:J937, $B$2:B937, B937)</f>
        <v>0.4646153846153846</v>
      </c>
      <c r="AD937" s="86">
        <f>AVERAGEIFS($D$2:D937, $B$2:B937, B937)</f>
        <v>0.53846153846153844</v>
      </c>
    </row>
    <row r="938" spans="1:30" x14ac:dyDescent="0.25">
      <c r="A938" s="85">
        <v>46150</v>
      </c>
      <c r="B938" t="s">
        <v>15</v>
      </c>
      <c r="C938">
        <v>14</v>
      </c>
      <c r="D938" s="86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86">
        <f>AVERAGEIFS($C$2:C938, $B$2:B938, B938)</f>
        <v>23.475000000000001</v>
      </c>
      <c r="AB938" s="86">
        <f>AVERAGEIFS($I$2:I938, $B$2:B938, B938)</f>
        <v>0.47125000000000006</v>
      </c>
      <c r="AC938" s="86">
        <f>AVERAGEIFS($J$2:J938, $B$2:B938, B938)</f>
        <v>0.49299999999999999</v>
      </c>
      <c r="AD938" s="86">
        <f>AVERAGEIFS($D$2:D938, $B$2:B938, B938)</f>
        <v>0.4</v>
      </c>
    </row>
    <row r="939" spans="1:30" x14ac:dyDescent="0.25">
      <c r="A939" s="85">
        <v>46150</v>
      </c>
      <c r="B939" t="s">
        <v>141</v>
      </c>
      <c r="C939">
        <v>13</v>
      </c>
      <c r="D939" s="86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86">
        <f>AVERAGEIFS($C$2:C939, $B$2:B939, B939)</f>
        <v>16.375</v>
      </c>
      <c r="AB939" s="86">
        <f>AVERAGEIFS($I$2:I939, $B$2:B939, B939)</f>
        <v>0.38124999999999998</v>
      </c>
      <c r="AC939" s="86">
        <f>AVERAGEIFS($J$2:J939, $B$2:B939, B939)</f>
        <v>0.43374999999999997</v>
      </c>
      <c r="AD939" s="86">
        <f>AVERAGEIFS($D$2:D939, $B$2:B939, B939)</f>
        <v>0.25</v>
      </c>
    </row>
    <row r="940" spans="1:30" x14ac:dyDescent="0.25">
      <c r="A940" s="85">
        <v>46150</v>
      </c>
      <c r="B940" t="s">
        <v>150</v>
      </c>
      <c r="C940">
        <v>6</v>
      </c>
      <c r="D940" s="86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86">
        <f>AVERAGEIFS($C$2:C940, $B$2:B940, B940)</f>
        <v>18.53846153846154</v>
      </c>
      <c r="AB940" s="86">
        <f>AVERAGEIFS($I$2:I940, $B$2:B940, B940)</f>
        <v>0.63461538461538458</v>
      </c>
      <c r="AC940" s="86">
        <f>AVERAGEIFS($J$2:J940, $B$2:B940, B940)</f>
        <v>0.59153846153846135</v>
      </c>
      <c r="AD940" s="86">
        <f>AVERAGEIFS($D$2:D940, $B$2:B940, B940)</f>
        <v>0.69230769230769229</v>
      </c>
    </row>
    <row r="941" spans="1:30" x14ac:dyDescent="0.25">
      <c r="A941" s="85">
        <v>46150</v>
      </c>
      <c r="B941" t="s">
        <v>152</v>
      </c>
      <c r="C941">
        <v>4</v>
      </c>
      <c r="D941" s="86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86">
        <f>AVERAGEIFS($C$2:C941, $B$2:B941, B941)</f>
        <v>13.714285714285714</v>
      </c>
      <c r="AB941" s="86">
        <f>AVERAGEIFS($I$2:I941, $B$2:B941, B941)</f>
        <v>0.22142857142857145</v>
      </c>
      <c r="AC941" s="86">
        <f>AVERAGEIFS($J$2:J941, $B$2:B941, B941)</f>
        <v>0.36</v>
      </c>
      <c r="AD941" s="86">
        <f>AVERAGEIFS($D$2:D941, $B$2:B941, B941)</f>
        <v>0.14285714285714285</v>
      </c>
    </row>
    <row r="942" spans="1:30" x14ac:dyDescent="0.25">
      <c r="A942" s="85">
        <v>46150</v>
      </c>
      <c r="B942" t="s">
        <v>140</v>
      </c>
      <c r="C942">
        <v>3</v>
      </c>
      <c r="D942" s="86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86">
        <f>AVERAGEIFS($C$2:C942, $B$2:B942, B942)</f>
        <v>9.235294117647058</v>
      </c>
      <c r="AB942" s="86">
        <f>AVERAGEIFS($I$2:I942, $B$2:B942, B942)</f>
        <v>0.44705882352941179</v>
      </c>
      <c r="AC942" s="86">
        <f>AVERAGEIFS($J$2:J942, $B$2:B942, B942)</f>
        <v>0.48352941176470582</v>
      </c>
      <c r="AD942" s="86">
        <f>AVERAGEIFS($D$2:D942, $B$2:B942, B942)</f>
        <v>0.47058823529411764</v>
      </c>
    </row>
    <row r="943" spans="1:30" x14ac:dyDescent="0.25">
      <c r="A943" s="85">
        <v>46150</v>
      </c>
      <c r="B943" t="s">
        <v>179</v>
      </c>
      <c r="C943">
        <v>22</v>
      </c>
      <c r="D943" s="86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86">
        <f>AVERAGEIFS($C$2:C943, $B$2:B943, B943)</f>
        <v>15.6</v>
      </c>
      <c r="AB943" s="86">
        <f>AVERAGEIFS($I$2:I943, $B$2:B943, B943)</f>
        <v>0.85</v>
      </c>
      <c r="AC943" s="86">
        <f>AVERAGEIFS($J$2:J943, $B$2:B943, B943)</f>
        <v>0.62799999999999989</v>
      </c>
      <c r="AD943" s="86">
        <f>AVERAGEIFS($D$2:D943, $B$2:B943, B943)</f>
        <v>0.8</v>
      </c>
    </row>
    <row r="944" spans="1:30" x14ac:dyDescent="0.25">
      <c r="A944" s="85">
        <v>46150</v>
      </c>
      <c r="B944" t="s">
        <v>13</v>
      </c>
      <c r="C944">
        <v>19</v>
      </c>
      <c r="D944" s="86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86">
        <f>AVERAGEIFS($C$2:C944, $B$2:B944, B944)</f>
        <v>25.984375</v>
      </c>
      <c r="AB944" s="86">
        <f>AVERAGEIFS($I$2:I944, $B$2:B944, B944)</f>
        <v>0.57578125000000002</v>
      </c>
      <c r="AC944" s="86">
        <f>AVERAGEIFS($J$2:J944, $B$2:B944, B944)</f>
        <v>0.54749999999999999</v>
      </c>
      <c r="AD944" s="86">
        <f>AVERAGEIFS($D$2:D944, $B$2:B944, B944)</f>
        <v>0.625</v>
      </c>
    </row>
    <row r="945" spans="1:30" x14ac:dyDescent="0.25">
      <c r="A945" s="85">
        <v>46150</v>
      </c>
      <c r="B945" t="s">
        <v>150</v>
      </c>
      <c r="C945">
        <v>16</v>
      </c>
      <c r="D945" s="86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86">
        <f>AVERAGEIFS($C$2:C945, $B$2:B945, B945)</f>
        <v>18.357142857142858</v>
      </c>
      <c r="AB945" s="86">
        <f>AVERAGEIFS($I$2:I945, $B$2:B945, B945)</f>
        <v>0.6607142857142857</v>
      </c>
      <c r="AC945" s="86">
        <f>AVERAGEIFS($J$2:J945, $B$2:B945, B945)</f>
        <v>0.60285714285714265</v>
      </c>
      <c r="AD945" s="86">
        <f>AVERAGEIFS($D$2:D945, $B$2:B945, B945)</f>
        <v>0.7142857142857143</v>
      </c>
    </row>
    <row r="946" spans="1:30" x14ac:dyDescent="0.25">
      <c r="A946" s="85">
        <v>46150</v>
      </c>
      <c r="B946" t="s">
        <v>29</v>
      </c>
      <c r="C946">
        <v>14</v>
      </c>
      <c r="D946" s="86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86">
        <f>AVERAGEIFS($C$2:C946, $B$2:B946, B946)</f>
        <v>10.833333333333334</v>
      </c>
      <c r="AB946" s="86">
        <f>AVERAGEIFS($I$2:I946, $B$2:B946, B946)</f>
        <v>0.48125000000000001</v>
      </c>
      <c r="AC946" s="86">
        <f>AVERAGEIFS($J$2:J946, $B$2:B946, B946)</f>
        <v>0.50458333333333327</v>
      </c>
      <c r="AD946" s="86">
        <f>AVERAGEIFS($D$2:D946, $B$2:B946, B946)</f>
        <v>0.45833333333333331</v>
      </c>
    </row>
    <row r="947" spans="1:30" x14ac:dyDescent="0.25">
      <c r="A947" s="85">
        <v>46150</v>
      </c>
      <c r="B947" t="s">
        <v>148</v>
      </c>
      <c r="C947">
        <v>13</v>
      </c>
      <c r="D947" s="86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86">
        <f>AVERAGEIFS($C$2:C947, $B$2:B947, B947)</f>
        <v>13.1875</v>
      </c>
      <c r="AB947" s="86">
        <f>AVERAGEIFS($I$2:I947, $B$2:B947, B947)</f>
        <v>0.56718749999999996</v>
      </c>
      <c r="AC947" s="86">
        <f>AVERAGEIFS($J$2:J947, $B$2:B947, B947)</f>
        <v>0.53</v>
      </c>
      <c r="AD947" s="86">
        <f>AVERAGEIFS($D$2:D947, $B$2:B947, B947)</f>
        <v>0.59375</v>
      </c>
    </row>
    <row r="948" spans="1:30" x14ac:dyDescent="0.25">
      <c r="A948" s="85">
        <v>46150</v>
      </c>
      <c r="B948" t="s">
        <v>4</v>
      </c>
      <c r="C948">
        <v>8</v>
      </c>
      <c r="D948" s="86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86">
        <f>AVERAGEIFS($C$2:C948, $B$2:B948, B948)</f>
        <v>21.142857142857142</v>
      </c>
      <c r="AB948" s="86">
        <f>AVERAGEIFS($I$2:I948, $B$2:B948, B948)</f>
        <v>0.48571428571428571</v>
      </c>
      <c r="AC948" s="86">
        <f>AVERAGEIFS($J$2:J948, $B$2:B948, B948)</f>
        <v>0.48499999999999999</v>
      </c>
      <c r="AD948" s="86">
        <f>AVERAGEIFS($D$2:D948, $B$2:B948, B948)</f>
        <v>0.5714285714285714</v>
      </c>
    </row>
    <row r="949" spans="1:30" x14ac:dyDescent="0.25">
      <c r="A949" s="85">
        <v>46150</v>
      </c>
      <c r="B949" t="s">
        <v>44</v>
      </c>
      <c r="C949">
        <v>7</v>
      </c>
      <c r="D949" s="86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86">
        <f>AVERAGEIFS($C$2:C949, $B$2:B949, B949)</f>
        <v>14.714285714285714</v>
      </c>
      <c r="AB949" s="86">
        <f>AVERAGEIFS($I$2:I949, $B$2:B949, B949)</f>
        <v>0.85</v>
      </c>
      <c r="AC949" s="86">
        <f>AVERAGEIFS($J$2:J949, $B$2:B949, B949)</f>
        <v>0.65857142857142847</v>
      </c>
      <c r="AD949" s="86">
        <f>AVERAGEIFS($D$2:D949, $B$2:B949, B949)</f>
        <v>1</v>
      </c>
    </row>
    <row r="950" spans="1:30" x14ac:dyDescent="0.25">
      <c r="A950" s="85">
        <v>46150</v>
      </c>
      <c r="B950" t="s">
        <v>35</v>
      </c>
      <c r="C950">
        <v>5</v>
      </c>
      <c r="D950" s="86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86">
        <f>AVERAGEIFS($C$2:C950, $B$2:B950, B950)</f>
        <v>12.242424242424242</v>
      </c>
      <c r="AB950" s="86">
        <f>AVERAGEIFS($I$2:I950, $B$2:B950, B950)</f>
        <v>0.51363636363636367</v>
      </c>
      <c r="AC950" s="86">
        <f>AVERAGEIFS($J$2:J950, $B$2:B950, B950)</f>
        <v>0.50060606060606072</v>
      </c>
      <c r="AD950" s="86">
        <f>AVERAGEIFS($D$2:D950, $B$2:B950, B950)</f>
        <v>0.60606060606060608</v>
      </c>
    </row>
    <row r="951" spans="1:30" x14ac:dyDescent="0.25">
      <c r="A951" s="85">
        <v>46150</v>
      </c>
      <c r="B951" t="s">
        <v>17</v>
      </c>
      <c r="C951">
        <v>19</v>
      </c>
      <c r="D951" s="86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86">
        <f>AVERAGEIFS($C$2:C951, $B$2:B951, B951)</f>
        <v>24.803571428571427</v>
      </c>
      <c r="AB951" s="86">
        <f>AVERAGEIFS($I$2:I951, $B$2:B951, B951)</f>
        <v>0.48214285714285726</v>
      </c>
      <c r="AC951" s="86">
        <f>AVERAGEIFS($J$2:J951, $B$2:B951, B951)</f>
        <v>0.5026785714285712</v>
      </c>
      <c r="AD951" s="86">
        <f>AVERAGEIFS($D$2:D951, $B$2:B951, B951)</f>
        <v>0.42857142857142855</v>
      </c>
    </row>
    <row r="952" spans="1:30" x14ac:dyDescent="0.25">
      <c r="A952" s="85">
        <v>46150</v>
      </c>
      <c r="B952" t="s">
        <v>214</v>
      </c>
      <c r="C952">
        <v>18</v>
      </c>
      <c r="D952" s="86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86">
        <f>AVERAGEIFS($C$2:C952, $B$2:B952, B952)</f>
        <v>23.341463414634145</v>
      </c>
      <c r="AB952" s="86">
        <f>AVERAGEIFS($I$2:I952, $B$2:B952, B952)</f>
        <v>0.45975609756097563</v>
      </c>
      <c r="AC952" s="86">
        <f>AVERAGEIFS($J$2:J952, $B$2:B952, B952)</f>
        <v>0.48707317073170731</v>
      </c>
      <c r="AD952" s="86">
        <f>AVERAGEIFS($D$2:D952, $B$2:B952, B952)</f>
        <v>0.3902439024390244</v>
      </c>
    </row>
    <row r="953" spans="1:30" x14ac:dyDescent="0.25">
      <c r="A953" s="85">
        <v>46150</v>
      </c>
      <c r="B953" t="s">
        <v>37</v>
      </c>
      <c r="C953">
        <v>18</v>
      </c>
      <c r="D953" s="86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86">
        <f>AVERAGEIFS($C$2:C953, $B$2:B953, B953)</f>
        <v>19.548387096774192</v>
      </c>
      <c r="AB953" s="86">
        <f>AVERAGEIFS($I$2:I953, $B$2:B953, B953)</f>
        <v>0.41290322580645156</v>
      </c>
      <c r="AC953" s="86">
        <f>AVERAGEIFS($J$2:J953, $B$2:B953, B953)</f>
        <v>0.44870967741935486</v>
      </c>
      <c r="AD953" s="86">
        <f>AVERAGEIFS($D$2:D953, $B$2:B953, B953)</f>
        <v>0.41935483870967744</v>
      </c>
    </row>
    <row r="954" spans="1:30" x14ac:dyDescent="0.25">
      <c r="A954" s="85">
        <v>46150</v>
      </c>
      <c r="B954" t="s">
        <v>152</v>
      </c>
      <c r="C954">
        <v>10</v>
      </c>
      <c r="D954" s="86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86">
        <f>AVERAGEIFS($C$2:C954, $B$2:B954, B954)</f>
        <v>13.25</v>
      </c>
      <c r="AB954" s="86">
        <f>AVERAGEIFS($I$2:I954, $B$2:B954, B954)</f>
        <v>0.19375000000000001</v>
      </c>
      <c r="AC954" s="86">
        <f>AVERAGEIFS($J$2:J954, $B$2:B954, B954)</f>
        <v>0.34625</v>
      </c>
      <c r="AD954" s="86">
        <f>AVERAGEIFS($D$2:D954, $B$2:B954, B954)</f>
        <v>0.125</v>
      </c>
    </row>
    <row r="955" spans="1:30" x14ac:dyDescent="0.25">
      <c r="A955" s="85">
        <v>46150</v>
      </c>
      <c r="B955" t="s">
        <v>141</v>
      </c>
      <c r="C955">
        <v>9</v>
      </c>
      <c r="D955" s="86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86">
        <f>AVERAGEIFS($C$2:C955, $B$2:B955, B955)</f>
        <v>15.555555555555555</v>
      </c>
      <c r="AB955" s="86">
        <f>AVERAGEIFS($I$2:I955, $B$2:B955, B955)</f>
        <v>0.33888888888888885</v>
      </c>
      <c r="AC955" s="86">
        <f>AVERAGEIFS($J$2:J955, $B$2:B955, B955)</f>
        <v>0.41333333333333333</v>
      </c>
      <c r="AD955" s="86">
        <f>AVERAGEIFS($D$2:D955, $B$2:B955, B955)</f>
        <v>0.22222222222222221</v>
      </c>
    </row>
    <row r="956" spans="1:30" x14ac:dyDescent="0.25">
      <c r="A956" s="85">
        <v>46150</v>
      </c>
      <c r="B956" t="s">
        <v>26</v>
      </c>
      <c r="C956">
        <v>9</v>
      </c>
      <c r="D956" s="86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86">
        <f>AVERAGEIFS($C$2:C956, $B$2:B956, B956)</f>
        <v>13.485714285714286</v>
      </c>
      <c r="AB956" s="86">
        <f>AVERAGEIFS($I$2:I956, $B$2:B956, B956)</f>
        <v>0.61</v>
      </c>
      <c r="AC956" s="86">
        <f>AVERAGEIFS($J$2:J956, $B$2:B956, B956)</f>
        <v>0.54942857142857149</v>
      </c>
      <c r="AD956" s="86">
        <f>AVERAGEIFS($D$2:D956, $B$2:B956, B956)</f>
        <v>0.65714285714285714</v>
      </c>
    </row>
    <row r="957" spans="1:30" x14ac:dyDescent="0.25">
      <c r="A957" s="85">
        <v>46150</v>
      </c>
      <c r="B957" t="s">
        <v>140</v>
      </c>
      <c r="C957">
        <v>5</v>
      </c>
      <c r="D957" s="86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86">
        <f>AVERAGEIFS($C$2:C957, $B$2:B957, B957)</f>
        <v>9</v>
      </c>
      <c r="AB957" s="86">
        <f>AVERAGEIFS($I$2:I957, $B$2:B957, B957)</f>
        <v>0.42222222222222228</v>
      </c>
      <c r="AC957" s="86">
        <f>AVERAGEIFS($J$2:J957, $B$2:B957, B957)</f>
        <v>0.4705555555555555</v>
      </c>
      <c r="AD957" s="86">
        <f>AVERAGEIFS($D$2:D957, $B$2:B957, B957)</f>
        <v>0.44444444444444442</v>
      </c>
    </row>
    <row r="958" spans="1:30" x14ac:dyDescent="0.25">
      <c r="A958" s="85">
        <v>46150</v>
      </c>
      <c r="B958" t="s">
        <v>215</v>
      </c>
      <c r="C958">
        <v>0</v>
      </c>
      <c r="D958" s="86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86">
        <f>AVERAGEIFS($C$2:C958, $B$2:B958, B958)</f>
        <v>0</v>
      </c>
      <c r="AB958" s="86">
        <f>AVERAGEIFS($I$2:I958, $B$2:B958, B958)</f>
        <v>0</v>
      </c>
      <c r="AC958" s="86">
        <f>AVERAGEIFS($J$2:J958, $B$2:B958, B958)</f>
        <v>0.25</v>
      </c>
      <c r="AD958" s="86">
        <f>AVERAGEIFS($D$2:D958, $B$2:B958, B958)</f>
        <v>0</v>
      </c>
    </row>
    <row r="959" spans="1:30" x14ac:dyDescent="0.25">
      <c r="A959" s="85">
        <v>46151</v>
      </c>
      <c r="B959" t="s">
        <v>155</v>
      </c>
      <c r="C959">
        <v>30</v>
      </c>
      <c r="D959" s="86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86">
        <f>AVERAGEIFS($C$2:C959, $B$2:B959, B959)</f>
        <v>17.346153846153847</v>
      </c>
      <c r="AB959" s="86">
        <f>AVERAGEIFS($I$2:I959, $B$2:B959, B959)</f>
        <v>0.40384615384615385</v>
      </c>
      <c r="AC959" s="86">
        <f>AVERAGEIFS($J$2:J959, $B$2:B959, B959)</f>
        <v>0.46576923076923077</v>
      </c>
      <c r="AD959" s="86">
        <f>AVERAGEIFS($D$2:D959, $B$2:B959, B959)</f>
        <v>0.34615384615384615</v>
      </c>
    </row>
    <row r="960" spans="1:30" x14ac:dyDescent="0.25">
      <c r="A960" s="85">
        <v>46151</v>
      </c>
      <c r="B960" t="s">
        <v>13</v>
      </c>
      <c r="C960">
        <v>30</v>
      </c>
      <c r="D960" s="86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86">
        <f>AVERAGEIFS($C$2:C960, $B$2:B960, B960)</f>
        <v>26.046153846153846</v>
      </c>
      <c r="AB960" s="86">
        <f>AVERAGEIFS($I$2:I960, $B$2:B960, B960)</f>
        <v>0.5823076923076923</v>
      </c>
      <c r="AC960" s="86">
        <f>AVERAGEIFS($J$2:J960, $B$2:B960, B960)</f>
        <v>0.55000000000000004</v>
      </c>
      <c r="AD960" s="86">
        <f>AVERAGEIFS($D$2:D960, $B$2:B960, B960)</f>
        <v>0.63076923076923075</v>
      </c>
    </row>
    <row r="961" spans="1:30" x14ac:dyDescent="0.25">
      <c r="A961" s="85">
        <v>46151</v>
      </c>
      <c r="B961" t="s">
        <v>216</v>
      </c>
      <c r="C961">
        <v>11</v>
      </c>
      <c r="D961" s="86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86">
        <f>AVERAGEIFS($C$2:C961, $B$2:B961, B961)</f>
        <v>11</v>
      </c>
      <c r="AB961" s="86">
        <f>AVERAGEIFS($I$2:I961, $B$2:B961, B961)</f>
        <v>1</v>
      </c>
      <c r="AC961" s="86">
        <f>AVERAGEIFS($J$2:J961, $B$2:B961, B961)</f>
        <v>0.71</v>
      </c>
      <c r="AD961" s="86">
        <f>AVERAGEIFS($D$2:D961, $B$2:B961, B961)</f>
        <v>1</v>
      </c>
    </row>
    <row r="962" spans="1:30" x14ac:dyDescent="0.25">
      <c r="A962" s="85">
        <v>46151</v>
      </c>
      <c r="B962" t="s">
        <v>38</v>
      </c>
      <c r="C962">
        <v>10</v>
      </c>
      <c r="D962" s="86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86">
        <f>AVERAGEIFS($C$2:C962, $B$2:B962, B962)</f>
        <v>8.2142857142857135</v>
      </c>
      <c r="AB962" s="86">
        <f>AVERAGEIFS($I$2:I962, $B$2:B962, B962)</f>
        <v>0.47142857142857147</v>
      </c>
      <c r="AC962" s="86">
        <f>AVERAGEIFS($J$2:J962, $B$2:B962, B962)</f>
        <v>0.47214285714285714</v>
      </c>
      <c r="AD962" s="86">
        <f>AVERAGEIFS($D$2:D962, $B$2:B962, B962)</f>
        <v>0.5</v>
      </c>
    </row>
    <row r="963" spans="1:30" x14ac:dyDescent="0.25">
      <c r="A963" s="85">
        <v>46151</v>
      </c>
      <c r="B963" t="s">
        <v>29</v>
      </c>
      <c r="C963">
        <v>13</v>
      </c>
      <c r="D963" s="86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86">
        <f>AVERAGEIFS($C$2:C963, $B$2:B963, B963)</f>
        <v>10.877551020408163</v>
      </c>
      <c r="AB963" s="86">
        <f>AVERAGEIFS($I$2:I963, $B$2:B963, B963)</f>
        <v>0.49183673469387756</v>
      </c>
      <c r="AC963" s="86">
        <f>AVERAGEIFS($J$2:J963, $B$2:B963, B963)</f>
        <v>0.50877551020408163</v>
      </c>
      <c r="AD963" s="86">
        <f>AVERAGEIFS($D$2:D963, $B$2:B963, B963)</f>
        <v>0.46938775510204084</v>
      </c>
    </row>
    <row r="964" spans="1:30" x14ac:dyDescent="0.25">
      <c r="A964" s="85">
        <v>46151</v>
      </c>
      <c r="B964" t="s">
        <v>217</v>
      </c>
      <c r="C964">
        <v>1</v>
      </c>
      <c r="D964" s="86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86">
        <f>AVERAGEIFS($C$2:C964, $B$2:B964, B964)</f>
        <v>1</v>
      </c>
      <c r="AB964" s="86">
        <f>AVERAGEIFS($I$2:I964, $B$2:B964, B964)</f>
        <v>1</v>
      </c>
      <c r="AC964" s="86">
        <f>AVERAGEIFS($J$2:J964, $B$2:B964, B964)</f>
        <v>0.71</v>
      </c>
      <c r="AD964" s="86">
        <f>AVERAGEIFS($D$2:D964, $B$2:B964, B964)</f>
        <v>1</v>
      </c>
    </row>
    <row r="965" spans="1:30" x14ac:dyDescent="0.25">
      <c r="A965" s="85">
        <v>46151</v>
      </c>
      <c r="B965" t="s">
        <v>148</v>
      </c>
      <c r="C965">
        <v>10</v>
      </c>
      <c r="D965" s="86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86">
        <f>AVERAGEIFS($C$2:C965, $B$2:B965, B965)</f>
        <v>13.090909090909092</v>
      </c>
      <c r="AB965" s="86">
        <f>AVERAGEIFS($I$2:I965, $B$2:B965, B965)</f>
        <v>0.54999999999999993</v>
      </c>
      <c r="AC965" s="86">
        <f>AVERAGEIFS($J$2:J965, $B$2:B965, B965)</f>
        <v>0.52272727272727271</v>
      </c>
      <c r="AD965" s="86">
        <f>AVERAGEIFS($D$2:D965, $B$2:B965, B965)</f>
        <v>0.5757575757575758</v>
      </c>
    </row>
    <row r="966" spans="1:30" x14ac:dyDescent="0.25">
      <c r="A966" s="85">
        <v>46151</v>
      </c>
      <c r="B966" t="s">
        <v>139</v>
      </c>
      <c r="C966">
        <v>15</v>
      </c>
      <c r="D966" s="86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86">
        <f>AVERAGEIFS($C$2:C966, $B$2:B966, B966)</f>
        <v>10.578947368421053</v>
      </c>
      <c r="AB966" s="86">
        <f>AVERAGEIFS($I$2:I966, $B$2:B966, B966)</f>
        <v>0.48947368421052628</v>
      </c>
      <c r="AC966" s="86">
        <f>AVERAGEIFS($J$2:J966, $B$2:B966, B966)</f>
        <v>0.5099999999999999</v>
      </c>
      <c r="AD966" s="86">
        <f>AVERAGEIFS($D$2:D966, $B$2:B966, B966)</f>
        <v>0.57894736842105265</v>
      </c>
    </row>
    <row r="967" spans="1:30" x14ac:dyDescent="0.25">
      <c r="A967" s="85">
        <v>46151</v>
      </c>
      <c r="B967" t="s">
        <v>17</v>
      </c>
      <c r="C967">
        <v>30</v>
      </c>
      <c r="D967" s="86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86">
        <f>AVERAGEIFS($C$2:C967, $B$2:B967, B967)</f>
        <v>24.894736842105264</v>
      </c>
      <c r="AB967" s="86">
        <f>AVERAGEIFS($I$2:I967, $B$2:B967, B967)</f>
        <v>0.47368421052631593</v>
      </c>
      <c r="AC967" s="86">
        <f>AVERAGEIFS($J$2:J967, $B$2:B967, B967)</f>
        <v>0.49894736842105242</v>
      </c>
      <c r="AD967" s="86">
        <f>AVERAGEIFS($D$2:D967, $B$2:B967, B967)</f>
        <v>0.42105263157894735</v>
      </c>
    </row>
    <row r="968" spans="1:30" x14ac:dyDescent="0.25">
      <c r="A968" s="85">
        <v>46151</v>
      </c>
      <c r="B968" t="s">
        <v>218</v>
      </c>
      <c r="C968">
        <v>2</v>
      </c>
      <c r="D968" s="86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86">
        <f>AVERAGEIFS($C$2:C968, $B$2:B968, B968)</f>
        <v>2</v>
      </c>
      <c r="AB968" s="86">
        <f>AVERAGEIFS($I$2:I968, $B$2:B968, B968)</f>
        <v>0</v>
      </c>
      <c r="AC968" s="86">
        <f>AVERAGEIFS($J$2:J968, $B$2:B968, B968)</f>
        <v>0.28999999999999998</v>
      </c>
      <c r="AD968" s="86">
        <f>AVERAGEIFS($D$2:D968, $B$2:B968, B968)</f>
        <v>0</v>
      </c>
    </row>
    <row r="969" spans="1:30" x14ac:dyDescent="0.25">
      <c r="A969" s="85">
        <v>46151</v>
      </c>
      <c r="B969" t="s">
        <v>219</v>
      </c>
      <c r="C969">
        <v>1</v>
      </c>
      <c r="D969" s="86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86">
        <f>AVERAGEIFS($C$2:C969, $B$2:B969, B969)</f>
        <v>1</v>
      </c>
      <c r="AB969" s="86">
        <f>AVERAGEIFS($I$2:I969, $B$2:B969, B969)</f>
        <v>0</v>
      </c>
      <c r="AC969" s="86">
        <f>AVERAGEIFS($J$2:J969, $B$2:B969, B969)</f>
        <v>0.28999999999999998</v>
      </c>
      <c r="AD969" s="86">
        <f>AVERAGEIFS($D$2:D969, $B$2:B969, B969)</f>
        <v>0</v>
      </c>
    </row>
    <row r="970" spans="1:30" x14ac:dyDescent="0.25">
      <c r="A970" s="85">
        <v>46151</v>
      </c>
      <c r="B970" t="s">
        <v>140</v>
      </c>
      <c r="C970">
        <v>11</v>
      </c>
      <c r="D970" s="86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86">
        <f>AVERAGEIFS($C$2:C970, $B$2:B970, B970)</f>
        <v>9.1052631578947363</v>
      </c>
      <c r="AB970" s="86">
        <f>AVERAGEIFS($I$2:I970, $B$2:B970, B970)</f>
        <v>0.4</v>
      </c>
      <c r="AC970" s="86">
        <f>AVERAGEIFS($J$2:J970, $B$2:B970, B970)</f>
        <v>0.46105263157894727</v>
      </c>
      <c r="AD970" s="86">
        <f>AVERAGEIFS($D$2:D970, $B$2:B970, B970)</f>
        <v>0.42105263157894735</v>
      </c>
    </row>
    <row r="971" spans="1:30" x14ac:dyDescent="0.25">
      <c r="A971" s="85">
        <v>46152</v>
      </c>
      <c r="B971" t="s">
        <v>27</v>
      </c>
      <c r="C971">
        <v>6</v>
      </c>
      <c r="D971" s="86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86">
        <f>AVERAGEIFS($C$2:C971, $B$2:B971, B971)</f>
        <v>14.814814814814815</v>
      </c>
      <c r="AB971" s="86">
        <f>AVERAGEIFS($I$2:I971, $B$2:B971, B971)</f>
        <v>0.50740740740740742</v>
      </c>
      <c r="AC971" s="86">
        <f>AVERAGEIFS($J$2:J971, $B$2:B971, B971)</f>
        <v>0.50703703703703706</v>
      </c>
      <c r="AD971" s="86">
        <f>AVERAGEIFS($D$2:D971, $B$2:B971, B971)</f>
        <v>0.55555555555555558</v>
      </c>
    </row>
    <row r="972" spans="1:30" x14ac:dyDescent="0.25">
      <c r="A972" s="85">
        <v>46152</v>
      </c>
      <c r="B972" t="s">
        <v>38</v>
      </c>
      <c r="C972">
        <v>5</v>
      </c>
      <c r="D972" s="86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86">
        <f>AVERAGEIFS($C$2:C972, $B$2:B972, B972)</f>
        <v>8</v>
      </c>
      <c r="AB972" s="86">
        <f>AVERAGEIFS($I$2:I972, $B$2:B972, B972)</f>
        <v>0.44000000000000006</v>
      </c>
      <c r="AC972" s="86">
        <f>AVERAGEIFS($J$2:J972, $B$2:B972, B972)</f>
        <v>0.46133333333333332</v>
      </c>
      <c r="AD972" s="86">
        <f>AVERAGEIFS($D$2:D972, $B$2:B972, B972)</f>
        <v>0.46666666666666667</v>
      </c>
    </row>
    <row r="973" spans="1:30" x14ac:dyDescent="0.25">
      <c r="A973" s="85">
        <v>46152</v>
      </c>
      <c r="B973" t="s">
        <v>221</v>
      </c>
      <c r="C973">
        <v>10</v>
      </c>
      <c r="D973" s="86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86">
        <f>AVERAGEIFS($C$2:C973, $B$2:B973, B973)</f>
        <v>10.55</v>
      </c>
      <c r="AB973" s="86">
        <f>AVERAGEIFS($I$2:I973, $B$2:B973, B973)</f>
        <v>0.46499999999999997</v>
      </c>
      <c r="AC973" s="86">
        <f>AVERAGEIFS($J$2:J973, $B$2:B973, B973)</f>
        <v>0.49999999999999989</v>
      </c>
      <c r="AD973" s="86">
        <f>AVERAGEIFS($D$2:D973, $B$2:B973, B973)</f>
        <v>0.55000000000000004</v>
      </c>
    </row>
    <row r="974" spans="1:30" x14ac:dyDescent="0.25">
      <c r="A974" s="85">
        <v>46152</v>
      </c>
      <c r="B974" t="s">
        <v>15</v>
      </c>
      <c r="C974">
        <v>15</v>
      </c>
      <c r="D974" s="86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86">
        <f>AVERAGEIFS($C$2:C974, $B$2:B974, B974)</f>
        <v>23.142857142857142</v>
      </c>
      <c r="AB974" s="86">
        <f>AVERAGEIFS($I$2:I974, $B$2:B974, B974)</f>
        <v>0.44880952380952382</v>
      </c>
      <c r="AC974" s="86">
        <f>AVERAGEIFS($J$2:J974, $B$2:B974, B974)</f>
        <v>0.48285714285714282</v>
      </c>
      <c r="AD974" s="86">
        <f>AVERAGEIFS($D$2:D974, $B$2:B974, B974)</f>
        <v>0.38095238095238093</v>
      </c>
    </row>
    <row r="975" spans="1:30" x14ac:dyDescent="0.25">
      <c r="A975" s="85">
        <v>46152</v>
      </c>
      <c r="B975" t="s">
        <v>13</v>
      </c>
      <c r="C975">
        <v>27</v>
      </c>
      <c r="D975" s="86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86">
        <f>AVERAGEIFS($C$2:C975, $B$2:B975, B975)</f>
        <v>26.060606060606062</v>
      </c>
      <c r="AB975" s="86">
        <f>AVERAGEIFS($I$2:I975, $B$2:B975, B975)</f>
        <v>0.57348484848484849</v>
      </c>
      <c r="AC975" s="86">
        <f>AVERAGEIFS($J$2:J975, $B$2:B975, B975)</f>
        <v>0.54636363636363638</v>
      </c>
      <c r="AD975" s="86">
        <f>AVERAGEIFS($D$2:D975, $B$2:B975, B975)</f>
        <v>0.62121212121212122</v>
      </c>
    </row>
    <row r="976" spans="1:30" x14ac:dyDescent="0.25">
      <c r="A976" s="85">
        <v>46152</v>
      </c>
      <c r="B976" t="s">
        <v>17</v>
      </c>
      <c r="C976">
        <v>13</v>
      </c>
      <c r="D976" s="86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86">
        <f>AVERAGEIFS($C$2:C976, $B$2:B976, B976)</f>
        <v>24.689655172413794</v>
      </c>
      <c r="AB976" s="86">
        <f>AVERAGEIFS($I$2:I976, $B$2:B976, B976)</f>
        <v>0.46551724137931044</v>
      </c>
      <c r="AC976" s="86">
        <f>AVERAGEIFS($J$2:J976, $B$2:B976, B976)</f>
        <v>0.49568965517241353</v>
      </c>
      <c r="AD976" s="86">
        <f>AVERAGEIFS($D$2:D976, $B$2:B976, B976)</f>
        <v>0.41379310344827586</v>
      </c>
    </row>
    <row r="977" spans="1:30" x14ac:dyDescent="0.25">
      <c r="A977" s="85">
        <v>46152</v>
      </c>
      <c r="B977" t="s">
        <v>155</v>
      </c>
      <c r="C977">
        <v>10</v>
      </c>
      <c r="D977" s="86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86">
        <f>AVERAGEIFS($C$2:C977, $B$2:B977, B977)</f>
        <v>17.074074074074073</v>
      </c>
      <c r="AB977" s="86">
        <f>AVERAGEIFS($I$2:I977, $B$2:B977, B977)</f>
        <v>0.3888888888888889</v>
      </c>
      <c r="AC977" s="86">
        <f>AVERAGEIFS($J$2:J977, $B$2:B977, B977)</f>
        <v>0.46</v>
      </c>
      <c r="AD977" s="86">
        <f>AVERAGEIFS($D$2:D977, $B$2:B977, B977)</f>
        <v>0.33333333333333331</v>
      </c>
    </row>
    <row r="978" spans="1:30" x14ac:dyDescent="0.25">
      <c r="A978" s="85">
        <v>46152</v>
      </c>
      <c r="B978" t="s">
        <v>148</v>
      </c>
      <c r="C978">
        <v>1</v>
      </c>
      <c r="D978" s="86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86">
        <f>AVERAGEIFS($C$2:C978, $B$2:B978, B978)</f>
        <v>12.735294117647058</v>
      </c>
      <c r="AB978" s="86">
        <f>AVERAGEIFS($I$2:I978, $B$2:B978, B978)</f>
        <v>0.5338235294117647</v>
      </c>
      <c r="AC978" s="86">
        <f>AVERAGEIFS($J$2:J978, $B$2:B978, B978)</f>
        <v>0.51647058823529413</v>
      </c>
      <c r="AD978" s="86">
        <f>AVERAGEIFS($D$2:D978, $B$2:B978, B978)</f>
        <v>0.55882352941176472</v>
      </c>
    </row>
    <row r="979" spans="1:30" x14ac:dyDescent="0.25">
      <c r="A979" s="85">
        <v>46152</v>
      </c>
      <c r="B979" t="s">
        <v>179</v>
      </c>
      <c r="C979">
        <v>14</v>
      </c>
      <c r="D979" s="86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86">
        <f>AVERAGEIFS($C$2:C979, $B$2:B979, B979)</f>
        <v>15.333333333333334</v>
      </c>
      <c r="AB979" s="86">
        <f>AVERAGEIFS($I$2:I979, $B$2:B979, B979)</f>
        <v>0.875</v>
      </c>
      <c r="AC979" s="86">
        <f>AVERAGEIFS($J$2:J979, $B$2:B979, B979)</f>
        <v>0.63833333333333331</v>
      </c>
      <c r="AD979" s="86">
        <f>AVERAGEIFS($D$2:D979, $B$2:B979, B979)</f>
        <v>0.83333333333333337</v>
      </c>
    </row>
    <row r="980" spans="1:30" x14ac:dyDescent="0.25">
      <c r="A980" s="85">
        <v>46152</v>
      </c>
      <c r="B980" t="s">
        <v>26</v>
      </c>
      <c r="C980">
        <v>12</v>
      </c>
      <c r="D980" s="86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86">
        <f>AVERAGEIFS($C$2:C980, $B$2:B980, B980)</f>
        <v>13.444444444444445</v>
      </c>
      <c r="AB980" s="86">
        <f>AVERAGEIFS($I$2:I980, $B$2:B980, B980)</f>
        <v>0.62083333333333324</v>
      </c>
      <c r="AC980" s="86">
        <f>AVERAGEIFS($J$2:J980, $B$2:B980, B980)</f>
        <v>0.55333333333333334</v>
      </c>
      <c r="AD980" s="86">
        <f>AVERAGEIFS($D$2:D980, $B$2:B980, B980)</f>
        <v>0.66666666666666663</v>
      </c>
    </row>
    <row r="981" spans="1:30" x14ac:dyDescent="0.25">
      <c r="A981" s="85">
        <v>46152</v>
      </c>
      <c r="B981" t="s">
        <v>141</v>
      </c>
      <c r="C981">
        <v>16</v>
      </c>
      <c r="D981" s="86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86">
        <f>AVERAGEIFS($C$2:C981, $B$2:B981, B981)</f>
        <v>15.6</v>
      </c>
      <c r="AB981" s="86">
        <f>AVERAGEIFS($I$2:I981, $B$2:B981, B981)</f>
        <v>0.40499999999999997</v>
      </c>
      <c r="AC981" s="86">
        <f>AVERAGEIFS($J$2:J981, $B$2:B981, B981)</f>
        <v>0.441</v>
      </c>
      <c r="AD981" s="86">
        <f>AVERAGEIFS($D$2:D981, $B$2:B981, B981)</f>
        <v>0.3</v>
      </c>
    </row>
    <row r="982" spans="1:30" x14ac:dyDescent="0.25">
      <c r="A982" s="85">
        <v>46152</v>
      </c>
      <c r="B982" t="s">
        <v>19</v>
      </c>
      <c r="C982">
        <v>11</v>
      </c>
      <c r="D982" s="86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86">
        <f>AVERAGEIFS($C$2:C982, $B$2:B982, B982)</f>
        <v>12.088235294117647</v>
      </c>
      <c r="AB982" s="86">
        <f>AVERAGEIFS($I$2:I982, $B$2:B982, B982)</f>
        <v>0.43823529411764706</v>
      </c>
      <c r="AC982" s="86">
        <f>AVERAGEIFS($J$2:J982, $B$2:B982, B982)</f>
        <v>0.46235294117647063</v>
      </c>
      <c r="AD982" s="86">
        <f>AVERAGEIFS($D$2:D982, $B$2:B982, B982)</f>
        <v>0.41176470588235292</v>
      </c>
    </row>
    <row r="983" spans="1:30" x14ac:dyDescent="0.25">
      <c r="A983" s="85">
        <v>46152</v>
      </c>
      <c r="B983" t="s">
        <v>2</v>
      </c>
      <c r="C983">
        <v>23</v>
      </c>
      <c r="D983" s="86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86">
        <f>AVERAGEIFS($C$2:C983, $B$2:B983, B983)</f>
        <v>28.842105263157894</v>
      </c>
      <c r="AB983" s="86">
        <f>AVERAGEIFS($I$2:I983, $B$2:B983, B983)</f>
        <v>0.62368421052631584</v>
      </c>
      <c r="AC983" s="86">
        <f>AVERAGEIFS($J$2:J983, $B$2:B983, B983)</f>
        <v>0.55947368421052623</v>
      </c>
      <c r="AD983" s="86">
        <f>AVERAGEIFS($D$2:D983, $B$2:B983, B983)</f>
        <v>0.57894736842105265</v>
      </c>
    </row>
    <row r="984" spans="1:30" x14ac:dyDescent="0.25">
      <c r="A984" s="85">
        <v>46152</v>
      </c>
      <c r="B984" t="s">
        <v>150</v>
      </c>
      <c r="C984">
        <v>22</v>
      </c>
      <c r="D984" s="86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86">
        <f>AVERAGEIFS($C$2:C984, $B$2:B984, B984)</f>
        <v>18.600000000000001</v>
      </c>
      <c r="AB984" s="86">
        <f>AVERAGEIFS($I$2:I984, $B$2:B984, B984)</f>
        <v>0.68333333333333335</v>
      </c>
      <c r="AC984" s="86">
        <f>AVERAGEIFS($J$2:J984, $B$2:B984, B984)</f>
        <v>0.60866666666666647</v>
      </c>
      <c r="AD984" s="86">
        <f>AVERAGEIFS($D$2:D984, $B$2:B984, B984)</f>
        <v>0.73333333333333328</v>
      </c>
    </row>
    <row r="985" spans="1:30" x14ac:dyDescent="0.25">
      <c r="A985" s="85">
        <v>46152</v>
      </c>
      <c r="B985" t="s">
        <v>40</v>
      </c>
      <c r="C985">
        <v>13</v>
      </c>
      <c r="D985" s="86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86">
        <f>AVERAGEIFS($C$2:C985, $B$2:B985, B985)</f>
        <v>19</v>
      </c>
      <c r="AB985" s="86">
        <f>AVERAGEIFS($I$2:I985, $B$2:B985, B985)</f>
        <v>0.48823529411764699</v>
      </c>
      <c r="AC985" s="86">
        <f>AVERAGEIFS($J$2:J985, $B$2:B985, B985)</f>
        <v>0.46823529411764703</v>
      </c>
      <c r="AD985" s="86">
        <f>AVERAGEIFS($D$2:D985, $B$2:B985, B985)</f>
        <v>0.41176470588235292</v>
      </c>
    </row>
    <row r="986" spans="1:30" x14ac:dyDescent="0.25">
      <c r="A986" s="85">
        <v>46152</v>
      </c>
      <c r="B986" t="s">
        <v>140</v>
      </c>
      <c r="C986">
        <v>6</v>
      </c>
      <c r="D986" s="86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86">
        <f>AVERAGEIFS($C$2:C986, $B$2:B986, B986)</f>
        <v>8.9499999999999993</v>
      </c>
      <c r="AB986" s="86">
        <f>AVERAGEIFS($I$2:I986, $B$2:B986, B986)</f>
        <v>0.43000000000000005</v>
      </c>
      <c r="AC986" s="86">
        <f>AVERAGEIFS($J$2:J986, $B$2:B986, B986)</f>
        <v>0.47249999999999986</v>
      </c>
      <c r="AD986" s="86">
        <f>AVERAGEIFS($D$2:D986, $B$2:B986, B986)</f>
        <v>0.45</v>
      </c>
    </row>
    <row r="987" spans="1:30" x14ac:dyDescent="0.25">
      <c r="A987" s="85">
        <v>46152</v>
      </c>
      <c r="B987" t="s">
        <v>13</v>
      </c>
      <c r="C987">
        <v>25</v>
      </c>
      <c r="D987" s="86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86">
        <f>AVERAGEIFS($C$2:C987, $B$2:B987, B987)</f>
        <v>26.044776119402986</v>
      </c>
      <c r="AB987" s="86">
        <f>AVERAGEIFS($I$2:I987, $B$2:B987, B987)</f>
        <v>0.57611940298507469</v>
      </c>
      <c r="AC987" s="86">
        <f>AVERAGEIFS($J$2:J987, $B$2:B987, B987)</f>
        <v>0.54567164179104477</v>
      </c>
      <c r="AD987" s="86">
        <f>AVERAGEIFS($D$2:D987, $B$2:B987, B987)</f>
        <v>0.62686567164179108</v>
      </c>
    </row>
    <row r="988" spans="1:30" x14ac:dyDescent="0.25">
      <c r="A988" s="85">
        <v>46152</v>
      </c>
      <c r="B988" t="s">
        <v>40</v>
      </c>
      <c r="C988">
        <v>19</v>
      </c>
      <c r="D988" s="86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86">
        <f>AVERAGEIFS($C$2:C988, $B$2:B988, B988)</f>
        <v>19</v>
      </c>
      <c r="AB988" s="86">
        <f>AVERAGEIFS($I$2:I988, $B$2:B988, B988)</f>
        <v>0.50277777777777777</v>
      </c>
      <c r="AC988" s="86">
        <f>AVERAGEIFS($J$2:J988, $B$2:B988, B988)</f>
        <v>0.47</v>
      </c>
      <c r="AD988" s="86">
        <f>AVERAGEIFS($D$2:D988, $B$2:B988, B988)</f>
        <v>0.44444444444444442</v>
      </c>
    </row>
    <row r="989" spans="1:30" x14ac:dyDescent="0.25">
      <c r="A989" s="85">
        <v>46152</v>
      </c>
      <c r="B989" t="s">
        <v>222</v>
      </c>
      <c r="C989">
        <v>21</v>
      </c>
      <c r="D989" s="86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86">
        <f>AVERAGEIFS($C$2:C989, $B$2:B989, B989)</f>
        <v>18.75</v>
      </c>
      <c r="AB989" s="86">
        <f>AVERAGEIFS($I$2:I989, $B$2:B989, B989)</f>
        <v>0.6875</v>
      </c>
      <c r="AC989" s="86">
        <f>AVERAGEIFS($J$2:J989, $B$2:B989, B989)</f>
        <v>0.60187499999999983</v>
      </c>
      <c r="AD989" s="86">
        <f>AVERAGEIFS($D$2:D989, $B$2:B989, B989)</f>
        <v>0.75</v>
      </c>
    </row>
    <row r="990" spans="1:30" x14ac:dyDescent="0.25">
      <c r="A990" s="85">
        <v>46152</v>
      </c>
      <c r="B990" t="s">
        <v>179</v>
      </c>
      <c r="C990">
        <v>6</v>
      </c>
      <c r="D990" s="86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86">
        <f>AVERAGEIFS($C$2:C990, $B$2:B990, B990)</f>
        <v>14</v>
      </c>
      <c r="AB990" s="86">
        <f>AVERAGEIFS($I$2:I990, $B$2:B990, B990)</f>
        <v>0.8571428571428571</v>
      </c>
      <c r="AC990" s="86">
        <f>AVERAGEIFS($J$2:J990, $B$2:B990, B990)</f>
        <v>0.61857142857142855</v>
      </c>
      <c r="AD990" s="86">
        <f>AVERAGEIFS($D$2:D990, $B$2:B990, B990)</f>
        <v>0.8571428571428571</v>
      </c>
    </row>
    <row r="991" spans="1:30" x14ac:dyDescent="0.25">
      <c r="A991" s="85">
        <v>46152</v>
      </c>
      <c r="B991" t="s">
        <v>27</v>
      </c>
      <c r="C991">
        <v>21</v>
      </c>
      <c r="D991" s="86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86">
        <f>AVERAGEIFS($C$2:C991, $B$2:B991, B991)</f>
        <v>15.035714285714286</v>
      </c>
      <c r="AB991" s="86">
        <f>AVERAGEIFS($I$2:I991, $B$2:B991, B991)</f>
        <v>0.51607142857142851</v>
      </c>
      <c r="AC991" s="86">
        <f>AVERAGEIFS($J$2:J991, $B$2:B991, B991)</f>
        <v>0.50678571428571428</v>
      </c>
      <c r="AD991" s="86">
        <f>AVERAGEIFS($D$2:D991, $B$2:B991, B991)</f>
        <v>0.5714285714285714</v>
      </c>
    </row>
    <row r="992" spans="1:30" x14ac:dyDescent="0.25">
      <c r="A992" s="85">
        <v>46152</v>
      </c>
      <c r="B992" t="s">
        <v>26</v>
      </c>
      <c r="C992">
        <v>13</v>
      </c>
      <c r="D992" s="86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86">
        <f>AVERAGEIFS($C$2:C992, $B$2:B992, B992)</f>
        <v>13.432432432432432</v>
      </c>
      <c r="AB992" s="86">
        <f>AVERAGEIFS($I$2:I992, $B$2:B992, B992)</f>
        <v>0.62432432432432428</v>
      </c>
      <c r="AC992" s="86">
        <f>AVERAGEIFS($J$2:J992, $B$2:B992, B992)</f>
        <v>0.55189189189189192</v>
      </c>
      <c r="AD992" s="86">
        <f>AVERAGEIFS($D$2:D992, $B$2:B992, B992)</f>
        <v>0.67567567567567566</v>
      </c>
    </row>
    <row r="993" spans="1:30" x14ac:dyDescent="0.25">
      <c r="A993" s="85">
        <v>46152</v>
      </c>
      <c r="B993" t="s">
        <v>152</v>
      </c>
      <c r="C993">
        <v>18</v>
      </c>
      <c r="D993" s="86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86">
        <f>AVERAGEIFS($C$2:C993, $B$2:B993, B993)</f>
        <v>13.777777777777779</v>
      </c>
      <c r="AB993" s="86">
        <f>AVERAGEIFS($I$2:I993, $B$2:B993, B993)</f>
        <v>0.25555555555555554</v>
      </c>
      <c r="AC993" s="86">
        <f>AVERAGEIFS($J$2:J993, $B$2:B993, B993)</f>
        <v>0.36333333333333334</v>
      </c>
      <c r="AD993" s="86">
        <f>AVERAGEIFS($D$2:D993, $B$2:B993, B993)</f>
        <v>0.22222222222222221</v>
      </c>
    </row>
    <row r="994" spans="1:30" x14ac:dyDescent="0.25">
      <c r="A994" s="85">
        <v>46152</v>
      </c>
      <c r="B994" t="s">
        <v>178</v>
      </c>
      <c r="C994">
        <v>8</v>
      </c>
      <c r="D994" s="86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86">
        <f>AVERAGEIFS($C$2:C994, $B$2:B994, B994)</f>
        <v>8</v>
      </c>
      <c r="AB994" s="86">
        <f>AVERAGEIFS($I$2:I994, $B$2:B994, B994)</f>
        <v>0.75</v>
      </c>
      <c r="AC994" s="86">
        <f>AVERAGEIFS($J$2:J994, $B$2:B994, B994)</f>
        <v>0.5</v>
      </c>
      <c r="AD994" s="86">
        <f>AVERAGEIFS($D$2:D994, $B$2:B994, B994)</f>
        <v>1</v>
      </c>
    </row>
    <row r="995" spans="1:30" x14ac:dyDescent="0.25">
      <c r="A995" s="85">
        <v>46152</v>
      </c>
      <c r="B995" t="s">
        <v>17</v>
      </c>
      <c r="C995">
        <v>32</v>
      </c>
      <c r="D995" s="86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86">
        <f>AVERAGEIFS($C$2:C995, $B$2:B995, B995)</f>
        <v>24.8135593220339</v>
      </c>
      <c r="AB995" s="86">
        <f>AVERAGEIFS($I$2:I995, $B$2:B995, B995)</f>
        <v>0.46186440677966112</v>
      </c>
      <c r="AC995" s="86">
        <f>AVERAGEIFS($J$2:J995, $B$2:B995, B995)</f>
        <v>0.49576271186440651</v>
      </c>
      <c r="AD995" s="86">
        <f>AVERAGEIFS($D$2:D995, $B$2:B995, B995)</f>
        <v>0.40677966101694918</v>
      </c>
    </row>
    <row r="996" spans="1:30" x14ac:dyDescent="0.25">
      <c r="A996" s="85">
        <v>46152</v>
      </c>
      <c r="B996" t="s">
        <v>5</v>
      </c>
      <c r="C996">
        <v>15</v>
      </c>
      <c r="D996" s="86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86">
        <f>AVERAGEIFS($C$2:C996, $B$2:B996, B996)</f>
        <v>24.1</v>
      </c>
      <c r="AB996" s="86">
        <f>AVERAGEIFS($I$2:I996, $B$2:B996, B996)</f>
        <v>0.48999999999999994</v>
      </c>
      <c r="AC996" s="86">
        <f>AVERAGEIFS($J$2:J996, $B$2:B996, B996)</f>
        <v>0.4965</v>
      </c>
      <c r="AD996" s="86">
        <f>AVERAGEIFS($D$2:D996, $B$2:B996, B996)</f>
        <v>0.5</v>
      </c>
    </row>
    <row r="997" spans="1:30" x14ac:dyDescent="0.25">
      <c r="A997" s="85">
        <v>46152</v>
      </c>
      <c r="B997" t="s">
        <v>155</v>
      </c>
      <c r="C997">
        <v>12</v>
      </c>
      <c r="D997" s="86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86">
        <f>AVERAGEIFS($C$2:C997, $B$2:B997, B997)</f>
        <v>16.892857142857142</v>
      </c>
      <c r="AB997" s="86">
        <f>AVERAGEIFS($I$2:I997, $B$2:B997, B997)</f>
        <v>0.38392857142857145</v>
      </c>
      <c r="AC997" s="86">
        <f>AVERAGEIFS($J$2:J997, $B$2:B997, B997)</f>
        <v>0.46142857142857141</v>
      </c>
      <c r="AD997" s="86">
        <f>AVERAGEIFS($D$2:D997, $B$2:B997, B997)</f>
        <v>0.32142857142857145</v>
      </c>
    </row>
    <row r="998" spans="1:30" x14ac:dyDescent="0.25">
      <c r="A998" s="85">
        <v>46152</v>
      </c>
      <c r="B998" t="s">
        <v>141</v>
      </c>
      <c r="C998">
        <v>19</v>
      </c>
      <c r="D998" s="86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86">
        <f>AVERAGEIFS($C$2:C998, $B$2:B998, B998)</f>
        <v>15.909090909090908</v>
      </c>
      <c r="AB998" s="86">
        <f>AVERAGEIFS($I$2:I998, $B$2:B998, B998)</f>
        <v>0.39090909090909087</v>
      </c>
      <c r="AC998" s="86">
        <f>AVERAGEIFS($J$2:J998, $B$2:B998, B998)</f>
        <v>0.44636363636363635</v>
      </c>
      <c r="AD998" s="86">
        <f>AVERAGEIFS($D$2:D998, $B$2:B998, B998)</f>
        <v>0.27272727272727271</v>
      </c>
    </row>
    <row r="999" spans="1:30" x14ac:dyDescent="0.25">
      <c r="A999" s="85">
        <v>46152</v>
      </c>
      <c r="B999" t="s">
        <v>50</v>
      </c>
      <c r="C999">
        <v>16</v>
      </c>
      <c r="D999" s="86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86">
        <f>AVERAGEIFS($C$2:C999, $B$2:B999, B999)</f>
        <v>14.75</v>
      </c>
      <c r="AB999" s="86">
        <f>AVERAGEIFS($I$2:I999, $B$2:B999, B999)</f>
        <v>0.28749999999999998</v>
      </c>
      <c r="AC999" s="86">
        <f>AVERAGEIFS($J$2:J999, $B$2:B999, B999)</f>
        <v>0.4375</v>
      </c>
      <c r="AD999" s="86">
        <f>AVERAGEIFS($D$2:D999, $B$2:B999, B999)</f>
        <v>0</v>
      </c>
    </row>
    <row r="1000" spans="1:30" x14ac:dyDescent="0.25">
      <c r="A1000" s="85">
        <v>46152</v>
      </c>
      <c r="B1000" t="s">
        <v>45</v>
      </c>
      <c r="C1000">
        <v>12</v>
      </c>
      <c r="D1000" s="86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86">
        <f>AVERAGEIFS($C$2:C1000, $B$2:B1000, B1000)</f>
        <v>13.375</v>
      </c>
      <c r="AB1000" s="86">
        <f>AVERAGEIFS($I$2:I1000, $B$2:B1000, B1000)</f>
        <v>0.45208333333333339</v>
      </c>
      <c r="AC1000" s="86">
        <f>AVERAGEIFS($J$2:J1000, $B$2:B1000, B1000)</f>
        <v>0.48208333333333342</v>
      </c>
      <c r="AD1000" s="86">
        <f>AVERAGEIFS($D$2:D1000, $B$2:B1000, B1000)</f>
        <v>0.375</v>
      </c>
    </row>
    <row r="1001" spans="1:30" x14ac:dyDescent="0.25">
      <c r="A1001" s="85">
        <v>46152</v>
      </c>
      <c r="B1001" t="s">
        <v>139</v>
      </c>
      <c r="C1001">
        <v>10</v>
      </c>
      <c r="D1001" s="86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86">
        <f>AVERAGEIFS($C$2:C1001, $B$2:B1001, B1001)</f>
        <v>10.523809523809524</v>
      </c>
      <c r="AB1001" s="86">
        <f>AVERAGEIFS($I$2:I1001, $B$2:B1001, B1001)</f>
        <v>0.4547619047619047</v>
      </c>
      <c r="AC1001" s="86">
        <f>AVERAGEIFS($J$2:J1001, $B$2:B1001, B1001)</f>
        <v>0.49999999999999989</v>
      </c>
      <c r="AD1001" s="86">
        <f>AVERAGEIFS($D$2:D1001, $B$2:B1001, B1001)</f>
        <v>0.52380952380952384</v>
      </c>
    </row>
    <row r="1002" spans="1:30" x14ac:dyDescent="0.25">
      <c r="A1002" s="85">
        <v>46152</v>
      </c>
      <c r="B1002" t="s">
        <v>140</v>
      </c>
      <c r="C1002">
        <v>8</v>
      </c>
      <c r="D1002" s="86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86">
        <f>AVERAGEIFS($C$2:C1002, $B$2:B1002, B1002)</f>
        <v>8.9047619047619051</v>
      </c>
      <c r="AB1002" s="86">
        <f>AVERAGEIFS($I$2:I1002, $B$2:B1002, B1002)</f>
        <v>0.42142857142857149</v>
      </c>
      <c r="AC1002" s="86">
        <f>AVERAGEIFS($J$2:J1002, $B$2:B1002, B1002)</f>
        <v>0.47380952380952368</v>
      </c>
      <c r="AD1002" s="86">
        <f>AVERAGEIFS($D$2:D1002, $B$2:B1002, B1002)</f>
        <v>0.42857142857142855</v>
      </c>
    </row>
    <row r="1003" spans="1:30" x14ac:dyDescent="0.25">
      <c r="A1003" s="85">
        <v>46153</v>
      </c>
      <c r="B1003" t="s">
        <v>29</v>
      </c>
      <c r="C1003">
        <v>6</v>
      </c>
      <c r="D1003" s="86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86">
        <f>AVERAGEIFS($C$2:C1003, $B$2:B1003, B1003)</f>
        <v>10.78</v>
      </c>
      <c r="AB1003" s="86">
        <f>AVERAGEIFS($I$2:I1003, $B$2:B1003, B1003)</f>
        <v>0.48700000000000004</v>
      </c>
      <c r="AC1003" s="86">
        <f>AVERAGEIFS($J$2:J1003, $B$2:B1003, B1003)</f>
        <v>0.50639999999999996</v>
      </c>
      <c r="AD1003" s="86">
        <f>AVERAGEIFS($D$2:D1003, $B$2:B1003, B1003)</f>
        <v>0.46</v>
      </c>
    </row>
    <row r="1004" spans="1:30" x14ac:dyDescent="0.25">
      <c r="A1004" s="85">
        <v>46153</v>
      </c>
      <c r="B1004" t="s">
        <v>15</v>
      </c>
      <c r="C1004">
        <v>20</v>
      </c>
      <c r="D1004" s="86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86">
        <f>AVERAGEIFS($C$2:C1004, $B$2:B1004, B1004)</f>
        <v>23.069767441860463</v>
      </c>
      <c r="AB1004" s="86">
        <f>AVERAGEIFS($I$2:I1004, $B$2:B1004, B1004)</f>
        <v>0.44418604651162796</v>
      </c>
      <c r="AC1004" s="86">
        <f>AVERAGEIFS($J$2:J1004, $B$2:B1004, B1004)</f>
        <v>0.48069767441860461</v>
      </c>
      <c r="AD1004" s="86">
        <f>AVERAGEIFS($D$2:D1004, $B$2:B1004, B1004)</f>
        <v>0.37209302325581395</v>
      </c>
    </row>
    <row r="1005" spans="1:30" x14ac:dyDescent="0.25">
      <c r="A1005" s="85">
        <v>46153</v>
      </c>
      <c r="B1005" t="s">
        <v>152</v>
      </c>
      <c r="C1005">
        <v>17</v>
      </c>
      <c r="D1005" s="86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86">
        <f>AVERAGEIFS($C$2:C1005, $B$2:B1005, B1005)</f>
        <v>14.1</v>
      </c>
      <c r="AB1005" s="86">
        <f>AVERAGEIFS($I$2:I1005, $B$2:B1005, B1005)</f>
        <v>0.255</v>
      </c>
      <c r="AC1005" s="86">
        <f>AVERAGEIFS($J$2:J1005, $B$2:B1005, B1005)</f>
        <v>0.36599999999999999</v>
      </c>
      <c r="AD1005" s="86">
        <f>AVERAGEIFS($D$2:D1005, $B$2:B1005, B1005)</f>
        <v>0.2</v>
      </c>
    </row>
    <row r="1006" spans="1:30" x14ac:dyDescent="0.25">
      <c r="A1006" s="85">
        <v>46153</v>
      </c>
      <c r="B1006" t="s">
        <v>5</v>
      </c>
      <c r="C1006">
        <v>16</v>
      </c>
      <c r="D1006" s="86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86">
        <f>AVERAGEIFS($C$2:C1006, $B$2:B1006, B1006)</f>
        <v>23.714285714285715</v>
      </c>
      <c r="AB1006" s="86">
        <f>AVERAGEIFS($I$2:I1006, $B$2:B1006, B1006)</f>
        <v>0.47857142857142854</v>
      </c>
      <c r="AC1006" s="86">
        <f>AVERAGEIFS($J$2:J1006, $B$2:B1006, B1006)</f>
        <v>0.49142857142857144</v>
      </c>
      <c r="AD1006" s="86">
        <f>AVERAGEIFS($D$2:D1006, $B$2:B1006, B1006)</f>
        <v>0.47619047619047616</v>
      </c>
    </row>
    <row r="1007" spans="1:30" x14ac:dyDescent="0.25">
      <c r="A1007" s="85">
        <v>46153</v>
      </c>
      <c r="B1007" t="s">
        <v>155</v>
      </c>
      <c r="C1007">
        <v>31</v>
      </c>
      <c r="D1007" s="86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86">
        <f>AVERAGEIFS($C$2:C1007, $B$2:B1007, B1007)</f>
        <v>17.379310344827587</v>
      </c>
      <c r="AB1007" s="86">
        <f>AVERAGEIFS($I$2:I1007, $B$2:B1007, B1007)</f>
        <v>0.37931034482758619</v>
      </c>
      <c r="AC1007" s="86">
        <f>AVERAGEIFS($J$2:J1007, $B$2:B1007, B1007)</f>
        <v>0.45896551724137935</v>
      </c>
      <c r="AD1007" s="86">
        <f>AVERAGEIFS($D$2:D1007, $B$2:B1007, B1007)</f>
        <v>0.31034482758620691</v>
      </c>
    </row>
    <row r="1008" spans="1:30" x14ac:dyDescent="0.25">
      <c r="A1008" s="85">
        <v>46153</v>
      </c>
      <c r="B1008" t="s">
        <v>53</v>
      </c>
      <c r="C1008">
        <v>25</v>
      </c>
      <c r="D1008" s="86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86">
        <f>AVERAGEIFS($C$2:C1008, $B$2:B1008, B1008)</f>
        <v>17</v>
      </c>
      <c r="AB1008" s="86">
        <f>AVERAGEIFS($I$2:I1008, $B$2:B1008, B1008)</f>
        <v>0.36249999999999999</v>
      </c>
      <c r="AC1008" s="86">
        <f>AVERAGEIFS($J$2:J1008, $B$2:B1008, B1008)</f>
        <v>0.46250000000000002</v>
      </c>
      <c r="AD1008" s="86">
        <f>AVERAGEIFS($D$2:D1008, $B$2:B1008, B1008)</f>
        <v>0.5</v>
      </c>
    </row>
    <row r="1009" spans="1:30" x14ac:dyDescent="0.25">
      <c r="A1009" s="85">
        <v>46153</v>
      </c>
      <c r="B1009" t="s">
        <v>107</v>
      </c>
      <c r="C1009">
        <v>20</v>
      </c>
      <c r="D1009" s="86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86">
        <f>AVERAGEIFS($C$2:C1009, $B$2:B1009, B1009)</f>
        <v>20</v>
      </c>
      <c r="AB1009" s="86">
        <f>AVERAGEIFS($I$2:I1009, $B$2:B1009, B1009)</f>
        <v>0.25</v>
      </c>
      <c r="AC1009" s="86">
        <f>AVERAGEIFS($J$2:J1009, $B$2:B1009, B1009)</f>
        <v>0.39</v>
      </c>
      <c r="AD1009" s="86">
        <f>AVERAGEIFS($D$2:D1009, $B$2:B1009, B1009)</f>
        <v>0</v>
      </c>
    </row>
    <row r="1010" spans="1:30" x14ac:dyDescent="0.25">
      <c r="A1010" s="85">
        <v>46153</v>
      </c>
      <c r="B1010" t="s">
        <v>140</v>
      </c>
      <c r="C1010">
        <v>15</v>
      </c>
      <c r="D1010" s="86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86">
        <f>AVERAGEIFS($C$2:C1010, $B$2:B1010, B1010)</f>
        <v>9.1818181818181817</v>
      </c>
      <c r="AB1010" s="86">
        <f>AVERAGEIFS($I$2:I1010, $B$2:B1010, B1010)</f>
        <v>0.43636363636363645</v>
      </c>
      <c r="AC1010" s="86">
        <f>AVERAGEIFS($J$2:J1010, $B$2:B1010, B1010)</f>
        <v>0.47999999999999987</v>
      </c>
      <c r="AD1010" s="86">
        <f>AVERAGEIFS($D$2:D1010, $B$2:B1010, B1010)</f>
        <v>0.45454545454545453</v>
      </c>
    </row>
    <row r="1011" spans="1:30" x14ac:dyDescent="0.25">
      <c r="A1011" s="85">
        <v>46153</v>
      </c>
      <c r="B1011" t="s">
        <v>146</v>
      </c>
      <c r="C1011">
        <v>13</v>
      </c>
      <c r="D1011" s="86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86">
        <f>AVERAGEIFS($C$2:C1011, $B$2:B1011, B1011)</f>
        <v>13.5625</v>
      </c>
      <c r="AB1011" s="86">
        <f>AVERAGEIFS($I$2:I1011, $B$2:B1011, B1011)</f>
        <v>0.38437499999999997</v>
      </c>
      <c r="AC1011" s="86">
        <f>AVERAGEIFS($J$2:J1011, $B$2:B1011, B1011)</f>
        <v>0.45312499999999994</v>
      </c>
      <c r="AD1011" s="86">
        <f>AVERAGEIFS($D$2:D1011, $B$2:B1011, B1011)</f>
        <v>0.3125</v>
      </c>
    </row>
    <row r="1012" spans="1:30" x14ac:dyDescent="0.25">
      <c r="A1012" s="85">
        <v>46153</v>
      </c>
      <c r="B1012" t="s">
        <v>26</v>
      </c>
      <c r="C1012">
        <v>17</v>
      </c>
      <c r="D1012" s="86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86">
        <f>AVERAGEIFS($C$2:C1012, $B$2:B1012, B1012)</f>
        <v>13.526315789473685</v>
      </c>
      <c r="AB1012" s="86">
        <f>AVERAGEIFS($I$2:I1012, $B$2:B1012, B1012)</f>
        <v>0.62763157894736832</v>
      </c>
      <c r="AC1012" s="86">
        <f>AVERAGEIFS($J$2:J1012, $B$2:B1012, B1012)</f>
        <v>0.55342105263157892</v>
      </c>
      <c r="AD1012" s="86">
        <f>AVERAGEIFS($D$2:D1012, $B$2:B1012, B1012)</f>
        <v>0.68421052631578949</v>
      </c>
    </row>
    <row r="1013" spans="1:30" x14ac:dyDescent="0.25">
      <c r="A1013" s="85">
        <v>46153</v>
      </c>
      <c r="B1013" t="s">
        <v>141</v>
      </c>
      <c r="C1013">
        <v>33</v>
      </c>
      <c r="D1013" s="86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86">
        <f>AVERAGEIFS($C$2:C1013, $B$2:B1013, B1013)</f>
        <v>17.333333333333332</v>
      </c>
      <c r="AB1013" s="86">
        <f>AVERAGEIFS($I$2:I1013, $B$2:B1013, B1013)</f>
        <v>0.42083333333333334</v>
      </c>
      <c r="AC1013" s="86">
        <f>AVERAGEIFS($J$2:J1013, $B$2:B1013, B1013)</f>
        <v>0.46</v>
      </c>
      <c r="AD1013" s="86">
        <f>AVERAGEIFS($D$2:D1013, $B$2:B1013, B1013)</f>
        <v>0.33333333333333331</v>
      </c>
    </row>
    <row r="1014" spans="1:30" x14ac:dyDescent="0.25">
      <c r="A1014" s="85">
        <v>46153</v>
      </c>
      <c r="B1014" t="s">
        <v>147</v>
      </c>
      <c r="C1014">
        <v>11</v>
      </c>
      <c r="D1014" s="86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86">
        <f>AVERAGEIFS($C$2:C1014, $B$2:B1014, B1014)</f>
        <v>18.083333333333332</v>
      </c>
      <c r="AB1014" s="86">
        <f>AVERAGEIFS($I$2:I1014, $B$2:B1014, B1014)</f>
        <v>0.39166666666666666</v>
      </c>
      <c r="AC1014" s="86">
        <f>AVERAGEIFS($J$2:J1014, $B$2:B1014, B1014)</f>
        <v>0.45083333333333342</v>
      </c>
      <c r="AD1014" s="86">
        <f>AVERAGEIFS($D$2:D1014, $B$2:B1014, B1014)</f>
        <v>0.33333333333333331</v>
      </c>
    </row>
    <row r="1015" spans="1:30" x14ac:dyDescent="0.25">
      <c r="A1015" s="85">
        <v>46153</v>
      </c>
      <c r="B1015" t="s">
        <v>6</v>
      </c>
      <c r="C1015">
        <v>37</v>
      </c>
      <c r="D1015" s="86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86">
        <f>AVERAGEIFS($C$2:C1015, $B$2:B1015, B1015)</f>
        <v>24.580645161290324</v>
      </c>
      <c r="AB1015" s="86">
        <f>AVERAGEIFS($I$2:I1015, $B$2:B1015, B1015)</f>
        <v>0.63870967741935492</v>
      </c>
      <c r="AC1015" s="86">
        <f>AVERAGEIFS($J$2:J1015, $B$2:B1015, B1015)</f>
        <v>0.5619354838709677</v>
      </c>
      <c r="AD1015" s="86">
        <f>AVERAGEIFS($D$2:D1015, $B$2:B1015, B1015)</f>
        <v>0.70967741935483875</v>
      </c>
    </row>
    <row r="1016" spans="1:30" x14ac:dyDescent="0.25">
      <c r="A1016" s="85">
        <v>46153</v>
      </c>
      <c r="B1016" t="s">
        <v>14</v>
      </c>
      <c r="C1016">
        <v>13</v>
      </c>
      <c r="D1016" s="86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86">
        <f>AVERAGEIFS($C$2:C1016, $B$2:B1016, B1016)</f>
        <v>24.586956521739129</v>
      </c>
      <c r="AB1016" s="86">
        <f>AVERAGEIFS($I$2:I1016, $B$2:B1016, B1016)</f>
        <v>0.48152173913043478</v>
      </c>
      <c r="AC1016" s="86">
        <f>AVERAGEIFS($J$2:J1016, $B$2:B1016, B1016)</f>
        <v>0.48956521739130443</v>
      </c>
      <c r="AD1016" s="86">
        <f>AVERAGEIFS($D$2:D1016, $B$2:B1016, B1016)</f>
        <v>0.47826086956521741</v>
      </c>
    </row>
    <row r="1017" spans="1:30" x14ac:dyDescent="0.25">
      <c r="A1017" s="85">
        <v>46153</v>
      </c>
      <c r="B1017" t="s">
        <v>53</v>
      </c>
      <c r="C1017">
        <v>12</v>
      </c>
      <c r="D1017" s="86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86">
        <f>AVERAGEIFS($C$2:C1017, $B$2:B1017, B1017)</f>
        <v>16</v>
      </c>
      <c r="AB1017" s="86">
        <f>AVERAGEIFS($I$2:I1017, $B$2:B1017, B1017)</f>
        <v>0.44000000000000006</v>
      </c>
      <c r="AC1017" s="86">
        <f>AVERAGEIFS($J$2:J1017, $B$2:B1017, B1017)</f>
        <v>0.51600000000000001</v>
      </c>
      <c r="AD1017" s="86">
        <f>AVERAGEIFS($D$2:D1017, $B$2:B1017, B1017)</f>
        <v>0.6</v>
      </c>
    </row>
    <row r="1018" spans="1:30" x14ac:dyDescent="0.25">
      <c r="A1018" s="85">
        <v>46153</v>
      </c>
      <c r="B1018" t="s">
        <v>35</v>
      </c>
      <c r="C1018">
        <v>9</v>
      </c>
      <c r="D1018" s="86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86">
        <f>AVERAGEIFS($C$2:C1018, $B$2:B1018, B1018)</f>
        <v>12.147058823529411</v>
      </c>
      <c r="AB1018" s="86">
        <f>AVERAGEIFS($I$2:I1018, $B$2:B1018, B1018)</f>
        <v>0.52058823529411757</v>
      </c>
      <c r="AC1018" s="86">
        <f>AVERAGEIFS($J$2:J1018, $B$2:B1018, B1018)</f>
        <v>0.50735294117647067</v>
      </c>
      <c r="AD1018" s="86">
        <f>AVERAGEIFS($D$2:D1018, $B$2:B1018, B1018)</f>
        <v>0.61764705882352944</v>
      </c>
    </row>
    <row r="1019" spans="1:30" x14ac:dyDescent="0.25">
      <c r="A1019" s="85">
        <v>46153</v>
      </c>
      <c r="B1019" t="s">
        <v>146</v>
      </c>
      <c r="C1019">
        <v>7</v>
      </c>
      <c r="D1019" s="86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86">
        <f>AVERAGEIFS($C$2:C1019, $B$2:B1019, B1019)</f>
        <v>13.176470588235293</v>
      </c>
      <c r="AB1019" s="86">
        <f>AVERAGEIFS($I$2:I1019, $B$2:B1019, B1019)</f>
        <v>0.40588235294117642</v>
      </c>
      <c r="AC1019" s="86">
        <f>AVERAGEIFS($J$2:J1019, $B$2:B1019, B1019)</f>
        <v>0.46941176470588225</v>
      </c>
      <c r="AD1019" s="86">
        <f>AVERAGEIFS($D$2:D1019, $B$2:B1019, B1019)</f>
        <v>0.35294117647058826</v>
      </c>
    </row>
    <row r="1020" spans="1:30" x14ac:dyDescent="0.25">
      <c r="A1020" s="85">
        <v>46153</v>
      </c>
      <c r="B1020" t="s">
        <v>155</v>
      </c>
      <c r="C1020">
        <v>19</v>
      </c>
      <c r="D1020" s="86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86">
        <f>AVERAGEIFS($C$2:C1020, $B$2:B1020, B1020)</f>
        <v>17.433333333333334</v>
      </c>
      <c r="AB1020" s="86">
        <f>AVERAGEIFS($I$2:I1020, $B$2:B1020, B1020)</f>
        <v>0.39166666666666666</v>
      </c>
      <c r="AC1020" s="86">
        <f>AVERAGEIFS($J$2:J1020, $B$2:B1020, B1020)</f>
        <v>0.46800000000000003</v>
      </c>
      <c r="AD1020" s="86">
        <f>AVERAGEIFS($D$2:D1020, $B$2:B1020, B1020)</f>
        <v>0.33333333333333331</v>
      </c>
    </row>
    <row r="1021" spans="1:30" x14ac:dyDescent="0.25">
      <c r="A1021" s="85">
        <v>46153</v>
      </c>
      <c r="B1021" t="s">
        <v>141</v>
      </c>
      <c r="C1021">
        <v>14</v>
      </c>
      <c r="D1021" s="86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86">
        <f>AVERAGEIFS($C$2:C1021, $B$2:B1021, B1021)</f>
        <v>17.076923076923077</v>
      </c>
      <c r="AB1021" s="86">
        <f>AVERAGEIFS($I$2:I1021, $B$2:B1021, B1021)</f>
        <v>0.44615384615384612</v>
      </c>
      <c r="AC1021" s="86">
        <f>AVERAGEIFS($J$2:J1021, $B$2:B1021, B1021)</f>
        <v>0.48076923076923078</v>
      </c>
      <c r="AD1021" s="86">
        <f>AVERAGEIFS($D$2:D1021, $B$2:B1021, B1021)</f>
        <v>0.38461538461538464</v>
      </c>
    </row>
    <row r="1022" spans="1:30" x14ac:dyDescent="0.25">
      <c r="A1022" s="85">
        <v>46153</v>
      </c>
      <c r="B1022" t="s">
        <v>6</v>
      </c>
      <c r="C1022">
        <v>15</v>
      </c>
      <c r="D1022" s="86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86">
        <f>AVERAGEIFS($C$2:C1022, $B$2:B1022, B1022)</f>
        <v>24.28125</v>
      </c>
      <c r="AB1022" s="86">
        <f>AVERAGEIFS($I$2:I1022, $B$2:B1022, B1022)</f>
        <v>0.64218750000000002</v>
      </c>
      <c r="AC1022" s="86">
        <f>AVERAGEIFS($J$2:J1022, $B$2:B1022, B1022)</f>
        <v>0.56718749999999996</v>
      </c>
      <c r="AD1022" s="86">
        <f>AVERAGEIFS($D$2:D1022, $B$2:B1022, B1022)</f>
        <v>0.71875</v>
      </c>
    </row>
    <row r="1023" spans="1:30" x14ac:dyDescent="0.25">
      <c r="A1023" s="85">
        <v>46153</v>
      </c>
      <c r="B1023" t="s">
        <v>15</v>
      </c>
      <c r="C1023">
        <v>10</v>
      </c>
      <c r="D1023" s="86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86">
        <f>AVERAGEIFS($C$2:C1023, $B$2:B1023, B1023)</f>
        <v>22.772727272727273</v>
      </c>
      <c r="AB1023" s="86">
        <f>AVERAGEIFS($I$2:I1023, $B$2:B1023, B1023)</f>
        <v>0.45113636363636367</v>
      </c>
      <c r="AC1023" s="86">
        <f>AVERAGEIFS($J$2:J1023, $B$2:B1023, B1023)</f>
        <v>0.48636363636363633</v>
      </c>
      <c r="AD1023" s="86">
        <f>AVERAGEIFS($D$2:D1023, $B$2:B1023, B1023)</f>
        <v>0.38636363636363635</v>
      </c>
    </row>
    <row r="1024" spans="1:30" x14ac:dyDescent="0.25">
      <c r="A1024" s="85">
        <v>46153</v>
      </c>
      <c r="B1024" t="s">
        <v>140</v>
      </c>
      <c r="C1024">
        <v>8</v>
      </c>
      <c r="D1024" s="86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86">
        <f>AVERAGEIFS($C$2:C1024, $B$2:B1024, B1024)</f>
        <v>9.1304347826086953</v>
      </c>
      <c r="AB1024" s="86">
        <f>AVERAGEIFS($I$2:I1024, $B$2:B1024, B1024)</f>
        <v>0.42826086956521747</v>
      </c>
      <c r="AC1024" s="86">
        <f>AVERAGEIFS($J$2:J1024, $B$2:B1024, B1024)</f>
        <v>0.47086956521739115</v>
      </c>
      <c r="AD1024" s="86">
        <f>AVERAGEIFS($D$2:D1024, $B$2:B1024, B1024)</f>
        <v>0.43478260869565216</v>
      </c>
    </row>
    <row r="1025" spans="1:30" x14ac:dyDescent="0.25">
      <c r="A1025" s="85">
        <v>46153</v>
      </c>
      <c r="B1025" t="s">
        <v>152</v>
      </c>
      <c r="C1025">
        <v>13</v>
      </c>
      <c r="D1025" s="86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86">
        <f>AVERAGEIFS($C$2:C1025, $B$2:B1025, B1025)</f>
        <v>14</v>
      </c>
      <c r="AB1025" s="86">
        <f>AVERAGEIFS($I$2:I1025, $B$2:B1025, B1025)</f>
        <v>0.25454545454545452</v>
      </c>
      <c r="AC1025" s="86">
        <f>AVERAGEIFS($J$2:J1025, $B$2:B1025, B1025)</f>
        <v>0.3572727272727273</v>
      </c>
      <c r="AD1025" s="86">
        <f>AVERAGEIFS($D$2:D1025, $B$2:B1025, B1025)</f>
        <v>0.18181818181818182</v>
      </c>
    </row>
    <row r="1026" spans="1:30" x14ac:dyDescent="0.25">
      <c r="A1026" s="85">
        <v>46153</v>
      </c>
      <c r="B1026" t="s">
        <v>46</v>
      </c>
      <c r="C1026">
        <v>19</v>
      </c>
      <c r="D1026" s="86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86">
        <f>AVERAGEIFS($C$2:C1026, $B$2:B1026, B1026)</f>
        <v>20.2</v>
      </c>
      <c r="AB1026" s="86">
        <f>AVERAGEIFS($I$2:I1026, $B$2:B1026, B1026)</f>
        <v>0.4</v>
      </c>
      <c r="AC1026" s="86">
        <f>AVERAGEIFS($J$2:J1026, $B$2:B1026, B1026)</f>
        <v>0.43200000000000005</v>
      </c>
      <c r="AD1026" s="86">
        <f>AVERAGEIFS($D$2:D1026, $B$2:B1026, B1026)</f>
        <v>0.4</v>
      </c>
    </row>
    <row r="1027" spans="1:30" x14ac:dyDescent="0.25">
      <c r="A1027" s="85">
        <v>46153</v>
      </c>
      <c r="B1027" t="s">
        <v>5</v>
      </c>
      <c r="C1027">
        <v>11</v>
      </c>
      <c r="D1027" s="86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86">
        <f>AVERAGEIFS($C$2:C1027, $B$2:B1027, B1027)</f>
        <v>23.136363636363637</v>
      </c>
      <c r="AB1027" s="86">
        <f>AVERAGEIFS($I$2:I1027, $B$2:B1027, B1027)</f>
        <v>0.46818181818181814</v>
      </c>
      <c r="AC1027" s="86">
        <f>AVERAGEIFS($J$2:J1027, $B$2:B1027, B1027)</f>
        <v>0.48136363636363638</v>
      </c>
      <c r="AD1027" s="86">
        <f>AVERAGEIFS($D$2:D1027, $B$2:B1027, B1027)</f>
        <v>0.45454545454545453</v>
      </c>
    </row>
    <row r="1028" spans="1:30" x14ac:dyDescent="0.25">
      <c r="A1028" s="85">
        <v>46153</v>
      </c>
      <c r="B1028" t="s">
        <v>137</v>
      </c>
      <c r="C1028">
        <v>9</v>
      </c>
      <c r="D1028" s="86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86">
        <f>AVERAGEIFS($C$2:C1028, $B$2:B1028, B1028)</f>
        <v>7.9090909090909092</v>
      </c>
      <c r="AB1028" s="86">
        <f>AVERAGEIFS($I$2:I1028, $B$2:B1028, B1028)</f>
        <v>0.47727272727272729</v>
      </c>
      <c r="AC1028" s="86">
        <f>AVERAGEIFS($J$2:J1028, $B$2:B1028, B1028)</f>
        <v>0.47272727272727266</v>
      </c>
      <c r="AD1028" s="86">
        <f>AVERAGEIFS($D$2:D1028, $B$2:B1028, B1028)</f>
        <v>0.45454545454545453</v>
      </c>
    </row>
    <row r="1029" spans="1:30" x14ac:dyDescent="0.25">
      <c r="A1029" s="85">
        <v>46153</v>
      </c>
      <c r="B1029" t="s">
        <v>29</v>
      </c>
      <c r="C1029">
        <v>4</v>
      </c>
      <c r="D1029" s="86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86">
        <f>AVERAGEIFS($C$2:C1029, $B$2:B1029, B1029)</f>
        <v>10.647058823529411</v>
      </c>
      <c r="AB1029" s="86">
        <f>AVERAGEIFS($I$2:I1029, $B$2:B1029, B1029)</f>
        <v>0.4823529411764706</v>
      </c>
      <c r="AC1029" s="86">
        <f>AVERAGEIFS($J$2:J1029, $B$2:B1029, B1029)</f>
        <v>0.50176470588235289</v>
      </c>
      <c r="AD1029" s="86">
        <f>AVERAGEIFS($D$2:D1029, $B$2:B1029, B1029)</f>
        <v>0.45098039215686275</v>
      </c>
    </row>
    <row r="1030" spans="1:30" x14ac:dyDescent="0.25">
      <c r="A1030" s="85">
        <v>46153</v>
      </c>
      <c r="B1030" t="s">
        <v>14</v>
      </c>
      <c r="C1030">
        <v>6</v>
      </c>
      <c r="D1030" s="86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86">
        <f>AVERAGEIFS($C$2:C1030, $B$2:B1030, B1030)</f>
        <v>24.191489361702128</v>
      </c>
      <c r="AB1030" s="86">
        <f>AVERAGEIFS($I$2:I1030, $B$2:B1030, B1030)</f>
        <v>0.47659574468085103</v>
      </c>
      <c r="AC1030" s="86">
        <f>AVERAGEIFS($J$2:J1030, $B$2:B1030, B1030)</f>
        <v>0.48489361702127665</v>
      </c>
      <c r="AD1030" s="86">
        <f>AVERAGEIFS($D$2:D1030, $B$2:B1030, B1030)</f>
        <v>0.46808510638297873</v>
      </c>
    </row>
    <row r="1031" spans="1:30" x14ac:dyDescent="0.25">
      <c r="A1031" s="85">
        <v>46155</v>
      </c>
      <c r="B1031" t="s">
        <v>5</v>
      </c>
      <c r="C1031">
        <v>21</v>
      </c>
      <c r="D1031" s="86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86">
        <f>AVERAGEIFS($C$2:C1031, $B$2:B1031, B1031)</f>
        <v>23.043478260869566</v>
      </c>
      <c r="AB1031" s="86">
        <f>AVERAGEIFS($I$2:I1031, $B$2:B1031, B1031)</f>
        <v>0.4804347826086956</v>
      </c>
      <c r="AC1031" s="86">
        <f>AVERAGEIFS($J$2:J1031, $B$2:B1031, B1031)</f>
        <v>0.48652173913043478</v>
      </c>
      <c r="AD1031" s="86">
        <f>AVERAGEIFS($D$2:D1031, $B$2:B1031, B1031)</f>
        <v>0.47826086956521741</v>
      </c>
    </row>
    <row r="1032" spans="1:30" x14ac:dyDescent="0.25">
      <c r="A1032" s="85">
        <v>46155</v>
      </c>
      <c r="B1032" t="s">
        <v>4</v>
      </c>
      <c r="C1032">
        <v>21</v>
      </c>
      <c r="D1032" s="86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86">
        <f>AVERAGEIFS($C$2:C1032, $B$2:B1032, B1032)</f>
        <v>21.133333333333333</v>
      </c>
      <c r="AB1032" s="86">
        <f>AVERAGEIFS($I$2:I1032, $B$2:B1032, B1032)</f>
        <v>0.5033333333333333</v>
      </c>
      <c r="AC1032" s="86">
        <f>AVERAGEIFS($J$2:J1032, $B$2:B1032, B1032)</f>
        <v>0.49266666666666664</v>
      </c>
      <c r="AD1032" s="86">
        <f>AVERAGEIFS($D$2:D1032, $B$2:B1032, B1032)</f>
        <v>0.6</v>
      </c>
    </row>
    <row r="1033" spans="1:30" x14ac:dyDescent="0.25">
      <c r="A1033" s="85">
        <v>46155</v>
      </c>
      <c r="B1033" t="s">
        <v>42</v>
      </c>
      <c r="C1033">
        <v>12</v>
      </c>
      <c r="D1033" s="86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86">
        <f>AVERAGEIFS($C$2:C1033, $B$2:B1033, B1033)</f>
        <v>10.75</v>
      </c>
      <c r="AB1033" s="86">
        <f>AVERAGEIFS($I$2:I1033, $B$2:B1033, B1033)</f>
        <v>0.39374999999999999</v>
      </c>
      <c r="AC1033" s="86">
        <f>AVERAGEIFS($J$2:J1033, $B$2:B1033, B1033)</f>
        <v>0.43250000000000005</v>
      </c>
      <c r="AD1033" s="86">
        <f>AVERAGEIFS($D$2:D1033, $B$2:B1033, B1033)</f>
        <v>0.375</v>
      </c>
    </row>
    <row r="1034" spans="1:30" x14ac:dyDescent="0.25">
      <c r="A1034" s="85">
        <v>46155</v>
      </c>
      <c r="B1034" t="s">
        <v>53</v>
      </c>
      <c r="C1034">
        <v>12</v>
      </c>
      <c r="D1034" s="86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86">
        <f>AVERAGEIFS($C$2:C1034, $B$2:B1034, B1034)</f>
        <v>15.333333333333334</v>
      </c>
      <c r="AB1034" s="86">
        <f>AVERAGEIFS($I$2:I1034, $B$2:B1034, B1034)</f>
        <v>0.4916666666666667</v>
      </c>
      <c r="AC1034" s="86">
        <f>AVERAGEIFS($J$2:J1034, $B$2:B1034, B1034)</f>
        <v>0.53</v>
      </c>
      <c r="AD1034" s="86">
        <f>AVERAGEIFS($D$2:D1034, $B$2:B1034, B1034)</f>
        <v>0.66666666666666663</v>
      </c>
    </row>
    <row r="1035" spans="1:30" x14ac:dyDescent="0.25">
      <c r="A1035" s="85">
        <v>46155</v>
      </c>
      <c r="B1035" t="s">
        <v>20</v>
      </c>
      <c r="C1035">
        <v>19</v>
      </c>
      <c r="D1035" s="86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86">
        <f>AVERAGEIFS($C$2:C1035, $B$2:B1035, B1035)</f>
        <v>14.606060606060606</v>
      </c>
      <c r="AB1035" s="86">
        <f>AVERAGEIFS($I$2:I1035, $B$2:B1035, B1035)</f>
        <v>0.49848484848484859</v>
      </c>
      <c r="AC1035" s="86">
        <f>AVERAGEIFS($J$2:J1035, $B$2:B1035, B1035)</f>
        <v>0.50333333333333352</v>
      </c>
      <c r="AD1035" s="86">
        <f>AVERAGEIFS($D$2:D1035, $B$2:B1035, B1035)</f>
        <v>0.42424242424242425</v>
      </c>
    </row>
    <row r="1036" spans="1:30" x14ac:dyDescent="0.25">
      <c r="A1036" s="85">
        <v>46155</v>
      </c>
      <c r="B1036" t="s">
        <v>137</v>
      </c>
      <c r="C1036">
        <v>14</v>
      </c>
      <c r="D1036" s="86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86">
        <f>AVERAGEIFS($C$2:C1036, $B$2:B1036, B1036)</f>
        <v>8.4166666666666661</v>
      </c>
      <c r="AB1036" s="86">
        <f>AVERAGEIFS($I$2:I1036, $B$2:B1036, B1036)</f>
        <v>0.5</v>
      </c>
      <c r="AC1036" s="86">
        <f>AVERAGEIFS($J$2:J1036, $B$2:B1036, B1036)</f>
        <v>0.48333333333333323</v>
      </c>
      <c r="AD1036" s="86">
        <f>AVERAGEIFS($D$2:D1036, $B$2:B1036, B1036)</f>
        <v>0.5</v>
      </c>
    </row>
    <row r="1037" spans="1:30" x14ac:dyDescent="0.25">
      <c r="A1037" s="85">
        <v>46155</v>
      </c>
      <c r="B1037" t="s">
        <v>14</v>
      </c>
      <c r="C1037">
        <v>20</v>
      </c>
      <c r="D1037" s="86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86">
        <f>AVERAGEIFS($C$2:C1037, $B$2:B1037, B1037)</f>
        <v>24.104166666666668</v>
      </c>
      <c r="AB1037" s="86">
        <f>AVERAGEIFS($I$2:I1037, $B$2:B1037, B1037)</f>
        <v>0.47187499999999999</v>
      </c>
      <c r="AC1037" s="86">
        <f>AVERAGEIFS($J$2:J1037, $B$2:B1037, B1037)</f>
        <v>0.48312500000000003</v>
      </c>
      <c r="AD1037" s="86">
        <f>AVERAGEIFS($D$2:D1037, $B$2:B1037, B1037)</f>
        <v>0.45833333333333331</v>
      </c>
    </row>
    <row r="1038" spans="1:30" x14ac:dyDescent="0.25">
      <c r="A1038" s="85">
        <v>46155</v>
      </c>
      <c r="B1038" t="s">
        <v>15</v>
      </c>
      <c r="C1038">
        <v>23</v>
      </c>
      <c r="D1038" s="86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86">
        <f>AVERAGEIFS($C$2:C1038, $B$2:B1038, B1038)</f>
        <v>22.777777777777779</v>
      </c>
      <c r="AB1038" s="86">
        <f>AVERAGEIFS($I$2:I1038, $B$2:B1038, B1038)</f>
        <v>0.44666666666666671</v>
      </c>
      <c r="AC1038" s="86">
        <f>AVERAGEIFS($J$2:J1038, $B$2:B1038, B1038)</f>
        <v>0.4844444444444444</v>
      </c>
      <c r="AD1038" s="86">
        <f>AVERAGEIFS($D$2:D1038, $B$2:B1038, B1038)</f>
        <v>0.37777777777777777</v>
      </c>
    </row>
    <row r="1039" spans="1:30" x14ac:dyDescent="0.25">
      <c r="A1039" s="85">
        <v>46155</v>
      </c>
      <c r="B1039" t="s">
        <v>155</v>
      </c>
      <c r="C1039">
        <v>17</v>
      </c>
      <c r="D1039" s="86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86">
        <f>AVERAGEIFS($C$2:C1039, $B$2:B1039, B1039)</f>
        <v>17.419354838709676</v>
      </c>
      <c r="AB1039" s="86">
        <f>AVERAGEIFS($I$2:I1039, $B$2:B1039, B1039)</f>
        <v>0.38709677419354838</v>
      </c>
      <c r="AC1039" s="86">
        <f>AVERAGEIFS($J$2:J1039, $B$2:B1039, B1039)</f>
        <v>0.46580645161290329</v>
      </c>
      <c r="AD1039" s="86">
        <f>AVERAGEIFS($D$2:D1039, $B$2:B1039, B1039)</f>
        <v>0.32258064516129031</v>
      </c>
    </row>
    <row r="1040" spans="1:30" x14ac:dyDescent="0.25">
      <c r="A1040" s="85">
        <v>46155</v>
      </c>
      <c r="B1040" t="s">
        <v>27</v>
      </c>
      <c r="C1040">
        <v>10</v>
      </c>
      <c r="D1040" s="86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86">
        <f>AVERAGEIFS($C$2:C1040, $B$2:B1040, B1040)</f>
        <v>14.862068965517242</v>
      </c>
      <c r="AB1040" s="86">
        <f>AVERAGEIFS($I$2:I1040, $B$2:B1040, B1040)</f>
        <v>0.50689655172413794</v>
      </c>
      <c r="AC1040" s="86">
        <f>AVERAGEIFS($J$2:J1040, $B$2:B1040, B1040)</f>
        <v>0.50310344827586218</v>
      </c>
      <c r="AD1040" s="86">
        <f>AVERAGEIFS($D$2:D1040, $B$2:B1040, B1040)</f>
        <v>0.55172413793103448</v>
      </c>
    </row>
    <row r="1041" spans="1:30" x14ac:dyDescent="0.25">
      <c r="A1041" s="85">
        <v>46155</v>
      </c>
      <c r="B1041" t="s">
        <v>35</v>
      </c>
      <c r="C1041">
        <v>12</v>
      </c>
      <c r="D1041" s="86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86">
        <f>AVERAGEIFS($C$2:C1041, $B$2:B1041, B1041)</f>
        <v>12.142857142857142</v>
      </c>
      <c r="AB1041" s="86">
        <f>AVERAGEIFS($I$2:I1041, $B$2:B1041, B1041)</f>
        <v>0.51285714285714279</v>
      </c>
      <c r="AC1041" s="86">
        <f>AVERAGEIFS($J$2:J1041, $B$2:B1041, B1041)</f>
        <v>0.50428571428571434</v>
      </c>
      <c r="AD1041" s="86">
        <f>AVERAGEIFS($D$2:D1041, $B$2:B1041, B1041)</f>
        <v>0.6</v>
      </c>
    </row>
    <row r="1042" spans="1:30" x14ac:dyDescent="0.25">
      <c r="A1042" s="85">
        <v>46155</v>
      </c>
      <c r="B1042" t="s">
        <v>19</v>
      </c>
      <c r="C1042">
        <v>9</v>
      </c>
      <c r="D1042" s="86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86">
        <f>AVERAGEIFS($C$2:C1042, $B$2:B1042, B1042)</f>
        <v>12</v>
      </c>
      <c r="AB1042" s="86">
        <f>AVERAGEIFS($I$2:I1042, $B$2:B1042, B1042)</f>
        <v>0.43285714285714288</v>
      </c>
      <c r="AC1042" s="86">
        <f>AVERAGEIFS($J$2:J1042, $B$2:B1042, B1042)</f>
        <v>0.46057142857142858</v>
      </c>
      <c r="AD1042" s="86">
        <f>AVERAGEIFS($D$2:D1042, $B$2:B1042, B1042)</f>
        <v>0.4</v>
      </c>
    </row>
  </sheetData>
  <autoFilter ref="A1:AD95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0"/>
  <sheetViews>
    <sheetView workbookViewId="0">
      <pane xSplit="1" ySplit="1" topLeftCell="B20" activePane="bottomRight" state="frozen"/>
      <selection pane="topRight" activeCell="B1" sqref="B1"/>
      <selection pane="bottomLeft" activeCell="A2" sqref="A2"/>
      <selection pane="bottomRight" activeCell="T28" sqref="T28:AI28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131</v>
      </c>
      <c r="I3" s="4">
        <f>AVERAGEIFS('OB History S2'!C:C,'OB History S2'!B:B,A3)</f>
        <v>13.1</v>
      </c>
      <c r="J3" s="35">
        <f t="array" ref="J3">MAX(IF('OB History S2'!B:B=A3, 'OB History S2'!C:C))</f>
        <v>35</v>
      </c>
      <c r="K3" s="34">
        <f>COUNTIFS('OB History S2'!B:B,A3,'OB History S2'!D:D, 1)</f>
        <v>6</v>
      </c>
      <c r="L3" s="2">
        <f>COUNTIFS('OB History S2'!B:B,A3,'OB History S2'!D:D, 0)</f>
        <v>4</v>
      </c>
      <c r="M3" s="88">
        <f>LOOKUP(2, 1/('OB History S2'!$B:$B=A3), 'OB History S2'!$AD:$AD)</f>
        <v>0.6</v>
      </c>
      <c r="N3" s="34">
        <f>SUMIFS('OB History S2'!F:F,'OB History S2'!B:B,A3)</f>
        <v>21</v>
      </c>
      <c r="O3" s="2">
        <f>SUMIFS('OB History S2'!E:E,'OB History S2'!B:B,A3)-N3</f>
        <v>18</v>
      </c>
      <c r="P3" s="88">
        <f>LOOKUP(2, 1/('OB History S2'!$B:$B=A3), 'OB History S2'!$AB:$AB)</f>
        <v>0.53499999999999992</v>
      </c>
      <c r="Q3" s="34">
        <f>SUMIFS('OB History S2'!H:H,'OB History S2'!B:B,A3)</f>
        <v>84</v>
      </c>
      <c r="R3" s="2">
        <f>SUMIFS('OB History S2'!G:G,'OB History S2'!B:B,A3)-Q3</f>
        <v>77</v>
      </c>
      <c r="S3" s="88">
        <f>LOOKUP(2, 1/('OB History S2'!$B:$B=A3), 'OB History S2'!$AC:$AC)</f>
        <v>0.53200000000000003</v>
      </c>
      <c r="T3" s="2">
        <f>COUNTIFS('OB History S2'!$B:$B,$A$3,'OB History S2'!K:K, 1)</f>
        <v>1</v>
      </c>
      <c r="U3" s="2">
        <f>COUNTIFS('OB History S2'!$B:$B,$A$3,'OB History S2'!L:L, 1)</f>
        <v>3</v>
      </c>
      <c r="V3" s="2">
        <f>COUNTIFS('OB History S2'!$B:$B,$A$3,'OB History S2'!M:M, 1)</f>
        <v>1</v>
      </c>
      <c r="W3" s="2">
        <f>COUNTIFS('OB History S2'!$B:$B,$A$3,'OB History S2'!N:N, 1)</f>
        <v>3</v>
      </c>
      <c r="X3" s="2">
        <f>COUNTIFS('OB History S2'!$B:$B,$A$3,'OB History S2'!O:O, 1)</f>
        <v>1</v>
      </c>
      <c r="Y3" s="2">
        <f>COUNTIFS('OB History S2'!$B:$B,$A$3,'OB History S2'!P:P, 1)</f>
        <v>1</v>
      </c>
      <c r="Z3" s="2">
        <f>COUNTIFS('OB History S2'!$B:$B,$A$3,'OB History S2'!Q:Q, 1)</f>
        <v>0</v>
      </c>
      <c r="AA3" s="2">
        <f>COUNTIFS('OB History S2'!$B:$B,$A$3,'OB History S2'!R:R, 1)</f>
        <v>1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2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170</v>
      </c>
      <c r="I4" s="4">
        <f>AVERAGEIFS('OB History S2'!C:C,'OB History S2'!B:B,A4)</f>
        <v>8.5</v>
      </c>
      <c r="J4" s="35">
        <f t="array" ref="J4">MAX(IF('OB History S2'!B:B=A4, 'OB History S2'!C:C))</f>
        <v>18</v>
      </c>
      <c r="K4" s="34">
        <f>COUNTIFS('OB History S2'!B:B,A4,'OB History S2'!D:D, 1)</f>
        <v>7</v>
      </c>
      <c r="L4" s="2">
        <f>COUNTIFS('OB History S2'!B:B,A4,'OB History S2'!D:D, 0)</f>
        <v>13</v>
      </c>
      <c r="M4" s="88">
        <f>LOOKUP(2, 1/('OB History S2'!$B:$B=A4), 'OB History S2'!$AD:$AD)</f>
        <v>0.35</v>
      </c>
      <c r="N4" s="34">
        <f>SUMIFS('OB History S2'!F:F,'OB History S2'!B:B,A4)</f>
        <v>29</v>
      </c>
      <c r="O4" s="2">
        <f>SUMIFS('OB History S2'!E:E,'OB History S2'!B:B,A4)-N4</f>
        <v>45</v>
      </c>
      <c r="P4" s="88">
        <f>LOOKUP(2, 1/('OB History S2'!$B:$B=A4), 'OB History S2'!$AB:$AB)</f>
        <v>0.39500000000000002</v>
      </c>
      <c r="Q4" s="34">
        <f>SUMIFS('OB History S2'!H:H,'OB History S2'!B:B,A4)</f>
        <v>143</v>
      </c>
      <c r="R4" s="2">
        <f>SUMIFS('OB History S2'!G:G,'OB History S2'!B:B,A4)-Q4</f>
        <v>169</v>
      </c>
      <c r="S4" s="88">
        <f>LOOKUP(2, 1/('OB History S2'!$B:$B=A4), 'OB History S2'!$AC:$AC)</f>
        <v>0.45649999999999996</v>
      </c>
      <c r="T4" s="2">
        <f>COUNTIFS('OB History S2'!$B:$B,$A$4,'OB History S2'!K:K, 1)</f>
        <v>2</v>
      </c>
      <c r="U4" s="2">
        <f>COUNTIFS('OB History S2'!$B:$B,$A$4,'OB History S2'!L:L, 1)</f>
        <v>1</v>
      </c>
      <c r="V4" s="2">
        <f>COUNTIFS('OB History S2'!$B:$B,$A$4,'OB History S2'!M:M, 1)</f>
        <v>1</v>
      </c>
      <c r="W4" s="2">
        <f>COUNTIFS('OB History S2'!$B:$B,$A$4,'OB History S2'!N:N, 1)</f>
        <v>3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2</v>
      </c>
      <c r="AA4" s="2">
        <f>COUNTIFS('OB History S2'!$B:$B,$A$4,'OB History S2'!R:R, 1)</f>
        <v>1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2</v>
      </c>
      <c r="AG4" s="2">
        <f>COUNTIFS('OB History S2'!$B:$B,$A$4,'OB History S2'!X:X, 1)</f>
        <v>4</v>
      </c>
      <c r="AH4" s="2">
        <f>COUNTIFS('OB History S2'!$B:$B,$A$4,'OB History S2'!Y:Y, 1)</f>
        <v>5</v>
      </c>
      <c r="AI4" s="2">
        <f>COUNTIFS('OB History S2'!$B:$B,$A$4,'OB History S2'!Z:Z, 1)</f>
        <v>3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6</v>
      </c>
      <c r="E5" s="2"/>
      <c r="F5" s="2"/>
      <c r="G5" s="2"/>
      <c r="H5" s="34">
        <f>SUMIFS('OB History S2'!C:C,'OB History S2'!B:B,A5)</f>
        <v>300</v>
      </c>
      <c r="I5" s="4">
        <f>AVERAGEIFS('OB History S2'!C:C,'OB History S2'!B:B,A5)</f>
        <v>20</v>
      </c>
      <c r="J5" s="35">
        <f t="array" ref="J5">MAX(IF('OB History S2'!B:B=A5, 'OB History S2'!C:C))</f>
        <v>36</v>
      </c>
      <c r="K5" s="34">
        <f>COUNTIFS('OB History S2'!B:B,A5,'OB History S2'!D:D, 1)</f>
        <v>7</v>
      </c>
      <c r="L5" s="2">
        <f>COUNTIFS('OB History S2'!B:B,A5,'OB History S2'!D:D, 0)</f>
        <v>8</v>
      </c>
      <c r="M5" s="88">
        <f>LOOKUP(2, 1/('OB History S2'!$B:$B=A5), 'OB History S2'!$AD:$AD)</f>
        <v>0.46666666666666667</v>
      </c>
      <c r="N5" s="34">
        <f>SUMIFS('OB History S2'!F:F,'OB History S2'!B:B,A5)</f>
        <v>25</v>
      </c>
      <c r="O5" s="2">
        <f>SUMIFS('OB History S2'!E:E,'OB History S2'!B:B,A5)-N5</f>
        <v>33</v>
      </c>
      <c r="P5" s="88">
        <f>LOOKUP(2, 1/('OB History S2'!$B:$B=A5), 'OB History S2'!$AB:$AB)</f>
        <v>0.40333333333333332</v>
      </c>
      <c r="Q5" s="34">
        <f>SUMIFS('OB History S2'!H:H,'OB History S2'!B:B,A5)</f>
        <v>110</v>
      </c>
      <c r="R5" s="2">
        <f>SUMIFS('OB History S2'!G:G,'OB History S2'!B:B,A5)-Q5</f>
        <v>133</v>
      </c>
      <c r="S5" s="88">
        <f>LOOKUP(2, 1/('OB History S2'!$B:$B=A5), 'OB History S2'!$AC:$AC)</f>
        <v>0.44399999999999989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2</v>
      </c>
      <c r="W5" s="2">
        <f>COUNTIFS('OB History S2'!$B:$B,$A$5,'OB History S2'!N:N, 1)</f>
        <v>3</v>
      </c>
      <c r="X5" s="2">
        <f>COUNTIFS('OB History S2'!$B:$B,$A$5,'OB History S2'!O:O, 1)</f>
        <v>0</v>
      </c>
      <c r="Y5" s="2">
        <f>COUNTIFS('OB History S2'!$B:$B,$A$5,'OB History S2'!P:P, 1)</f>
        <v>0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1</v>
      </c>
      <c r="AC5" s="2">
        <f>COUNTIFS('OB History S2'!$B:$B,$A$5,'OB History S2'!T:T, 1)</f>
        <v>2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5</v>
      </c>
      <c r="AI5" s="2">
        <f>COUNTIFS('OB History S2'!$B:$B,$A$5,'OB History S2'!Z:Z, 1)</f>
        <v>5</v>
      </c>
    </row>
    <row r="6" spans="1:35" x14ac:dyDescent="0.25">
      <c r="A6" s="2" t="s">
        <v>34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29</v>
      </c>
      <c r="I6" s="4">
        <f>AVERAGEIFS('OB History S2'!C:C,'OB History S2'!B:B,A6)</f>
        <v>14.5</v>
      </c>
      <c r="J6" s="35">
        <f t="array" ref="J6">MAX(IF('OB History S2'!B:B=A6, 'OB History S2'!C:C))</f>
        <v>18</v>
      </c>
      <c r="K6" s="34">
        <f>COUNTIFS('OB History S2'!B:B,A6,'OB History S2'!D:D, 1)</f>
        <v>2</v>
      </c>
      <c r="L6" s="2">
        <f>COUNTIFS('OB History S2'!B:B,A6,'OB History S2'!D:D, 0)</f>
        <v>0</v>
      </c>
      <c r="M6" s="88">
        <f>LOOKUP(2, 1/('OB History S2'!$B:$B=A6), 'OB History S2'!$AD:$AD)</f>
        <v>1</v>
      </c>
      <c r="N6" s="34">
        <f>SUMIFS('OB History S2'!F:F,'OB History S2'!B:B,A6)</f>
        <v>6</v>
      </c>
      <c r="O6" s="2">
        <f>SUMIFS('OB History S2'!E:E,'OB History S2'!B:B,A6)-N6</f>
        <v>2</v>
      </c>
      <c r="P6" s="88">
        <f>LOOKUP(2, 1/('OB History S2'!$B:$B=A6), 'OB History S2'!$AB:$AB)</f>
        <v>0.8</v>
      </c>
      <c r="Q6" s="34">
        <f>SUMIFS('OB History S2'!H:H,'OB History S2'!B:B,A6)</f>
        <v>20</v>
      </c>
      <c r="R6" s="2">
        <f>SUMIFS('OB History S2'!G:G,'OB History S2'!B:B,A6)-Q6</f>
        <v>12</v>
      </c>
      <c r="S6" s="88">
        <f>LOOKUP(2, 1/('OB History S2'!$B:$B=A6), 'OB History S2'!$AC:$AC)</f>
        <v>0.66999999999999993</v>
      </c>
      <c r="T6" s="2">
        <f>COUNTIFS('OB History S2'!$B:$B,$A$6,'OB History S2'!K:K, 1)</f>
        <v>0</v>
      </c>
      <c r="U6" s="2">
        <f>COUNTIFS('OB History S2'!$B:$B,$A$6,'OB History S2'!L:L, 1)</f>
        <v>2</v>
      </c>
      <c r="V6" s="2">
        <f>COUNTIFS('OB History S2'!$B:$B,$A$6,'OB History S2'!M:M, 1)</f>
        <v>0</v>
      </c>
      <c r="W6" s="2">
        <f>COUNTIFS('OB History S2'!$B:$B,$A$6,'OB History S2'!N:N, 1)</f>
        <v>0</v>
      </c>
      <c r="X6" s="2">
        <f>COUNTIFS('OB History S2'!$B:$B,$A$6,'OB History S2'!O:O, 1)</f>
        <v>0</v>
      </c>
      <c r="Y6" s="2">
        <f>COUNTIFS('OB History S2'!$B:$B,$A$6,'OB History S2'!P:P, 1)</f>
        <v>0</v>
      </c>
      <c r="Z6" s="2">
        <f>COUNTIFS('OB History S2'!$B:$B,$A$6,'OB History S2'!Q:Q, 1)</f>
        <v>0</v>
      </c>
      <c r="AA6" s="2">
        <f>COUNTIFS('OB History S2'!$B:$B,$A$6,'OB History S2'!R:R, 1)</f>
        <v>0</v>
      </c>
      <c r="AB6" s="2">
        <f>COUNTIFS('OB History S2'!$B:$B,$A$6,'OB History S2'!S:S, 1)</f>
        <v>0</v>
      </c>
      <c r="AC6" s="2">
        <f>COUNTIFS('OB History S2'!$B:$B,$A$6,'OB History S2'!T:T, 1)</f>
        <v>0</v>
      </c>
      <c r="AD6" s="2">
        <f>COUNTIFS('OB History S2'!$B:$B,$A$6,'OB History S2'!U:U, 1)</f>
        <v>0</v>
      </c>
      <c r="AE6" s="2">
        <f>COUNTIFS('OB History S2'!$B:$B,$A$6,'OB History S2'!V:V, 1)</f>
        <v>0</v>
      </c>
      <c r="AF6" s="2">
        <f>COUNTIFS('OB History S2'!$B:$B,$A$6,'OB History S2'!W:W, 1)</f>
        <v>0</v>
      </c>
      <c r="AG6" s="2">
        <f>COUNTIFS('OB History S2'!$B:$B,$A$6,'OB History S2'!X:X, 1)</f>
        <v>2</v>
      </c>
      <c r="AH6" s="2">
        <f>COUNTIFS('OB History S2'!$B:$B,$A$6,'OB History S2'!Y:Y, 1)</f>
        <v>2</v>
      </c>
      <c r="AI6" s="2">
        <f>COUNTIFS('OB History S2'!$B:$B,$A$6,'OB History S2'!Z:Z,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2"/>
      <c r="E7" s="2"/>
      <c r="F7" s="2"/>
      <c r="G7" s="2"/>
      <c r="H7" s="34">
        <f>SUMIFS('OB History S2'!C:C,'OB History S2'!B:B,A7)</f>
        <v>280</v>
      </c>
      <c r="I7" s="4">
        <f>AVERAGEIFS('OB History S2'!C:C,'OB History S2'!B:B,A7)</f>
        <v>12.727272727272727</v>
      </c>
      <c r="J7" s="35">
        <f t="array" ref="J7">MAX(IF('OB History S2'!B:B=A7, 'OB History S2'!C:C))</f>
        <v>32</v>
      </c>
      <c r="K7" s="34">
        <f>COUNTIFS('OB History S2'!B:B,A7,'OB History S2'!D:D, 1)</f>
        <v>12</v>
      </c>
      <c r="L7" s="2">
        <f>COUNTIFS('OB History S2'!B:B,A7,'OB History S2'!D:D, 0)</f>
        <v>10</v>
      </c>
      <c r="M7" s="88">
        <f>LOOKUP(2, 1/('OB History S2'!$B:$B=A7), 'OB History S2'!$AD:$AD)</f>
        <v>0.54545454545454541</v>
      </c>
      <c r="N7" s="34">
        <f>SUMIFS('OB History S2'!F:F,'OB History S2'!B:B,A7)</f>
        <v>44</v>
      </c>
      <c r="O7" s="2">
        <f>SUMIFS('OB History S2'!E:E,'OB History S2'!B:B,A7)-N7</f>
        <v>42</v>
      </c>
      <c r="P7" s="88">
        <f>LOOKUP(2, 1/('OB History S2'!$B:$B=A7), 'OB History S2'!$AB:$AB)</f>
        <v>0.5022727272727272</v>
      </c>
      <c r="Q7" s="34">
        <f>SUMIFS('OB History S2'!H:H,'OB History S2'!B:B,A7)</f>
        <v>172</v>
      </c>
      <c r="R7" s="2">
        <f>SUMIFS('OB History S2'!G:G,'OB History S2'!B:B,A7)-Q7</f>
        <v>176</v>
      </c>
      <c r="S7" s="88">
        <f>LOOKUP(2, 1/('OB History S2'!$B:$B=A7), 'OB History S2'!$AC:$AC)</f>
        <v>0.48590909090909096</v>
      </c>
      <c r="T7" s="2">
        <f>COUNTIFS('OB History S2'!$B:$B,$A$7,'OB History S2'!K:K, 1)</f>
        <v>4</v>
      </c>
      <c r="U7" s="2">
        <f>COUNTIFS('OB History S2'!$B:$B,$A$7,'OB History S2'!L:L, 1)</f>
        <v>5</v>
      </c>
      <c r="V7" s="2">
        <f>COUNTIFS('OB History S2'!$B:$B,$A$7,'OB History S2'!M:M, 1)</f>
        <v>0</v>
      </c>
      <c r="W7" s="2">
        <f>COUNTIFS('OB History S2'!$B:$B,$A$7,'OB History S2'!N:N, 1)</f>
        <v>6</v>
      </c>
      <c r="X7" s="2">
        <f>COUNTIFS('OB History S2'!$B:$B,$A$7,'OB History S2'!O:O, 1)</f>
        <v>3</v>
      </c>
      <c r="Y7" s="2">
        <f>COUNTIFS('OB History S2'!$B:$B,$A$7,'OB History S2'!P:P, 1)</f>
        <v>3</v>
      </c>
      <c r="Z7" s="2">
        <f>COUNTIFS('OB History S2'!$B:$B,$A$7,'OB History S2'!Q:Q, 1)</f>
        <v>0</v>
      </c>
      <c r="AA7" s="2">
        <f>COUNTIFS('OB History S2'!$B:$B,$A$7,'OB History S2'!R:R, 1)</f>
        <v>2</v>
      </c>
      <c r="AB7" s="2">
        <f>COUNTIFS('OB History S2'!$B:$B,$A$7,'OB History S2'!S:S, 1)</f>
        <v>0</v>
      </c>
      <c r="AC7" s="2">
        <f>COUNTIFS('OB History S2'!$B:$B,$A$7,'OB History S2'!T:T, 1)</f>
        <v>1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4</v>
      </c>
      <c r="AG7" s="2">
        <f>COUNTIFS('OB History S2'!$B:$B,$A$7,'OB History S2'!X:X, 1)</f>
        <v>7</v>
      </c>
      <c r="AH7" s="2">
        <f>COUNTIFS('OB History S2'!$B:$B,$A$7,'OB History S2'!Y:Y, 1)</f>
        <v>4</v>
      </c>
      <c r="AI7" s="2">
        <f>COUNTIFS('OB History S2'!$B:$B,$A$7,'OB History S2'!Z:Z, 1)</f>
        <v>5</v>
      </c>
    </row>
    <row r="8" spans="1:35" ht="15.75" x14ac:dyDescent="0.25">
      <c r="A8" s="2" t="s">
        <v>19</v>
      </c>
      <c r="B8" s="80" t="s">
        <v>79</v>
      </c>
      <c r="C8" s="2" t="s">
        <v>79</v>
      </c>
      <c r="D8" s="2">
        <v>1</v>
      </c>
      <c r="E8" s="2">
        <v>1</v>
      </c>
      <c r="F8" s="2"/>
      <c r="G8" s="2"/>
      <c r="H8" s="34">
        <f>SUMIFS('OB History S2'!C:C,'OB History S2'!B:B,A8)</f>
        <v>97</v>
      </c>
      <c r="I8" s="4">
        <f>AVERAGEIFS('OB History S2'!C:C,'OB History S2'!B:B,A8)</f>
        <v>12.125</v>
      </c>
      <c r="J8" s="35">
        <f t="array" ref="J8">MAX(IF('OB History S2'!B:B=A8, 'OB History S2'!C:C))</f>
        <v>24</v>
      </c>
      <c r="K8" s="34">
        <f>COUNTIFS('OB History S2'!B:B,A8,'OB History S2'!D:D, 1)</f>
        <v>4</v>
      </c>
      <c r="L8" s="2">
        <f>COUNTIFS('OB History S2'!B:B,A8,'OB History S2'!D:D, 0)</f>
        <v>4</v>
      </c>
      <c r="M8" s="88">
        <f>LOOKUP(2, 1/('OB History S2'!$B:$B=A8), 'OB History S2'!$AD:$AD)</f>
        <v>0.5</v>
      </c>
      <c r="N8" s="34">
        <f>SUMIFS('OB History S2'!F:F,'OB History S2'!B:B,A8)</f>
        <v>18</v>
      </c>
      <c r="O8" s="2">
        <f>SUMIFS('OB History S2'!E:E,'OB History S2'!B:B,A8)-N8</f>
        <v>14</v>
      </c>
      <c r="P8" s="88">
        <f>LOOKUP(2, 1/('OB History S2'!$B:$B=A8), 'OB History S2'!$AB:$AB)</f>
        <v>0.6</v>
      </c>
      <c r="Q8" s="34">
        <f>SUMIFS('OB History S2'!H:H,'OB History S2'!B:B,A8)</f>
        <v>68</v>
      </c>
      <c r="R8" s="2">
        <f>SUMIFS('OB History S2'!G:G,'OB History S2'!B:B,A8)-Q8</f>
        <v>62</v>
      </c>
      <c r="S8" s="88">
        <f>LOOKUP(2, 1/('OB History S2'!$B:$B=A8), 'OB History S2'!$AC:$AC)</f>
        <v>0.53</v>
      </c>
      <c r="T8" s="2">
        <f>COUNTIFS('OB History S2'!$B:$B,$A$8,'OB History S2'!K:K, 1)</f>
        <v>2</v>
      </c>
      <c r="U8" s="2">
        <f>COUNTIFS('OB History S2'!$B:$B,$A$8,'OB History S2'!L:L, 1)</f>
        <v>2</v>
      </c>
      <c r="V8" s="2">
        <f>COUNTIFS('OB History S2'!$B:$B,$A$8,'OB History S2'!M:M, 1)</f>
        <v>0</v>
      </c>
      <c r="W8" s="2">
        <f>COUNTIFS('OB History S2'!$B:$B,$A$8,'OB History S2'!N:N, 1)</f>
        <v>2</v>
      </c>
      <c r="X8" s="2">
        <f>COUNTIFS('OB History S2'!$B:$B,$A$8,'OB History S2'!O:O, 1)</f>
        <v>0</v>
      </c>
      <c r="Y8" s="2">
        <f>COUNTIFS('OB History S2'!$B:$B,$A$8,'OB History S2'!P:P, 1)</f>
        <v>2</v>
      </c>
      <c r="Z8" s="2">
        <f>COUNTIFS('OB History S2'!$B:$B,$A$8,'OB History S2'!Q:Q, 1)</f>
        <v>0</v>
      </c>
      <c r="AA8" s="2">
        <f>COUNTIFS('OB History S2'!$B:$B,$A$8,'OB History S2'!R:R, 1)</f>
        <v>1</v>
      </c>
      <c r="AB8" s="2">
        <f>COUNTIFS('OB History S2'!$B:$B,$A$8,'OB History S2'!S:S, 1)</f>
        <v>0</v>
      </c>
      <c r="AC8" s="2">
        <f>COUNTIFS('OB History S2'!$B:$B,$A$8,'OB History S2'!T:T, 1)</f>
        <v>0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0</v>
      </c>
      <c r="AG8" s="2">
        <f>COUNTIFS('OB History S2'!$B:$B,$A$8,'OB History S2'!X:X, 1)</f>
        <v>1</v>
      </c>
      <c r="AH8" s="2">
        <f>COUNTIFS('OB History S2'!$B:$B,$A$8,'OB History S2'!Y:Y, 1)</f>
        <v>4</v>
      </c>
      <c r="AI8" s="2">
        <f>COUNTIFS('OB History S2'!$B:$B,$A$8,'OB History S2'!Z:Z, 1)</f>
        <v>4</v>
      </c>
    </row>
    <row r="9" spans="1:35" x14ac:dyDescent="0.25">
      <c r="A9" s="1" t="s">
        <v>42</v>
      </c>
      <c r="B9" s="6" t="s">
        <v>60</v>
      </c>
      <c r="C9" s="2" t="s">
        <v>79</v>
      </c>
      <c r="D9" s="2"/>
      <c r="E9" s="2"/>
      <c r="F9" s="2"/>
      <c r="G9" s="2"/>
      <c r="H9" s="34">
        <f>SUMIFS('OB History S2'!C:C,'OB History S2'!B:B,A9)</f>
        <v>53</v>
      </c>
      <c r="I9" s="4">
        <f>AVERAGEIFS('OB History S2'!C:C,'OB History S2'!B:B,A9)</f>
        <v>13.25</v>
      </c>
      <c r="J9" s="35">
        <f t="array" ref="J9">MAX(IF('OB History S2'!B:B=A9, 'OB History S2'!C:C))</f>
        <v>29</v>
      </c>
      <c r="K9" s="34">
        <f>COUNTIFS('OB History S2'!B:B,A9,'OB History S2'!D:D, 1)</f>
        <v>1</v>
      </c>
      <c r="L9" s="2">
        <f>COUNTIFS('OB History S2'!B:B,A9,'OB History S2'!D:D, 0)</f>
        <v>3</v>
      </c>
      <c r="M9" s="88">
        <f>LOOKUP(2, 1/('OB History S2'!$B:$B=A9), 'OB History S2'!$AD:$AD)</f>
        <v>0.25</v>
      </c>
      <c r="N9" s="34">
        <f>SUMIFS('OB History S2'!F:F,'OB History S2'!B:B,A9)</f>
        <v>5</v>
      </c>
      <c r="O9" s="2">
        <f>SUMIFS('OB History S2'!E:E,'OB History S2'!B:B,A9)-N9</f>
        <v>10</v>
      </c>
      <c r="P9" s="88">
        <f>LOOKUP(2, 1/('OB History S2'!$B:$B=A9), 'OB History S2'!$AB:$AB)</f>
        <v>0.28749999999999998</v>
      </c>
      <c r="Q9" s="34">
        <f>SUMIFS('OB History S2'!H:H,'OB History S2'!B:B,A9)</f>
        <v>25</v>
      </c>
      <c r="R9" s="2">
        <f>SUMIFS('OB History S2'!G:G,'OB History S2'!B:B,A9)-Q9</f>
        <v>35</v>
      </c>
      <c r="S9" s="88">
        <f>LOOKUP(2, 1/('OB History S2'!$B:$B=A9), 'OB History S2'!$AC:$AC)</f>
        <v>0.39249999999999996</v>
      </c>
      <c r="T9" s="2">
        <f>COUNTIFS('OB History S2'!$B:$B,$A$9,'OB History S2'!K:K, 1)</f>
        <v>2</v>
      </c>
      <c r="U9" s="2">
        <f>COUNTIFS('OB History S2'!$B:$B,$A$9,'OB History S2'!L:L, 1)</f>
        <v>0</v>
      </c>
      <c r="V9" s="2">
        <f>COUNTIFS('OB History S2'!$B:$B,$A$9,'OB History S2'!M:M, 1)</f>
        <v>0</v>
      </c>
      <c r="W9" s="2">
        <f>COUNTIFS('OB History S2'!$B:$B,$A$9,'OB History S2'!N:N, 1)</f>
        <v>0</v>
      </c>
      <c r="X9" s="2">
        <f>COUNTIFS('OB History S2'!$B:$B,$A$9,'OB History S2'!O:O, 1)</f>
        <v>0</v>
      </c>
      <c r="Y9" s="2">
        <f>COUNTIFS('OB History S2'!$B:$B,$A$9,'OB History S2'!P:P, 1)</f>
        <v>0</v>
      </c>
      <c r="Z9" s="2">
        <f>COUNTIFS('OB History S2'!$B:$B,$A$9,'OB History S2'!Q:Q, 1)</f>
        <v>0</v>
      </c>
      <c r="AA9" s="2">
        <f>COUNTIFS('OB History S2'!$B:$B,$A$9,'OB History S2'!R:R, 1)</f>
        <v>0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2</v>
      </c>
      <c r="AG9" s="2">
        <f>COUNTIFS('OB History S2'!$B:$B,$A$9,'OB History S2'!X:X, 1)</f>
        <v>1</v>
      </c>
      <c r="AH9" s="2">
        <f>COUNTIFS('OB History S2'!$B:$B,$A$9,'OB History S2'!Y:Y, 1)</f>
        <v>0</v>
      </c>
      <c r="AI9" s="2">
        <f>COUNTIFS('OB History S2'!$B:$B,$A$9,'OB History S2'!Z:Z, 1)</f>
        <v>0</v>
      </c>
    </row>
    <row r="10" spans="1:35" x14ac:dyDescent="0.25">
      <c r="A10" s="1" t="s">
        <v>179</v>
      </c>
      <c r="B10" s="6" t="s">
        <v>79</v>
      </c>
      <c r="C10" s="2" t="s">
        <v>79</v>
      </c>
      <c r="D10" s="2"/>
      <c r="E10" s="2"/>
      <c r="F10" s="2"/>
      <c r="G10" s="2"/>
      <c r="H10" s="34">
        <f>SUMIFS('OB History S2'!C:C,'OB History S2'!B:B,A10)</f>
        <v>98</v>
      </c>
      <c r="I10" s="4">
        <f>AVERAGEIFS('OB History S2'!C:C,'OB History S2'!B:B,A10)</f>
        <v>14</v>
      </c>
      <c r="J10" s="35">
        <f t="array" ref="J10">MAX(IF('OB History S2'!B:B=A10, 'OB History S2'!C:C))</f>
        <v>22</v>
      </c>
      <c r="K10" s="34">
        <f>COUNTIFS('OB History S2'!B:B,A10,'OB History S2'!D:D, 1)</f>
        <v>6</v>
      </c>
      <c r="L10" s="2">
        <f>COUNTIFS('OB History S2'!B:B,A10,'OB History S2'!D:D, 0)</f>
        <v>1</v>
      </c>
      <c r="M10" s="88">
        <f>LOOKUP(2, 1/('OB History S2'!$B:$B=A10), 'OB History S2'!$AD:$AD)</f>
        <v>0.8571428571428571</v>
      </c>
      <c r="N10" s="34">
        <f>SUMIFS('OB History S2'!F:F,'OB History S2'!B:B,A10)</f>
        <v>20</v>
      </c>
      <c r="O10" s="2">
        <f>SUMIFS('OB History S2'!E:E,'OB History S2'!B:B,A10)-N10</f>
        <v>4</v>
      </c>
      <c r="P10" s="88">
        <f>LOOKUP(2, 1/('OB History S2'!$B:$B=A10), 'OB History S2'!$AB:$AB)</f>
        <v>0.8571428571428571</v>
      </c>
      <c r="Q10" s="34">
        <f>SUMIFS('OB History S2'!H:H,'OB History S2'!B:B,A10)</f>
        <v>62</v>
      </c>
      <c r="R10" s="2">
        <f>SUMIFS('OB History S2'!G:G,'OB History S2'!B:B,A10)-Q10</f>
        <v>40</v>
      </c>
      <c r="S10" s="88">
        <f>LOOKUP(2, 1/('OB History S2'!$B:$B=A10), 'OB History S2'!$AC:$AC)</f>
        <v>0.61857142857142855</v>
      </c>
      <c r="T10" s="2">
        <f>COUNTIFS('OB History S2'!$B:$B,$A$10,'OB History S2'!K:K, 1)</f>
        <v>1</v>
      </c>
      <c r="U10" s="2">
        <f>COUNTIFS('OB History S2'!$B:$B,$A$10,'OB History S2'!L:L, 1)</f>
        <v>2</v>
      </c>
      <c r="V10" s="2">
        <f>COUNTIFS('OB History S2'!$B:$B,$A$10,'OB History S2'!M:M, 1)</f>
        <v>1</v>
      </c>
      <c r="W10" s="2">
        <f>COUNTIFS('OB History S2'!$B:$B,$A$10,'OB History S2'!N:N, 1)</f>
        <v>3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1</v>
      </c>
      <c r="AB10" s="2">
        <f>COUNTIFS('OB History S2'!$B:$B,$A$10,'OB History S2'!S:S, 1)</f>
        <v>0</v>
      </c>
      <c r="AC10" s="2">
        <f>COUNTIFS('OB History S2'!$B:$B,$A$10,'OB History S2'!T:T, 1)</f>
        <v>2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1</v>
      </c>
      <c r="AG10" s="2">
        <f>COUNTIFS('OB History S2'!$B:$B,$A$10,'OB History S2'!X:X, 1)</f>
        <v>4</v>
      </c>
      <c r="AH10" s="2">
        <f>COUNTIFS('OB History S2'!$B:$B,$A$10,'OB History S2'!Y:Y, 1)</f>
        <v>2</v>
      </c>
      <c r="AI10" s="2">
        <f>COUNTIFS('OB History S2'!$B:$B,$A$10,'OB History S2'!Z:Z, 1)</f>
        <v>3</v>
      </c>
    </row>
    <row r="11" spans="1:35" x14ac:dyDescent="0.25">
      <c r="A11" s="1" t="s">
        <v>216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11</v>
      </c>
      <c r="I11" s="4">
        <f>AVERAGEIFS('OB History S2'!C:C,'OB History S2'!B:B,A11)</f>
        <v>11</v>
      </c>
      <c r="J11" s="35">
        <f t="array" ref="J11">MAX(IF('OB History S2'!B:B=A11, 'OB History S2'!C:C))</f>
        <v>11</v>
      </c>
      <c r="K11" s="34">
        <f>COUNTIFS('OB History S2'!B:B,A11,'OB History S2'!D:D, 1)</f>
        <v>1</v>
      </c>
      <c r="L11" s="2">
        <f>COUNTIFS('OB History S2'!B:B,A11,'OB History S2'!D:D, 0)</f>
        <v>0</v>
      </c>
      <c r="M11" s="88">
        <f>LOOKUP(2, 1/('OB History S2'!$B:$B=A11), 'OB History S2'!$AD:$AD)</f>
        <v>1</v>
      </c>
      <c r="N11" s="34">
        <f>SUMIFS('OB History S2'!F:F,'OB History S2'!B:B,A11)</f>
        <v>4</v>
      </c>
      <c r="O11" s="2">
        <f>SUMIFS('OB History S2'!E:E,'OB History S2'!B:B,A11)-N11</f>
        <v>0</v>
      </c>
      <c r="P11" s="88">
        <f>LOOKUP(2, 1/('OB History S2'!$B:$B=A11), 'OB History S2'!$AB:$AB)</f>
        <v>1</v>
      </c>
      <c r="Q11" s="34">
        <f>SUMIFS('OB History S2'!H:H,'OB History S2'!B:B,A11)</f>
        <v>12</v>
      </c>
      <c r="R11" s="2">
        <f>SUMIFS('OB History S2'!G:G,'OB History S2'!B:B,A11)-Q11</f>
        <v>5</v>
      </c>
      <c r="S11" s="88">
        <f>LOOKUP(2, 1/('OB History S2'!$B:$B=A11), 'OB History S2'!$AC:$AC)</f>
        <v>0.71</v>
      </c>
      <c r="T11" s="2">
        <f>COUNTIFS('OB History S2'!$B:$B,$A$11,'OB History S2'!K:K, 1)</f>
        <v>0</v>
      </c>
      <c r="U11" s="2">
        <f>COUNTIFS('OB History S2'!$B:$B,$A$11,'OB History S2'!L:L, 1)</f>
        <v>0</v>
      </c>
      <c r="V11" s="2">
        <f>COUNTIFS('OB History S2'!$B:$B,$A$11,'OB History S2'!M:M, 1)</f>
        <v>0</v>
      </c>
      <c r="W11" s="2">
        <f>COUNTIFS('OB History S2'!$B:$B,$A$11,'OB History S2'!N:N, 1)</f>
        <v>1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0</v>
      </c>
      <c r="AA11" s="2">
        <f>COUNTIFS('OB History S2'!$B:$B,$A$11,'OB History S2'!R:R, 1)</f>
        <v>0</v>
      </c>
      <c r="AB11" s="2">
        <f>COUNTIFS('OB History S2'!$B:$B,$A$11,'OB History S2'!S:S, 1)</f>
        <v>0</v>
      </c>
      <c r="AC11" s="2">
        <f>COUNTIFS('OB History S2'!$B:$B,$A$11,'OB History S2'!T:T, 1)</f>
        <v>0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0</v>
      </c>
      <c r="AG11" s="2">
        <f>COUNTIFS('OB History S2'!$B:$B,$A$11,'OB History S2'!X:X, 1)</f>
        <v>1</v>
      </c>
      <c r="AH11" s="2">
        <f>COUNTIFS('OB History S2'!$B:$B,$A$11,'OB History S2'!Y:Y, 1)</f>
        <v>1</v>
      </c>
      <c r="AI11" s="2">
        <f>COUNTIFS('OB History S2'!$B:$B,$A$11,'OB History S2'!Z:Z, 1)</f>
        <v>0</v>
      </c>
    </row>
    <row r="12" spans="1:35" x14ac:dyDescent="0.25">
      <c r="A12" s="1" t="s">
        <v>25</v>
      </c>
      <c r="B12" s="6" t="s">
        <v>79</v>
      </c>
      <c r="C12" s="2" t="s">
        <v>79</v>
      </c>
      <c r="D12" s="2">
        <v>2</v>
      </c>
      <c r="E12" s="2"/>
      <c r="F12" s="2"/>
      <c r="G12" s="2"/>
      <c r="H12" s="34">
        <f>SUMIFS('OB History S2'!C:C,'OB History S2'!B:B,A12)</f>
        <v>334</v>
      </c>
      <c r="I12" s="4">
        <f>AVERAGEIFS('OB History S2'!C:C,'OB History S2'!B:B,A12)</f>
        <v>20.875</v>
      </c>
      <c r="J12" s="35">
        <f t="array" ref="J12">MAX(IF('OB History S2'!B:B=A12, 'OB History S2'!C:C))</f>
        <v>50</v>
      </c>
      <c r="K12" s="34">
        <f>COUNTIFS('OB History S2'!B:B,A12,'OB History S2'!D:D, 1)</f>
        <v>9</v>
      </c>
      <c r="L12" s="2">
        <f>COUNTIFS('OB History S2'!B:B,A12,'OB History S2'!D:D, 0)</f>
        <v>7</v>
      </c>
      <c r="M12" s="88">
        <f>LOOKUP(2, 1/('OB History S2'!$B:$B=A12), 'OB History S2'!$AD:$AD)</f>
        <v>0.5625</v>
      </c>
      <c r="N12" s="34">
        <f>SUMIFS('OB History S2'!F:F,'OB History S2'!B:B,A12)</f>
        <v>35</v>
      </c>
      <c r="O12" s="2">
        <f>SUMIFS('OB History S2'!E:E,'OB History S2'!B:B,A12)-N12</f>
        <v>33</v>
      </c>
      <c r="P12" s="88">
        <f>LOOKUP(2, 1/('OB History S2'!$B:$B=A12), 'OB History S2'!$AB:$AB)</f>
        <v>0.50624999999999998</v>
      </c>
      <c r="Q12" s="34">
        <f>SUMIFS('OB History S2'!H:H,'OB History S2'!B:B,A12)</f>
        <v>138</v>
      </c>
      <c r="R12" s="2">
        <f>SUMIFS('OB History S2'!G:G,'OB History S2'!B:B,A12)-Q12</f>
        <v>144</v>
      </c>
      <c r="S12" s="88">
        <f>LOOKUP(2, 1/('OB History S2'!$B:$B=A12), 'OB History S2'!$AC:$AC)</f>
        <v>0.49187499999999995</v>
      </c>
      <c r="T12" s="2">
        <f>COUNTIFS('OB History S2'!$B:$B,$A$12,'OB History S2'!K:K, 1)</f>
        <v>2</v>
      </c>
      <c r="U12" s="2">
        <f>COUNTIFS('OB History S2'!$B:$B,$A$12,'OB History S2'!L:L, 1)</f>
        <v>2</v>
      </c>
      <c r="V12" s="2">
        <f>COUNTIFS('OB History S2'!$B:$B,$A$12,'OB History S2'!M:M, 1)</f>
        <v>1</v>
      </c>
      <c r="W12" s="2">
        <f>COUNTIFS('OB History S2'!$B:$B,$A$12,'OB History S2'!N:N, 1)</f>
        <v>2</v>
      </c>
      <c r="X12" s="2">
        <f>COUNTIFS('OB History S2'!$B:$B,$A$12,'OB History S2'!O:O, 1)</f>
        <v>1</v>
      </c>
      <c r="Y12" s="2">
        <f>COUNTIFS('OB History S2'!$B:$B,$A$12,'OB History S2'!P:P, 1)</f>
        <v>3</v>
      </c>
      <c r="Z12" s="2">
        <f>COUNTIFS('OB History S2'!$B:$B,$A$12,'OB History S2'!Q:Q, 1)</f>
        <v>3</v>
      </c>
      <c r="AA12" s="2">
        <f>COUNTIFS('OB History S2'!$B:$B,$A$12,'OB History S2'!R:R, 1)</f>
        <v>2</v>
      </c>
      <c r="AB12" s="2">
        <f>COUNTIFS('OB History S2'!$B:$B,$A$12,'OB History S2'!S:S, 1)</f>
        <v>2</v>
      </c>
      <c r="AC12" s="2">
        <f>COUNTIFS('OB History S2'!$B:$B,$A$12,'OB History S2'!T:T, 1)</f>
        <v>0</v>
      </c>
      <c r="AD12" s="2">
        <f>COUNTIFS('OB History S2'!$B:$B,$A$12,'OB History S2'!U:U, 1)</f>
        <v>0</v>
      </c>
      <c r="AE12" s="2">
        <f>COUNTIFS('OB History S2'!$B:$B,$A$12,'OB History S2'!V:V, 1)</f>
        <v>1</v>
      </c>
      <c r="AF12" s="2">
        <f>COUNTIFS('OB History S2'!$B:$B,$A$12,'OB History S2'!W:W, 1)</f>
        <v>2</v>
      </c>
      <c r="AG12" s="2">
        <f>COUNTIFS('OB History S2'!$B:$B,$A$12,'OB History S2'!X:X, 1)</f>
        <v>5</v>
      </c>
      <c r="AH12" s="2">
        <f>COUNTIFS('OB History S2'!$B:$B,$A$12,'OB History S2'!Y:Y, 1)</f>
        <v>3</v>
      </c>
      <c r="AI12" s="2">
        <f>COUNTIFS('OB History S2'!$B:$B,$A$12,'OB History S2'!Z:Z, 1)</f>
        <v>6</v>
      </c>
    </row>
    <row r="13" spans="1:35" x14ac:dyDescent="0.25">
      <c r="A13" s="1" t="s">
        <v>146</v>
      </c>
      <c r="B13" s="6" t="s">
        <v>79</v>
      </c>
      <c r="C13" s="2" t="s">
        <v>79</v>
      </c>
      <c r="D13" s="2"/>
      <c r="E13" s="2"/>
      <c r="F13" s="2"/>
      <c r="G13" s="2"/>
      <c r="H13" s="34">
        <f>SUMIFS('OB History S2'!C:C,'OB History S2'!B:B,A13)</f>
        <v>142</v>
      </c>
      <c r="I13" s="4">
        <f>AVERAGEIFS('OB History S2'!C:C,'OB History S2'!B:B,A13)</f>
        <v>12.909090909090908</v>
      </c>
      <c r="J13" s="35">
        <f t="array" ref="J13">MAX(IF('OB History S2'!B:B=A13, 'OB History S2'!C:C))</f>
        <v>27</v>
      </c>
      <c r="K13" s="34">
        <f>COUNTIFS('OB History S2'!B:B,A13,'OB History S2'!D:D, 1)</f>
        <v>4</v>
      </c>
      <c r="L13" s="2">
        <f>COUNTIFS('OB History S2'!B:B,A13,'OB History S2'!D:D, 0)</f>
        <v>7</v>
      </c>
      <c r="M13" s="88">
        <f>LOOKUP(2, 1/('OB History S2'!$B:$B=A13), 'OB History S2'!$AD:$AD)</f>
        <v>0.36363636363636365</v>
      </c>
      <c r="N13" s="34">
        <f>SUMIFS('OB History S2'!F:F,'OB History S2'!B:B,A13)</f>
        <v>18</v>
      </c>
      <c r="O13" s="2">
        <f>SUMIFS('OB History S2'!E:E,'OB History S2'!B:B,A13)-N13</f>
        <v>25</v>
      </c>
      <c r="P13" s="88">
        <f>LOOKUP(2, 1/('OB History S2'!$B:$B=A13), 'OB History S2'!$AB:$AB)</f>
        <v>0.4</v>
      </c>
      <c r="Q13" s="34">
        <f>SUMIFS('OB History S2'!H:H,'OB History S2'!B:B,A13)</f>
        <v>88</v>
      </c>
      <c r="R13" s="2">
        <f>SUMIFS('OB History S2'!G:G,'OB History S2'!B:B,A13)-Q13</f>
        <v>97</v>
      </c>
      <c r="S13" s="88">
        <f>LOOKUP(2, 1/('OB History S2'!$B:$B=A13), 'OB History S2'!$AC:$AC)</f>
        <v>0.47181818181818175</v>
      </c>
      <c r="T13" s="2">
        <f>COUNTIFS('OB History S2'!$B:$B,$A$13,'OB History S2'!K:K, 1)</f>
        <v>1</v>
      </c>
      <c r="U13" s="2">
        <f>COUNTIFS('OB History S2'!$B:$B,$A$13,'OB History S2'!L:L, 1)</f>
        <v>3</v>
      </c>
      <c r="V13" s="2">
        <f>COUNTIFS('OB History S2'!$B:$B,$A$13,'OB History S2'!M:M, 1)</f>
        <v>2</v>
      </c>
      <c r="W13" s="2">
        <f>COUNTIFS('OB History S2'!$B:$B,$A$13,'OB History S2'!N:N, 1)</f>
        <v>4</v>
      </c>
      <c r="X13" s="2">
        <f>COUNTIFS('OB History S2'!$B:$B,$A$13,'OB History S2'!O:O, 1)</f>
        <v>2</v>
      </c>
      <c r="Y13" s="2">
        <f>COUNTIFS('OB History S2'!$B:$B,$A$13,'OB History S2'!P:P, 1)</f>
        <v>0</v>
      </c>
      <c r="Z13" s="2">
        <f>COUNTIFS('OB History S2'!$B:$B,$A$13,'OB History S2'!Q:Q, 1)</f>
        <v>2</v>
      </c>
      <c r="AA13" s="2">
        <f>COUNTIFS('OB History S2'!$B:$B,$A$13,'OB History S2'!R:R, 1)</f>
        <v>0</v>
      </c>
      <c r="AB13" s="2">
        <f>COUNTIFS('OB History S2'!$B:$B,$A$13,'OB History S2'!S:S, 1)</f>
        <v>0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0</v>
      </c>
      <c r="AF13" s="2">
        <f>COUNTIFS('OB History S2'!$B:$B,$A$13,'OB History S2'!W:W, 1)</f>
        <v>2</v>
      </c>
      <c r="AG13" s="2">
        <f>COUNTIFS('OB History S2'!$B:$B,$A$13,'OB History S2'!X:X, 1)</f>
        <v>1</v>
      </c>
      <c r="AH13" s="2">
        <f>COUNTIFS('OB History S2'!$B:$B,$A$13,'OB History S2'!Y:Y, 1)</f>
        <v>1</v>
      </c>
      <c r="AI13" s="2">
        <f>COUNTIFS('OB History S2'!$B:$B,$A$13,'OB History S2'!Z:Z, 1)</f>
        <v>0</v>
      </c>
    </row>
    <row r="14" spans="1:35" x14ac:dyDescent="0.25">
      <c r="A14" s="1" t="s">
        <v>27</v>
      </c>
      <c r="B14" s="6" t="s">
        <v>76</v>
      </c>
      <c r="C14" s="6" t="s">
        <v>79</v>
      </c>
      <c r="D14" s="6">
        <v>2</v>
      </c>
      <c r="E14" s="6"/>
      <c r="F14" s="6"/>
      <c r="G14" s="6"/>
      <c r="H14" s="34">
        <f>SUMIFS('OB History S2'!C:C,'OB History S2'!B:B,A14)</f>
        <v>195</v>
      </c>
      <c r="I14" s="4">
        <f>AVERAGEIFS('OB History S2'!C:C,'OB History S2'!B:B,A14)</f>
        <v>16.25</v>
      </c>
      <c r="J14" s="35">
        <f t="array" ref="J14">MAX(IF('OB History S2'!B:B=A14, 'OB History S2'!C:C))</f>
        <v>44</v>
      </c>
      <c r="K14" s="34">
        <f>COUNTIFS('OB History S2'!B:B,A14,'OB History S2'!D:D, 1)</f>
        <v>8</v>
      </c>
      <c r="L14" s="2">
        <f>COUNTIFS('OB History S2'!B:B,A14,'OB History S2'!D:D, 0)</f>
        <v>4</v>
      </c>
      <c r="M14" s="88">
        <f>LOOKUP(2, 1/('OB History S2'!$B:$B=A14), 'OB History S2'!$AD:$AD)</f>
        <v>0.66666666666666663</v>
      </c>
      <c r="N14" s="34">
        <f>SUMIFS('OB History S2'!F:F,'OB History S2'!B:B,A14)</f>
        <v>28</v>
      </c>
      <c r="O14" s="2">
        <f>SUMIFS('OB History S2'!E:E,'OB History S2'!B:B,A14)-N14</f>
        <v>20</v>
      </c>
      <c r="P14" s="88">
        <f>LOOKUP(2, 1/('OB History S2'!$B:$B=A14), 'OB History S2'!$AB:$AB)</f>
        <v>0.58333333333333337</v>
      </c>
      <c r="Q14" s="34">
        <f>SUMIFS('OB History S2'!H:H,'OB History S2'!B:B,A14)</f>
        <v>104</v>
      </c>
      <c r="R14" s="2">
        <f>SUMIFS('OB History S2'!G:G,'OB History S2'!B:B,A14)-Q14</f>
        <v>87</v>
      </c>
      <c r="S14" s="88">
        <f>LOOKUP(2, 1/('OB History S2'!$B:$B=A14), 'OB History S2'!$AC:$AC)</f>
        <v>0.54833333333333345</v>
      </c>
      <c r="T14" s="2">
        <f>COUNTIFS('OB History S2'!$B:$B,$A$14,'OB History S2'!K:K, 1)</f>
        <v>1</v>
      </c>
      <c r="U14" s="2">
        <f>COUNTIFS('OB History S2'!$B:$B,$A$14,'OB History S2'!L:L, 1)</f>
        <v>3</v>
      </c>
      <c r="V14" s="2">
        <f>COUNTIFS('OB History S2'!$B:$B,$A$14,'OB History S2'!M:M, 1)</f>
        <v>1</v>
      </c>
      <c r="W14" s="2">
        <f>COUNTIFS('OB History S2'!$B:$B,$A$14,'OB History S2'!N:N, 1)</f>
        <v>2</v>
      </c>
      <c r="X14" s="2">
        <f>COUNTIFS('OB History S2'!$B:$B,$A$14,'OB History S2'!O:O, 1)</f>
        <v>0</v>
      </c>
      <c r="Y14" s="2">
        <f>COUNTIFS('OB History S2'!$B:$B,$A$14,'OB History S2'!P:P, 1)</f>
        <v>2</v>
      </c>
      <c r="Z14" s="2">
        <f>COUNTIFS('OB History S2'!$B:$B,$A$14,'OB History S2'!Q:Q, 1)</f>
        <v>3</v>
      </c>
      <c r="AA14" s="2">
        <f>COUNTIFS('OB History S2'!$B:$B,$A$14,'OB History S2'!R:R, 1)</f>
        <v>3</v>
      </c>
      <c r="AB14" s="2">
        <f>COUNTIFS('OB History S2'!$B:$B,$A$14,'OB History S2'!S:S, 1)</f>
        <v>0</v>
      </c>
      <c r="AC14" s="2">
        <f>COUNTIFS('OB History S2'!$B:$B,$A$14,'OB History S2'!T:T, 1)</f>
        <v>1</v>
      </c>
      <c r="AD14" s="2">
        <f>COUNTIFS('OB History S2'!$B:$B,$A$14,'OB History S2'!U:U, 1)</f>
        <v>1</v>
      </c>
      <c r="AE14" s="2">
        <f>COUNTIFS('OB History S2'!$B:$B,$A$14,'OB History S2'!V:V, 1)</f>
        <v>0</v>
      </c>
      <c r="AF14" s="2">
        <f>COUNTIFS('OB History S2'!$B:$B,$A$14,'OB History S2'!W:W, 1)</f>
        <v>2</v>
      </c>
      <c r="AG14" s="2">
        <f>COUNTIFS('OB History S2'!$B:$B,$A$14,'OB History S2'!X:X, 1)</f>
        <v>4</v>
      </c>
      <c r="AH14" s="2">
        <f>COUNTIFS('OB History S2'!$B:$B,$A$14,'OB History S2'!Y:Y, 1)</f>
        <v>3</v>
      </c>
      <c r="AI14" s="2">
        <f>COUNTIFS('OB History S2'!$B:$B,$A$14,'OB History S2'!Z:Z, 1)</f>
        <v>2</v>
      </c>
    </row>
    <row r="15" spans="1:35" x14ac:dyDescent="0.25">
      <c r="A15" s="1" t="s">
        <v>26</v>
      </c>
      <c r="B15" s="6" t="s">
        <v>124</v>
      </c>
      <c r="C15" s="6" t="s">
        <v>79</v>
      </c>
      <c r="D15" s="6"/>
      <c r="E15" s="6"/>
      <c r="F15" s="6"/>
      <c r="G15" s="6"/>
      <c r="H15" s="34">
        <f>SUMIFS('OB History S2'!C:C,'OB History S2'!B:B,A15)</f>
        <v>237</v>
      </c>
      <c r="I15" s="4">
        <f>AVERAGEIFS('OB History S2'!C:C,'OB History S2'!B:B,A15)</f>
        <v>15.8</v>
      </c>
      <c r="J15" s="35">
        <f t="array" ref="J15">MAX(IF('OB History S2'!B:B=A15, 'OB History S2'!C:C))</f>
        <v>41</v>
      </c>
      <c r="K15" s="34">
        <f>COUNTIFS('OB History S2'!B:B,A15,'OB History S2'!D:D, 1)</f>
        <v>8</v>
      </c>
      <c r="L15" s="2">
        <f>COUNTIFS('OB History S2'!B:B,A15,'OB History S2'!D:D, 0)</f>
        <v>7</v>
      </c>
      <c r="M15" s="88">
        <f>LOOKUP(2, 1/('OB History S2'!$B:$B=A15), 'OB History S2'!$AD:$AD)</f>
        <v>0.53333333333333333</v>
      </c>
      <c r="N15" s="34">
        <f>SUMIFS('OB History S2'!F:F,'OB History S2'!B:B,A15)</f>
        <v>31</v>
      </c>
      <c r="O15" s="2">
        <f>SUMIFS('OB History S2'!E:E,'OB History S2'!B:B,A15)-N15</f>
        <v>27</v>
      </c>
      <c r="P15" s="88">
        <f>LOOKUP(2, 1/('OB History S2'!$B:$B=A15), 'OB History S2'!$AB:$AB)</f>
        <v>0.54333333333333333</v>
      </c>
      <c r="Q15" s="34">
        <f>SUMIFS('OB History S2'!H:H,'OB History S2'!B:B,A15)</f>
        <v>122</v>
      </c>
      <c r="R15" s="2">
        <f>SUMIFS('OB History S2'!G:G,'OB History S2'!B:B,A15)-Q15</f>
        <v>124</v>
      </c>
      <c r="S15" s="88">
        <f>LOOKUP(2, 1/('OB History S2'!$B:$B=A15), 'OB History S2'!$AC:$AC)</f>
        <v>0.49000000000000005</v>
      </c>
      <c r="T15" s="2">
        <f>COUNTIFS('OB History S2'!$B:$B,$A$15,'OB History S2'!K:K, 1)</f>
        <v>3</v>
      </c>
      <c r="U15" s="2">
        <f>COUNTIFS('OB History S2'!$B:$B,$A$15,'OB History S2'!L:L, 1)</f>
        <v>1</v>
      </c>
      <c r="V15" s="2">
        <f>COUNTIFS('OB History S2'!$B:$B,$A$15,'OB History S2'!M:M, 1)</f>
        <v>1</v>
      </c>
      <c r="W15" s="2">
        <f>COUNTIFS('OB History S2'!$B:$B,$A$15,'OB History S2'!N:N, 1)</f>
        <v>2</v>
      </c>
      <c r="X15" s="2">
        <f>COUNTIFS('OB History S2'!$B:$B,$A$15,'OB History S2'!O:O, 1)</f>
        <v>0</v>
      </c>
      <c r="Y15" s="2">
        <f>COUNTIFS('OB History S2'!$B:$B,$A$15,'OB History S2'!P:P, 1)</f>
        <v>3</v>
      </c>
      <c r="Z15" s="2">
        <f>COUNTIFS('OB History S2'!$B:$B,$A$15,'OB History S2'!Q:Q, 1)</f>
        <v>2</v>
      </c>
      <c r="AA15" s="2">
        <f>COUNTIFS('OB History S2'!$B:$B,$A$15,'OB History S2'!R:R, 1)</f>
        <v>2</v>
      </c>
      <c r="AB15" s="2">
        <f>COUNTIFS('OB History S2'!$B:$B,$A$15,'OB History S2'!S:S, 1)</f>
        <v>1</v>
      </c>
      <c r="AC15" s="2">
        <f>COUNTIFS('OB History S2'!$B:$B,$A$15,'OB History S2'!T:T, 1)</f>
        <v>1</v>
      </c>
      <c r="AD15" s="2">
        <f>COUNTIFS('OB History S2'!$B:$B,$A$15,'OB History S2'!U:U, 1)</f>
        <v>0</v>
      </c>
      <c r="AE15" s="2">
        <f>COUNTIFS('OB History S2'!$B:$B,$A$15,'OB History S2'!V:V, 1)</f>
        <v>1</v>
      </c>
      <c r="AF15" s="2">
        <f>COUNTIFS('OB History S2'!$B:$B,$A$15,'OB History S2'!W:W, 1)</f>
        <v>1</v>
      </c>
      <c r="AG15" s="2">
        <f>COUNTIFS('OB History S2'!$B:$B,$A$15,'OB History S2'!X:X, 1)</f>
        <v>4</v>
      </c>
      <c r="AH15" s="2">
        <f>COUNTIFS('OB History S2'!$B:$B,$A$15,'OB History S2'!Y:Y, 1)</f>
        <v>5</v>
      </c>
      <c r="AI15" s="2">
        <f>COUNTIFS('OB History S2'!$B:$B,$A$15,'OB History S2'!Z:Z, 1)</f>
        <v>4</v>
      </c>
    </row>
    <row r="16" spans="1:35" x14ac:dyDescent="0.25">
      <c r="A16" s="1" t="s">
        <v>74</v>
      </c>
      <c r="B16" s="6" t="s">
        <v>79</v>
      </c>
      <c r="C16" s="6" t="s">
        <v>79</v>
      </c>
      <c r="D16" s="6"/>
      <c r="E16" s="6"/>
      <c r="F16" s="6"/>
      <c r="G16" s="6"/>
      <c r="H16" s="34">
        <f>SUMIFS('OB History S2'!C:C,'OB History S2'!B:B,A16)</f>
        <v>10</v>
      </c>
      <c r="I16" s="4">
        <f>AVERAGEIFS('OB History S2'!C:C,'OB History S2'!B:B,A16)</f>
        <v>10</v>
      </c>
      <c r="J16" s="35">
        <f t="array" ref="J16">MAX(IF('OB History S2'!B:B=A16, 'OB History S2'!C:C))</f>
        <v>10</v>
      </c>
      <c r="K16" s="34">
        <f>COUNTIFS('OB History S2'!B:B,A16,'OB History S2'!D:D, 1)</f>
        <v>0</v>
      </c>
      <c r="L16" s="2">
        <f>COUNTIFS('OB History S2'!B:B,A16,'OB History S2'!D:D, 0)</f>
        <v>1</v>
      </c>
      <c r="M16" s="88">
        <f>LOOKUP(2, 1/('OB History S2'!$B:$B=A16), 'OB History S2'!$AD:$AD)</f>
        <v>0</v>
      </c>
      <c r="N16" s="34">
        <f>SUMIFS('OB History S2'!F:F,'OB History S2'!B:B,A16)</f>
        <v>2</v>
      </c>
      <c r="O16" s="2">
        <f>SUMIFS('OB History S2'!E:E,'OB History S2'!B:B,A16)-N16</f>
        <v>3</v>
      </c>
      <c r="P16" s="88">
        <f>LOOKUP(2, 1/('OB History S2'!$B:$B=A16), 'OB History S2'!$AB:$AB)</f>
        <v>0.4</v>
      </c>
      <c r="Q16" s="34">
        <f>SUMIFS('OB History S2'!H:H,'OB History S2'!B:B,A16)</f>
        <v>6</v>
      </c>
      <c r="R16" s="2">
        <f>SUMIFS('OB History S2'!G:G,'OB History S2'!B:B,A16)-Q16</f>
        <v>14</v>
      </c>
      <c r="S16" s="88">
        <f>LOOKUP(2, 1/('OB History S2'!$B:$B=A16), 'OB History S2'!$AC:$AC)</f>
        <v>0.3</v>
      </c>
      <c r="T16" s="2">
        <f>COUNTIFS('OB History S2'!$B:$B,$A$16,'OB History S2'!K:K, 1)</f>
        <v>0</v>
      </c>
      <c r="U16" s="2">
        <f>COUNTIFS('OB History S2'!$B:$B,$A$16,'OB History S2'!L:L, 1)</f>
        <v>0</v>
      </c>
      <c r="V16" s="2">
        <f>COUNTIFS('OB History S2'!$B:$B,$A$16,'OB History S2'!M:M, 1)</f>
        <v>0</v>
      </c>
      <c r="W16" s="2">
        <f>COUNTIFS('OB History S2'!$B:$B,$A$16,'OB History S2'!N:N, 1)</f>
        <v>0</v>
      </c>
      <c r="X16" s="2">
        <f>COUNTIFS('OB History S2'!$B:$B,$A$16,'OB History S2'!O:O, 1)</f>
        <v>0</v>
      </c>
      <c r="Y16" s="2">
        <f>COUNTIFS('OB History S2'!$B:$B,$A$16,'OB History S2'!P:P, 1)</f>
        <v>0</v>
      </c>
      <c r="Z16" s="2">
        <f>COUNTIFS('OB History S2'!$B:$B,$A$16,'OB History S2'!Q:Q, 1)</f>
        <v>0</v>
      </c>
      <c r="AA16" s="2">
        <f>COUNTIFS('OB History S2'!$B:$B,$A$16,'OB History S2'!R:R, 1)</f>
        <v>0</v>
      </c>
      <c r="AB16" s="2">
        <f>COUNTIFS('OB History S2'!$B:$B,$A$16,'OB History S2'!S:S, 1)</f>
        <v>0</v>
      </c>
      <c r="AC16" s="2">
        <f>COUNTIFS('OB History S2'!$B:$B,$A$16,'OB History S2'!T:T, 1)</f>
        <v>0</v>
      </c>
      <c r="AD16" s="2">
        <f>COUNTIFS('OB History S2'!$B:$B,$A$16,'OB History S2'!U:U, 1)</f>
        <v>0</v>
      </c>
      <c r="AE16" s="2">
        <f>COUNTIFS('OB History S2'!$B:$B,$A$16,'OB History S2'!V:V, 1)</f>
        <v>0</v>
      </c>
      <c r="AF16" s="2">
        <f>COUNTIFS('OB History S2'!$B:$B,$A$16,'OB History S2'!W:W, 1)</f>
        <v>1</v>
      </c>
      <c r="AG16" s="2">
        <f>COUNTIFS('OB History S2'!$B:$B,$A$16,'OB History S2'!X:X, 1)</f>
        <v>0</v>
      </c>
      <c r="AH16" s="2">
        <f>COUNTIFS('OB History S2'!$B:$B,$A$16,'OB History S2'!Y:Y, 1)</f>
        <v>1</v>
      </c>
      <c r="AI16" s="2">
        <f>COUNTIFS('OB History S2'!$B:$B,$A$16,'OB History S2'!Z:Z, 1)</f>
        <v>0</v>
      </c>
    </row>
    <row r="17" spans="1:35" x14ac:dyDescent="0.25">
      <c r="A17" s="1" t="s">
        <v>152</v>
      </c>
      <c r="B17" s="6" t="s">
        <v>79</v>
      </c>
      <c r="C17" s="2" t="s">
        <v>79</v>
      </c>
      <c r="D17" s="2"/>
      <c r="E17" s="2"/>
      <c r="F17" s="2"/>
      <c r="G17" s="2"/>
      <c r="H17" s="34">
        <f>SUMIFS('OB History S2'!C:C,'OB History S2'!B:B,A17)</f>
        <v>154</v>
      </c>
      <c r="I17" s="4">
        <f>AVERAGEIFS('OB History S2'!C:C,'OB History S2'!B:B,A17)</f>
        <v>14</v>
      </c>
      <c r="J17" s="35">
        <f t="array" ref="J17">MAX(IF('OB History S2'!B:B=A17, 'OB History S2'!C:C))</f>
        <v>19</v>
      </c>
      <c r="K17" s="34">
        <f>COUNTIFS('OB History S2'!B:B,A17,'OB History S2'!D:D, 1)</f>
        <v>2</v>
      </c>
      <c r="L17" s="2">
        <f>COUNTIFS('OB History S2'!B:B,A17,'OB History S2'!D:D, 0)</f>
        <v>9</v>
      </c>
      <c r="M17" s="88">
        <f>LOOKUP(2, 1/('OB History S2'!$B:$B=A17), 'OB History S2'!$AD:$AD)</f>
        <v>0.18181818181818182</v>
      </c>
      <c r="N17" s="34">
        <f>SUMIFS('OB History S2'!F:F,'OB History S2'!B:B,A17)</f>
        <v>12</v>
      </c>
      <c r="O17" s="2">
        <f>SUMIFS('OB History S2'!E:E,'OB History S2'!B:B,A17)-N17</f>
        <v>30</v>
      </c>
      <c r="P17" s="88">
        <f>LOOKUP(2, 1/('OB History S2'!$B:$B=A17), 'OB History S2'!$AB:$AB)</f>
        <v>0.25454545454545452</v>
      </c>
      <c r="Q17" s="34">
        <f>SUMIFS('OB History S2'!H:H,'OB History S2'!B:B,A17)</f>
        <v>67</v>
      </c>
      <c r="R17" s="2">
        <f>SUMIFS('OB History S2'!G:G,'OB History S2'!B:B,A17)-Q17</f>
        <v>111</v>
      </c>
      <c r="S17" s="88">
        <f>LOOKUP(2, 1/('OB History S2'!$B:$B=A17), 'OB History S2'!$AC:$AC)</f>
        <v>0.3572727272727273</v>
      </c>
      <c r="T17" s="2">
        <f>COUNTIFS('OB History S2'!$B:$B,$A$17,'OB History S2'!K:K, 1)</f>
        <v>1</v>
      </c>
      <c r="U17" s="2">
        <f>COUNTIFS('OB History S2'!$B:$B,$A$17,'OB History S2'!L:L, 1)</f>
        <v>0</v>
      </c>
      <c r="V17" s="2">
        <f>COUNTIFS('OB History S2'!$B:$B,$A$17,'OB History S2'!M:M, 1)</f>
        <v>2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2</v>
      </c>
      <c r="Z17" s="2">
        <f>COUNTIFS('OB History S2'!$B:$B,$A$17,'OB History S2'!Q:Q, 1)</f>
        <v>2</v>
      </c>
      <c r="AA17" s="2">
        <f>COUNTIFS('OB History S2'!$B:$B,$A$17,'OB History S2'!R:R, 1)</f>
        <v>1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0</v>
      </c>
      <c r="AG17" s="2">
        <f>COUNTIFS('OB History S2'!$B:$B,$A$17,'OB History S2'!X:X, 1)</f>
        <v>3</v>
      </c>
      <c r="AH17" s="2">
        <f>COUNTIFS('OB History S2'!$B:$B,$A$17,'OB History S2'!Y:Y, 1)</f>
        <v>0</v>
      </c>
      <c r="AI17" s="2">
        <f>COUNTIFS('OB History S2'!$B:$B,$A$17,'OB History S2'!Z:Z, 1)</f>
        <v>1</v>
      </c>
    </row>
    <row r="18" spans="1:35" x14ac:dyDescent="0.25">
      <c r="A18" s="1" t="s">
        <v>215</v>
      </c>
      <c r="B18" s="6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0</v>
      </c>
      <c r="I18" s="4">
        <f>AVERAGEIFS('OB History S2'!C:C,'OB History S2'!B:B,A18)</f>
        <v>0</v>
      </c>
      <c r="J18" s="35">
        <f t="array" ref="J18">MAX(IF('OB History S2'!B:B=A18, 'OB History S2'!C:C))</f>
        <v>0</v>
      </c>
      <c r="K18" s="34">
        <f>COUNTIFS('OB History S2'!B:B,A18,'OB History S2'!D:D, 1)</f>
        <v>0</v>
      </c>
      <c r="L18" s="2">
        <f>COUNTIFS('OB History S2'!B:B,A18,'OB History S2'!D:D, 0)</f>
        <v>1</v>
      </c>
      <c r="M18" s="88">
        <f>LOOKUP(2, 1/('OB History S2'!$B:$B=A18), 'OB History S2'!$AD:$AD)</f>
        <v>0</v>
      </c>
      <c r="N18" s="34">
        <f>SUMIFS('OB History S2'!F:F,'OB History S2'!B:B,A18)</f>
        <v>0</v>
      </c>
      <c r="O18" s="2">
        <f>SUMIFS('OB History S2'!E:E,'OB History S2'!B:B,A18)-N18</f>
        <v>3</v>
      </c>
      <c r="P18" s="88">
        <f>LOOKUP(2, 1/('OB History S2'!$B:$B=A18), 'OB History S2'!$AB:$AB)</f>
        <v>0</v>
      </c>
      <c r="Q18" s="34">
        <f>SUMIFS('OB History S2'!H:H,'OB History S2'!B:B,A18)</f>
        <v>3</v>
      </c>
      <c r="R18" s="2">
        <f>SUMIFS('OB History S2'!G:G,'OB History S2'!B:B,A18)-Q18</f>
        <v>9</v>
      </c>
      <c r="S18" s="88">
        <f>LOOKUP(2, 1/('OB History S2'!$B:$B=A18), 'OB History S2'!$AC:$AC)</f>
        <v>0.25</v>
      </c>
      <c r="T18" s="2">
        <f>COUNTIFS('OB History S2'!$B:$B,$A$18,'OB History S2'!K:K, 1)</f>
        <v>0</v>
      </c>
      <c r="U18" s="2">
        <f>COUNTIFS('OB History S2'!$B:$B,$A$18,'OB History S2'!L:L, 1)</f>
        <v>0</v>
      </c>
      <c r="V18" s="2">
        <f>COUNTIFS('OB History S2'!$B:$B,$A$18,'OB History S2'!M:M, 1)</f>
        <v>0</v>
      </c>
      <c r="W18" s="2">
        <f>COUNTIFS('OB History S2'!$B:$B,$A$18,'OB History S2'!N:N, 1)</f>
        <v>0</v>
      </c>
      <c r="X18" s="2">
        <f>COUNTIFS('OB History S2'!$B:$B,$A$18,'OB History S2'!O:O, 1)</f>
        <v>0</v>
      </c>
      <c r="Y18" s="2">
        <f>COUNTIFS('OB History S2'!$B:$B,$A$18,'OB History S2'!P:P, 1)</f>
        <v>0</v>
      </c>
      <c r="Z18" s="2">
        <f>COUNTIFS('OB History S2'!$B:$B,$A$18,'OB History S2'!Q:Q, 1)</f>
        <v>0</v>
      </c>
      <c r="AA18" s="2">
        <f>COUNTIFS('OB History S2'!$B:$B,$A$18,'OB History S2'!R:R, 1)</f>
        <v>0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0</v>
      </c>
      <c r="AG18" s="2">
        <f>COUNTIFS('OB History S2'!$B:$B,$A$18,'OB History S2'!X:X, 1)</f>
        <v>0</v>
      </c>
      <c r="AH18" s="2">
        <f>COUNTIFS('OB History S2'!$B:$B,$A$18,'OB History S2'!Y:Y, 1)</f>
        <v>0</v>
      </c>
      <c r="AI18" s="2">
        <f>COUNTIFS('OB History S2'!$B:$B,$A$18,'OB History S2'!Z:Z, 1)</f>
        <v>0</v>
      </c>
    </row>
    <row r="19" spans="1:35" ht="15.75" x14ac:dyDescent="0.25">
      <c r="A19" s="1" t="s">
        <v>45</v>
      </c>
      <c r="B19" s="80" t="s">
        <v>60</v>
      </c>
      <c r="C19" s="2" t="s">
        <v>79</v>
      </c>
      <c r="D19" s="2"/>
      <c r="E19" s="2"/>
      <c r="F19" s="2"/>
      <c r="G19" s="2"/>
      <c r="H19" s="34">
        <f>SUMIFS('OB History S2'!C:C,'OB History S2'!B:B,A19)</f>
        <v>138</v>
      </c>
      <c r="I19" s="4">
        <f>AVERAGEIFS('OB History S2'!C:C,'OB History S2'!B:B,A19)</f>
        <v>15.333333333333334</v>
      </c>
      <c r="J19" s="35">
        <f t="array" ref="J19">MAX(IF('OB History S2'!B:B=A19, 'OB History S2'!C:C))</f>
        <v>29</v>
      </c>
      <c r="K19" s="34">
        <f>COUNTIFS('OB History S2'!B:B,A19,'OB History S2'!D:D, 1)</f>
        <v>4</v>
      </c>
      <c r="L19" s="2">
        <f>COUNTIFS('OB History S2'!B:B,A19,'OB History S2'!D:D, 0)</f>
        <v>5</v>
      </c>
      <c r="M19" s="88">
        <f>LOOKUP(2, 1/('OB History S2'!$B:$B=A19), 'OB History S2'!$AD:$AD)</f>
        <v>0.44444444444444442</v>
      </c>
      <c r="N19" s="34">
        <f>SUMIFS('OB History S2'!F:F,'OB History S2'!B:B,A19)</f>
        <v>19</v>
      </c>
      <c r="O19" s="2">
        <f>SUMIFS('OB History S2'!E:E,'OB History S2'!B:B,A19)-N19</f>
        <v>21</v>
      </c>
      <c r="P19" s="88">
        <f>LOOKUP(2, 1/('OB History S2'!$B:$B=A19), 'OB History S2'!$AB:$AB)</f>
        <v>0.47222222222222221</v>
      </c>
      <c r="Q19" s="34">
        <f>SUMIFS('OB History S2'!H:H,'OB History S2'!B:B,A19)</f>
        <v>77</v>
      </c>
      <c r="R19" s="2">
        <f>SUMIFS('OB History S2'!G:G,'OB History S2'!B:B,A19)-Q19</f>
        <v>81</v>
      </c>
      <c r="S19" s="88">
        <f>LOOKUP(2, 1/('OB History S2'!$B:$B=A19), 'OB History S2'!$AC:$AC)</f>
        <v>0.48777777777777775</v>
      </c>
      <c r="T19" s="2">
        <f>COUNTIFS('OB History S2'!$B:$B,$A$19,'OB History S2'!K:K, 1)</f>
        <v>1</v>
      </c>
      <c r="U19" s="2">
        <f>COUNTIFS('OB History S2'!$B:$B,$A$19,'OB History S2'!L:L, 1)</f>
        <v>1</v>
      </c>
      <c r="V19" s="2">
        <f>COUNTIFS('OB History S2'!$B:$B,$A$19,'OB History S2'!M:M, 1)</f>
        <v>2</v>
      </c>
      <c r="W19" s="2">
        <f>COUNTIFS('OB History S2'!$B:$B,$A$19,'OB History S2'!N:N, 1)</f>
        <v>1</v>
      </c>
      <c r="X19" s="2">
        <f>COUNTIFS('OB History S2'!$B:$B,$A$19,'OB History S2'!O:O, 1)</f>
        <v>0</v>
      </c>
      <c r="Y19" s="2">
        <f>COUNTIFS('OB History S2'!$B:$B,$A$19,'OB History S2'!P:P, 1)</f>
        <v>2</v>
      </c>
      <c r="Z19" s="2">
        <f>COUNTIFS('OB History S2'!$B:$B,$A$19,'OB History S2'!Q:Q, 1)</f>
        <v>0</v>
      </c>
      <c r="AA19" s="2">
        <f>COUNTIFS('OB History S2'!$B:$B,$A$19,'OB History S2'!R:R, 1)</f>
        <v>1</v>
      </c>
      <c r="AB19" s="2">
        <f>COUNTIFS('OB History S2'!$B:$B,$A$19,'OB History S2'!S:S, 1)</f>
        <v>1</v>
      </c>
      <c r="AC19" s="2">
        <f>COUNTIFS('OB History S2'!$B:$B,$A$19,'OB History S2'!T:T, 1)</f>
        <v>1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1</v>
      </c>
      <c r="AG19" s="2">
        <f>COUNTIFS('OB History S2'!$B:$B,$A$19,'OB History S2'!X:X, 1)</f>
        <v>2</v>
      </c>
      <c r="AH19" s="2">
        <f>COUNTIFS('OB History S2'!$B:$B,$A$19,'OB History S2'!Y:Y, 1)</f>
        <v>3</v>
      </c>
      <c r="AI19" s="2">
        <f>COUNTIFS('OB History S2'!$B:$B,$A$19,'OB History S2'!Z:Z, 1)</f>
        <v>3</v>
      </c>
    </row>
    <row r="20" spans="1:35" x14ac:dyDescent="0.25">
      <c r="A20" s="2" t="s">
        <v>52</v>
      </c>
      <c r="B20" s="2" t="s">
        <v>79</v>
      </c>
      <c r="C20" s="2" t="s">
        <v>79</v>
      </c>
      <c r="D20" s="2"/>
      <c r="E20" s="2"/>
      <c r="F20" s="2"/>
      <c r="G20" s="2"/>
      <c r="H20" s="34">
        <f>SUMIFS('OB History S2'!C:C,'OB History S2'!B:B,A20)</f>
        <v>34</v>
      </c>
      <c r="I20" s="4">
        <f>AVERAGEIFS('OB History S2'!C:C,'OB History S2'!B:B,A20)</f>
        <v>34</v>
      </c>
      <c r="J20" s="35">
        <f t="array" ref="J20">MAX(IF('OB History S2'!B:B=A20, 'OB History S2'!C:C))</f>
        <v>34</v>
      </c>
      <c r="K20" s="34">
        <f>COUNTIFS('OB History S2'!B:B,A20,'OB History S2'!D:D, 1)</f>
        <v>0</v>
      </c>
      <c r="L20" s="2">
        <f>COUNTIFS('OB History S2'!B:B,A20,'OB History S2'!D:D, 0)</f>
        <v>1</v>
      </c>
      <c r="M20" s="88">
        <f>LOOKUP(2, 1/('OB History S2'!$B:$B=A20), 'OB History S2'!$AD:$AD)</f>
        <v>0</v>
      </c>
      <c r="N20" s="34">
        <f>SUMIFS('OB History S2'!F:F,'OB History S2'!B:B,A20)</f>
        <v>2</v>
      </c>
      <c r="O20" s="2">
        <f>SUMIFS('OB History S2'!E:E,'OB History S2'!B:B,A20)-N20</f>
        <v>3</v>
      </c>
      <c r="P20" s="88">
        <f>LOOKUP(2, 1/('OB History S2'!$B:$B=A20), 'OB History S2'!$AB:$AB)</f>
        <v>0.4</v>
      </c>
      <c r="Q20" s="34">
        <f>SUMIFS('OB History S2'!H:H,'OB History S2'!B:B,A20)</f>
        <v>8</v>
      </c>
      <c r="R20" s="2">
        <f>SUMIFS('OB History S2'!G:G,'OB History S2'!B:B,A20)-Q20</f>
        <v>13</v>
      </c>
      <c r="S20" s="88">
        <f>LOOKUP(2, 1/('OB History S2'!$B:$B=A20), 'OB History S2'!$AC:$AC)</f>
        <v>0.38</v>
      </c>
      <c r="T20" s="2">
        <f>COUNTIFS('OB History S2'!$B:$B,$A$20,'OB History S2'!K:K, 1)</f>
        <v>0</v>
      </c>
      <c r="U20" s="2">
        <f>COUNTIFS('OB History S2'!$B:$B,$A$20,'OB History S2'!L:L, 1)</f>
        <v>0</v>
      </c>
      <c r="V20" s="2">
        <f>COUNTIFS('OB History S2'!$B:$B,$A$20,'OB History S2'!M:M, 1)</f>
        <v>0</v>
      </c>
      <c r="W20" s="2">
        <f>COUNTIFS('OB History S2'!$B:$B,$A$20,'OB History S2'!N:N, 1)</f>
        <v>0</v>
      </c>
      <c r="X20" s="2">
        <f>COUNTIFS('OB History S2'!$B:$B,$A$20,'OB History S2'!O:O, 1)</f>
        <v>0</v>
      </c>
      <c r="Y20" s="2">
        <f>COUNTIFS('OB History S2'!$B:$B,$A$20,'OB History S2'!P:P, 1)</f>
        <v>1</v>
      </c>
      <c r="Z20" s="2">
        <f>COUNTIFS('OB History S2'!$B:$B,$A$20,'OB History S2'!Q:Q, 1)</f>
        <v>0</v>
      </c>
      <c r="AA20" s="2">
        <f>COUNTIFS('OB History S2'!$B:$B,$A$20,'OB History S2'!R:R, 1)</f>
        <v>0</v>
      </c>
      <c r="AB20" s="2">
        <f>COUNTIFS('OB History S2'!$B:$B,$A$20,'OB History S2'!S:S, 1)</f>
        <v>0</v>
      </c>
      <c r="AC20" s="2">
        <f>COUNTIFS('OB History S2'!$B:$B,$A$20,'OB History S2'!T:T, 1)</f>
        <v>0</v>
      </c>
      <c r="AD20" s="2">
        <f>COUNTIFS('OB History S2'!$B:$B,$A$20,'OB History S2'!U:U, 1)</f>
        <v>0</v>
      </c>
      <c r="AE20" s="2">
        <f>COUNTIFS('OB History S2'!$B:$B,$A$20,'OB History S2'!V:V, 1)</f>
        <v>0</v>
      </c>
      <c r="AF20" s="2">
        <f>COUNTIFS('OB History S2'!$B:$B,$A$20,'OB History S2'!W:W, 1)</f>
        <v>0</v>
      </c>
      <c r="AG20" s="2">
        <f>COUNTIFS('OB History S2'!$B:$B,$A$20,'OB History S2'!X:X, 1)</f>
        <v>1</v>
      </c>
      <c r="AH20" s="2">
        <f>COUNTIFS('OB History S2'!$B:$B,$A$20,'OB History S2'!Y:Y, 1)</f>
        <v>0</v>
      </c>
      <c r="AI20" s="2">
        <f>COUNTIFS('OB History S2'!$B:$B,$A$20,'OB History S2'!Z:Z, 1)</f>
        <v>0</v>
      </c>
    </row>
    <row r="21" spans="1:35" x14ac:dyDescent="0.25">
      <c r="A21" s="1" t="s">
        <v>44</v>
      </c>
      <c r="B21" s="2" t="s">
        <v>79</v>
      </c>
      <c r="C21" s="2" t="s">
        <v>79</v>
      </c>
      <c r="D21" s="2"/>
      <c r="E21" s="2"/>
      <c r="F21" s="2"/>
      <c r="G21" s="2"/>
      <c r="H21" s="34">
        <f>SUMIFS('OB History S2'!C:C,'OB History S2'!B:B,A21)</f>
        <v>74</v>
      </c>
      <c r="I21" s="4">
        <f>AVERAGEIFS('OB History S2'!C:C,'OB History S2'!B:B,A21)</f>
        <v>14.8</v>
      </c>
      <c r="J21" s="35">
        <f t="array" ref="J21">MAX(IF('OB History S2'!B:B=A21, 'OB History S2'!C:C))</f>
        <v>28</v>
      </c>
      <c r="K21" s="34">
        <f>COUNTIFS('OB History S2'!B:B,A21,'OB History S2'!D:D, 1)</f>
        <v>5</v>
      </c>
      <c r="L21" s="2">
        <f>COUNTIFS('OB History S2'!B:B,A21,'OB History S2'!D:D, 0)</f>
        <v>0</v>
      </c>
      <c r="M21" s="88">
        <f>LOOKUP(2, 1/('OB History S2'!$B:$B=A21), 'OB History S2'!$AD:$AD)</f>
        <v>1</v>
      </c>
      <c r="N21" s="34">
        <f>SUMIFS('OB History S2'!F:F,'OB History S2'!B:B,A21)</f>
        <v>15</v>
      </c>
      <c r="O21" s="2">
        <f>SUMIFS('OB History S2'!E:E,'OB History S2'!B:B,A21)-N21</f>
        <v>3</v>
      </c>
      <c r="P21" s="88">
        <f>LOOKUP(2, 1/('OB History S2'!$B:$B=A21), 'OB History S2'!$AB:$AB)</f>
        <v>0.86999999999999988</v>
      </c>
      <c r="Q21" s="34">
        <f>SUMIFS('OB History S2'!H:H,'OB History S2'!B:B,A21)</f>
        <v>49</v>
      </c>
      <c r="R21" s="2">
        <f>SUMIFS('OB History S2'!G:G,'OB History S2'!B:B,A21)-Q21</f>
        <v>26</v>
      </c>
      <c r="S21" s="88">
        <f>LOOKUP(2, 1/('OB History S2'!$B:$B=A21), 'OB History S2'!$AC:$AC)</f>
        <v>0.67</v>
      </c>
      <c r="T21" s="2">
        <f>COUNTIFS('OB History S2'!$B:$B,$A$21,'OB History S2'!K:K, 1)</f>
        <v>0</v>
      </c>
      <c r="U21" s="2">
        <f>COUNTIFS('OB History S2'!$B:$B,$A$21,'OB History S2'!L:L, 1)</f>
        <v>2</v>
      </c>
      <c r="V21" s="2">
        <f>COUNTIFS('OB History S2'!$B:$B,$A$21,'OB History S2'!M:M, 1)</f>
        <v>1</v>
      </c>
      <c r="W21" s="2">
        <f>COUNTIFS('OB History S2'!$B:$B,$A$21,'OB History S2'!N:N, 1)</f>
        <v>0</v>
      </c>
      <c r="X21" s="2">
        <f>COUNTIFS('OB History S2'!$B:$B,$A$21,'OB History S2'!O:O, 1)</f>
        <v>0</v>
      </c>
      <c r="Y21" s="2">
        <f>COUNTIFS('OB History S2'!$B:$B,$A$21,'OB History S2'!P:P, 1)</f>
        <v>1</v>
      </c>
      <c r="Z21" s="2">
        <f>COUNTIFS('OB History S2'!$B:$B,$A$21,'OB History S2'!Q:Q, 1)</f>
        <v>1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0</v>
      </c>
      <c r="AF21" s="2">
        <f>COUNTIFS('OB History S2'!$B:$B,$A$21,'OB History S2'!W:W, 1)</f>
        <v>2</v>
      </c>
      <c r="AG21" s="2">
        <f>COUNTIFS('OB History S2'!$B:$B,$A$21,'OB History S2'!X:X, 1)</f>
        <v>3</v>
      </c>
      <c r="AH21" s="2">
        <f>COUNTIFS('OB History S2'!$B:$B,$A$21,'OB History S2'!Y:Y, 1)</f>
        <v>4</v>
      </c>
      <c r="AI21" s="2">
        <f>COUNTIFS('OB History S2'!$B:$B,$A$21,'OB History S2'!Z:Z, 1)</f>
        <v>1</v>
      </c>
    </row>
    <row r="22" spans="1:35" x14ac:dyDescent="0.25">
      <c r="A22" s="2" t="s">
        <v>1</v>
      </c>
      <c r="B22" s="6" t="s">
        <v>124</v>
      </c>
      <c r="C22" s="2" t="s">
        <v>79</v>
      </c>
      <c r="D22" s="2"/>
      <c r="E22" s="2"/>
      <c r="F22" s="2"/>
      <c r="G22" s="2"/>
      <c r="H22" s="34">
        <f>SUMIFS('OB History S2'!C:C,'OB History S2'!B:B,A22)</f>
        <v>63</v>
      </c>
      <c r="I22" s="4">
        <f>AVERAGEIFS('OB History S2'!C:C,'OB History S2'!B:B,A22)</f>
        <v>15.75</v>
      </c>
      <c r="J22" s="35">
        <f t="array" ref="J22">MAX(IF('OB History S2'!B:B=A22, 'OB History S2'!C:C))</f>
        <v>24</v>
      </c>
      <c r="K22" s="34">
        <f>COUNTIFS('OB History S2'!B:B,A22,'OB History S2'!D:D, 1)</f>
        <v>1</v>
      </c>
      <c r="L22" s="2">
        <f>COUNTIFS('OB History S2'!B:B,A22,'OB History S2'!D:D, 0)</f>
        <v>3</v>
      </c>
      <c r="M22" s="88">
        <f>LOOKUP(2, 1/('OB History S2'!$B:$B=A22), 'OB History S2'!$AD:$AD)</f>
        <v>0.25</v>
      </c>
      <c r="N22" s="34">
        <f>SUMIFS('OB History S2'!F:F,'OB History S2'!B:B,A22)</f>
        <v>6</v>
      </c>
      <c r="O22" s="2">
        <f>SUMIFS('OB History S2'!E:E,'OB History S2'!B:B,A22)-N22</f>
        <v>10</v>
      </c>
      <c r="P22" s="88">
        <f>LOOKUP(2, 1/('OB History S2'!$B:$B=A22), 'OB History S2'!$AB:$AB)</f>
        <v>0.35</v>
      </c>
      <c r="Q22" s="34">
        <f>SUMIFS('OB History S2'!H:H,'OB History S2'!B:B,A22)</f>
        <v>24</v>
      </c>
      <c r="R22" s="2">
        <f>SUMIFS('OB History S2'!G:G,'OB History S2'!B:B,A22)-Q22</f>
        <v>36</v>
      </c>
      <c r="S22" s="88">
        <f>LOOKUP(2, 1/('OB History S2'!$B:$B=A22), 'OB History S2'!$AC:$AC)</f>
        <v>0.375</v>
      </c>
      <c r="T22" s="2">
        <f>COUNTIFS('OB History S2'!$B:$B,$A$22,'OB History S2'!K:K, 1)</f>
        <v>0</v>
      </c>
      <c r="U22" s="2">
        <f>COUNTIFS('OB History S2'!$B:$B,$A$22,'OB History S2'!L:L, 1)</f>
        <v>0</v>
      </c>
      <c r="V22" s="2">
        <f>COUNTIFS('OB History S2'!$B:$B,$A$22,'OB History S2'!M:M, 1)</f>
        <v>0</v>
      </c>
      <c r="W22" s="2">
        <f>COUNTIFS('OB History S2'!$B:$B,$A$22,'OB History S2'!N:N, 1)</f>
        <v>1</v>
      </c>
      <c r="X22" s="2">
        <f>COUNTIFS('OB History S2'!$B:$B,$A$22,'OB History S2'!O:O, 1)</f>
        <v>0</v>
      </c>
      <c r="Y22" s="2">
        <f>COUNTIFS('OB History S2'!$B:$B,$A$22,'OB History S2'!P:P, 1)</f>
        <v>1</v>
      </c>
      <c r="Z22" s="2">
        <f>COUNTIFS('OB History S2'!$B:$B,$A$22,'OB History S2'!Q:Q, 1)</f>
        <v>0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2</v>
      </c>
      <c r="AG22" s="2">
        <f>COUNTIFS('OB History S2'!$B:$B,$A$22,'OB History S2'!X:X, 1)</f>
        <v>0</v>
      </c>
      <c r="AH22" s="2">
        <f>COUNTIFS('OB History S2'!$B:$B,$A$22,'OB History S2'!Y:Y, 1)</f>
        <v>2</v>
      </c>
      <c r="AI22" s="2">
        <f>COUNTIFS('OB History S2'!$B:$B,$A$22,'OB History S2'!Z:Z, 1)</f>
        <v>0</v>
      </c>
    </row>
    <row r="23" spans="1:35" x14ac:dyDescent="0.25">
      <c r="A23" s="1" t="s">
        <v>150</v>
      </c>
      <c r="B23" s="2" t="s">
        <v>79</v>
      </c>
      <c r="C23" s="2" t="s">
        <v>79</v>
      </c>
      <c r="D23" s="2">
        <v>2</v>
      </c>
      <c r="E23" s="2"/>
      <c r="F23" s="2"/>
      <c r="G23" s="2"/>
      <c r="H23" s="34">
        <f>SUMIFS('OB History S2'!C:C,'OB History S2'!B:B,A23)</f>
        <v>300</v>
      </c>
      <c r="I23" s="4">
        <f>AVERAGEIFS('OB History S2'!C:C,'OB History S2'!B:B,A23)</f>
        <v>18.75</v>
      </c>
      <c r="J23" s="35">
        <f t="array" ref="J23">MAX(IF('OB History S2'!B:B=A23, 'OB History S2'!C:C))</f>
        <v>41</v>
      </c>
      <c r="K23" s="34">
        <f>COUNTIFS('OB History S2'!B:B,A23,'OB History S2'!D:D, 1)</f>
        <v>12</v>
      </c>
      <c r="L23" s="2">
        <f>COUNTIFS('OB History S2'!B:B,A23,'OB History S2'!D:D, 0)</f>
        <v>4</v>
      </c>
      <c r="M23" s="88">
        <f>LOOKUP(2, 1/('OB History S2'!$B:$B=A23), 'OB History S2'!$AD:$AD)</f>
        <v>0.75</v>
      </c>
      <c r="N23" s="34">
        <f>SUMIFS('OB History S2'!F:F,'OB History S2'!B:B,A23)</f>
        <v>41</v>
      </c>
      <c r="O23" s="2">
        <f>SUMIFS('OB History S2'!E:E,'OB History S2'!B:B,A23)-N23</f>
        <v>22</v>
      </c>
      <c r="P23" s="88">
        <f>LOOKUP(2, 1/('OB History S2'!$B:$B=A23), 'OB History S2'!$AB:$AB)</f>
        <v>0.6875</v>
      </c>
      <c r="Q23" s="34">
        <f>SUMIFS('OB History S2'!H:H,'OB History S2'!B:B,A23)</f>
        <v>152</v>
      </c>
      <c r="R23" s="2">
        <f>SUMIFS('OB History S2'!G:G,'OB History S2'!B:B,A23)-Q23</f>
        <v>106</v>
      </c>
      <c r="S23" s="88">
        <f>LOOKUP(2, 1/('OB History S2'!$B:$B=A23), 'OB History S2'!$AC:$AC)</f>
        <v>0.60187499999999983</v>
      </c>
      <c r="T23" s="2">
        <f>COUNTIFS('OB History S2'!$B:$B,$A$23,'OB History S2'!K:K, 1)</f>
        <v>2</v>
      </c>
      <c r="U23" s="2">
        <f>COUNTIFS('OB History S2'!$B:$B,$A$23,'OB History S2'!L:L, 1)</f>
        <v>2</v>
      </c>
      <c r="V23" s="2">
        <f>COUNTIFS('OB History S2'!$B:$B,$A$23,'OB History S2'!M:M, 1)</f>
        <v>3</v>
      </c>
      <c r="W23" s="2">
        <f>COUNTIFS('OB History S2'!$B:$B,$A$23,'OB History S2'!N:N, 1)</f>
        <v>4</v>
      </c>
      <c r="X23" s="2">
        <f>COUNTIFS('OB History S2'!$B:$B,$A$23,'OB History S2'!O:O, 1)</f>
        <v>0</v>
      </c>
      <c r="Y23" s="2">
        <f>COUNTIFS('OB History S2'!$B:$B,$A$23,'OB History S2'!P:P, 1)</f>
        <v>4</v>
      </c>
      <c r="Z23" s="2">
        <f>COUNTIFS('OB History S2'!$B:$B,$A$23,'OB History S2'!Q:Q, 1)</f>
        <v>1</v>
      </c>
      <c r="AA23" s="2">
        <f>COUNTIFS('OB History S2'!$B:$B,$A$23,'OB History S2'!R:R, 1)</f>
        <v>1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1</v>
      </c>
      <c r="AE23" s="2">
        <f>COUNTIFS('OB History S2'!$B:$B,$A$23,'OB History S2'!V:V, 1)</f>
        <v>0</v>
      </c>
      <c r="AF23" s="2">
        <f>COUNTIFS('OB History S2'!$B:$B,$A$23,'OB History S2'!W:W, 1)</f>
        <v>4</v>
      </c>
      <c r="AG23" s="2">
        <f>COUNTIFS('OB History S2'!$B:$B,$A$23,'OB History S2'!X:X, 1)</f>
        <v>7</v>
      </c>
      <c r="AH23" s="2">
        <f>COUNTIFS('OB History S2'!$B:$B,$A$23,'OB History S2'!Y:Y, 1)</f>
        <v>8</v>
      </c>
      <c r="AI23" s="2">
        <f>COUNTIFS('OB History S2'!$B:$B,$A$23,'OB History S2'!Z:Z, 1)</f>
        <v>4</v>
      </c>
    </row>
    <row r="24" spans="1:35" x14ac:dyDescent="0.25">
      <c r="A24" s="2" t="s">
        <v>29</v>
      </c>
      <c r="B24" s="6" t="s">
        <v>172</v>
      </c>
      <c r="C24" s="2" t="s">
        <v>79</v>
      </c>
      <c r="D24" s="2">
        <v>1</v>
      </c>
      <c r="E24" s="2"/>
      <c r="F24" s="2"/>
      <c r="G24" s="2"/>
      <c r="H24" s="34">
        <f>SUMIFS('OB History S2'!C:C,'OB History S2'!B:B,A24)</f>
        <v>299</v>
      </c>
      <c r="I24" s="4">
        <f>AVERAGEIFS('OB History S2'!C:C,'OB History S2'!B:B,A24)</f>
        <v>11.5</v>
      </c>
      <c r="J24" s="35">
        <f t="array" ref="J24">MAX(IF('OB History S2'!B:B=A24, 'OB History S2'!C:C))</f>
        <v>21</v>
      </c>
      <c r="K24" s="34">
        <f>COUNTIFS('OB History S2'!B:B,A24,'OB History S2'!D:D, 1)</f>
        <v>10</v>
      </c>
      <c r="L24" s="2">
        <f>COUNTIFS('OB History S2'!B:B,A24,'OB History S2'!D:D, 0)</f>
        <v>16</v>
      </c>
      <c r="M24" s="88">
        <f>LOOKUP(2, 1/('OB History S2'!$B:$B=A24), 'OB History S2'!$AD:$AD)</f>
        <v>0.38461538461538464</v>
      </c>
      <c r="N24" s="34">
        <f>SUMIFS('OB History S2'!F:F,'OB History S2'!B:B,A24)</f>
        <v>47</v>
      </c>
      <c r="O24" s="2">
        <f>SUMIFS('OB History S2'!E:E,'OB History S2'!B:B,A24)-N24</f>
        <v>55</v>
      </c>
      <c r="P24" s="88">
        <f>LOOKUP(2, 1/('OB History S2'!$B:$B=A24), 'OB History S2'!$AB:$AB)</f>
        <v>0.45384615384615379</v>
      </c>
      <c r="Q24" s="34">
        <f>SUMIFS('OB History S2'!H:H,'OB History S2'!B:B,A24)</f>
        <v>203</v>
      </c>
      <c r="R24" s="2">
        <f>SUMIFS('OB History S2'!G:G,'OB History S2'!B:B,A24)-Q24</f>
        <v>217</v>
      </c>
      <c r="S24" s="88">
        <f>LOOKUP(2, 1/('OB History S2'!$B:$B=A24), 'OB History S2'!$AC:$AC)</f>
        <v>0.4869230769230769</v>
      </c>
      <c r="T24" s="2">
        <f>COUNTIFS('OB History S2'!$B:$B,$A$24,'OB History S2'!K:K, 1)</f>
        <v>4</v>
      </c>
      <c r="U24" s="2">
        <f>COUNTIFS('OB History S2'!$B:$B,$A$24,'OB History S2'!L:L, 1)</f>
        <v>3</v>
      </c>
      <c r="V24" s="2">
        <f>COUNTIFS('OB History S2'!$B:$B,$A$24,'OB History S2'!M:M, 1)</f>
        <v>0</v>
      </c>
      <c r="W24" s="2">
        <f>COUNTIFS('OB History S2'!$B:$B,$A$24,'OB History S2'!N:N, 1)</f>
        <v>5</v>
      </c>
      <c r="X24" s="2">
        <f>COUNTIFS('OB History S2'!$B:$B,$A$24,'OB History S2'!O:O, 1)</f>
        <v>2</v>
      </c>
      <c r="Y24" s="2">
        <f>COUNTIFS('OB History S2'!$B:$B,$A$24,'OB History S2'!P:P, 1)</f>
        <v>6</v>
      </c>
      <c r="Z24" s="2">
        <f>COUNTIFS('OB History S2'!$B:$B,$A$24,'OB History S2'!Q:Q, 1)</f>
        <v>0</v>
      </c>
      <c r="AA24" s="2">
        <f>COUNTIFS('OB History S2'!$B:$B,$A$24,'OB History S2'!R:R, 1)</f>
        <v>1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0</v>
      </c>
      <c r="AE24" s="2">
        <f>COUNTIFS('OB History S2'!$B:$B,$A$24,'OB History S2'!V:V, 1)</f>
        <v>1</v>
      </c>
      <c r="AF24" s="2">
        <f>COUNTIFS('OB History S2'!$B:$B,$A$24,'OB History S2'!W:W, 1)</f>
        <v>9</v>
      </c>
      <c r="AG24" s="2">
        <f>COUNTIFS('OB History S2'!$B:$B,$A$24,'OB History S2'!X:X, 1)</f>
        <v>7</v>
      </c>
      <c r="AH24" s="2">
        <f>COUNTIFS('OB History S2'!$B:$B,$A$24,'OB History S2'!Y:Y, 1)</f>
        <v>8</v>
      </c>
      <c r="AI24" s="2">
        <f>COUNTIFS('OB History S2'!$B:$B,$A$24,'OB History S2'!Z:Z, 1)</f>
        <v>1</v>
      </c>
    </row>
    <row r="25" spans="1:35" x14ac:dyDescent="0.25">
      <c r="A25" s="2" t="s">
        <v>46</v>
      </c>
      <c r="B25" s="6" t="s">
        <v>79</v>
      </c>
      <c r="C25" s="2" t="s">
        <v>79</v>
      </c>
      <c r="D25" s="2"/>
      <c r="E25" s="2"/>
      <c r="F25" s="2"/>
      <c r="G25" s="2"/>
      <c r="H25" s="34">
        <f>SUMIFS('OB History S2'!C:C,'OB History S2'!B:B,A25)</f>
        <v>19</v>
      </c>
      <c r="I25" s="4">
        <f>AVERAGEIFS('OB History S2'!C:C,'OB History S2'!B:B,A25)</f>
        <v>19</v>
      </c>
      <c r="J25" s="35">
        <f t="array" ref="J25">MAX(IF('OB History S2'!B:B=A25, 'OB History S2'!C:C))</f>
        <v>19</v>
      </c>
      <c r="K25" s="34">
        <f>COUNTIFS('OB History S2'!B:B,A25,'OB History S2'!D:D, 1)</f>
        <v>0</v>
      </c>
      <c r="L25" s="2">
        <f>COUNTIFS('OB History S2'!B:B,A25,'OB History S2'!D:D, 0)</f>
        <v>1</v>
      </c>
      <c r="M25" s="88">
        <f>LOOKUP(2, 1/('OB History S2'!$B:$B=A25), 'OB History S2'!$AD:$AD)</f>
        <v>0</v>
      </c>
      <c r="N25" s="34">
        <f>SUMIFS('OB History S2'!F:F,'OB History S2'!B:B,A25)</f>
        <v>1</v>
      </c>
      <c r="O25" s="2">
        <f>SUMIFS('OB History S2'!E:E,'OB History S2'!B:B,A25)-N25</f>
        <v>3</v>
      </c>
      <c r="P25" s="88">
        <f>LOOKUP(2, 1/('OB History S2'!$B:$B=A25), 'OB History S2'!$AB:$AB)</f>
        <v>0.25</v>
      </c>
      <c r="Q25" s="34">
        <f>SUMIFS('OB History S2'!H:H,'OB History S2'!B:B,A25)</f>
        <v>4</v>
      </c>
      <c r="R25" s="2">
        <f>SUMIFS('OB History S2'!G:G,'OB History S2'!B:B,A25)-Q25</f>
        <v>11</v>
      </c>
      <c r="S25" s="88">
        <f>LOOKUP(2, 1/('OB History S2'!$B:$B=A25), 'OB History S2'!$AC:$AC)</f>
        <v>0.27</v>
      </c>
      <c r="T25" s="2">
        <f>COUNTIFS('OB History S2'!$B:$B,$A$25,'OB History S2'!K:K, 1)</f>
        <v>0</v>
      </c>
      <c r="U25" s="2">
        <f>COUNTIFS('OB History S2'!$B:$B,$A$25,'OB History S2'!L:L, 1)</f>
        <v>0</v>
      </c>
      <c r="V25" s="2">
        <f>COUNTIFS('OB History S2'!$B:$B,$A$25,'OB History S2'!M:M, 1)</f>
        <v>0</v>
      </c>
      <c r="W25" s="2">
        <f>COUNTIFS('OB History S2'!$B:$B,$A$25,'OB History S2'!N:N, 1)</f>
        <v>0</v>
      </c>
      <c r="X25" s="2">
        <f>COUNTIFS('OB History S2'!$B:$B,$A$25,'OB History S2'!O:O, 1)</f>
        <v>0</v>
      </c>
      <c r="Y25" s="2">
        <f>COUNTIFS('OB History S2'!$B:$B,$A$25,'OB History S2'!P:P, 1)</f>
        <v>0</v>
      </c>
      <c r="Z25" s="2">
        <f>COUNTIFS('OB History S2'!$B:$B,$A$25,'OB History S2'!Q:Q, 1)</f>
        <v>0</v>
      </c>
      <c r="AA25" s="2">
        <f>COUNTIFS('OB History S2'!$B:$B,$A$25,'OB History S2'!R:R, 1)</f>
        <v>0</v>
      </c>
      <c r="AB25" s="2">
        <f>COUNTIFS('OB History S2'!$B:$B,$A$25,'OB History S2'!S:S, 1)</f>
        <v>0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0</v>
      </c>
      <c r="AF25" s="2">
        <f>COUNTIFS('OB History S2'!$B:$B,$A$25,'OB History S2'!W:W, 1)</f>
        <v>0</v>
      </c>
      <c r="AG25" s="2">
        <f>COUNTIFS('OB History S2'!$B:$B,$A$25,'OB History S2'!X:X, 1)</f>
        <v>1</v>
      </c>
      <c r="AH25" s="2">
        <f>COUNTIFS('OB History S2'!$B:$B,$A$25,'OB History S2'!Y:Y, 1)</f>
        <v>0</v>
      </c>
      <c r="AI25" s="2">
        <f>COUNTIFS('OB History S2'!$B:$B,$A$25,'OB History S2'!Z:Z, 1)</f>
        <v>0</v>
      </c>
    </row>
    <row r="26" spans="1:35" x14ac:dyDescent="0.25">
      <c r="A26" s="2" t="s">
        <v>28</v>
      </c>
      <c r="B26" s="6" t="s">
        <v>60</v>
      </c>
      <c r="C26" s="2" t="s">
        <v>79</v>
      </c>
      <c r="D26" s="2"/>
      <c r="E26" s="2"/>
      <c r="F26" s="2"/>
      <c r="G26" s="2"/>
      <c r="H26" s="34">
        <f>SUMIFS('OB History S2'!C:C,'OB History S2'!B:B,A26)</f>
        <v>94</v>
      </c>
      <c r="I26" s="4">
        <f>AVERAGEIFS('OB History S2'!C:C,'OB History S2'!B:B,A26)</f>
        <v>23.5</v>
      </c>
      <c r="J26" s="35">
        <f t="array" ref="J26">MAX(IF('OB History S2'!B:B=A26, 'OB History S2'!C:C))</f>
        <v>43</v>
      </c>
      <c r="K26" s="34">
        <f>COUNTIFS('OB History S2'!B:B,A26,'OB History S2'!D:D, 1)</f>
        <v>2</v>
      </c>
      <c r="L26" s="2">
        <f>COUNTIFS('OB History S2'!B:B,A26,'OB History S2'!D:D, 0)</f>
        <v>2</v>
      </c>
      <c r="M26" s="88">
        <f>LOOKUP(2, 1/('OB History S2'!$B:$B=A26), 'OB History S2'!$AD:$AD)</f>
        <v>0.5</v>
      </c>
      <c r="N26" s="34">
        <f>SUMIFS('OB History S2'!F:F,'OB History S2'!B:B,A26)</f>
        <v>9</v>
      </c>
      <c r="O26" s="2">
        <f>SUMIFS('OB History S2'!E:E,'OB History S2'!B:B,A26)-N26</f>
        <v>9</v>
      </c>
      <c r="P26" s="88">
        <f>LOOKUP(2, 1/('OB History S2'!$B:$B=A26), 'OB History S2'!$AB:$AB)</f>
        <v>0.5</v>
      </c>
      <c r="Q26" s="34">
        <f>SUMIFS('OB History S2'!H:H,'OB History S2'!B:B,A26)</f>
        <v>37</v>
      </c>
      <c r="R26" s="2">
        <f>SUMIFS('OB History S2'!G:G,'OB History S2'!B:B,A26)-Q26</f>
        <v>37</v>
      </c>
      <c r="S26" s="88">
        <f>LOOKUP(2, 1/('OB History S2'!$B:$B=A26), 'OB History S2'!$AC:$AC)</f>
        <v>0.505</v>
      </c>
      <c r="T26" s="2">
        <f>COUNTIFS('OB History S2'!$B:$B,$A$26,'OB History S2'!K:K, 1)</f>
        <v>1</v>
      </c>
      <c r="U26" s="2">
        <f>COUNTIFS('OB History S2'!$B:$B,$A$26,'OB History S2'!L:L, 1)</f>
        <v>1</v>
      </c>
      <c r="V26" s="2">
        <f>COUNTIFS('OB History S2'!$B:$B,$A$26,'OB History S2'!M:M, 1)</f>
        <v>0</v>
      </c>
      <c r="W26" s="2">
        <f>COUNTIFS('OB History S2'!$B:$B,$A$26,'OB History S2'!N:N, 1)</f>
        <v>0</v>
      </c>
      <c r="X26" s="2">
        <f>COUNTIFS('OB History S2'!$B:$B,$A$26,'OB History S2'!O:O, 1)</f>
        <v>1</v>
      </c>
      <c r="Y26" s="2">
        <f>COUNTIFS('OB History S2'!$B:$B,$A$26,'OB History S2'!P:P, 1)</f>
        <v>0</v>
      </c>
      <c r="Z26" s="2">
        <f>COUNTIFS('OB History S2'!$B:$B,$A$26,'OB History S2'!Q:Q, 1)</f>
        <v>1</v>
      </c>
      <c r="AA26" s="2">
        <f>COUNTIFS('OB History S2'!$B:$B,$A$26,'OB History S2'!R:R, 1)</f>
        <v>0</v>
      </c>
      <c r="AB26" s="2">
        <f>COUNTIFS('OB History S2'!$B:$B,$A$26,'OB History S2'!S:S, 1)</f>
        <v>0</v>
      </c>
      <c r="AC26" s="2">
        <f>COUNTIFS('OB History S2'!$B:$B,$A$26,'OB History S2'!T:T, 1)</f>
        <v>0</v>
      </c>
      <c r="AD26" s="2">
        <f>COUNTIFS('OB History S2'!$B:$B,$A$26,'OB History S2'!U:U, 1)</f>
        <v>0</v>
      </c>
      <c r="AE26" s="2">
        <f>COUNTIFS('OB History S2'!$B:$B,$A$26,'OB History S2'!V:V, 1)</f>
        <v>0</v>
      </c>
      <c r="AF26" s="2">
        <f>COUNTIFS('OB History S2'!$B:$B,$A$26,'OB History S2'!W:W, 1)</f>
        <v>0</v>
      </c>
      <c r="AG26" s="2">
        <f>COUNTIFS('OB History S2'!$B:$B,$A$26,'OB History S2'!X:X, 1)</f>
        <v>4</v>
      </c>
      <c r="AH26" s="2">
        <f>COUNTIFS('OB History S2'!$B:$B,$A$26,'OB History S2'!Y:Y, 1)</f>
        <v>0</v>
      </c>
      <c r="AI26" s="2">
        <f>COUNTIFS('OB History S2'!$B:$B,$A$26,'OB History S2'!Z:Z, 1)</f>
        <v>1</v>
      </c>
    </row>
    <row r="27" spans="1:35" x14ac:dyDescent="0.25">
      <c r="A27" s="2" t="s">
        <v>139</v>
      </c>
      <c r="B27" s="6" t="s">
        <v>79</v>
      </c>
      <c r="C27" s="2" t="s">
        <v>79</v>
      </c>
      <c r="D27" s="2"/>
      <c r="E27" s="2"/>
      <c r="F27" s="2"/>
      <c r="G27" s="2"/>
      <c r="H27" s="34">
        <f>SUMIFS('OB History S2'!C:C,'OB History S2'!B:B,A27)</f>
        <v>167</v>
      </c>
      <c r="I27" s="4">
        <f>AVERAGEIFS('OB History S2'!C:C,'OB History S2'!B:B,A27)</f>
        <v>10.4375</v>
      </c>
      <c r="J27" s="35">
        <f t="array" ref="J27">MAX(IF('OB History S2'!B:B=A27, 'OB History S2'!C:C))</f>
        <v>17</v>
      </c>
      <c r="K27" s="34">
        <f>COUNTIFS('OB History S2'!B:B,A27,'OB History S2'!D:D, 1)</f>
        <v>8</v>
      </c>
      <c r="L27" s="2">
        <f>COUNTIFS('OB History S2'!B:B,A27,'OB History S2'!D:D, 0)</f>
        <v>8</v>
      </c>
      <c r="M27" s="88">
        <f>LOOKUP(2, 1/('OB History S2'!$B:$B=A27), 'OB History S2'!$AD:$AD)</f>
        <v>0.5</v>
      </c>
      <c r="N27" s="34">
        <f>SUMIFS('OB History S2'!F:F,'OB History S2'!B:B,A27)</f>
        <v>28</v>
      </c>
      <c r="O27" s="2">
        <f>SUMIFS('OB History S2'!E:E,'OB History S2'!B:B,A27)-N27</f>
        <v>36</v>
      </c>
      <c r="P27" s="88">
        <f>LOOKUP(2, 1/('OB History S2'!$B:$B=A27), 'OB History S2'!$AB:$AB)</f>
        <v>0.40937499999999999</v>
      </c>
      <c r="Q27" s="34">
        <f>SUMIFS('OB History S2'!H:H,'OB History S2'!B:B,A27)</f>
        <v>128</v>
      </c>
      <c r="R27" s="2">
        <f>SUMIFS('OB History S2'!G:G,'OB History S2'!B:B,A27)-Q27</f>
        <v>133</v>
      </c>
      <c r="S27" s="88">
        <f>LOOKUP(2, 1/('OB History S2'!$B:$B=A27), 'OB History S2'!$AC:$AC)</f>
        <v>0.48374999999999996</v>
      </c>
      <c r="T27" s="2">
        <f>COUNTIFS('OB History S2'!$B:$B,$A$27,'OB History S2'!K:K, 1)</f>
        <v>1</v>
      </c>
      <c r="U27" s="2">
        <f>COUNTIFS('OB History S2'!$B:$B,$A$27,'OB History S2'!L:L, 1)</f>
        <v>4</v>
      </c>
      <c r="V27" s="2">
        <f>COUNTIFS('OB History S2'!$B:$B,$A$27,'OB History S2'!M:M, 1)</f>
        <v>0</v>
      </c>
      <c r="W27" s="2">
        <f>COUNTIFS('OB History S2'!$B:$B,$A$27,'OB History S2'!N:N, 1)</f>
        <v>3</v>
      </c>
      <c r="X27" s="2">
        <f>COUNTIFS('OB History S2'!$B:$B,$A$27,'OB History S2'!O:O, 1)</f>
        <v>0</v>
      </c>
      <c r="Y27" s="2">
        <f>COUNTIFS('OB History S2'!$B:$B,$A$27,'OB History S2'!P:P, 1)</f>
        <v>2</v>
      </c>
      <c r="Z27" s="2">
        <f>COUNTIFS('OB History S2'!$B:$B,$A$27,'OB History S2'!Q:Q, 1)</f>
        <v>2</v>
      </c>
      <c r="AA27" s="2">
        <f>COUNTIFS('OB History S2'!$B:$B,$A$27,'OB History S2'!R:R, 1)</f>
        <v>3</v>
      </c>
      <c r="AB27" s="2">
        <f>COUNTIFS('OB History S2'!$B:$B,$A$27,'OB History S2'!S:S, 1)</f>
        <v>0</v>
      </c>
      <c r="AC27" s="2">
        <f>COUNTIFS('OB History S2'!$B:$B,$A$27,'OB History S2'!T:T, 1)</f>
        <v>0</v>
      </c>
      <c r="AD27" s="2">
        <f>COUNTIFS('OB History S2'!$B:$B,$A$27,'OB History S2'!U:U, 1)</f>
        <v>0</v>
      </c>
      <c r="AE27" s="2">
        <f>COUNTIFS('OB History S2'!$B:$B,$A$27,'OB History S2'!V:V, 1)</f>
        <v>0</v>
      </c>
      <c r="AF27" s="2">
        <f>COUNTIFS('OB History S2'!$B:$B,$A$27,'OB History S2'!W:W, 1)</f>
        <v>0</v>
      </c>
      <c r="AG27" s="2">
        <f>COUNTIFS('OB History S2'!$B:$B,$A$27,'OB History S2'!X:X, 1)</f>
        <v>6</v>
      </c>
      <c r="AH27" s="2">
        <f>COUNTIFS('OB History S2'!$B:$B,$A$27,'OB History S2'!Y:Y, 1)</f>
        <v>2</v>
      </c>
      <c r="AI27" s="2">
        <f>COUNTIFS('OB History S2'!$B:$B,$A$27,'OB History S2'!Z:Z, 1)</f>
        <v>5</v>
      </c>
    </row>
    <row r="28" spans="1:35" x14ac:dyDescent="0.25">
      <c r="A28" s="2" t="s">
        <v>53</v>
      </c>
      <c r="B28" s="6" t="s">
        <v>60</v>
      </c>
      <c r="C28" s="6" t="s">
        <v>79</v>
      </c>
      <c r="D28" s="2"/>
      <c r="E28" s="2"/>
      <c r="F28" s="2"/>
      <c r="G28" s="2"/>
      <c r="H28" s="34">
        <f>SUMIFS('OB History S2'!C:C,'OB History S2'!B:B,A28)</f>
        <v>49</v>
      </c>
      <c r="I28" s="4">
        <f>AVERAGEIFS('OB History S2'!C:C,'OB History S2'!B:B,A28)</f>
        <v>16.333333333333332</v>
      </c>
      <c r="J28" s="35">
        <f t="array" ref="J28">MAX(IF('OB History S2'!B:B=A28, 'OB History S2'!C:C))</f>
        <v>25</v>
      </c>
      <c r="K28" s="34">
        <f>COUNTIFS('OB History S2'!B:B,A28,'OB History S2'!D:D, 1)</f>
        <v>2</v>
      </c>
      <c r="L28" s="2">
        <f>COUNTIFS('OB History S2'!B:B,A28,'OB History S2'!D:D, 0)</f>
        <v>1</v>
      </c>
      <c r="M28" s="88">
        <f>LOOKUP(2, 1/('OB History S2'!$B:$B=A28), 'OB History S2'!$AD:$AD)</f>
        <v>0.66666666666666663</v>
      </c>
      <c r="N28" s="34">
        <f>SUMIFS('OB History S2'!F:F,'OB History S2'!B:B,A28)</f>
        <v>7</v>
      </c>
      <c r="O28" s="2">
        <f>SUMIFS('OB History S2'!E:E,'OB History S2'!B:B,A28)-N28</f>
        <v>5</v>
      </c>
      <c r="P28" s="88">
        <f>LOOKUP(2, 1/('OB History S2'!$B:$B=A28), 'OB History S2'!$AB:$AB)</f>
        <v>0.58333333333333337</v>
      </c>
      <c r="Q28" s="34">
        <f>SUMIFS('OB History S2'!H:H,'OB History S2'!B:B,A28)</f>
        <v>27</v>
      </c>
      <c r="R28" s="2">
        <f>SUMIFS('OB History S2'!G:G,'OB History S2'!B:B,A28)-Q28</f>
        <v>21</v>
      </c>
      <c r="S28" s="88">
        <f>LOOKUP(2, 1/('OB History S2'!$B:$B=A28), 'OB History S2'!$AC:$AC)</f>
        <v>0.57333333333333336</v>
      </c>
      <c r="T28" s="2">
        <f>COUNTIFS('OB History S2'!$B:$B,$A$28,'OB History S2'!K:K, 1)</f>
        <v>1</v>
      </c>
      <c r="U28" s="2">
        <f>COUNTIFS('OB History S2'!$B:$B,$A$28,'OB History S2'!L:L, 1)</f>
        <v>1</v>
      </c>
      <c r="V28" s="2">
        <f>COUNTIFS('OB History S2'!$B:$B,$A$28,'OB History S2'!M:M, 1)</f>
        <v>0</v>
      </c>
      <c r="W28" s="2">
        <f>COUNTIFS('OB History S2'!$B:$B,$A$28,'OB History S2'!N:N, 1)</f>
        <v>1</v>
      </c>
      <c r="X28" s="2">
        <f>COUNTIFS('OB History S2'!$B:$B,$A$28,'OB History S2'!O:O, 1)</f>
        <v>1</v>
      </c>
      <c r="Y28" s="2">
        <f>COUNTIFS('OB History S2'!$B:$B,$A$28,'OB History S2'!P:P, 1)</f>
        <v>1</v>
      </c>
      <c r="Z28" s="2">
        <f>COUNTIFS('OB History S2'!$B:$B,$A$28,'OB History S2'!Q:Q, 1)</f>
        <v>0</v>
      </c>
      <c r="AA28" s="2">
        <f>COUNTIFS('OB History S2'!$B:$B,$A$28,'OB History S2'!R:R, 1)</f>
        <v>0</v>
      </c>
      <c r="AB28" s="2">
        <f>COUNTIFS('OB History S2'!$B:$B,$A$28,'OB History S2'!S:S, 1)</f>
        <v>0</v>
      </c>
      <c r="AC28" s="2">
        <f>COUNTIFS('OB History S2'!$B:$B,$A$28,'OB History S2'!T:T, 1)</f>
        <v>0</v>
      </c>
      <c r="AD28" s="2">
        <f>COUNTIFS('OB History S2'!$B:$B,$A$28,'OB History S2'!U:U, 1)</f>
        <v>0</v>
      </c>
      <c r="AE28" s="2">
        <f>COUNTIFS('OB History S2'!$B:$B,$A$28,'OB History S2'!V:V, 1)</f>
        <v>0</v>
      </c>
      <c r="AF28" s="2">
        <f>COUNTIFS('OB History S2'!$B:$B,$A$28,'OB History S2'!W:W, 1)</f>
        <v>1</v>
      </c>
      <c r="AG28" s="2">
        <f>COUNTIFS('OB History S2'!$B:$B,$A$28,'OB History S2'!X:X, 1)</f>
        <v>1</v>
      </c>
      <c r="AH28" s="2">
        <f>COUNTIFS('OB History S2'!$B:$B,$A$28,'OB History S2'!Y:Y, 1)</f>
        <v>0</v>
      </c>
      <c r="AI28" s="2">
        <f>COUNTIFS('OB History S2'!$B:$B,$A$28,'OB History S2'!Z:Z, 1)</f>
        <v>0</v>
      </c>
    </row>
    <row r="29" spans="1:35" ht="15.75" x14ac:dyDescent="0.25">
      <c r="A29" s="2" t="s">
        <v>20</v>
      </c>
      <c r="B29" s="80" t="s">
        <v>60</v>
      </c>
      <c r="C29" s="2" t="s">
        <v>79</v>
      </c>
      <c r="D29" s="2"/>
      <c r="E29" s="2"/>
      <c r="F29" s="2"/>
      <c r="G29" s="2"/>
      <c r="H29" s="34">
        <f>SUMIFS('OB History S2'!C:C,'OB History S2'!B:B,A29)</f>
        <v>141</v>
      </c>
      <c r="I29" s="4">
        <f>AVERAGEIFS('OB History S2'!C:C,'OB History S2'!B:B,A29)</f>
        <v>15.666666666666666</v>
      </c>
      <c r="J29" s="35">
        <f t="array" ref="J29">MAX(IF('OB History S2'!B:B=A29, 'OB History S2'!C:C))</f>
        <v>37</v>
      </c>
      <c r="K29" s="34">
        <f>COUNTIFS('OB History S2'!B:B,A29,'OB History S2'!D:D, 1)</f>
        <v>4</v>
      </c>
      <c r="L29" s="2">
        <f>COUNTIFS('OB History S2'!B:B,A29,'OB History S2'!D:D, 0)</f>
        <v>5</v>
      </c>
      <c r="M29" s="88">
        <f>LOOKUP(2, 1/('OB History S2'!$B:$B=A29), 'OB History S2'!$AD:$AD)</f>
        <v>0.44444444444444442</v>
      </c>
      <c r="N29" s="34">
        <f>SUMIFS('OB History S2'!F:F,'OB History S2'!B:B,A29)</f>
        <v>19</v>
      </c>
      <c r="O29" s="2">
        <f>SUMIFS('OB History S2'!E:E,'OB History S2'!B:B,A29)-N29</f>
        <v>18</v>
      </c>
      <c r="P29" s="88">
        <f>LOOKUP(2, 1/('OB History S2'!$B:$B=A29), 'OB History S2'!$AB:$AB)</f>
        <v>0.52222222222222214</v>
      </c>
      <c r="Q29" s="34">
        <f>SUMIFS('OB History S2'!H:H,'OB History S2'!B:B,A29)</f>
        <v>79</v>
      </c>
      <c r="R29" s="2">
        <f>SUMIFS('OB History S2'!G:G,'OB History S2'!B:B,A29)-Q29</f>
        <v>74</v>
      </c>
      <c r="S29" s="88">
        <f>LOOKUP(2, 1/('OB History S2'!$B:$B=A29), 'OB History S2'!$AC:$AC)</f>
        <v>0.51888888888888884</v>
      </c>
      <c r="T29" s="2">
        <f>COUNTIFS('OB History S2'!$B:$B,$A$29,'OB History S2'!K:K, 1)</f>
        <v>3</v>
      </c>
      <c r="U29" s="2">
        <f>COUNTIFS('OB History S2'!$B:$B,$A$29,'OB History S2'!L:L, 1)</f>
        <v>1</v>
      </c>
      <c r="V29" s="2">
        <f>COUNTIFS('OB History S2'!$B:$B,$A$29,'OB History S2'!M:M, 1)</f>
        <v>1</v>
      </c>
      <c r="W29" s="2">
        <f>COUNTIFS('OB History S2'!$B:$B,$A$29,'OB History S2'!N:N, 1)</f>
        <v>2</v>
      </c>
      <c r="X29" s="2">
        <f>COUNTIFS('OB History S2'!$B:$B,$A$29,'OB History S2'!O:O, 1)</f>
        <v>0</v>
      </c>
      <c r="Y29" s="2">
        <f>COUNTIFS('OB History S2'!$B:$B,$A$29,'OB History S2'!P:P, 1)</f>
        <v>3</v>
      </c>
      <c r="Z29" s="2">
        <f>COUNTIFS('OB History S2'!$B:$B,$A$29,'OB History S2'!Q:Q, 1)</f>
        <v>0</v>
      </c>
      <c r="AA29" s="2">
        <f>COUNTIFS('OB History S2'!$B:$B,$A$29,'OB History S2'!R:R, 1)</f>
        <v>1</v>
      </c>
      <c r="AB29" s="2">
        <f>COUNTIFS('OB History S2'!$B:$B,$A$29,'OB History S2'!S:S, 1)</f>
        <v>0</v>
      </c>
      <c r="AC29" s="2">
        <f>COUNTIFS('OB History S2'!$B:$B,$A$29,'OB History S2'!T:T, 1)</f>
        <v>0</v>
      </c>
      <c r="AD29" s="2">
        <f>COUNTIFS('OB History S2'!$B:$B,$A$29,'OB History S2'!U:U, 1)</f>
        <v>0</v>
      </c>
      <c r="AE29" s="2">
        <f>COUNTIFS('OB History S2'!$B:$B,$A$29,'OB History S2'!V:V, 1)</f>
        <v>0</v>
      </c>
      <c r="AF29" s="2">
        <f>COUNTIFS('OB History S2'!$B:$B,$A$29,'OB History S2'!W:W, 1)</f>
        <v>1</v>
      </c>
      <c r="AG29" s="2">
        <f>COUNTIFS('OB History S2'!$B:$B,$A$29,'OB History S2'!X:X, 1)</f>
        <v>2</v>
      </c>
      <c r="AH29" s="2">
        <f>COUNTIFS('OB History S2'!$B:$B,$A$29,'OB History S2'!Y:Y, 1)</f>
        <v>3</v>
      </c>
      <c r="AI29" s="2">
        <f>COUNTIFS('OB History S2'!$B:$B,$A$29,'OB History S2'!Z:Z, 1)</f>
        <v>2</v>
      </c>
    </row>
    <row r="30" spans="1:35" x14ac:dyDescent="0.25">
      <c r="A30" s="1" t="s">
        <v>47</v>
      </c>
      <c r="B30" s="2" t="s">
        <v>79</v>
      </c>
      <c r="C30" s="2" t="s">
        <v>79</v>
      </c>
      <c r="D30" s="2"/>
      <c r="E30" s="2"/>
      <c r="F30" s="2"/>
      <c r="G30" s="2"/>
      <c r="H30" s="34">
        <f>SUMIFS('OB History S2'!C:C,'OB History S2'!B:B,A30)</f>
        <v>32</v>
      </c>
      <c r="I30" s="4">
        <f>AVERAGEIFS('OB History S2'!C:C,'OB History S2'!B:B,A30)</f>
        <v>10.666666666666666</v>
      </c>
      <c r="J30" s="35">
        <f t="array" ref="J30">MAX(IF('OB History S2'!B:B=A30, 'OB History S2'!C:C))</f>
        <v>14</v>
      </c>
      <c r="K30" s="34">
        <f>COUNTIFS('OB History S2'!B:B,A30,'OB History S2'!D:D, 1)</f>
        <v>1</v>
      </c>
      <c r="L30" s="2">
        <f>COUNTIFS('OB History S2'!B:B,A30,'OB History S2'!D:D, 0)</f>
        <v>2</v>
      </c>
      <c r="M30" s="88">
        <f>LOOKUP(2, 1/('OB History S2'!$B:$B=A30), 'OB History S2'!$AD:$AD)</f>
        <v>0.33333333333333331</v>
      </c>
      <c r="N30" s="34">
        <f>SUMIFS('OB History S2'!F:F,'OB History S2'!B:B,A30)</f>
        <v>6</v>
      </c>
      <c r="O30" s="2">
        <f>SUMIFS('OB History S2'!E:E,'OB History S2'!B:B,A30)-N30</f>
        <v>7</v>
      </c>
      <c r="P30" s="88">
        <f>LOOKUP(2, 1/('OB History S2'!$B:$B=A30), 'OB History S2'!$AB:$AB)</f>
        <v>0.46666666666666662</v>
      </c>
      <c r="Q30" s="34">
        <f>SUMIFS('OB History S2'!H:H,'OB History S2'!B:B,A30)</f>
        <v>23</v>
      </c>
      <c r="R30" s="2">
        <f>SUMIFS('OB History S2'!G:G,'OB History S2'!B:B,A30)-Q30</f>
        <v>28</v>
      </c>
      <c r="S30" s="88">
        <f>LOOKUP(2, 1/('OB History S2'!$B:$B=A30), 'OB History S2'!$AC:$AC)</f>
        <v>0.45</v>
      </c>
      <c r="T30" s="2">
        <f>COUNTIFS('OB History S2'!$B:$B,$A$30,'OB History S2'!K:K, 1)</f>
        <v>2</v>
      </c>
      <c r="U30" s="2">
        <f>COUNTIFS('OB History S2'!$B:$B,$A$30,'OB History S2'!L:L, 1)</f>
        <v>0</v>
      </c>
      <c r="V30" s="2">
        <f>COUNTIFS('OB History S2'!$B:$B,$A$30,'OB History S2'!M:M, 1)</f>
        <v>0</v>
      </c>
      <c r="W30" s="2">
        <f>COUNTIFS('OB History S2'!$B:$B,$A$30,'OB History S2'!N:N, 1)</f>
        <v>0</v>
      </c>
      <c r="X30" s="2">
        <f>COUNTIFS('OB History S2'!$B:$B,$A$30,'OB History S2'!O:O, 1)</f>
        <v>0</v>
      </c>
      <c r="Y30" s="2">
        <f>COUNTIFS('OB History S2'!$B:$B,$A$30,'OB History S2'!P:P, 1)</f>
        <v>0</v>
      </c>
      <c r="Z30" s="2">
        <f>COUNTIFS('OB History S2'!$B:$B,$A$30,'OB History S2'!Q:Q, 1)</f>
        <v>0</v>
      </c>
      <c r="AA30" s="2">
        <f>COUNTIFS('OB History S2'!$B:$B,$A$30,'OB History S2'!R:R, 1)</f>
        <v>0</v>
      </c>
      <c r="AB30" s="2">
        <f>COUNTIFS('OB History S2'!$B:$B,$A$30,'OB History S2'!S:S, 1)</f>
        <v>0</v>
      </c>
      <c r="AC30" s="2">
        <f>COUNTIFS('OB History S2'!$B:$B,$A$30,'OB History S2'!T:T, 1)</f>
        <v>0</v>
      </c>
      <c r="AD30" s="2">
        <f>COUNTIFS('OB History S2'!$B:$B,$A$30,'OB History S2'!U:U, 1)</f>
        <v>0</v>
      </c>
      <c r="AE30" s="2">
        <f>COUNTIFS('OB History S2'!$B:$B,$A$30,'OB History S2'!V:V, 1)</f>
        <v>0</v>
      </c>
      <c r="AF30" s="2">
        <f>COUNTIFS('OB History S2'!$B:$B,$A$30,'OB History S2'!W:W, 1)</f>
        <v>2</v>
      </c>
      <c r="AG30" s="2">
        <f>COUNTIFS('OB History S2'!$B:$B,$A$30,'OB History S2'!X:X, 1)</f>
        <v>2</v>
      </c>
      <c r="AH30" s="2">
        <f>COUNTIFS('OB History S2'!$B:$B,$A$30,'OB History S2'!Y:Y, 1)</f>
        <v>0</v>
      </c>
      <c r="AI30" s="2">
        <f>COUNTIFS('OB History S2'!$B:$B,$A$30,'OB History S2'!Z:Z, 1)</f>
        <v>0</v>
      </c>
    </row>
    <row r="31" spans="1:35" x14ac:dyDescent="0.25">
      <c r="A31" s="2" t="s">
        <v>148</v>
      </c>
      <c r="B31" s="6" t="s">
        <v>79</v>
      </c>
      <c r="C31" s="6" t="s">
        <v>79</v>
      </c>
      <c r="D31" s="3">
        <v>4</v>
      </c>
      <c r="E31" s="6">
        <v>1</v>
      </c>
      <c r="F31" s="6"/>
      <c r="G31" s="6"/>
      <c r="H31" s="34">
        <f>SUMIFS('OB History S2'!C:C,'OB History S2'!B:B,A31)</f>
        <v>383</v>
      </c>
      <c r="I31" s="4">
        <f>AVERAGEIFS('OB History S2'!C:C,'OB History S2'!B:B,A31)</f>
        <v>12.766666666666667</v>
      </c>
      <c r="J31" s="35">
        <f t="array" ref="J31">MAX(IF('OB History S2'!B:B=A31, 'OB History S2'!C:C))</f>
        <v>23</v>
      </c>
      <c r="K31" s="34">
        <f>COUNTIFS('OB History S2'!B:B,A31,'OB History S2'!D:D, 1)</f>
        <v>18</v>
      </c>
      <c r="L31" s="2">
        <f>COUNTIFS('OB History S2'!B:B,A31,'OB History S2'!D:D, 0)</f>
        <v>12</v>
      </c>
      <c r="M31" s="88">
        <f>LOOKUP(2, 1/('OB History S2'!$B:$B=A31), 'OB History S2'!$AD:$AD)</f>
        <v>0.6</v>
      </c>
      <c r="N31" s="34">
        <f>SUMIFS('OB History S2'!F:F,'OB History S2'!B:B,A31)</f>
        <v>63</v>
      </c>
      <c r="O31" s="2">
        <f>SUMIFS('OB History S2'!E:E,'OB History S2'!B:B,A31)-N31</f>
        <v>53</v>
      </c>
      <c r="P31" s="88">
        <f>LOOKUP(2, 1/('OB History S2'!$B:$B=A31), 'OB History S2'!$AB:$AB)</f>
        <v>0.55000000000000004</v>
      </c>
      <c r="Q31" s="34">
        <f>SUMIFS('OB History S2'!H:H,'OB History S2'!B:B,A31)</f>
        <v>248</v>
      </c>
      <c r="R31" s="2">
        <f>SUMIFS('OB History S2'!G:G,'OB History S2'!B:B,A31)-Q31</f>
        <v>227</v>
      </c>
      <c r="S31" s="88">
        <f>LOOKUP(2, 1/('OB History S2'!$B:$B=A31), 'OB History S2'!$AC:$AC)</f>
        <v>0.52633333333333332</v>
      </c>
      <c r="T31" s="2">
        <f>COUNTIFS('OB History S2'!$B:$B,$A$31,'OB History S2'!K:K, 1)</f>
        <v>1</v>
      </c>
      <c r="U31" s="2">
        <f>COUNTIFS('OB History S2'!$B:$B,$A$31,'OB History S2'!L:L, 1)</f>
        <v>6</v>
      </c>
      <c r="V31" s="2">
        <f>COUNTIFS('OB History S2'!$B:$B,$A$31,'OB History S2'!M:M, 1)</f>
        <v>2</v>
      </c>
      <c r="W31" s="2">
        <f>COUNTIFS('OB History S2'!$B:$B,$A$31,'OB History S2'!N:N, 1)</f>
        <v>6</v>
      </c>
      <c r="X31" s="2">
        <f>COUNTIFS('OB History S2'!$B:$B,$A$31,'OB History S2'!O:O, 1)</f>
        <v>0</v>
      </c>
      <c r="Y31" s="2">
        <f>COUNTIFS('OB History S2'!$B:$B,$A$31,'OB History S2'!P:P, 1)</f>
        <v>3</v>
      </c>
      <c r="Z31" s="2">
        <f>COUNTIFS('OB History S2'!$B:$B,$A$31,'OB History S2'!Q:Q, 1)</f>
        <v>2</v>
      </c>
      <c r="AA31" s="2">
        <f>COUNTIFS('OB History S2'!$B:$B,$A$31,'OB History S2'!R:R, 1)</f>
        <v>4</v>
      </c>
      <c r="AB31" s="2">
        <f>COUNTIFS('OB History S2'!$B:$B,$A$31,'OB History S2'!S:S, 1)</f>
        <v>2</v>
      </c>
      <c r="AC31" s="2">
        <f>COUNTIFS('OB History S2'!$B:$B,$A$31,'OB History S2'!T:T, 1)</f>
        <v>2</v>
      </c>
      <c r="AD31" s="2">
        <f>COUNTIFS('OB History S2'!$B:$B,$A$31,'OB History S2'!U:U, 1)</f>
        <v>1</v>
      </c>
      <c r="AE31" s="2">
        <f>COUNTIFS('OB History S2'!$B:$B,$A$31,'OB History S2'!V:V, 1)</f>
        <v>1</v>
      </c>
      <c r="AF31" s="2">
        <f>COUNTIFS('OB History S2'!$B:$B,$A$31,'OB History S2'!W:W, 1)</f>
        <v>4</v>
      </c>
      <c r="AG31" s="2">
        <f>COUNTIFS('OB History S2'!$B:$B,$A$31,'OB History S2'!X:X, 1)</f>
        <v>12</v>
      </c>
      <c r="AH31" s="2">
        <f>COUNTIFS('OB History S2'!$B:$B,$A$31,'OB History S2'!Y:Y, 1)</f>
        <v>7</v>
      </c>
      <c r="AI31" s="2">
        <f>COUNTIFS('OB History S2'!$B:$B,$A$31,'OB History S2'!Z:Z, 1)</f>
        <v>10</v>
      </c>
    </row>
    <row r="32" spans="1:35" x14ac:dyDescent="0.25">
      <c r="A32" s="2" t="s">
        <v>15</v>
      </c>
      <c r="B32" s="2" t="s">
        <v>79</v>
      </c>
      <c r="C32" s="2" t="s">
        <v>79</v>
      </c>
      <c r="D32" s="3">
        <v>3</v>
      </c>
      <c r="E32" s="2">
        <v>1</v>
      </c>
      <c r="F32" s="2"/>
      <c r="G32" s="2"/>
      <c r="H32" s="34">
        <f>SUMIFS('OB History S2'!C:C,'OB History S2'!B:B,A32)</f>
        <v>444</v>
      </c>
      <c r="I32" s="4">
        <f>AVERAGEIFS('OB History S2'!C:C,'OB History S2'!B:B,A32)</f>
        <v>20.181818181818183</v>
      </c>
      <c r="J32" s="35">
        <f t="array" ref="J32">MAX(IF('OB History S2'!B:B=A32, 'OB History S2'!C:C))</f>
        <v>39</v>
      </c>
      <c r="K32" s="34">
        <f>COUNTIFS('OB History S2'!B:B,A32,'OB History S2'!D:D, 1)</f>
        <v>10</v>
      </c>
      <c r="L32" s="2">
        <f>COUNTIFS('OB History S2'!B:B,A32,'OB History S2'!D:D, 0)</f>
        <v>12</v>
      </c>
      <c r="M32" s="88">
        <f>LOOKUP(2, 1/('OB History S2'!$B:$B=A32), 'OB History S2'!$AD:$AD)</f>
        <v>0.45454545454545453</v>
      </c>
      <c r="N32" s="34">
        <f>SUMIFS('OB History S2'!F:F,'OB History S2'!B:B,A32)</f>
        <v>40</v>
      </c>
      <c r="O32" s="2">
        <f>SUMIFS('OB History S2'!E:E,'OB History S2'!B:B,A32)-N32</f>
        <v>46</v>
      </c>
      <c r="P32" s="88">
        <f>LOOKUP(2, 1/('OB History S2'!$B:$B=A32), 'OB History S2'!$AB:$AB)</f>
        <v>0.46136363636363631</v>
      </c>
      <c r="Q32" s="34">
        <f>SUMIFS('OB History S2'!H:H,'OB History S2'!B:B,A32)</f>
        <v>177</v>
      </c>
      <c r="R32" s="2">
        <f>SUMIFS('OB History S2'!G:G,'OB History S2'!B:B,A32)-Q32</f>
        <v>178</v>
      </c>
      <c r="S32" s="88">
        <f>LOOKUP(2, 1/('OB History S2'!$B:$B=A32), 'OB History S2'!$AC:$AC)</f>
        <v>0.49818181818181823</v>
      </c>
      <c r="T32" s="2">
        <f>COUNTIFS('OB History S2'!$B:$B,$A$32,'OB History S2'!K:K, 1)</f>
        <v>3</v>
      </c>
      <c r="U32" s="2">
        <f>COUNTIFS('OB History S2'!$B:$B,$A$32,'OB History S2'!L:L, 1)</f>
        <v>5</v>
      </c>
      <c r="V32" s="2">
        <f>COUNTIFS('OB History S2'!$B:$B,$A$32,'OB History S2'!M:M, 1)</f>
        <v>0</v>
      </c>
      <c r="W32" s="2">
        <f>COUNTIFS('OB History S2'!$B:$B,$A$32,'OB History S2'!N:N, 1)</f>
        <v>6</v>
      </c>
      <c r="X32" s="2">
        <f>COUNTIFS('OB History S2'!$B:$B,$A$32,'OB History S2'!O:O, 1)</f>
        <v>1</v>
      </c>
      <c r="Y32" s="2">
        <f>COUNTIFS('OB History S2'!$B:$B,$A$32,'OB History S2'!P:P, 1)</f>
        <v>4</v>
      </c>
      <c r="Z32" s="2">
        <f>COUNTIFS('OB History S2'!$B:$B,$A$32,'OB History S2'!Q:Q, 1)</f>
        <v>3</v>
      </c>
      <c r="AA32" s="2">
        <f>COUNTIFS('OB History S2'!$B:$B,$A$32,'OB History S2'!R:R, 1)</f>
        <v>1</v>
      </c>
      <c r="AB32" s="2">
        <f>COUNTIFS('OB History S2'!$B:$B,$A$32,'OB History S2'!S:S, 1)</f>
        <v>1</v>
      </c>
      <c r="AC32" s="2">
        <f>COUNTIFS('OB History S2'!$B:$B,$A$32,'OB History S2'!T:T, 1)</f>
        <v>1</v>
      </c>
      <c r="AD32" s="2">
        <f>COUNTIFS('OB History S2'!$B:$B,$A$32,'OB History S2'!U:U, 1)</f>
        <v>1</v>
      </c>
      <c r="AE32" s="2">
        <f>COUNTIFS('OB History S2'!$B:$B,$A$32,'OB History S2'!V:V, 1)</f>
        <v>1</v>
      </c>
      <c r="AF32" s="2">
        <f>COUNTIFS('OB History S2'!$B:$B,$A$32,'OB History S2'!W:W, 1)</f>
        <v>2</v>
      </c>
      <c r="AG32" s="2">
        <f>COUNTIFS('OB History S2'!$B:$B,$A$32,'OB History S2'!X:X, 1)</f>
        <v>5</v>
      </c>
      <c r="AH32" s="2">
        <f>COUNTIFS('OB History S2'!$B:$B,$A$32,'OB History S2'!Y:Y, 1)</f>
        <v>3</v>
      </c>
      <c r="AI32" s="2">
        <f>COUNTIFS('OB History S2'!$B:$B,$A$32,'OB History S2'!Z:Z, 1)</f>
        <v>3</v>
      </c>
    </row>
    <row r="33" spans="1:35" x14ac:dyDescent="0.25">
      <c r="A33" s="2" t="s">
        <v>161</v>
      </c>
      <c r="B33" s="2" t="s">
        <v>79</v>
      </c>
      <c r="C33" s="2" t="s">
        <v>79</v>
      </c>
      <c r="D33" s="3"/>
      <c r="E33" s="2"/>
      <c r="F33" s="2"/>
      <c r="G33" s="2"/>
      <c r="H33" s="34">
        <f>SUMIFS('OB History S2'!C:C,'OB History S2'!B:B,A33)</f>
        <v>31</v>
      </c>
      <c r="I33" s="4">
        <f>AVERAGEIFS('OB History S2'!C:C,'OB History S2'!B:B,A33)</f>
        <v>15.5</v>
      </c>
      <c r="J33" s="35">
        <f t="array" ref="J33">MAX(IF('OB History S2'!B:B=A33, 'OB History S2'!C:C))</f>
        <v>16</v>
      </c>
      <c r="K33" s="34">
        <f>COUNTIFS('OB History S2'!B:B,A33,'OB History S2'!D:D, 1)</f>
        <v>0</v>
      </c>
      <c r="L33" s="2">
        <f>COUNTIFS('OB History S2'!B:B,A33,'OB History S2'!D:D, 0)</f>
        <v>2</v>
      </c>
      <c r="M33" s="88">
        <f>LOOKUP(2, 1/('OB History S2'!$B:$B=A33), 'OB History S2'!$AD:$AD)</f>
        <v>0</v>
      </c>
      <c r="N33" s="34">
        <f>SUMIFS('OB History S2'!F:F,'OB History S2'!B:B,A33)</f>
        <v>2</v>
      </c>
      <c r="O33" s="2">
        <f>SUMIFS('OB History S2'!E:E,'OB History S2'!B:B,A33)-N33</f>
        <v>6</v>
      </c>
      <c r="P33" s="88">
        <f>LOOKUP(2, 1/('OB History S2'!$B:$B=A33), 'OB History S2'!$AB:$AB)</f>
        <v>0.25</v>
      </c>
      <c r="Q33" s="34">
        <f>SUMIFS('OB History S2'!H:H,'OB History S2'!B:B,A33)</f>
        <v>16</v>
      </c>
      <c r="R33" s="2">
        <f>SUMIFS('OB History S2'!G:G,'OB History S2'!B:B,A33)-Q33</f>
        <v>22</v>
      </c>
      <c r="S33" s="88">
        <f>LOOKUP(2, 1/('OB History S2'!$B:$B=A33), 'OB History S2'!$AC:$AC)</f>
        <v>0.42</v>
      </c>
      <c r="T33" s="2">
        <f>COUNTIFS('OB History S2'!$B:$B,$A$33,'OB History S2'!K:K, 1)</f>
        <v>0</v>
      </c>
      <c r="U33" s="2">
        <f>COUNTIFS('OB History S2'!$B:$B,$A$33,'OB History S2'!L:L, 1)</f>
        <v>0</v>
      </c>
      <c r="V33" s="2">
        <f>COUNTIFS('OB History S2'!$B:$B,$A$33,'OB History S2'!M:M, 1)</f>
        <v>0</v>
      </c>
      <c r="W33" s="2">
        <f>COUNTIFS('OB History S2'!$B:$B,$A$33,'OB History S2'!N:N, 1)</f>
        <v>0</v>
      </c>
      <c r="X33" s="2">
        <f>COUNTIFS('OB History S2'!$B:$B,$A$33,'OB History S2'!O:O, 1)</f>
        <v>0</v>
      </c>
      <c r="Y33" s="2">
        <f>COUNTIFS('OB History S2'!$B:$B,$A$33,'OB History S2'!P:P, 1)</f>
        <v>0</v>
      </c>
      <c r="Z33" s="2">
        <f>COUNTIFS('OB History S2'!$B:$B,$A$33,'OB History S2'!Q:Q, 1)</f>
        <v>0</v>
      </c>
      <c r="AA33" s="2">
        <f>COUNTIFS('OB History S2'!$B:$B,$A$33,'OB History S2'!R:R, 1)</f>
        <v>0</v>
      </c>
      <c r="AB33" s="2">
        <f>COUNTIFS('OB History S2'!$B:$B,$A$33,'OB History S2'!S:S, 1)</f>
        <v>0</v>
      </c>
      <c r="AC33" s="2">
        <f>COUNTIFS('OB History S2'!$B:$B,$A$33,'OB History S2'!T:T, 1)</f>
        <v>0</v>
      </c>
      <c r="AD33" s="2">
        <f>COUNTIFS('OB History S2'!$B:$B,$A$33,'OB History S2'!U:U, 1)</f>
        <v>0</v>
      </c>
      <c r="AE33" s="2">
        <f>COUNTIFS('OB History S2'!$B:$B,$A$33,'OB History S2'!V:V, 1)</f>
        <v>0</v>
      </c>
      <c r="AF33" s="2">
        <f>COUNTIFS('OB History S2'!$B:$B,$A$33,'OB History S2'!W:W, 1)</f>
        <v>1</v>
      </c>
      <c r="AG33" s="2">
        <f>COUNTIFS('OB History S2'!$B:$B,$A$33,'OB History S2'!X:X, 1)</f>
        <v>0</v>
      </c>
      <c r="AH33" s="2">
        <f>COUNTIFS('OB History S2'!$B:$B,$A$33,'OB History S2'!Y:Y, 1)</f>
        <v>1</v>
      </c>
      <c r="AI33" s="2">
        <f>COUNTIFS('OB History S2'!$B:$B,$A$33,'OB History S2'!Z:Z, 1)</f>
        <v>0</v>
      </c>
    </row>
    <row r="34" spans="1:35" x14ac:dyDescent="0.25">
      <c r="A34" s="2" t="s">
        <v>13</v>
      </c>
      <c r="B34" s="6" t="s">
        <v>124</v>
      </c>
      <c r="C34" s="6" t="s">
        <v>60</v>
      </c>
      <c r="D34" s="3">
        <v>7</v>
      </c>
      <c r="E34" s="6">
        <v>2</v>
      </c>
      <c r="F34" s="6">
        <v>1</v>
      </c>
      <c r="G34" s="6"/>
      <c r="H34" s="34">
        <f>SUMIFS('OB History S2'!C:C,'OB History S2'!B:B,A34)</f>
        <v>827</v>
      </c>
      <c r="I34" s="4">
        <f>AVERAGEIFS('OB History S2'!C:C,'OB History S2'!B:B,A34)</f>
        <v>24.323529411764707</v>
      </c>
      <c r="J34" s="35">
        <f t="array" ref="J34">MAX(IF('OB History S2'!B:B=A34, 'OB History S2'!C:C))</f>
        <v>58</v>
      </c>
      <c r="K34" s="34">
        <f>COUNTIFS('OB History S2'!B:B,A34,'OB History S2'!D:D, 1)</f>
        <v>22</v>
      </c>
      <c r="L34" s="2">
        <f>COUNTIFS('OB History S2'!B:B,A34,'OB History S2'!D:D, 0)</f>
        <v>12</v>
      </c>
      <c r="M34" s="88">
        <f>LOOKUP(2, 1/('OB History S2'!$B:$B=A34), 'OB History S2'!$AD:$AD)</f>
        <v>0.6470588235294118</v>
      </c>
      <c r="N34" s="34">
        <f>SUMIFS('OB History S2'!F:F,'OB History S2'!B:B,A34)</f>
        <v>80</v>
      </c>
      <c r="O34" s="2">
        <f>SUMIFS('OB History S2'!E:E,'OB History S2'!B:B,A34)-N34</f>
        <v>52</v>
      </c>
      <c r="P34" s="88">
        <f>LOOKUP(2, 1/('OB History S2'!$B:$B=A34), 'OB History S2'!$AB:$AB)</f>
        <v>0.61764705882352944</v>
      </c>
      <c r="Q34" s="34">
        <f>SUMIFS('OB History S2'!H:H,'OB History S2'!B:B,A34)</f>
        <v>304</v>
      </c>
      <c r="R34" s="2">
        <f>SUMIFS('OB History S2'!G:G,'OB History S2'!B:B,A34)-Q34</f>
        <v>237</v>
      </c>
      <c r="S34" s="88">
        <f>LOOKUP(2, 1/('OB History S2'!$B:$B=A34), 'OB History S2'!$AC:$AC)</f>
        <v>0.56705882352941173</v>
      </c>
      <c r="T34" s="2">
        <f>COUNTIFS('OB History S2'!$B:$B,$A$34,'OB History S2'!K:K, 1)</f>
        <v>6</v>
      </c>
      <c r="U34" s="2">
        <f>COUNTIFS('OB History S2'!$B:$B,$A$34,'OB History S2'!L:L, 1)</f>
        <v>5</v>
      </c>
      <c r="V34" s="2">
        <f>COUNTIFS('OB History S2'!$B:$B,$A$34,'OB History S2'!M:M, 1)</f>
        <v>2</v>
      </c>
      <c r="W34" s="2">
        <f>COUNTIFS('OB History S2'!$B:$B,$A$34,'OB History S2'!N:N, 1)</f>
        <v>9</v>
      </c>
      <c r="X34" s="2">
        <f>COUNTIFS('OB History S2'!$B:$B,$A$34,'OB History S2'!O:O, 1)</f>
        <v>0</v>
      </c>
      <c r="Y34" s="2">
        <f>COUNTIFS('OB History S2'!$B:$B,$A$34,'OB History S2'!P:P, 1)</f>
        <v>7</v>
      </c>
      <c r="Z34" s="2">
        <f>COUNTIFS('OB History S2'!$B:$B,$A$34,'OB History S2'!Q:Q, 1)</f>
        <v>1</v>
      </c>
      <c r="AA34" s="2">
        <f>COUNTIFS('OB History S2'!$B:$B,$A$34,'OB History S2'!R:R, 1)</f>
        <v>4</v>
      </c>
      <c r="AB34" s="2">
        <f>COUNTIFS('OB History S2'!$B:$B,$A$34,'OB History S2'!S:S, 1)</f>
        <v>1</v>
      </c>
      <c r="AC34" s="2">
        <f>COUNTIFS('OB History S2'!$B:$B,$A$34,'OB History S2'!T:T, 1)</f>
        <v>3</v>
      </c>
      <c r="AD34" s="2">
        <f>COUNTIFS('OB History S2'!$B:$B,$A$34,'OB History S2'!U:U, 1)</f>
        <v>1</v>
      </c>
      <c r="AE34" s="2">
        <f>COUNTIFS('OB History S2'!$B:$B,$A$34,'OB History S2'!V:V, 1)</f>
        <v>1</v>
      </c>
      <c r="AF34" s="2">
        <f>COUNTIFS('OB History S2'!$B:$B,$A$34,'OB History S2'!W:W, 1)</f>
        <v>7</v>
      </c>
      <c r="AG34" s="2">
        <f>COUNTIFS('OB History S2'!$B:$B,$A$34,'OB History S2'!X:X, 1)</f>
        <v>11</v>
      </c>
      <c r="AH34" s="2">
        <f>COUNTIFS('OB History S2'!$B:$B,$A$34,'OB History S2'!Y:Y, 1)</f>
        <v>13</v>
      </c>
      <c r="AI34" s="2">
        <f>COUNTIFS('OB History S2'!$B:$B,$A$34,'OB History S2'!Z:Z, 1)</f>
        <v>9</v>
      </c>
    </row>
    <row r="35" spans="1:35" x14ac:dyDescent="0.25">
      <c r="A35" s="2" t="s">
        <v>2</v>
      </c>
      <c r="B35" s="6" t="s">
        <v>60</v>
      </c>
      <c r="C35" s="6" t="s">
        <v>79</v>
      </c>
      <c r="D35" s="3">
        <v>1</v>
      </c>
      <c r="E35" s="6"/>
      <c r="F35" s="6"/>
      <c r="G35" s="6"/>
      <c r="H35" s="34">
        <f>SUMIFS('OB History S2'!C:C,'OB History S2'!B:B,A35)</f>
        <v>194</v>
      </c>
      <c r="I35" s="4">
        <f>AVERAGEIFS('OB History S2'!C:C,'OB History S2'!B:B,A35)</f>
        <v>32.333333333333336</v>
      </c>
      <c r="J35" s="35">
        <f t="array" ref="J35">MAX(IF('OB History S2'!B:B=A35, 'OB History S2'!C:C))</f>
        <v>68</v>
      </c>
      <c r="K35" s="34">
        <f>COUNTIFS('OB History S2'!B:B,A35,'OB History S2'!D:D, 1)</f>
        <v>4</v>
      </c>
      <c r="L35" s="2">
        <f>COUNTIFS('OB History S2'!B:B,A35,'OB History S2'!D:D, 0)</f>
        <v>2</v>
      </c>
      <c r="M35" s="88">
        <f>LOOKUP(2, 1/('OB History S2'!$B:$B=A35), 'OB History S2'!$AD:$AD)</f>
        <v>0.66666666666666663</v>
      </c>
      <c r="N35" s="34">
        <f>SUMIFS('OB History S2'!F:F,'OB History S2'!B:B,A35)</f>
        <v>16</v>
      </c>
      <c r="O35" s="2">
        <f>SUMIFS('OB History S2'!E:E,'OB History S2'!B:B,A35)-N35</f>
        <v>6</v>
      </c>
      <c r="P35" s="88">
        <f>LOOKUP(2, 1/('OB History S2'!$B:$B=A35), 'OB History S2'!$AB:$AB)</f>
        <v>0.79999999999999993</v>
      </c>
      <c r="Q35" s="34">
        <f>SUMIFS('OB History S2'!H:H,'OB History S2'!B:B,A35)</f>
        <v>56</v>
      </c>
      <c r="R35" s="2">
        <f>SUMIFS('OB History S2'!G:G,'OB History S2'!B:B,A35)-Q35</f>
        <v>41</v>
      </c>
      <c r="S35" s="88">
        <f>LOOKUP(2, 1/('OB History S2'!$B:$B=A35), 'OB History S2'!$AC:$AC)</f>
        <v>0.60333333333333328</v>
      </c>
      <c r="T35" s="2">
        <f>COUNTIFS('OB History S2'!$B:$B,$A$35,'OB History S2'!K:K, 1)</f>
        <v>1</v>
      </c>
      <c r="U35" s="2">
        <f>COUNTIFS('OB History S2'!$B:$B,$A$35,'OB History S2'!L:L, 1)</f>
        <v>2</v>
      </c>
      <c r="V35" s="2">
        <f>COUNTIFS('OB History S2'!$B:$B,$A$35,'OB History S2'!M:M, 1)</f>
        <v>0</v>
      </c>
      <c r="W35" s="2">
        <f>COUNTIFS('OB History S2'!$B:$B,$A$35,'OB History S2'!N:N, 1)</f>
        <v>3</v>
      </c>
      <c r="X35" s="2">
        <f>COUNTIFS('OB History S2'!$B:$B,$A$35,'OB History S2'!O:O, 1)</f>
        <v>0</v>
      </c>
      <c r="Y35" s="2">
        <f>COUNTIFS('OB History S2'!$B:$B,$A$35,'OB History S2'!P:P, 1)</f>
        <v>1</v>
      </c>
      <c r="Z35" s="2">
        <f>COUNTIFS('OB History S2'!$B:$B,$A$35,'OB History S2'!Q:Q, 1)</f>
        <v>0</v>
      </c>
      <c r="AA35" s="2">
        <f>COUNTIFS('OB History S2'!$B:$B,$A$35,'OB History S2'!R:R, 1)</f>
        <v>0</v>
      </c>
      <c r="AB35" s="2">
        <f>COUNTIFS('OB History S2'!$B:$B,$A$35,'OB History S2'!S:S, 1)</f>
        <v>0</v>
      </c>
      <c r="AC35" s="2">
        <f>COUNTIFS('OB History S2'!$B:$B,$A$35,'OB History S2'!T:T, 1)</f>
        <v>0</v>
      </c>
      <c r="AD35" s="2">
        <f>COUNTIFS('OB History S2'!$B:$B,$A$35,'OB History S2'!U:U, 1)</f>
        <v>0</v>
      </c>
      <c r="AE35" s="2">
        <f>COUNTIFS('OB History S2'!$B:$B,$A$35,'OB History S2'!V:V, 1)</f>
        <v>0</v>
      </c>
      <c r="AF35" s="2">
        <f>COUNTIFS('OB History S2'!$B:$B,$A$35,'OB History S2'!W:W, 1)</f>
        <v>0</v>
      </c>
      <c r="AG35" s="2">
        <f>COUNTIFS('OB History S2'!$B:$B,$A$35,'OB History S2'!X:X, 1)</f>
        <v>3</v>
      </c>
      <c r="AH35" s="2">
        <f>COUNTIFS('OB History S2'!$B:$B,$A$35,'OB History S2'!Y:Y, 1)</f>
        <v>2</v>
      </c>
      <c r="AI35" s="2">
        <f>COUNTIFS('OB History S2'!$B:$B,$A$35,'OB History S2'!Z:Z, 1)</f>
        <v>4</v>
      </c>
    </row>
    <row r="36" spans="1:35" x14ac:dyDescent="0.25">
      <c r="A36" s="2" t="s">
        <v>5</v>
      </c>
      <c r="B36" s="6" t="s">
        <v>124</v>
      </c>
      <c r="C36" s="1" t="s">
        <v>159</v>
      </c>
      <c r="D36" s="3">
        <v>1</v>
      </c>
      <c r="E36" s="6"/>
      <c r="F36" s="6"/>
      <c r="G36" s="6"/>
      <c r="H36" s="34">
        <f>SUMIFS('OB History S2'!C:C,'OB History S2'!B:B,A36)</f>
        <v>294</v>
      </c>
      <c r="I36" s="4">
        <f>AVERAGEIFS('OB History S2'!C:C,'OB History S2'!B:B,A36)</f>
        <v>22.615384615384617</v>
      </c>
      <c r="J36" s="35">
        <f t="array" ref="J36">MAX(IF('OB History S2'!B:B=A36, 'OB History S2'!C:C))</f>
        <v>51</v>
      </c>
      <c r="K36" s="34">
        <f>COUNTIFS('OB History S2'!B:B,A36,'OB History S2'!D:D, 1)</f>
        <v>6</v>
      </c>
      <c r="L36" s="2">
        <f>COUNTIFS('OB History S2'!B:B,A36,'OB History S2'!D:D, 0)</f>
        <v>7</v>
      </c>
      <c r="M36" s="88">
        <f>LOOKUP(2, 1/('OB History S2'!$B:$B=A36), 'OB History S2'!$AD:$AD)</f>
        <v>0.46153846153846156</v>
      </c>
      <c r="N36" s="34">
        <f>SUMIFS('OB History S2'!F:F,'OB History S2'!B:B,A36)</f>
        <v>25</v>
      </c>
      <c r="O36" s="2">
        <f>SUMIFS('OB History S2'!E:E,'OB History S2'!B:B,A36)-N36</f>
        <v>27</v>
      </c>
      <c r="P36" s="88">
        <f>LOOKUP(2, 1/('OB History S2'!$B:$B=A36), 'OB History S2'!$AB:$AB)</f>
        <v>0.48846153846153845</v>
      </c>
      <c r="Q36" s="34">
        <f>SUMIFS('OB History S2'!H:H,'OB History S2'!B:B,A36)</f>
        <v>105</v>
      </c>
      <c r="R36" s="2">
        <f>SUMIFS('OB History S2'!G:G,'OB History S2'!B:B,A36)-Q36</f>
        <v>108</v>
      </c>
      <c r="S36" s="88">
        <f>LOOKUP(2, 1/('OB History S2'!$B:$B=A36), 'OB History S2'!$AC:$AC)</f>
        <v>0.49153846153846142</v>
      </c>
      <c r="T36" s="2">
        <f>COUNTIFS('OB History S2'!$B:$B,$A$36,'OB History S2'!K:K, 1)</f>
        <v>3</v>
      </c>
      <c r="U36" s="2">
        <f>COUNTIFS('OB History S2'!$B:$B,$A$36,'OB History S2'!L:L, 1)</f>
        <v>4</v>
      </c>
      <c r="V36" s="2">
        <f>COUNTIFS('OB History S2'!$B:$B,$A$36,'OB History S2'!M:M, 1)</f>
        <v>1</v>
      </c>
      <c r="W36" s="2">
        <f>COUNTIFS('OB History S2'!$B:$B,$A$36,'OB History S2'!N:N, 1)</f>
        <v>2</v>
      </c>
      <c r="X36" s="2">
        <f>COUNTIFS('OB History S2'!$B:$B,$A$36,'OB History S2'!O:O, 1)</f>
        <v>2</v>
      </c>
      <c r="Y36" s="2">
        <f>COUNTIFS('OB History S2'!$B:$B,$A$36,'OB History S2'!P:P, 1)</f>
        <v>3</v>
      </c>
      <c r="Z36" s="2">
        <f>COUNTIFS('OB History S2'!$B:$B,$A$36,'OB History S2'!Q:Q, 1)</f>
        <v>0</v>
      </c>
      <c r="AA36" s="2">
        <f>COUNTIFS('OB History S2'!$B:$B,$A$36,'OB History S2'!R:R, 1)</f>
        <v>1</v>
      </c>
      <c r="AB36" s="2">
        <f>COUNTIFS('OB History S2'!$B:$B,$A$36,'OB History S2'!S:S, 1)</f>
        <v>0</v>
      </c>
      <c r="AC36" s="2">
        <f>COUNTIFS('OB History S2'!$B:$B,$A$36,'OB History S2'!T:T, 1)</f>
        <v>0</v>
      </c>
      <c r="AD36" s="2">
        <f>COUNTIFS('OB History S2'!$B:$B,$A$36,'OB History S2'!U:U, 1)</f>
        <v>0</v>
      </c>
      <c r="AE36" s="2">
        <f>COUNTIFS('OB History S2'!$B:$B,$A$36,'OB History S2'!V:V, 1)</f>
        <v>0</v>
      </c>
      <c r="AF36" s="2">
        <f>COUNTIFS('OB History S2'!$B:$B,$A$36,'OB History S2'!W:W, 1)</f>
        <v>2</v>
      </c>
      <c r="AG36" s="2">
        <f>COUNTIFS('OB History S2'!$B:$B,$A$36,'OB History S2'!X:X, 1)</f>
        <v>3</v>
      </c>
      <c r="AH36" s="2">
        <f>COUNTIFS('OB History S2'!$B:$B,$A$36,'OB History S2'!Y:Y, 1)</f>
        <v>2</v>
      </c>
      <c r="AI36" s="2">
        <f>COUNTIFS('OB History S2'!$B:$B,$A$36,'OB History S2'!Z:Z, 1)</f>
        <v>2</v>
      </c>
    </row>
    <row r="37" spans="1:35" x14ac:dyDescent="0.25">
      <c r="A37" s="2" t="s">
        <v>38</v>
      </c>
      <c r="B37" s="6" t="s">
        <v>79</v>
      </c>
      <c r="C37" s="6" t="s">
        <v>79</v>
      </c>
      <c r="D37" s="3">
        <v>1</v>
      </c>
      <c r="E37" s="6"/>
      <c r="F37" s="6"/>
      <c r="G37" s="6"/>
      <c r="H37" s="34">
        <f>SUMIFS('OB History S2'!C:C,'OB History S2'!B:B,A37)</f>
        <v>96</v>
      </c>
      <c r="I37" s="4">
        <f>AVERAGEIFS('OB History S2'!C:C,'OB History S2'!B:B,A37)</f>
        <v>10.666666666666666</v>
      </c>
      <c r="J37" s="35">
        <f t="array" ref="J37">MAX(IF('OB History S2'!B:B=A37, 'OB History S2'!C:C))</f>
        <v>28</v>
      </c>
      <c r="K37" s="34">
        <f>COUNTIFS('OB History S2'!B:B,A37,'OB History S2'!D:D, 1)</f>
        <v>5</v>
      </c>
      <c r="L37" s="2">
        <f>COUNTIFS('OB History S2'!B:B,A37,'OB History S2'!D:D, 0)</f>
        <v>4</v>
      </c>
      <c r="M37" s="88">
        <f>LOOKUP(2, 1/('OB History S2'!$B:$B=A37), 'OB History S2'!$AD:$AD)</f>
        <v>0.55555555555555558</v>
      </c>
      <c r="N37" s="34">
        <f>SUMIFS('OB History S2'!F:F,'OB History S2'!B:B,A37)</f>
        <v>19</v>
      </c>
      <c r="O37" s="2">
        <f>SUMIFS('OB History S2'!E:E,'OB History S2'!B:B,A37)-N37</f>
        <v>18</v>
      </c>
      <c r="P37" s="88">
        <f>LOOKUP(2, 1/('OB History S2'!$B:$B=A37), 'OB History S2'!$AB:$AB)</f>
        <v>0.48333333333333328</v>
      </c>
      <c r="Q37" s="34">
        <f>SUMIFS('OB History S2'!H:H,'OB History S2'!B:B,A37)</f>
        <v>77</v>
      </c>
      <c r="R37" s="2">
        <f>SUMIFS('OB History S2'!G:G,'OB History S2'!B:B,A37)-Q37</f>
        <v>76</v>
      </c>
      <c r="S37" s="88">
        <f>LOOKUP(2, 1/('OB History S2'!$B:$B=A37), 'OB History S2'!$AC:$AC)</f>
        <v>0.491111111111111</v>
      </c>
      <c r="T37" s="2">
        <f>COUNTIFS('OB History S2'!$B:$B,$A$37,'OB History S2'!K:K, 1)</f>
        <v>0</v>
      </c>
      <c r="U37" s="2">
        <f>COUNTIFS('OB History S2'!$B:$B,$A$37,'OB History S2'!L:L, 1)</f>
        <v>0</v>
      </c>
      <c r="V37" s="2">
        <f>COUNTIFS('OB History S2'!$B:$B,$A$37,'OB History S2'!M:M, 1)</f>
        <v>0</v>
      </c>
      <c r="W37" s="2">
        <f>COUNTIFS('OB History S2'!$B:$B,$A$37,'OB History S2'!N:N, 1)</f>
        <v>3</v>
      </c>
      <c r="X37" s="2">
        <f>COUNTIFS('OB History S2'!$B:$B,$A$37,'OB History S2'!O:O, 1)</f>
        <v>0</v>
      </c>
      <c r="Y37" s="2">
        <f>COUNTIFS('OB History S2'!$B:$B,$A$37,'OB History S2'!P:P, 1)</f>
        <v>2</v>
      </c>
      <c r="Z37" s="2">
        <f>COUNTIFS('OB History S2'!$B:$B,$A$37,'OB History S2'!Q:Q, 1)</f>
        <v>1</v>
      </c>
      <c r="AA37" s="2">
        <f>COUNTIFS('OB History S2'!$B:$B,$A$37,'OB History S2'!R:R, 1)</f>
        <v>2</v>
      </c>
      <c r="AB37" s="2">
        <f>COUNTIFS('OB History S2'!$B:$B,$A$37,'OB History S2'!S:S, 1)</f>
        <v>0</v>
      </c>
      <c r="AC37" s="2">
        <f>COUNTIFS('OB History S2'!$B:$B,$A$37,'OB History S2'!T:T, 1)</f>
        <v>0</v>
      </c>
      <c r="AD37" s="2">
        <f>COUNTIFS('OB History S2'!$B:$B,$A$37,'OB History S2'!U:U, 1)</f>
        <v>0</v>
      </c>
      <c r="AE37" s="2">
        <f>COUNTIFS('OB History S2'!$B:$B,$A$37,'OB History S2'!V:V, 1)</f>
        <v>0</v>
      </c>
      <c r="AF37" s="2">
        <f>COUNTIFS('OB History S2'!$B:$B,$A$37,'OB History S2'!W:W, 1)</f>
        <v>1</v>
      </c>
      <c r="AG37" s="2">
        <f>COUNTIFS('OB History S2'!$B:$B,$A$37,'OB History S2'!X:X, 1)</f>
        <v>4</v>
      </c>
      <c r="AH37" s="2">
        <f>COUNTIFS('OB History S2'!$B:$B,$A$37,'OB History S2'!Y:Y, 1)</f>
        <v>3</v>
      </c>
      <c r="AI37" s="2">
        <f>COUNTIFS('OB History S2'!$B:$B,$A$37,'OB History S2'!Z:Z, 1)</f>
        <v>3</v>
      </c>
    </row>
    <row r="38" spans="1:35" x14ac:dyDescent="0.25">
      <c r="A38" s="2" t="s">
        <v>141</v>
      </c>
      <c r="B38" s="2" t="s">
        <v>79</v>
      </c>
      <c r="C38" s="2" t="s">
        <v>79</v>
      </c>
      <c r="D38" s="3">
        <v>1</v>
      </c>
      <c r="E38" s="2"/>
      <c r="F38" s="2"/>
      <c r="G38" s="2"/>
      <c r="H38" s="34">
        <f>SUMIFS('OB History S2'!C:C,'OB History S2'!B:B,A38)</f>
        <v>222</v>
      </c>
      <c r="I38" s="4">
        <f>AVERAGEIFS('OB History S2'!C:C,'OB History S2'!B:B,A38)</f>
        <v>17.076923076923077</v>
      </c>
      <c r="J38" s="35">
        <f t="array" ref="J38">MAX(IF('OB History S2'!B:B=A38, 'OB History S2'!C:C))</f>
        <v>33</v>
      </c>
      <c r="K38" s="34">
        <f>COUNTIFS('OB History S2'!B:B,A38,'OB History S2'!D:D, 1)</f>
        <v>5</v>
      </c>
      <c r="L38" s="2">
        <f>COUNTIFS('OB History S2'!B:B,A38,'OB History S2'!D:D, 0)</f>
        <v>8</v>
      </c>
      <c r="M38" s="88">
        <f>LOOKUP(2, 1/('OB History S2'!$B:$B=A38), 'OB History S2'!$AD:$AD)</f>
        <v>0.38461538461538464</v>
      </c>
      <c r="N38" s="34">
        <f>SUMIFS('OB History S2'!F:F,'OB History S2'!B:B,A38)</f>
        <v>22</v>
      </c>
      <c r="O38" s="2">
        <f>SUMIFS('OB History S2'!E:E,'OB History S2'!B:B,A38)-N38</f>
        <v>28</v>
      </c>
      <c r="P38" s="88">
        <f>LOOKUP(2, 1/('OB History S2'!$B:$B=A38), 'OB History S2'!$AB:$AB)</f>
        <v>0.44615384615384612</v>
      </c>
      <c r="Q38" s="34">
        <f>SUMIFS('OB History S2'!H:H,'OB History S2'!B:B,A38)</f>
        <v>101</v>
      </c>
      <c r="R38" s="2">
        <f>SUMIFS('OB History S2'!G:G,'OB History S2'!B:B,A38)-Q38</f>
        <v>110</v>
      </c>
      <c r="S38" s="88">
        <f>LOOKUP(2, 1/('OB History S2'!$B:$B=A38), 'OB History S2'!$AC:$AC)</f>
        <v>0.48076923076923078</v>
      </c>
      <c r="T38" s="2">
        <f>COUNTIFS('OB History S2'!$B:$B,$A$38,'OB History S2'!K:K, 1)</f>
        <v>3</v>
      </c>
      <c r="U38" s="2">
        <f>COUNTIFS('OB History S2'!$B:$B,$A$38,'OB History S2'!L:L, 1)</f>
        <v>2</v>
      </c>
      <c r="V38" s="2">
        <f>COUNTIFS('OB History S2'!$B:$B,$A$38,'OB History S2'!M:M, 1)</f>
        <v>0</v>
      </c>
      <c r="W38" s="2">
        <f>COUNTIFS('OB History S2'!$B:$B,$A$38,'OB History S2'!N:N, 1)</f>
        <v>3</v>
      </c>
      <c r="X38" s="2">
        <f>COUNTIFS('OB History S2'!$B:$B,$A$38,'OB History S2'!O:O, 1)</f>
        <v>1</v>
      </c>
      <c r="Y38" s="2">
        <f>COUNTIFS('OB History S2'!$B:$B,$A$38,'OB History S2'!P:P, 1)</f>
        <v>1</v>
      </c>
      <c r="Z38" s="2">
        <f>COUNTIFS('OB History S2'!$B:$B,$A$38,'OB History S2'!Q:Q, 1)</f>
        <v>2</v>
      </c>
      <c r="AA38" s="2">
        <f>COUNTIFS('OB History S2'!$B:$B,$A$38,'OB History S2'!R:R, 1)</f>
        <v>1</v>
      </c>
      <c r="AB38" s="2">
        <f>COUNTIFS('OB History S2'!$B:$B,$A$38,'OB History S2'!S:S, 1)</f>
        <v>0</v>
      </c>
      <c r="AC38" s="2">
        <f>COUNTIFS('OB History S2'!$B:$B,$A$38,'OB History S2'!T:T, 1)</f>
        <v>1</v>
      </c>
      <c r="AD38" s="2">
        <f>COUNTIFS('OB History S2'!$B:$B,$A$38,'OB History S2'!U:U, 1)</f>
        <v>0</v>
      </c>
      <c r="AE38" s="2">
        <f>COUNTIFS('OB History S2'!$B:$B,$A$38,'OB History S2'!V:V, 1)</f>
        <v>0</v>
      </c>
      <c r="AF38" s="2">
        <f>COUNTIFS('OB History S2'!$B:$B,$A$38,'OB History S2'!W:W, 1)</f>
        <v>2</v>
      </c>
      <c r="AG38" s="2">
        <f>COUNTIFS('OB History S2'!$B:$B,$A$38,'OB History S2'!X:X, 1)</f>
        <v>2</v>
      </c>
      <c r="AH38" s="2">
        <f>COUNTIFS('OB History S2'!$B:$B,$A$38,'OB History S2'!Y:Y, 1)</f>
        <v>2</v>
      </c>
      <c r="AI38" s="2">
        <f>COUNTIFS('OB History S2'!$B:$B,$A$38,'OB History S2'!Z:Z, 1)</f>
        <v>2</v>
      </c>
    </row>
    <row r="39" spans="1:35" x14ac:dyDescent="0.25">
      <c r="A39" s="2" t="s">
        <v>40</v>
      </c>
      <c r="B39" s="2" t="s">
        <v>79</v>
      </c>
      <c r="C39" s="2" t="s">
        <v>79</v>
      </c>
      <c r="D39" s="3">
        <v>1</v>
      </c>
      <c r="E39" s="2"/>
      <c r="F39" s="2"/>
      <c r="G39" s="2"/>
      <c r="H39" s="34">
        <f>SUMIFS('OB History S2'!C:C,'OB History S2'!B:B,A39)</f>
        <v>277</v>
      </c>
      <c r="I39" s="4">
        <f>AVERAGEIFS('OB History S2'!C:C,'OB History S2'!B:B,A39)</f>
        <v>19.785714285714285</v>
      </c>
      <c r="J39" s="35">
        <f t="array" ref="J39">MAX(IF('OB History S2'!B:B=A39, 'OB History S2'!C:C))</f>
        <v>40</v>
      </c>
      <c r="K39" s="34">
        <f>COUNTIFS('OB History S2'!B:B,A39,'OB History S2'!D:D, 1)</f>
        <v>8</v>
      </c>
      <c r="L39" s="2">
        <f>COUNTIFS('OB History S2'!B:B,A39,'OB History S2'!D:D, 0)</f>
        <v>6</v>
      </c>
      <c r="M39" s="88">
        <f>LOOKUP(2, 1/('OB History S2'!$B:$B=A39), 'OB History S2'!$AD:$AD)</f>
        <v>0.5714285714285714</v>
      </c>
      <c r="N39" s="34">
        <f>SUMIFS('OB History S2'!F:F,'OB History S2'!B:B,A39)</f>
        <v>33</v>
      </c>
      <c r="O39" s="2">
        <f>SUMIFS('OB History S2'!E:E,'OB History S2'!B:B,A39)-N39</f>
        <v>26</v>
      </c>
      <c r="P39" s="88">
        <f>LOOKUP(2, 1/('OB History S2'!$B:$B=A39), 'OB History S2'!$AB:$AB)</f>
        <v>0.58214285714285707</v>
      </c>
      <c r="Q39" s="34">
        <f>SUMIFS('OB History S2'!H:H,'OB History S2'!B:B,A39)</f>
        <v>123</v>
      </c>
      <c r="R39" s="2">
        <f>SUMIFS('OB History S2'!G:G,'OB History S2'!B:B,A39)-Q39</f>
        <v>120</v>
      </c>
      <c r="S39" s="88">
        <f>LOOKUP(2, 1/('OB History S2'!$B:$B=A39), 'OB History S2'!$AC:$AC)</f>
        <v>0.50928571428571423</v>
      </c>
      <c r="T39" s="2">
        <f>COUNTIFS('OB History S2'!$B:$B,$A$39,'OB History S2'!K:K, 1)</f>
        <v>3</v>
      </c>
      <c r="U39" s="2">
        <f>COUNTIFS('OB History S2'!$B:$B,$A$39,'OB History S2'!L:L, 1)</f>
        <v>2</v>
      </c>
      <c r="V39" s="2">
        <f>COUNTIFS('OB History S2'!$B:$B,$A$39,'OB History S2'!M:M, 1)</f>
        <v>4</v>
      </c>
      <c r="W39" s="2">
        <f>COUNTIFS('OB History S2'!$B:$B,$A$39,'OB History S2'!N:N, 1)</f>
        <v>3</v>
      </c>
      <c r="X39" s="2">
        <f>COUNTIFS('OB History S2'!$B:$B,$A$39,'OB History S2'!O:O, 1)</f>
        <v>2</v>
      </c>
      <c r="Y39" s="2">
        <f>COUNTIFS('OB History S2'!$B:$B,$A$39,'OB History S2'!P:P, 1)</f>
        <v>2</v>
      </c>
      <c r="Z39" s="2">
        <f>COUNTIFS('OB History S2'!$B:$B,$A$39,'OB History S2'!Q:Q, 1)</f>
        <v>2</v>
      </c>
      <c r="AA39" s="2">
        <f>COUNTIFS('OB History S2'!$B:$B,$A$39,'OB History S2'!R:R, 1)</f>
        <v>0</v>
      </c>
      <c r="AB39" s="2">
        <f>COUNTIFS('OB History S2'!$B:$B,$A$39,'OB History S2'!S:S, 1)</f>
        <v>1</v>
      </c>
      <c r="AC39" s="2">
        <f>COUNTIFS('OB History S2'!$B:$B,$A$39,'OB History S2'!T:T, 1)</f>
        <v>0</v>
      </c>
      <c r="AD39" s="2">
        <f>COUNTIFS('OB History S2'!$B:$B,$A$39,'OB History S2'!U:U, 1)</f>
        <v>0</v>
      </c>
      <c r="AE39" s="2">
        <f>COUNTIFS('OB History S2'!$B:$B,$A$39,'OB History S2'!V:V, 1)</f>
        <v>0</v>
      </c>
      <c r="AF39" s="2">
        <f>COUNTIFS('OB History S2'!$B:$B,$A$39,'OB History S2'!W:W, 1)</f>
        <v>1</v>
      </c>
      <c r="AG39" s="2">
        <f>COUNTIFS('OB History S2'!$B:$B,$A$39,'OB History S2'!X:X, 1)</f>
        <v>5</v>
      </c>
      <c r="AH39" s="2">
        <f>COUNTIFS('OB History S2'!$B:$B,$A$39,'OB History S2'!Y:Y, 1)</f>
        <v>4</v>
      </c>
      <c r="AI39" s="2">
        <f>COUNTIFS('OB History S2'!$B:$B,$A$39,'OB History S2'!Z:Z, 1)</f>
        <v>4</v>
      </c>
    </row>
    <row r="40" spans="1:35" x14ac:dyDescent="0.25">
      <c r="A40" s="2" t="s">
        <v>147</v>
      </c>
      <c r="B40" s="2" t="s">
        <v>79</v>
      </c>
      <c r="C40" s="2" t="s">
        <v>79</v>
      </c>
      <c r="D40" s="3"/>
      <c r="E40" s="2"/>
      <c r="F40" s="2"/>
      <c r="G40" s="2"/>
      <c r="H40" s="34">
        <f>SUMIFS('OB History S2'!C:C,'OB History S2'!B:B,A40)</f>
        <v>156</v>
      </c>
      <c r="I40" s="4">
        <f>AVERAGEIFS('OB History S2'!C:C,'OB History S2'!B:B,A40)</f>
        <v>17.333333333333332</v>
      </c>
      <c r="J40" s="35">
        <f t="array" ref="J40">MAX(IF('OB History S2'!B:B=A40, 'OB History S2'!C:C))</f>
        <v>35</v>
      </c>
      <c r="K40" s="34">
        <f>COUNTIFS('OB History S2'!B:B,A40,'OB History S2'!D:D, 1)</f>
        <v>4</v>
      </c>
      <c r="L40" s="2">
        <f>COUNTIFS('OB History S2'!B:B,A40,'OB History S2'!D:D, 0)</f>
        <v>5</v>
      </c>
      <c r="M40" s="88">
        <f>LOOKUP(2, 1/('OB History S2'!$B:$B=A40), 'OB History S2'!$AD:$AD)</f>
        <v>0.44444444444444442</v>
      </c>
      <c r="N40" s="34">
        <f>SUMIFS('OB History S2'!F:F,'OB History S2'!B:B,A40)</f>
        <v>14</v>
      </c>
      <c r="O40" s="2">
        <f>SUMIFS('OB History S2'!E:E,'OB History S2'!B:B,A40)-N40</f>
        <v>19</v>
      </c>
      <c r="P40" s="88">
        <f>LOOKUP(2, 1/('OB History S2'!$B:$B=A40), 'OB History S2'!$AB:$AB)</f>
        <v>0.3888888888888889</v>
      </c>
      <c r="Q40" s="34">
        <f>SUMIFS('OB History S2'!H:H,'OB History S2'!B:B,A40)</f>
        <v>65</v>
      </c>
      <c r="R40" s="2">
        <f>SUMIFS('OB History S2'!G:G,'OB History S2'!B:B,A40)-Q40</f>
        <v>74</v>
      </c>
      <c r="S40" s="88">
        <f>LOOKUP(2, 1/('OB History S2'!$B:$B=A40), 'OB History S2'!$AC:$AC)</f>
        <v>0.44999999999999996</v>
      </c>
      <c r="T40" s="2">
        <f>COUNTIFS('OB History S2'!$B:$B,$A$40,'OB History S2'!K:K, 1)</f>
        <v>2</v>
      </c>
      <c r="U40" s="2">
        <f>COUNTIFS('OB History S2'!$B:$B,$A$40,'OB History S2'!L:L, 1)</f>
        <v>1</v>
      </c>
      <c r="V40" s="2">
        <f>COUNTIFS('OB History S2'!$B:$B,$A$40,'OB History S2'!M:M, 1)</f>
        <v>2</v>
      </c>
      <c r="W40" s="2">
        <f>COUNTIFS('OB History S2'!$B:$B,$A$40,'OB History S2'!N:N, 1)</f>
        <v>2</v>
      </c>
      <c r="X40" s="2">
        <f>COUNTIFS('OB History S2'!$B:$B,$A$40,'OB History S2'!O:O, 1)</f>
        <v>1</v>
      </c>
      <c r="Y40" s="2">
        <f>COUNTIFS('OB History S2'!$B:$B,$A$40,'OB History S2'!P:P, 1)</f>
        <v>1</v>
      </c>
      <c r="Z40" s="2">
        <f>COUNTIFS('OB History S2'!$B:$B,$A$40,'OB History S2'!Q:Q, 1)</f>
        <v>1</v>
      </c>
      <c r="AA40" s="2">
        <f>COUNTIFS('OB History S2'!$B:$B,$A$40,'OB History S2'!R:R, 1)</f>
        <v>0</v>
      </c>
      <c r="AB40" s="2">
        <f>COUNTIFS('OB History S2'!$B:$B,$A$40,'OB History S2'!S:S, 1)</f>
        <v>1</v>
      </c>
      <c r="AC40" s="2">
        <f>COUNTIFS('OB History S2'!$B:$B,$A$40,'OB History S2'!T:T, 1)</f>
        <v>0</v>
      </c>
      <c r="AD40" s="2">
        <f>COUNTIFS('OB History S2'!$B:$B,$A$40,'OB History S2'!U:U, 1)</f>
        <v>0</v>
      </c>
      <c r="AE40" s="2">
        <f>COUNTIFS('OB History S2'!$B:$B,$A$40,'OB History S2'!V:V, 1)</f>
        <v>0</v>
      </c>
      <c r="AF40" s="2">
        <f>COUNTIFS('OB History S2'!$B:$B,$A$40,'OB History S2'!W:W, 1)</f>
        <v>0</v>
      </c>
      <c r="AG40" s="2">
        <f>COUNTIFS('OB History S2'!$B:$B,$A$40,'OB History S2'!X:X, 1)</f>
        <v>1</v>
      </c>
      <c r="AH40" s="2">
        <f>COUNTIFS('OB History S2'!$B:$B,$A$40,'OB History S2'!Y:Y, 1)</f>
        <v>1</v>
      </c>
      <c r="AI40" s="2">
        <f>COUNTIFS('OB History S2'!$B:$B,$A$40,'OB History S2'!Z:Z, 1)</f>
        <v>1</v>
      </c>
    </row>
    <row r="41" spans="1:35" x14ac:dyDescent="0.25">
      <c r="A41" s="2" t="s">
        <v>17</v>
      </c>
      <c r="B41" s="2" t="s">
        <v>79</v>
      </c>
      <c r="C41" s="2" t="s">
        <v>79</v>
      </c>
      <c r="D41" s="3">
        <v>13</v>
      </c>
      <c r="E41" s="2">
        <v>3</v>
      </c>
      <c r="F41" s="2"/>
      <c r="G41" s="2"/>
      <c r="H41" s="34">
        <f>SUMIFS('OB History S2'!C:C,'OB History S2'!B:B,A41)</f>
        <v>632</v>
      </c>
      <c r="I41" s="4">
        <f>AVERAGEIFS('OB History S2'!C:C,'OB History S2'!B:B,A41)</f>
        <v>22.571428571428573</v>
      </c>
      <c r="J41" s="35">
        <f t="array" ref="J41">MAX(IF('OB History S2'!B:B=A41, 'OB History S2'!C:C))</f>
        <v>58</v>
      </c>
      <c r="K41" s="34">
        <f>COUNTIFS('OB History S2'!B:B,A41,'OB History S2'!D:D, 1)</f>
        <v>12</v>
      </c>
      <c r="L41" s="2">
        <f>COUNTIFS('OB History S2'!B:B,A41,'OB History S2'!D:D, 0)</f>
        <v>16</v>
      </c>
      <c r="M41" s="88">
        <f>LOOKUP(2, 1/('OB History S2'!$B:$B=A41), 'OB History S2'!$AD:$AD)</f>
        <v>0.42857142857142855</v>
      </c>
      <c r="N41" s="34">
        <f>SUMIFS('OB History S2'!F:F,'OB History S2'!B:B,A41)</f>
        <v>46</v>
      </c>
      <c r="O41" s="2">
        <f>SUMIFS('OB History S2'!E:E,'OB History S2'!B:B,A41)-N41</f>
        <v>62</v>
      </c>
      <c r="P41" s="88">
        <f>LOOKUP(2, 1/('OB History S2'!$B:$B=A41), 'OB History S2'!$AB:$AB)</f>
        <v>0.40714285714285714</v>
      </c>
      <c r="Q41" s="34">
        <f>SUMIFS('OB History S2'!H:H,'OB History S2'!B:B,A41)</f>
        <v>213</v>
      </c>
      <c r="R41" s="2">
        <f>SUMIFS('OB History S2'!G:G,'OB History S2'!B:B,A41)-Q41</f>
        <v>233</v>
      </c>
      <c r="S41" s="88">
        <f>LOOKUP(2, 1/('OB History S2'!$B:$B=A41), 'OB History S2'!$AC:$AC)</f>
        <v>0.47214285714285703</v>
      </c>
      <c r="T41" s="2">
        <f>COUNTIFS('OB History S2'!$B:$B,$A$41,'OB History S2'!K:K, 1)</f>
        <v>1</v>
      </c>
      <c r="U41" s="2">
        <f>COUNTIFS('OB History S2'!$B:$B,$A$41,'OB History S2'!L:L, 1)</f>
        <v>5</v>
      </c>
      <c r="V41" s="2">
        <f>COUNTIFS('OB History S2'!$B:$B,$A$41,'OB History S2'!M:M, 1)</f>
        <v>1</v>
      </c>
      <c r="W41" s="2">
        <f>COUNTIFS('OB History S2'!$B:$B,$A$41,'OB History S2'!N:N, 1)</f>
        <v>3</v>
      </c>
      <c r="X41" s="2">
        <f>COUNTIFS('OB History S2'!$B:$B,$A$41,'OB History S2'!O:O, 1)</f>
        <v>1</v>
      </c>
      <c r="Y41" s="2">
        <f>COUNTIFS('OB History S2'!$B:$B,$A$41,'OB History S2'!P:P, 1)</f>
        <v>0</v>
      </c>
      <c r="Z41" s="2">
        <f>COUNTIFS('OB History S2'!$B:$B,$A$41,'OB History S2'!Q:Q, 1)</f>
        <v>3</v>
      </c>
      <c r="AA41" s="2">
        <f>COUNTIFS('OB History S2'!$B:$B,$A$41,'OB History S2'!R:R, 1)</f>
        <v>6</v>
      </c>
      <c r="AB41" s="2">
        <f>COUNTIFS('OB History S2'!$B:$B,$A$41,'OB History S2'!S:S, 1)</f>
        <v>0</v>
      </c>
      <c r="AC41" s="2">
        <f>COUNTIFS('OB History S2'!$B:$B,$A$41,'OB History S2'!T:T, 1)</f>
        <v>2</v>
      </c>
      <c r="AD41" s="2">
        <f>COUNTIFS('OB History S2'!$B:$B,$A$41,'OB History S2'!U:U, 1)</f>
        <v>0</v>
      </c>
      <c r="AE41" s="2">
        <f>COUNTIFS('OB History S2'!$B:$B,$A$41,'OB History S2'!V:V, 1)</f>
        <v>1</v>
      </c>
      <c r="AF41" s="2">
        <f>COUNTIFS('OB History S2'!$B:$B,$A$41,'OB History S2'!W:W, 1)</f>
        <v>1</v>
      </c>
      <c r="AG41" s="2">
        <f>COUNTIFS('OB History S2'!$B:$B,$A$41,'OB History S2'!X:X, 1)</f>
        <v>12</v>
      </c>
      <c r="AH41" s="2">
        <f>COUNTIFS('OB History S2'!$B:$B,$A$41,'OB History S2'!Y:Y, 1)</f>
        <v>3</v>
      </c>
      <c r="AI41" s="2">
        <f>COUNTIFS('OB History S2'!$B:$B,$A$41,'OB History S2'!Z:Z, 1)</f>
        <v>7</v>
      </c>
    </row>
    <row r="42" spans="1:35" x14ac:dyDescent="0.25">
      <c r="A42" s="2" t="s">
        <v>155</v>
      </c>
      <c r="B42" s="2" t="s">
        <v>60</v>
      </c>
      <c r="C42" s="2" t="s">
        <v>79</v>
      </c>
      <c r="D42" s="3">
        <v>8</v>
      </c>
      <c r="E42" s="3">
        <v>1</v>
      </c>
      <c r="F42" s="3"/>
      <c r="G42" s="3"/>
      <c r="H42" s="34">
        <f>SUMIFS('OB History S2'!C:C,'OB History S2'!B:B,A42)</f>
        <v>525</v>
      </c>
      <c r="I42" s="4">
        <f>AVERAGEIFS('OB History S2'!C:C,'OB History S2'!B:B,A42)</f>
        <v>18.103448275862068</v>
      </c>
      <c r="J42" s="35">
        <f t="array" ref="J42">MAX(IF('OB History S2'!B:B=A42, 'OB History S2'!C:C))</f>
        <v>43</v>
      </c>
      <c r="K42" s="34">
        <f>COUNTIFS('OB History S2'!B:B,A42,'OB History S2'!D:D, 1)</f>
        <v>9</v>
      </c>
      <c r="L42" s="2">
        <f>COUNTIFS('OB History S2'!B:B,A42,'OB History S2'!D:D, 0)</f>
        <v>20</v>
      </c>
      <c r="M42" s="88">
        <f>LOOKUP(2, 1/('OB History S2'!$B:$B=A42), 'OB History S2'!$AD:$AD)</f>
        <v>0.31034482758620691</v>
      </c>
      <c r="N42" s="34">
        <f>SUMIFS('OB History S2'!F:F,'OB History S2'!B:B,A42)</f>
        <v>47</v>
      </c>
      <c r="O42" s="2">
        <f>SUMIFS('OB History S2'!E:E,'OB History S2'!B:B,A42)-N42</f>
        <v>72</v>
      </c>
      <c r="P42" s="88">
        <f>LOOKUP(2, 1/('OB History S2'!$B:$B=A42), 'OB History S2'!$AB:$AB)</f>
        <v>0.37413793103448273</v>
      </c>
      <c r="Q42" s="34">
        <f>SUMIFS('OB History S2'!H:H,'OB History S2'!B:B,A42)</f>
        <v>228</v>
      </c>
      <c r="R42" s="2">
        <f>SUMIFS('OB History S2'!G:G,'OB History S2'!B:B,A42)-Q42</f>
        <v>258</v>
      </c>
      <c r="S42" s="88">
        <f>LOOKUP(2, 1/('OB History S2'!$B:$B=A42), 'OB History S2'!$AC:$AC)</f>
        <v>0.45758620689655183</v>
      </c>
      <c r="T42" s="2">
        <f>COUNTIFS('OB History S2'!$B:$B,$A$42,'OB History S2'!K:K, 1)</f>
        <v>3</v>
      </c>
      <c r="U42" s="2">
        <f>COUNTIFS('OB History S2'!$B:$B,$A$42,'OB History S2'!L:L, 1)</f>
        <v>3</v>
      </c>
      <c r="V42" s="2">
        <f>COUNTIFS('OB History S2'!$B:$B,$A$42,'OB History S2'!M:M, 1)</f>
        <v>2</v>
      </c>
      <c r="W42" s="2">
        <f>COUNTIFS('OB History S2'!$B:$B,$A$42,'OB History S2'!N:N, 1)</f>
        <v>8</v>
      </c>
      <c r="X42" s="2">
        <f>COUNTIFS('OB History S2'!$B:$B,$A$42,'OB History S2'!O:O, 1)</f>
        <v>3</v>
      </c>
      <c r="Y42" s="2">
        <f>COUNTIFS('OB History S2'!$B:$B,$A$42,'OB History S2'!P:P, 1)</f>
        <v>5</v>
      </c>
      <c r="Z42" s="2">
        <f>COUNTIFS('OB History S2'!$B:$B,$A$42,'OB History S2'!Q:Q, 1)</f>
        <v>1</v>
      </c>
      <c r="AA42" s="2">
        <f>COUNTIFS('OB History S2'!$B:$B,$A$42,'OB History S2'!R:R, 1)</f>
        <v>1</v>
      </c>
      <c r="AB42" s="2">
        <f>COUNTIFS('OB History S2'!$B:$B,$A$42,'OB History S2'!S:S, 1)</f>
        <v>1</v>
      </c>
      <c r="AC42" s="2">
        <f>COUNTIFS('OB History S2'!$B:$B,$A$42,'OB History S2'!T:T, 1)</f>
        <v>3</v>
      </c>
      <c r="AD42" s="2">
        <f>COUNTIFS('OB History S2'!$B:$B,$A$42,'OB History S2'!U:U, 1)</f>
        <v>0</v>
      </c>
      <c r="AE42" s="2">
        <f>COUNTIFS('OB History S2'!$B:$B,$A$42,'OB History S2'!V:V, 1)</f>
        <v>1</v>
      </c>
      <c r="AF42" s="2">
        <f>COUNTIFS('OB History S2'!$B:$B,$A$42,'OB History S2'!W:W, 1)</f>
        <v>3</v>
      </c>
      <c r="AG42" s="2">
        <f>COUNTIFS('OB History S2'!$B:$B,$A$42,'OB History S2'!X:X, 1)</f>
        <v>5</v>
      </c>
      <c r="AH42" s="2">
        <f>COUNTIFS('OB History S2'!$B:$B,$A$42,'OB History S2'!Y:Y, 1)</f>
        <v>5</v>
      </c>
      <c r="AI42" s="2">
        <f>COUNTIFS('OB History S2'!$B:$B,$A$42,'OB History S2'!Z:Z, 1)</f>
        <v>3</v>
      </c>
    </row>
    <row r="43" spans="1:35" x14ac:dyDescent="0.25">
      <c r="A43" s="2" t="s">
        <v>6</v>
      </c>
      <c r="B43" s="2" t="s">
        <v>60</v>
      </c>
      <c r="C43" s="2" t="s">
        <v>79</v>
      </c>
      <c r="D43" s="3">
        <v>1</v>
      </c>
      <c r="E43" s="2">
        <v>1</v>
      </c>
      <c r="F43" s="2"/>
      <c r="G43" s="2"/>
      <c r="H43" s="34">
        <f>SUMIFS('OB History S2'!C:C,'OB History S2'!B:B,A43)</f>
        <v>365</v>
      </c>
      <c r="I43" s="4">
        <f>AVERAGEIFS('OB History S2'!C:C,'OB History S2'!B:B,A43)</f>
        <v>26.071428571428573</v>
      </c>
      <c r="J43" s="35">
        <f t="array" ref="J43">MAX(IF('OB History S2'!B:B=A43, 'OB History S2'!C:C))</f>
        <v>66</v>
      </c>
      <c r="K43" s="34">
        <f>COUNTIFS('OB History S2'!B:B,A43,'OB History S2'!D:D, 1)</f>
        <v>9</v>
      </c>
      <c r="L43" s="2">
        <f>COUNTIFS('OB History S2'!B:B,A43,'OB History S2'!D:D, 0)</f>
        <v>5</v>
      </c>
      <c r="M43" s="88">
        <f>LOOKUP(2, 1/('OB History S2'!$B:$B=A43), 'OB History S2'!$AD:$AD)</f>
        <v>0.6428571428571429</v>
      </c>
      <c r="N43" s="34">
        <f>SUMIFS('OB History S2'!F:F,'OB History S2'!B:B,A43)</f>
        <v>34</v>
      </c>
      <c r="O43" s="2">
        <f>SUMIFS('OB History S2'!E:E,'OB History S2'!B:B,A43)-N43</f>
        <v>22</v>
      </c>
      <c r="P43" s="88">
        <f>LOOKUP(2, 1/('OB History S2'!$B:$B=A43), 'OB History S2'!$AB:$AB)</f>
        <v>0.63571428571428557</v>
      </c>
      <c r="Q43" s="34">
        <f>SUMIFS('OB History S2'!H:H,'OB History S2'!B:B,A43)</f>
        <v>133</v>
      </c>
      <c r="R43" s="2">
        <f>SUMIFS('OB History S2'!G:G,'OB History S2'!B:B,A43)-Q43</f>
        <v>102</v>
      </c>
      <c r="S43" s="88">
        <f>LOOKUP(2, 1/('OB History S2'!$B:$B=A43), 'OB History S2'!$AC:$AC)</f>
        <v>0.57785714285714285</v>
      </c>
      <c r="T43" s="2">
        <f>COUNTIFS('OB History S2'!$B:$B,$A$43,'OB History S2'!K:K, 1)</f>
        <v>2</v>
      </c>
      <c r="U43" s="2">
        <f>COUNTIFS('OB History S2'!$B:$B,$A$43,'OB History S2'!L:L, 1)</f>
        <v>3</v>
      </c>
      <c r="V43" s="2">
        <f>COUNTIFS('OB History S2'!$B:$B,$A$43,'OB History S2'!M:M, 1)</f>
        <v>5</v>
      </c>
      <c r="W43" s="2">
        <f>COUNTIFS('OB History S2'!$B:$B,$A$43,'OB History S2'!N:N, 1)</f>
        <v>4</v>
      </c>
      <c r="X43" s="2">
        <f>COUNTIFS('OB History S2'!$B:$B,$A$43,'OB History S2'!O:O, 1)</f>
        <v>2</v>
      </c>
      <c r="Y43" s="2">
        <f>COUNTIFS('OB History S2'!$B:$B,$A$43,'OB History S2'!P:P, 1)</f>
        <v>2</v>
      </c>
      <c r="Z43" s="2">
        <f>COUNTIFS('OB History S2'!$B:$B,$A$43,'OB History S2'!Q:Q, 1)</f>
        <v>3</v>
      </c>
      <c r="AA43" s="2">
        <f>COUNTIFS('OB History S2'!$B:$B,$A$43,'OB History S2'!R:R, 1)</f>
        <v>0</v>
      </c>
      <c r="AB43" s="2">
        <f>COUNTIFS('OB History S2'!$B:$B,$A$43,'OB History S2'!S:S, 1)</f>
        <v>1</v>
      </c>
      <c r="AC43" s="2">
        <f>COUNTIFS('OB History S2'!$B:$B,$A$43,'OB History S2'!T:T, 1)</f>
        <v>2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1</v>
      </c>
      <c r="AG43" s="2">
        <f>COUNTIFS('OB History S2'!$B:$B,$A$43,'OB History S2'!X:X, 1)</f>
        <v>2</v>
      </c>
      <c r="AH43" s="2">
        <f>COUNTIFS('OB History S2'!$B:$B,$A$43,'OB History S2'!Y:Y, 1)</f>
        <v>4</v>
      </c>
      <c r="AI43" s="2">
        <f>COUNTIFS('OB History S2'!$B:$B,$A$43,'OB History S2'!Z:Z, 1)</f>
        <v>3</v>
      </c>
    </row>
    <row r="44" spans="1:35" x14ac:dyDescent="0.25">
      <c r="A44" s="2" t="s">
        <v>18</v>
      </c>
      <c r="B44" s="2" t="s">
        <v>60</v>
      </c>
      <c r="C44" s="2" t="s">
        <v>79</v>
      </c>
      <c r="D44" s="3">
        <v>6</v>
      </c>
      <c r="E44" s="2">
        <v>4</v>
      </c>
      <c r="F44" s="2"/>
      <c r="G44" s="2">
        <v>1</v>
      </c>
      <c r="H44" s="34">
        <f>SUMIFS('OB History S2'!C:C,'OB History S2'!B:B,A44)</f>
        <v>490</v>
      </c>
      <c r="I44" s="4">
        <f>AVERAGEIFS('OB History S2'!C:C,'OB History S2'!B:B,A44)</f>
        <v>28.823529411764707</v>
      </c>
      <c r="J44" s="35">
        <f t="array" ref="J44">MAX(IF('OB History S2'!B:B=A44, 'OB History S2'!C:C))</f>
        <v>58</v>
      </c>
      <c r="K44" s="34">
        <f>COUNTIFS('OB History S2'!B:B,A44,'OB History S2'!D:D, 1)</f>
        <v>10</v>
      </c>
      <c r="L44" s="2">
        <f>COUNTIFS('OB History S2'!B:B,A44,'OB History S2'!D:D, 0)</f>
        <v>7</v>
      </c>
      <c r="M44" s="88">
        <f>LOOKUP(2, 1/('OB History S2'!$B:$B=A44), 'OB History S2'!$AD:$AD)</f>
        <v>0.58823529411764708</v>
      </c>
      <c r="N44" s="34">
        <f>SUMIFS('OB History S2'!F:F,'OB History S2'!B:B,A44)</f>
        <v>37</v>
      </c>
      <c r="O44" s="2">
        <f>SUMIFS('OB History S2'!E:E,'OB History S2'!B:B,A44)-N44</f>
        <v>31</v>
      </c>
      <c r="P44" s="88">
        <f>LOOKUP(2, 1/('OB History S2'!$B:$B=A44), 'OB History S2'!$AB:$AB)</f>
        <v>0.54411764705882348</v>
      </c>
      <c r="Q44" s="34">
        <f>SUMIFS('OB History S2'!H:H,'OB History S2'!B:B,A44)</f>
        <v>146</v>
      </c>
      <c r="R44" s="2">
        <f>SUMIFS('OB History S2'!G:G,'OB History S2'!B:B,A44)-Q44</f>
        <v>135</v>
      </c>
      <c r="S44" s="88">
        <f>LOOKUP(2, 1/('OB History S2'!$B:$B=A44), 'OB History S2'!$AC:$AC)</f>
        <v>0.52588235294117658</v>
      </c>
      <c r="T44" s="2">
        <f>COUNTIFS('OB History S2'!$B:$B,$A$44,'OB History S2'!K:K, 1)</f>
        <v>3</v>
      </c>
      <c r="U44" s="2">
        <f>COUNTIFS('OB History S2'!$B:$B,$A$44,'OB History S2'!L:L, 1)</f>
        <v>3</v>
      </c>
      <c r="V44" s="2">
        <f>COUNTIFS('OB History S2'!$B:$B,$A$44,'OB History S2'!M:M, 1)</f>
        <v>1</v>
      </c>
      <c r="W44" s="2">
        <f>COUNTIFS('OB History S2'!$B:$B,$A$44,'OB History S2'!N:N, 1)</f>
        <v>5</v>
      </c>
      <c r="X44" s="2">
        <f>COUNTIFS('OB History S2'!$B:$B,$A$44,'OB History S2'!O:O, 1)</f>
        <v>2</v>
      </c>
      <c r="Y44" s="2">
        <f>COUNTIFS('OB History S2'!$B:$B,$A$44,'OB History S2'!P:P, 1)</f>
        <v>4</v>
      </c>
      <c r="Z44" s="2">
        <f>COUNTIFS('OB History S2'!$B:$B,$A$44,'OB History S2'!Q:Q, 1)</f>
        <v>2</v>
      </c>
      <c r="AA44" s="2">
        <f>COUNTIFS('OB History S2'!$B:$B,$A$44,'OB History S2'!R:R, 1)</f>
        <v>1</v>
      </c>
      <c r="AB44" s="2">
        <f>COUNTIFS('OB History S2'!$B:$B,$A$44,'OB History S2'!S:S, 1)</f>
        <v>0</v>
      </c>
      <c r="AC44" s="2">
        <f>COUNTIFS('OB History S2'!$B:$B,$A$44,'OB History S2'!T:T, 1)</f>
        <v>0</v>
      </c>
      <c r="AD44" s="2">
        <f>COUNTIFS('OB History S2'!$B:$B,$A$44,'OB History S2'!U:U, 1)</f>
        <v>1</v>
      </c>
      <c r="AE44" s="2">
        <f>COUNTIFS('OB History S2'!$B:$B,$A$44,'OB History S2'!V:V, 1)</f>
        <v>0</v>
      </c>
      <c r="AF44" s="2">
        <f>COUNTIFS('OB History S2'!$B:$B,$A$44,'OB History S2'!W:W, 1)</f>
        <v>3</v>
      </c>
      <c r="AG44" s="2">
        <f>COUNTIFS('OB History S2'!$B:$B,$A$44,'OB History S2'!X:X, 1)</f>
        <v>4</v>
      </c>
      <c r="AH44" s="2">
        <f>COUNTIFS('OB History S2'!$B:$B,$A$44,'OB History S2'!Y:Y, 1)</f>
        <v>4</v>
      </c>
      <c r="AI44" s="2">
        <f>COUNTIFS('OB History S2'!$B:$B,$A$44,'OB History S2'!Z:Z, 1)</f>
        <v>4</v>
      </c>
    </row>
    <row r="45" spans="1:35" x14ac:dyDescent="0.25">
      <c r="A45" s="2" t="s">
        <v>113</v>
      </c>
      <c r="B45" s="2" t="s">
        <v>79</v>
      </c>
      <c r="C45" s="2" t="s">
        <v>79</v>
      </c>
      <c r="D45" s="3">
        <v>1</v>
      </c>
      <c r="E45" s="2"/>
      <c r="F45" s="2"/>
      <c r="G45" s="2"/>
      <c r="H45" s="34">
        <f>SUMIFS('OB History S2'!C:C,'OB History S2'!B:B,A45)</f>
        <v>297</v>
      </c>
      <c r="I45" s="4">
        <f>AVERAGEIFS('OB History S2'!C:C,'OB History S2'!B:B,A45)</f>
        <v>21.214285714285715</v>
      </c>
      <c r="J45" s="35">
        <f t="array" ref="J45">MAX(IF('OB History S2'!B:B=A45, 'OB History S2'!C:C))</f>
        <v>50</v>
      </c>
      <c r="K45" s="34">
        <f>COUNTIFS('OB History S2'!B:B,A45,'OB History S2'!D:D, 1)</f>
        <v>9</v>
      </c>
      <c r="L45" s="2">
        <f>COUNTIFS('OB History S2'!B:B,A45,'OB History S2'!D:D, 0)</f>
        <v>5</v>
      </c>
      <c r="M45" s="88">
        <f>LOOKUP(2, 1/('OB History S2'!$B:$B=A45), 'OB History S2'!$AD:$AD)</f>
        <v>0.6428571428571429</v>
      </c>
      <c r="N45" s="34">
        <f>SUMIFS('OB History S2'!F:F,'OB History S2'!B:B,A45)</f>
        <v>30</v>
      </c>
      <c r="O45" s="2">
        <f>SUMIFS('OB History S2'!E:E,'OB History S2'!B:B,A45)-N45</f>
        <v>22</v>
      </c>
      <c r="P45" s="88">
        <f>LOOKUP(2, 1/('OB History S2'!$B:$B=A45), 'OB History S2'!$AB:$AB)</f>
        <v>0.57857142857142851</v>
      </c>
      <c r="Q45" s="34">
        <f>SUMIFS('OB History S2'!H:H,'OB History S2'!B:B,A45)</f>
        <v>114</v>
      </c>
      <c r="R45" s="2">
        <f>SUMIFS('OB History S2'!G:G,'OB History S2'!B:B,A45)-Q45</f>
        <v>103</v>
      </c>
      <c r="S45" s="88">
        <f>LOOKUP(2, 1/('OB History S2'!$B:$B=A45), 'OB History S2'!$AC:$AC)</f>
        <v>0.52142857142857135</v>
      </c>
      <c r="T45" s="2">
        <f>COUNTIFS('OB History S2'!$B:$B,$A$45,'OB History S2'!K:K, 1)</f>
        <v>0</v>
      </c>
      <c r="U45" s="2">
        <f>COUNTIFS('OB History S2'!$B:$B,$A$45,'OB History S2'!L:L, 1)</f>
        <v>6</v>
      </c>
      <c r="V45" s="2">
        <f>COUNTIFS('OB History S2'!$B:$B,$A$45,'OB History S2'!M:M, 1)</f>
        <v>2</v>
      </c>
      <c r="W45" s="2">
        <f>COUNTIFS('OB History S2'!$B:$B,$A$45,'OB History S2'!N:N, 1)</f>
        <v>3</v>
      </c>
      <c r="X45" s="2">
        <f>COUNTIFS('OB History S2'!$B:$B,$A$45,'OB History S2'!O:O, 1)</f>
        <v>1</v>
      </c>
      <c r="Y45" s="2">
        <f>COUNTIFS('OB History S2'!$B:$B,$A$45,'OB History S2'!P:P, 1)</f>
        <v>2</v>
      </c>
      <c r="Z45" s="2">
        <f>COUNTIFS('OB History S2'!$B:$B,$A$45,'OB History S2'!Q:Q, 1)</f>
        <v>2</v>
      </c>
      <c r="AA45" s="2">
        <f>COUNTIFS('OB History S2'!$B:$B,$A$45,'OB History S2'!R:R, 1)</f>
        <v>0</v>
      </c>
      <c r="AB45" s="2">
        <f>COUNTIFS('OB History S2'!$B:$B,$A$45,'OB History S2'!S:S, 1)</f>
        <v>0</v>
      </c>
      <c r="AC45" s="2">
        <f>COUNTIFS('OB History S2'!$B:$B,$A$45,'OB History S2'!T:T, 1)</f>
        <v>0</v>
      </c>
      <c r="AD45" s="2">
        <f>COUNTIFS('OB History S2'!$B:$B,$A$45,'OB History S2'!U:U, 1)</f>
        <v>0</v>
      </c>
      <c r="AE45" s="2">
        <f>COUNTIFS('OB History S2'!$B:$B,$A$45,'OB History S2'!V:V, 1)</f>
        <v>1</v>
      </c>
      <c r="AF45" s="2">
        <f>COUNTIFS('OB History S2'!$B:$B,$A$45,'OB History S2'!W:W, 1)</f>
        <v>2</v>
      </c>
      <c r="AG45" s="2">
        <f>COUNTIFS('OB History S2'!$B:$B,$A$45,'OB History S2'!X:X, 1)</f>
        <v>4</v>
      </c>
      <c r="AH45" s="2">
        <f>COUNTIFS('OB History S2'!$B:$B,$A$45,'OB History S2'!Y:Y, 1)</f>
        <v>3</v>
      </c>
      <c r="AI45" s="2">
        <f>COUNTIFS('OB History S2'!$B:$B,$A$45,'OB History S2'!Z:Z, 1)</f>
        <v>4</v>
      </c>
    </row>
    <row r="46" spans="1:35" x14ac:dyDescent="0.25">
      <c r="A46" s="2" t="s">
        <v>169</v>
      </c>
      <c r="B46" s="2" t="s">
        <v>79</v>
      </c>
      <c r="C46" s="2" t="s">
        <v>79</v>
      </c>
      <c r="D46" s="3"/>
      <c r="E46" s="2"/>
      <c r="F46" s="2"/>
      <c r="G46" s="2"/>
      <c r="H46" s="34">
        <f>SUMIFS('OB History S2'!C:C,'OB History S2'!B:B,A46)</f>
        <v>2</v>
      </c>
      <c r="I46" s="4">
        <f>AVERAGEIFS('OB History S2'!C:C,'OB History S2'!B:B,A46)</f>
        <v>2</v>
      </c>
      <c r="J46" s="35">
        <f t="array" ref="J46">MAX(IF('OB History S2'!B:B=A46, 'OB History S2'!C:C))</f>
        <v>2</v>
      </c>
      <c r="K46" s="34">
        <f>COUNTIFS('OB History S2'!B:B,A46,'OB History S2'!D:D, 1)</f>
        <v>0</v>
      </c>
      <c r="L46" s="2">
        <f>COUNTIFS('OB History S2'!B:B,A46,'OB History S2'!D:D, 0)</f>
        <v>1</v>
      </c>
      <c r="M46" s="88">
        <f>LOOKUP(2, 1/('OB History S2'!$B:$B=A46), 'OB History S2'!$AD:$AD)</f>
        <v>0</v>
      </c>
      <c r="N46" s="34">
        <f>SUMIFS('OB History S2'!F:F,'OB History S2'!B:B,A46)</f>
        <v>2</v>
      </c>
      <c r="O46" s="2">
        <f>SUMIFS('OB History S2'!E:E,'OB History S2'!B:B,A46)-N46</f>
        <v>3</v>
      </c>
      <c r="P46" s="88">
        <f>LOOKUP(2, 1/('OB History S2'!$B:$B=A46), 'OB History S2'!$AB:$AB)</f>
        <v>0.4</v>
      </c>
      <c r="Q46" s="34">
        <f>SUMIFS('OB History S2'!H:H,'OB History S2'!B:B,A46)</f>
        <v>6</v>
      </c>
      <c r="R46" s="2">
        <f>SUMIFS('OB History S2'!G:G,'OB History S2'!B:B,A46)-Q46</f>
        <v>14</v>
      </c>
      <c r="S46" s="88">
        <f>LOOKUP(2, 1/('OB History S2'!$B:$B=A46), 'OB History S2'!$AC:$AC)</f>
        <v>0.3</v>
      </c>
      <c r="T46" s="2">
        <f>COUNTIFS('OB History S2'!$B:$B,$A$46,'OB History S2'!K:K, 1)</f>
        <v>0</v>
      </c>
      <c r="U46" s="2">
        <f>COUNTIFS('OB History S2'!$B:$B,$A$46,'OB History S2'!L:L, 1)</f>
        <v>0</v>
      </c>
      <c r="V46" s="2">
        <f>COUNTIFS('OB History S2'!$B:$B,$A$46,'OB History S2'!M:M, 1)</f>
        <v>0</v>
      </c>
      <c r="W46" s="2">
        <f>COUNTIFS('OB History S2'!$B:$B,$A$46,'OB History S2'!N:N, 1)</f>
        <v>0</v>
      </c>
      <c r="X46" s="2">
        <f>COUNTIFS('OB History S2'!$B:$B,$A$46,'OB History S2'!O:O, 1)</f>
        <v>0</v>
      </c>
      <c r="Y46" s="2">
        <f>COUNTIFS('OB History S2'!$B:$B,$A$46,'OB History S2'!P:P, 1)</f>
        <v>0</v>
      </c>
      <c r="Z46" s="2">
        <f>COUNTIFS('OB History S2'!$B:$B,$A$46,'OB History S2'!Q:Q, 1)</f>
        <v>0</v>
      </c>
      <c r="AA46" s="2">
        <f>COUNTIFS('OB History S2'!$B:$B,$A$46,'OB History S2'!R:R, 1)</f>
        <v>0</v>
      </c>
      <c r="AB46" s="2">
        <f>COUNTIFS('OB History S2'!$B:$B,$A$46,'OB History S2'!S:S, 1)</f>
        <v>0</v>
      </c>
      <c r="AC46" s="2">
        <f>COUNTIFS('OB History S2'!$B:$B,$A$46,'OB History S2'!T:T, 1)</f>
        <v>0</v>
      </c>
      <c r="AD46" s="2">
        <f>COUNTIFS('OB History S2'!$B:$B,$A$46,'OB History S2'!U:U, 1)</f>
        <v>0</v>
      </c>
      <c r="AE46" s="2">
        <f>COUNTIFS('OB History S2'!$B:$B,$A$46,'OB History S2'!V:V, 1)</f>
        <v>0</v>
      </c>
      <c r="AF46" s="2">
        <f>COUNTIFS('OB History S2'!$B:$B,$A$46,'OB History S2'!W:W, 1)</f>
        <v>1</v>
      </c>
      <c r="AG46" s="2">
        <f>COUNTIFS('OB History S2'!$B:$B,$A$46,'OB History S2'!X:X, 1)</f>
        <v>0</v>
      </c>
      <c r="AH46" s="2">
        <f>COUNTIFS('OB History S2'!$B:$B,$A$46,'OB History S2'!Y:Y, 1)</f>
        <v>1</v>
      </c>
      <c r="AI46" s="2">
        <f>COUNTIFS('OB History S2'!$B:$B,$A$46,'OB History S2'!Z:Z, 1)</f>
        <v>0</v>
      </c>
    </row>
    <row r="47" spans="1:35" x14ac:dyDescent="0.25">
      <c r="A47" s="2" t="s">
        <v>14</v>
      </c>
      <c r="B47" s="6" t="s">
        <v>124</v>
      </c>
      <c r="C47" s="6" t="s">
        <v>124</v>
      </c>
      <c r="D47" s="3">
        <v>4</v>
      </c>
      <c r="E47" s="6">
        <v>1</v>
      </c>
      <c r="F47" s="6"/>
      <c r="G47" s="6"/>
      <c r="H47" s="34">
        <f>SUMIFS('OB History S2'!C:C,'OB History S2'!B:B,A47)</f>
        <v>460</v>
      </c>
      <c r="I47" s="4">
        <f>AVERAGEIFS('OB History S2'!C:C,'OB History S2'!B:B,A47)</f>
        <v>21.904761904761905</v>
      </c>
      <c r="J47" s="35">
        <f t="array" ref="J47">MAX(IF('OB History S2'!B:B=A47, 'OB History S2'!C:C))</f>
        <v>51</v>
      </c>
      <c r="K47" s="34">
        <f>COUNTIFS('OB History S2'!B:B,A47,'OB History S2'!D:D, 1)</f>
        <v>6</v>
      </c>
      <c r="L47" s="2">
        <f>COUNTIFS('OB History S2'!B:B,A47,'OB History S2'!D:D, 0)</f>
        <v>15</v>
      </c>
      <c r="M47" s="88">
        <f>LOOKUP(2, 1/('OB History S2'!$B:$B=A47), 'OB History S2'!$AD:$AD)</f>
        <v>0.2857142857142857</v>
      </c>
      <c r="N47" s="34">
        <f>SUMIFS('OB History S2'!F:F,'OB History S2'!B:B,A47)</f>
        <v>32</v>
      </c>
      <c r="O47" s="2">
        <f>SUMIFS('OB History S2'!E:E,'OB History S2'!B:B,A47)-N47</f>
        <v>51</v>
      </c>
      <c r="P47" s="88">
        <f>LOOKUP(2, 1/('OB History S2'!$B:$B=A47), 'OB History S2'!$AB:$AB)</f>
        <v>0.37142857142857144</v>
      </c>
      <c r="Q47" s="34">
        <f>SUMIFS('OB History S2'!H:H,'OB History S2'!B:B,A47)</f>
        <v>147</v>
      </c>
      <c r="R47" s="2">
        <f>SUMIFS('OB History S2'!G:G,'OB History S2'!B:B,A47)-Q47</f>
        <v>193</v>
      </c>
      <c r="S47" s="88">
        <f>LOOKUP(2, 1/('OB History S2'!$B:$B=A47), 'OB History S2'!$AC:$AC)</f>
        <v>0.43476190476190474</v>
      </c>
      <c r="T47" s="2">
        <f>COUNTIFS('OB History S2'!$B:$B,$A$47,'OB History S2'!K:K, 1)</f>
        <v>3</v>
      </c>
      <c r="U47" s="2">
        <f>COUNTIFS('OB History S2'!$B:$B,$A$47,'OB History S2'!L:L, 1)</f>
        <v>4</v>
      </c>
      <c r="V47" s="2">
        <f>COUNTIFS('OB History S2'!$B:$B,$A$47,'OB History S2'!M:M, 1)</f>
        <v>1</v>
      </c>
      <c r="W47" s="2">
        <f>COUNTIFS('OB History S2'!$B:$B,$A$47,'OB History S2'!N:N, 1)</f>
        <v>1</v>
      </c>
      <c r="X47" s="2">
        <f>COUNTIFS('OB History S2'!$B:$B,$A$47,'OB History S2'!O:O, 1)</f>
        <v>1</v>
      </c>
      <c r="Y47" s="2">
        <f>COUNTIFS('OB History S2'!$B:$B,$A$47,'OB History S2'!P:P, 1)</f>
        <v>1</v>
      </c>
      <c r="Z47" s="2">
        <f>COUNTIFS('OB History S2'!$B:$B,$A$47,'OB History S2'!Q:Q, 1)</f>
        <v>2</v>
      </c>
      <c r="AA47" s="2">
        <f>COUNTIFS('OB History S2'!$B:$B,$A$47,'OB History S2'!R:R, 1)</f>
        <v>0</v>
      </c>
      <c r="AB47" s="2">
        <f>COUNTIFS('OB History S2'!$B:$B,$A$47,'OB History S2'!S:S, 1)</f>
        <v>1</v>
      </c>
      <c r="AC47" s="2">
        <f>COUNTIFS('OB History S2'!$B:$B,$A$47,'OB History S2'!T:T, 1)</f>
        <v>0</v>
      </c>
      <c r="AD47" s="2">
        <f>COUNTIFS('OB History S2'!$B:$B,$A$47,'OB History S2'!U:U, 1)</f>
        <v>0</v>
      </c>
      <c r="AE47" s="2">
        <f>COUNTIFS('OB History S2'!$B:$B,$A$47,'OB History S2'!V:V, 1)</f>
        <v>0</v>
      </c>
      <c r="AF47" s="2">
        <f>COUNTIFS('OB History S2'!$B:$B,$A$47,'OB History S2'!W:W, 1)</f>
        <v>3</v>
      </c>
      <c r="AG47" s="2">
        <f>COUNTIFS('OB History S2'!$B:$B,$A$47,'OB History S2'!X:X, 1)</f>
        <v>9</v>
      </c>
      <c r="AH47" s="2">
        <f>COUNTIFS('OB History S2'!$B:$B,$A$47,'OB History S2'!Y:Y, 1)</f>
        <v>3</v>
      </c>
      <c r="AI47" s="2">
        <f>COUNTIFS('OB History S2'!$B:$B,$A$47,'OB History S2'!Z:Z, 1)</f>
        <v>3</v>
      </c>
    </row>
    <row r="48" spans="1:35" x14ac:dyDescent="0.25">
      <c r="A48" s="2" t="s">
        <v>70</v>
      </c>
      <c r="B48" s="6" t="s">
        <v>79</v>
      </c>
      <c r="C48" s="6" t="s">
        <v>79</v>
      </c>
      <c r="D48" s="3"/>
      <c r="E48" s="6"/>
      <c r="F48" s="6"/>
      <c r="G48" s="6"/>
      <c r="H48" s="34">
        <f>SUMIFS('OB History S2'!C:C,'OB History S2'!B:B,A48)</f>
        <v>53</v>
      </c>
      <c r="I48" s="4">
        <f>AVERAGEIFS('OB History S2'!C:C,'OB History S2'!B:B,A48)</f>
        <v>17.666666666666668</v>
      </c>
      <c r="J48" s="35">
        <f t="array" ref="J48">MAX(IF('OB History S2'!B:B=A48, 'OB History S2'!C:C))</f>
        <v>27</v>
      </c>
      <c r="K48" s="34">
        <f>COUNTIFS('OB History S2'!B:B,A48,'OB History S2'!D:D, 1)</f>
        <v>2</v>
      </c>
      <c r="L48" s="2">
        <f>COUNTIFS('OB History S2'!B:B,A48,'OB History S2'!D:D, 0)</f>
        <v>1</v>
      </c>
      <c r="M48" s="88">
        <f>LOOKUP(2, 1/('OB History S2'!$B:$B=A48), 'OB History S2'!$AD:$AD)</f>
        <v>0.66666666666666663</v>
      </c>
      <c r="N48" s="34">
        <f>SUMIFS('OB History S2'!F:F,'OB History S2'!B:B,A48)</f>
        <v>8</v>
      </c>
      <c r="O48" s="2">
        <f>SUMIFS('OB History S2'!E:E,'OB History S2'!B:B,A48)-N48</f>
        <v>5</v>
      </c>
      <c r="P48" s="88">
        <f>LOOKUP(2, 1/('OB History S2'!$B:$B=A48), 'OB History S2'!$AB:$AB)</f>
        <v>0.66666666666666663</v>
      </c>
      <c r="Q48" s="34">
        <f>SUMIFS('OB History S2'!H:H,'OB History S2'!B:B,A48)</f>
        <v>31</v>
      </c>
      <c r="R48" s="2">
        <f>SUMIFS('OB History S2'!G:G,'OB History S2'!B:B,A48)-Q48</f>
        <v>27</v>
      </c>
      <c r="S48" s="88">
        <f>LOOKUP(2, 1/('OB History S2'!$B:$B=A48), 'OB History S2'!$AC:$AC)</f>
        <v>0.54666666666666663</v>
      </c>
      <c r="T48" s="2">
        <f>COUNTIFS('OB History S2'!$B:$B,$A$48,'OB History S2'!K:K, 1)</f>
        <v>1</v>
      </c>
      <c r="U48" s="2">
        <f>COUNTIFS('OB History S2'!$B:$B,$A$48,'OB History S2'!L:L, 1)</f>
        <v>0</v>
      </c>
      <c r="V48" s="2">
        <f>COUNTIFS('OB History S2'!$B:$B,$A$48,'OB History S2'!M:M, 1)</f>
        <v>0</v>
      </c>
      <c r="W48" s="2">
        <f>COUNTIFS('OB History S2'!$B:$B,$A$48,'OB History S2'!N:N, 1)</f>
        <v>0</v>
      </c>
      <c r="X48" s="2">
        <f>COUNTIFS('OB History S2'!$B:$B,$A$48,'OB History S2'!O:O, 1)</f>
        <v>1</v>
      </c>
      <c r="Y48" s="2">
        <f>COUNTIFS('OB History S2'!$B:$B,$A$48,'OB History S2'!P:P, 1)</f>
        <v>0</v>
      </c>
      <c r="Z48" s="2">
        <f>COUNTIFS('OB History S2'!$B:$B,$A$48,'OB History S2'!Q:Q, 1)</f>
        <v>0</v>
      </c>
      <c r="AA48" s="2">
        <f>COUNTIFS('OB History S2'!$B:$B,$A$48,'OB History S2'!R:R, 1)</f>
        <v>1</v>
      </c>
      <c r="AB48" s="2">
        <f>COUNTIFS('OB History S2'!$B:$B,$A$48,'OB History S2'!S:S, 1)</f>
        <v>0</v>
      </c>
      <c r="AC48" s="2">
        <f>COUNTIFS('OB History S2'!$B:$B,$A$48,'OB History S2'!T:T, 1)</f>
        <v>0</v>
      </c>
      <c r="AD48" s="2">
        <f>COUNTIFS('OB History S2'!$B:$B,$A$48,'OB History S2'!U:U, 1)</f>
        <v>0</v>
      </c>
      <c r="AE48" s="2">
        <f>COUNTIFS('OB History S2'!$B:$B,$A$48,'OB History S2'!V:V, 1)</f>
        <v>0</v>
      </c>
      <c r="AF48" s="2">
        <f>COUNTIFS('OB History S2'!$B:$B,$A$48,'OB History S2'!W:W, 1)</f>
        <v>0</v>
      </c>
      <c r="AG48" s="2">
        <f>COUNTIFS('OB History S2'!$B:$B,$A$48,'OB History S2'!X:X, 1)</f>
        <v>3</v>
      </c>
      <c r="AH48" s="2">
        <f>COUNTIFS('OB History S2'!$B:$B,$A$48,'OB History S2'!Y:Y, 1)</f>
        <v>0</v>
      </c>
      <c r="AI48" s="2">
        <f>COUNTIFS('OB History S2'!$B:$B,$A$48,'OB History S2'!Z:Z, 1)</f>
        <v>2</v>
      </c>
    </row>
    <row r="49" spans="1:35" x14ac:dyDescent="0.25">
      <c r="A49" s="2" t="s">
        <v>4</v>
      </c>
      <c r="B49" s="2" t="s">
        <v>79</v>
      </c>
      <c r="C49" s="2" t="s">
        <v>79</v>
      </c>
      <c r="D49" s="3">
        <v>1</v>
      </c>
      <c r="E49" s="2"/>
      <c r="F49" s="2"/>
      <c r="G49" s="2"/>
      <c r="H49" s="34">
        <f>SUMIFS('OB History S2'!C:C,'OB History S2'!B:B,A49)</f>
        <v>247</v>
      </c>
      <c r="I49" s="4">
        <f>AVERAGEIFS('OB History S2'!C:C,'OB History S2'!B:B,A49)</f>
        <v>22.454545454545453</v>
      </c>
      <c r="J49" s="35">
        <f t="array" ref="J49">MAX(IF('OB History S2'!B:B=A49, 'OB History S2'!C:C))</f>
        <v>46</v>
      </c>
      <c r="K49" s="34">
        <f>COUNTIFS('OB History S2'!B:B,A49,'OB History S2'!D:D, 1)</f>
        <v>6</v>
      </c>
      <c r="L49" s="2">
        <f>COUNTIFS('OB History S2'!B:B,A49,'OB History S2'!D:D, 0)</f>
        <v>5</v>
      </c>
      <c r="M49" s="88">
        <f>LOOKUP(2, 1/('OB History S2'!$B:$B=A49), 'OB History S2'!$AD:$AD)</f>
        <v>0.54545454545454541</v>
      </c>
      <c r="N49" s="34">
        <f>SUMIFS('OB History S2'!F:F,'OB History S2'!B:B,A49)</f>
        <v>21</v>
      </c>
      <c r="O49" s="2">
        <f>SUMIFS('OB History S2'!E:E,'OB History S2'!B:B,A49)-N49</f>
        <v>23</v>
      </c>
      <c r="P49" s="88">
        <f>LOOKUP(2, 1/('OB History S2'!$B:$B=A49), 'OB History S2'!$AB:$AB)</f>
        <v>0.47272727272727272</v>
      </c>
      <c r="Q49" s="34">
        <f>SUMIFS('OB History S2'!H:H,'OB History S2'!B:B,A49)</f>
        <v>88</v>
      </c>
      <c r="R49" s="2">
        <f>SUMIFS('OB History S2'!G:G,'OB History S2'!B:B,A49)-Q49</f>
        <v>93</v>
      </c>
      <c r="S49" s="88">
        <f>LOOKUP(2, 1/('OB History S2'!$B:$B=A49), 'OB History S2'!$AC:$AC)</f>
        <v>0.47545454545454541</v>
      </c>
      <c r="T49" s="2">
        <f>COUNTIFS('OB History S2'!$B:$B,$A$49,'OB History S2'!K:K, 1)</f>
        <v>2</v>
      </c>
      <c r="U49" s="2">
        <f>COUNTIFS('OB History S2'!$B:$B,$A$49,'OB History S2'!L:L, 1)</f>
        <v>4</v>
      </c>
      <c r="V49" s="2">
        <f>COUNTIFS('OB History S2'!$B:$B,$A$49,'OB History S2'!M:M, 1)</f>
        <v>1</v>
      </c>
      <c r="W49" s="2">
        <f>COUNTIFS('OB History S2'!$B:$B,$A$49,'OB History S2'!N:N, 1)</f>
        <v>1</v>
      </c>
      <c r="X49" s="2">
        <f>COUNTIFS('OB History S2'!$B:$B,$A$49,'OB History S2'!O:O, 1)</f>
        <v>2</v>
      </c>
      <c r="Y49" s="2">
        <f>COUNTIFS('OB History S2'!$B:$B,$A$49,'OB History S2'!P:P, 1)</f>
        <v>1</v>
      </c>
      <c r="Z49" s="2">
        <f>COUNTIFS('OB History S2'!$B:$B,$A$49,'OB History S2'!Q:Q, 1)</f>
        <v>1</v>
      </c>
      <c r="AA49" s="2">
        <f>COUNTIFS('OB History S2'!$B:$B,$A$49,'OB History S2'!R:R, 1)</f>
        <v>0</v>
      </c>
      <c r="AB49" s="2">
        <f>COUNTIFS('OB History S2'!$B:$B,$A$49,'OB History S2'!S:S, 1)</f>
        <v>0</v>
      </c>
      <c r="AC49" s="2">
        <f>COUNTIFS('OB History S2'!$B:$B,$A$49,'OB History S2'!T:T, 1)</f>
        <v>0</v>
      </c>
      <c r="AD49" s="2">
        <f>COUNTIFS('OB History S2'!$B:$B,$A$49,'OB History S2'!U:U, 1)</f>
        <v>0</v>
      </c>
      <c r="AE49" s="2">
        <f>COUNTIFS('OB History S2'!$B:$B,$A$49,'OB History S2'!V:V, 1)</f>
        <v>0</v>
      </c>
      <c r="AF49" s="2">
        <f>COUNTIFS('OB History S2'!$B:$B,$A$49,'OB History S2'!W:W, 1)</f>
        <v>2</v>
      </c>
      <c r="AG49" s="2">
        <f>COUNTIFS('OB History S2'!$B:$B,$A$49,'OB History S2'!X:X, 1)</f>
        <v>4</v>
      </c>
      <c r="AH49" s="2">
        <f>COUNTIFS('OB History S2'!$B:$B,$A$49,'OB History S2'!Y:Y, 1)</f>
        <v>2</v>
      </c>
      <c r="AI49" s="2">
        <f>COUNTIFS('OB History S2'!$B:$B,$A$49,'OB History S2'!Z:Z, 1)</f>
        <v>1</v>
      </c>
    </row>
    <row r="50" spans="1:35" x14ac:dyDescent="0.25">
      <c r="A50" s="2" t="s">
        <v>55</v>
      </c>
      <c r="B50" s="2" t="s">
        <v>79</v>
      </c>
      <c r="C50" s="2" t="s">
        <v>79</v>
      </c>
      <c r="D50" s="2"/>
      <c r="E50" s="2"/>
      <c r="F50" s="2"/>
      <c r="G50" s="2"/>
      <c r="H50" s="34">
        <f>SUMIFS('OB History S2'!C:C,'OB History S2'!B:B,A50)</f>
        <v>65</v>
      </c>
      <c r="I50" s="4">
        <f>AVERAGEIFS('OB History S2'!C:C,'OB History S2'!B:B,A50)</f>
        <v>10.833333333333334</v>
      </c>
      <c r="J50" s="35">
        <f t="array" ref="J50">MAX(IF('OB History S2'!B:B=A50, 'OB History S2'!C:C))</f>
        <v>20</v>
      </c>
      <c r="K50" s="34">
        <f>COUNTIFS('OB History S2'!B:B,A50,'OB History S2'!D:D, 1)</f>
        <v>4</v>
      </c>
      <c r="L50" s="2">
        <f>COUNTIFS('OB History S2'!B:B,A50,'OB History S2'!D:D, 0)</f>
        <v>2</v>
      </c>
      <c r="M50" s="88">
        <f>LOOKUP(2, 1/('OB History S2'!$B:$B=A50), 'OB History S2'!$AD:$AD)</f>
        <v>0.66666666666666663</v>
      </c>
      <c r="N50" s="34">
        <f>SUMIFS('OB History S2'!F:F,'OB History S2'!B:B,A50)</f>
        <v>15</v>
      </c>
      <c r="O50" s="2">
        <f>SUMIFS('OB History S2'!E:E,'OB History S2'!B:B,A50)-N50</f>
        <v>8</v>
      </c>
      <c r="P50" s="88">
        <f>LOOKUP(2, 1/('OB History S2'!$B:$B=A50), 'OB History S2'!$AB:$AB)</f>
        <v>0.69166666666666676</v>
      </c>
      <c r="Q50" s="34">
        <f>SUMIFS('OB History S2'!H:H,'OB History S2'!B:B,A50)</f>
        <v>57</v>
      </c>
      <c r="R50" s="2">
        <f>SUMIFS('OB History S2'!G:G,'OB History S2'!B:B,A50)-Q50</f>
        <v>38</v>
      </c>
      <c r="S50" s="88">
        <f>LOOKUP(2, 1/('OB History S2'!$B:$B=A50), 'OB History S2'!$AC:$AC)</f>
        <v>0.61666666666666659</v>
      </c>
      <c r="T50" s="2">
        <f>COUNTIFS('OB History S2'!$B:$B,$A$50,'OB History S2'!K:K, 1)</f>
        <v>1</v>
      </c>
      <c r="U50" s="2">
        <f>COUNTIFS('OB History S2'!$B:$B,$A$50,'OB History S2'!L:L, 1)</f>
        <v>1</v>
      </c>
      <c r="V50" s="2">
        <f>COUNTIFS('OB History S2'!$B:$B,$A$50,'OB History S2'!M:M, 1)</f>
        <v>0</v>
      </c>
      <c r="W50" s="2">
        <f>COUNTIFS('OB History S2'!$B:$B,$A$50,'OB History S2'!N:N, 1)</f>
        <v>2</v>
      </c>
      <c r="X50" s="2">
        <f>COUNTIFS('OB History S2'!$B:$B,$A$50,'OB History S2'!O:O, 1)</f>
        <v>0</v>
      </c>
      <c r="Y50" s="2">
        <f>COUNTIFS('OB History S2'!$B:$B,$A$50,'OB History S2'!P:P, 1)</f>
        <v>0</v>
      </c>
      <c r="Z50" s="2">
        <f>COUNTIFS('OB History S2'!$B:$B,$A$50,'OB History S2'!Q:Q, 1)</f>
        <v>1</v>
      </c>
      <c r="AA50" s="2">
        <f>COUNTIFS('OB History S2'!$B:$B,$A$50,'OB History S2'!R:R, 1)</f>
        <v>1</v>
      </c>
      <c r="AB50" s="2">
        <f>COUNTIFS('OB History S2'!$B:$B,$A$50,'OB History S2'!S:S, 1)</f>
        <v>0</v>
      </c>
      <c r="AC50" s="2">
        <f>COUNTIFS('OB History S2'!$B:$B,$A$50,'OB History S2'!T:T, 1)</f>
        <v>0</v>
      </c>
      <c r="AD50" s="2">
        <f>COUNTIFS('OB History S2'!$B:$B,$A$50,'OB History S2'!U:U, 1)</f>
        <v>1</v>
      </c>
      <c r="AE50" s="2">
        <f>COUNTIFS('OB History S2'!$B:$B,$A$50,'OB History S2'!V:V, 1)</f>
        <v>0</v>
      </c>
      <c r="AF50" s="2">
        <f>COUNTIFS('OB History S2'!$B:$B,$A$50,'OB History S2'!W:W, 1)</f>
        <v>0</v>
      </c>
      <c r="AG50" s="2">
        <f>COUNTIFS('OB History S2'!$B:$B,$A$50,'OB History S2'!X:X, 1)</f>
        <v>4</v>
      </c>
      <c r="AH50" s="2">
        <f>COUNTIFS('OB History S2'!$B:$B,$A$50,'OB History S2'!Y:Y, 1)</f>
        <v>2</v>
      </c>
      <c r="AI50" s="2">
        <f>COUNTIFS('OB History S2'!$B:$B,$A$50,'OB History S2'!Z:Z, 1)</f>
        <v>2</v>
      </c>
    </row>
  </sheetData>
  <autoFilter ref="A1:AI49" xr:uid="{EEC03B8F-669F-4FC0-BA62-50F3D395660C}">
    <sortState xmlns:xlrd2="http://schemas.microsoft.com/office/spreadsheetml/2017/richdata2" ref="A2:AI50">
      <sortCondition ref="A1:A49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554"/>
  <sheetViews>
    <sheetView workbookViewId="0">
      <pane ySplit="1" topLeftCell="A525" activePane="bottomLeft" state="frozen"/>
      <selection pane="bottomLeft" activeCell="A543" sqref="A543:Z55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152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16.25</v>
      </c>
      <c r="AB251" s="86">
        <f>AVERAGEIFS($I$2:I251, $B$2:B251, B251)</f>
        <v>0.2</v>
      </c>
      <c r="AC251" s="86">
        <f>AVERAGEIFS($J$2:J251, $B$2:B251, B251)</f>
        <v>0.36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152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15.2</v>
      </c>
      <c r="AB266" s="86">
        <f>AVERAGEIFS($I$2:I266, $B$2:B266, B266)</f>
        <v>0.16</v>
      </c>
      <c r="AC266" s="86">
        <f>AVERAGEIFS($J$2:J266, $B$2:B266, B266)</f>
        <v>0.33799999999999997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168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169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>
        <v>46144</v>
      </c>
      <c r="B342" t="s">
        <v>113</v>
      </c>
      <c r="C342">
        <v>25</v>
      </c>
      <c r="D342" s="86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20.9</v>
      </c>
      <c r="AB342" s="86">
        <f>AVERAGEIFS($I$2:I342, $B$2:B342, B342)</f>
        <v>0.65</v>
      </c>
      <c r="AC342" s="86">
        <f>AVERAGEIFS($J$2:J342, $B$2:B342, B342)</f>
        <v>0.53999999999999992</v>
      </c>
      <c r="AD342" s="86">
        <f>AVERAGEIFS($D$2:D342, $B$2:B342, B342)</f>
        <v>0.7</v>
      </c>
    </row>
    <row r="343" spans="1:30" x14ac:dyDescent="0.25">
      <c r="A343" s="85">
        <v>46144</v>
      </c>
      <c r="B343" t="s">
        <v>150</v>
      </c>
      <c r="C343">
        <v>24</v>
      </c>
      <c r="D343" s="86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18.125</v>
      </c>
      <c r="AB343" s="86">
        <f>AVERAGEIFS($I$2:I343, $B$2:B343, B343)</f>
        <v>0.73124999999999996</v>
      </c>
      <c r="AC343" s="86">
        <f>AVERAGEIFS($J$2:J343, $B$2:B343, B343)</f>
        <v>0.64999999999999991</v>
      </c>
      <c r="AD343" s="86">
        <f>AVERAGEIFS($D$2:D343, $B$2:B343, B343)</f>
        <v>0.875</v>
      </c>
    </row>
    <row r="344" spans="1:30" x14ac:dyDescent="0.25">
      <c r="A344" s="85">
        <v>46144</v>
      </c>
      <c r="B344" t="s">
        <v>4</v>
      </c>
      <c r="C344">
        <v>19</v>
      </c>
      <c r="D344" s="86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25.125</v>
      </c>
      <c r="AB344" s="86">
        <f>AVERAGEIFS($I$2:I344, $B$2:B344, B344)</f>
        <v>0.43125000000000002</v>
      </c>
      <c r="AC344" s="86">
        <f>AVERAGEIFS($J$2:J344, $B$2:B344, B344)</f>
        <v>0.45374999999999999</v>
      </c>
      <c r="AD344" s="86">
        <f>AVERAGEIFS($D$2:D344, $B$2:B344, B344)</f>
        <v>0.5</v>
      </c>
    </row>
    <row r="345" spans="1:30" x14ac:dyDescent="0.25">
      <c r="A345" s="85">
        <v>46144</v>
      </c>
      <c r="B345" t="s">
        <v>6</v>
      </c>
      <c r="C345">
        <v>17</v>
      </c>
      <c r="D345" s="86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25.125</v>
      </c>
      <c r="AB345" s="86">
        <f>AVERAGEIFS($I$2:I345, $B$2:B345, B345)</f>
        <v>0.6</v>
      </c>
      <c r="AC345" s="86">
        <f>AVERAGEIFS($J$2:J345, $B$2:B345, B345)</f>
        <v>0.55874999999999997</v>
      </c>
      <c r="AD345" s="86">
        <f>AVERAGEIFS($D$2:D345, $B$2:B345, B345)</f>
        <v>0.5</v>
      </c>
    </row>
    <row r="346" spans="1:30" x14ac:dyDescent="0.25">
      <c r="A346" s="85">
        <v>46144</v>
      </c>
      <c r="B346" t="s">
        <v>5</v>
      </c>
      <c r="C346">
        <v>17</v>
      </c>
      <c r="D346" s="86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28.333333333333332</v>
      </c>
      <c r="AB346" s="86">
        <f>AVERAGEIFS($I$2:I346, $B$2:B346, B346)</f>
        <v>0.47500000000000003</v>
      </c>
      <c r="AC346" s="86">
        <f>AVERAGEIFS($J$2:J346, $B$2:B346, B346)</f>
        <v>0.47833333333333333</v>
      </c>
      <c r="AD346" s="86">
        <f>AVERAGEIFS($D$2:D346, $B$2:B346, B346)</f>
        <v>0.5</v>
      </c>
    </row>
    <row r="347" spans="1:30" x14ac:dyDescent="0.25">
      <c r="A347" s="85">
        <v>46144</v>
      </c>
      <c r="B347" t="s">
        <v>2</v>
      </c>
      <c r="C347">
        <v>14</v>
      </c>
      <c r="D347" s="86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86">
        <f>AVERAGEIFS($C$2:C347, $B$2:B347, B347)</f>
        <v>28</v>
      </c>
      <c r="AB347" s="86">
        <f>AVERAGEIFS($I$2:I347, $B$2:B347, B347)</f>
        <v>0.79999999999999993</v>
      </c>
      <c r="AC347" s="86">
        <f>AVERAGEIFS($J$2:J347, $B$2:B347, B347)</f>
        <v>0.58666666666666656</v>
      </c>
      <c r="AD347" s="86">
        <f>AVERAGEIFS($D$2:D347, $B$2:B347, B347)</f>
        <v>0.66666666666666663</v>
      </c>
    </row>
    <row r="348" spans="1:30" x14ac:dyDescent="0.25">
      <c r="A348" s="85">
        <v>46144</v>
      </c>
      <c r="B348" t="s">
        <v>44</v>
      </c>
      <c r="C348">
        <v>13</v>
      </c>
      <c r="D348" s="86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86">
        <f>AVERAGEIFS($C$2:C348, $B$2:B348, B348)</f>
        <v>17</v>
      </c>
      <c r="AB348" s="86">
        <f>AVERAGEIFS($I$2:I348, $B$2:B348, B348)</f>
        <v>0.8666666666666667</v>
      </c>
      <c r="AC348" s="86">
        <f>AVERAGEIFS($J$2:J348, $B$2:B348, B348)</f>
        <v>0.63666666666666671</v>
      </c>
      <c r="AD348" s="86">
        <f>AVERAGEIFS($D$2:D348, $B$2:B348, B348)</f>
        <v>1</v>
      </c>
    </row>
    <row r="349" spans="1:30" x14ac:dyDescent="0.25">
      <c r="A349" s="85">
        <v>46144</v>
      </c>
      <c r="B349" t="s">
        <v>179</v>
      </c>
      <c r="C349">
        <v>8</v>
      </c>
      <c r="D349" s="86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86">
        <f>AVERAGEIFS($C$2:C349, $B$2:B349, B349)</f>
        <v>8</v>
      </c>
      <c r="AB349" s="86">
        <f>AVERAGEIFS($I$2:I349, $B$2:B349, B349)</f>
        <v>1</v>
      </c>
      <c r="AC349" s="86">
        <f>AVERAGEIFS($J$2:J349, $B$2:B349, B349)</f>
        <v>0.64</v>
      </c>
      <c r="AD349" s="86">
        <f>AVERAGEIFS($D$2:D349, $B$2:B349, B349)</f>
        <v>1</v>
      </c>
    </row>
    <row r="350" spans="1:30" x14ac:dyDescent="0.25">
      <c r="A350" s="85">
        <v>46144</v>
      </c>
      <c r="B350" t="s">
        <v>14</v>
      </c>
      <c r="C350">
        <v>26</v>
      </c>
      <c r="D350" s="86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86">
        <f>AVERAGEIFS($C$2:C350, $B$2:B350, B350)</f>
        <v>23</v>
      </c>
      <c r="AB350" s="86">
        <f>AVERAGEIFS($I$2:I350, $B$2:B350, B350)</f>
        <v>0.32647058823529412</v>
      </c>
      <c r="AC350" s="86">
        <f>AVERAGEIFS($J$2:J350, $B$2:B350, B350)</f>
        <v>0.42117647058823526</v>
      </c>
      <c r="AD350" s="86">
        <f>AVERAGEIFS($D$2:D350, $B$2:B350, B350)</f>
        <v>0.23529411764705882</v>
      </c>
    </row>
    <row r="351" spans="1:30" x14ac:dyDescent="0.25">
      <c r="A351" s="85">
        <v>46144</v>
      </c>
      <c r="B351" t="s">
        <v>17</v>
      </c>
      <c r="C351">
        <v>24</v>
      </c>
      <c r="D351" s="86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86">
        <f>AVERAGEIFS($C$2:C351, $B$2:B351, B351)</f>
        <v>24.578947368421051</v>
      </c>
      <c r="AB351" s="86">
        <f>AVERAGEIFS($I$2:I351, $B$2:B351, B351)</f>
        <v>0.48157894736842105</v>
      </c>
      <c r="AC351" s="86">
        <f>AVERAGEIFS($J$2:J351, $B$2:B351, B351)</f>
        <v>0.50578947368421034</v>
      </c>
      <c r="AD351" s="86">
        <f>AVERAGEIFS($D$2:D351, $B$2:B351, B351)</f>
        <v>0.52631578947368418</v>
      </c>
    </row>
    <row r="352" spans="1:30" x14ac:dyDescent="0.25">
      <c r="A352" s="85">
        <v>46144</v>
      </c>
      <c r="B352" t="s">
        <v>13</v>
      </c>
      <c r="C352">
        <v>24</v>
      </c>
      <c r="D352" s="86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86">
        <f>AVERAGEIFS($C$2:C352, $B$2:B352, B352)</f>
        <v>25.5</v>
      </c>
      <c r="AB352" s="86">
        <f>AVERAGEIFS($I$2:I352, $B$2:B352, B352)</f>
        <v>0.625</v>
      </c>
      <c r="AC352" s="86">
        <f>AVERAGEIFS($J$2:J352, $B$2:B352, B352)</f>
        <v>0.57916666666666661</v>
      </c>
      <c r="AD352" s="86">
        <f>AVERAGEIFS($D$2:D352, $B$2:B352, B352)</f>
        <v>0.66666666666666663</v>
      </c>
    </row>
    <row r="353" spans="1:30" x14ac:dyDescent="0.25">
      <c r="A353" s="85">
        <v>46144</v>
      </c>
      <c r="B353" t="s">
        <v>148</v>
      </c>
      <c r="C353">
        <v>11</v>
      </c>
      <c r="D353" s="86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86">
        <f>AVERAGEIFS($C$2:C353, $B$2:B353, B353)</f>
        <v>13.347826086956522</v>
      </c>
      <c r="AB353" s="86">
        <f>AVERAGEIFS($I$2:I353, $B$2:B353, B353)</f>
        <v>0.58695652173913049</v>
      </c>
      <c r="AC353" s="86">
        <f>AVERAGEIFS($J$2:J353, $B$2:B353, B353)</f>
        <v>0.54304347826086963</v>
      </c>
      <c r="AD353" s="86">
        <f>AVERAGEIFS($D$2:D353, $B$2:B353, B353)</f>
        <v>0.65217391304347827</v>
      </c>
    </row>
    <row r="354" spans="1:30" x14ac:dyDescent="0.25">
      <c r="A354" s="85">
        <v>46144</v>
      </c>
      <c r="B354" t="s">
        <v>29</v>
      </c>
      <c r="C354">
        <v>11</v>
      </c>
      <c r="D354" s="86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86">
        <f>AVERAGEIFS($C$2:C354, $B$2:B354, B354)</f>
        <v>12.052631578947368</v>
      </c>
      <c r="AB354" s="86">
        <f>AVERAGEIFS($I$2:I354, $B$2:B354, B354)</f>
        <v>0.38421052631578939</v>
      </c>
      <c r="AC354" s="86">
        <f>AVERAGEIFS($J$2:J354, $B$2:B354, B354)</f>
        <v>0.46</v>
      </c>
      <c r="AD354" s="86">
        <f>AVERAGEIFS($D$2:D354, $B$2:B354, B354)</f>
        <v>0.31578947368421051</v>
      </c>
    </row>
    <row r="355" spans="1:30" x14ac:dyDescent="0.25">
      <c r="A355" s="85">
        <v>46144</v>
      </c>
      <c r="B355" t="s">
        <v>155</v>
      </c>
      <c r="C355">
        <v>9</v>
      </c>
      <c r="D355" s="86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86">
        <f>AVERAGEIFS($C$2:C355, $B$2:B355, B355)</f>
        <v>18.333333333333332</v>
      </c>
      <c r="AB355" s="86">
        <f>AVERAGEIFS($I$2:I355, $B$2:B355, B355)</f>
        <v>0.33888888888888885</v>
      </c>
      <c r="AC355" s="86">
        <f>AVERAGEIFS($J$2:J355, $B$2:B355, B355)</f>
        <v>0.43722222222222229</v>
      </c>
      <c r="AD355" s="86">
        <f>AVERAGEIFS($D$2:D355, $B$2:B355, B355)</f>
        <v>0.27777777777777779</v>
      </c>
    </row>
    <row r="356" spans="1:30" x14ac:dyDescent="0.25">
      <c r="A356" s="85">
        <v>46144</v>
      </c>
      <c r="B356" t="s">
        <v>140</v>
      </c>
      <c r="C356">
        <v>5</v>
      </c>
      <c r="D356" s="86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86">
        <f>AVERAGEIFS($C$2:C356, $B$2:B356, B356)</f>
        <v>6</v>
      </c>
      <c r="AB356" s="86">
        <f>AVERAGEIFS($I$2:I356, $B$2:B356, B356)</f>
        <v>0.42857142857142855</v>
      </c>
      <c r="AC356" s="86">
        <f>AVERAGEIFS($J$2:J356, $B$2:B356, B356)</f>
        <v>0.47142857142857142</v>
      </c>
      <c r="AD356" s="86">
        <f>AVERAGEIFS($D$2:D356, $B$2:B356, B356)</f>
        <v>0.42857142857142855</v>
      </c>
    </row>
    <row r="357" spans="1:30" x14ac:dyDescent="0.25">
      <c r="A357" s="85">
        <v>46144</v>
      </c>
      <c r="B357" t="s">
        <v>139</v>
      </c>
      <c r="C357">
        <v>3</v>
      </c>
      <c r="D357" s="86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86">
        <f>AVERAGEIFS($C$2:C357, $B$2:B357, B357)</f>
        <v>10.583333333333334</v>
      </c>
      <c r="AB357" s="86">
        <f>AVERAGEIFS($I$2:I357, $B$2:B357, B357)</f>
        <v>0.52500000000000002</v>
      </c>
      <c r="AC357" s="86">
        <f>AVERAGEIFS($J$2:J357, $B$2:B357, B357)</f>
        <v>0.52749999999999997</v>
      </c>
      <c r="AD357" s="86">
        <f>AVERAGEIFS($D$2:D357, $B$2:B357, B357)</f>
        <v>0.66666666666666663</v>
      </c>
    </row>
    <row r="358" spans="1:30" x14ac:dyDescent="0.25">
      <c r="A358" s="85">
        <v>46144</v>
      </c>
      <c r="B358" t="s">
        <v>6</v>
      </c>
      <c r="C358">
        <v>20</v>
      </c>
      <c r="D358" s="86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86">
        <f>AVERAGEIFS($C$2:C358, $B$2:B358, B358)</f>
        <v>24.555555555555557</v>
      </c>
      <c r="AB358" s="86">
        <f>AVERAGEIFS($I$2:I358, $B$2:B358, B358)</f>
        <v>0.6166666666666667</v>
      </c>
      <c r="AC358" s="86">
        <f>AVERAGEIFS($J$2:J358, $B$2:B358, B358)</f>
        <v>0.57333333333333336</v>
      </c>
      <c r="AD358" s="86">
        <f>AVERAGEIFS($D$2:D358, $B$2:B358, B358)</f>
        <v>0.55555555555555558</v>
      </c>
    </row>
    <row r="359" spans="1:30" x14ac:dyDescent="0.25">
      <c r="A359" s="85">
        <v>46144</v>
      </c>
      <c r="B359" t="s">
        <v>44</v>
      </c>
      <c r="C359">
        <v>16</v>
      </c>
      <c r="D359" s="86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86">
        <f>AVERAGEIFS($C$2:C359, $B$2:B359, B359)</f>
        <v>16.75</v>
      </c>
      <c r="AB359" s="86">
        <f>AVERAGEIFS($I$2:I359, $B$2:B359, B359)</f>
        <v>0.83750000000000002</v>
      </c>
      <c r="AC359" s="86">
        <f>AVERAGEIFS($J$2:J359, $B$2:B359, B359)</f>
        <v>0.65</v>
      </c>
      <c r="AD359" s="86">
        <f>AVERAGEIFS($D$2:D359, $B$2:B359, B359)</f>
        <v>1</v>
      </c>
    </row>
    <row r="360" spans="1:30" x14ac:dyDescent="0.25">
      <c r="A360" s="85">
        <v>46144</v>
      </c>
      <c r="B360" t="s">
        <v>40</v>
      </c>
      <c r="C360">
        <v>25</v>
      </c>
      <c r="D360" s="86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86">
        <f>AVERAGEIFS($C$2:C360, $B$2:B360, B360)</f>
        <v>18.636363636363637</v>
      </c>
      <c r="AB360" s="86">
        <f>AVERAGEIFS($I$2:I360, $B$2:B360, B360)</f>
        <v>0.52727272727272723</v>
      </c>
      <c r="AC360" s="86">
        <f>AVERAGEIFS($J$2:J360, $B$2:B360, B360)</f>
        <v>0.49272727272727274</v>
      </c>
      <c r="AD360" s="86">
        <f>AVERAGEIFS($D$2:D360, $B$2:B360, B360)</f>
        <v>0.45454545454545453</v>
      </c>
    </row>
    <row r="361" spans="1:30" x14ac:dyDescent="0.25">
      <c r="A361" s="85">
        <v>46144</v>
      </c>
      <c r="B361" t="s">
        <v>147</v>
      </c>
      <c r="C361">
        <v>16</v>
      </c>
      <c r="D361" s="86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86">
        <f>AVERAGEIFS($C$2:C361, $B$2:B361, B361)</f>
        <v>15.714285714285714</v>
      </c>
      <c r="AB361" s="86">
        <f>AVERAGEIFS($I$2:I361, $B$2:B361, B361)</f>
        <v>0.30714285714285711</v>
      </c>
      <c r="AC361" s="86">
        <f>AVERAGEIFS($J$2:J361, $B$2:B361, B361)</f>
        <v>0.41714285714285715</v>
      </c>
      <c r="AD361" s="86">
        <f>AVERAGEIFS($D$2:D361, $B$2:B361, B361)</f>
        <v>0.2857142857142857</v>
      </c>
    </row>
    <row r="362" spans="1:30" x14ac:dyDescent="0.25">
      <c r="A362" s="85">
        <v>46144</v>
      </c>
      <c r="B362" t="s">
        <v>140</v>
      </c>
      <c r="C362">
        <v>11</v>
      </c>
      <c r="D362" s="86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86">
        <f>AVERAGEIFS($C$2:C362, $B$2:B362, B362)</f>
        <v>6.625</v>
      </c>
      <c r="AB362" s="86">
        <f>AVERAGEIFS($I$2:I362, $B$2:B362, B362)</f>
        <v>0.46875</v>
      </c>
      <c r="AC362" s="86">
        <f>AVERAGEIFS($J$2:J362, $B$2:B362, B362)</f>
        <v>0.49874999999999997</v>
      </c>
      <c r="AD362" s="86">
        <f>AVERAGEIFS($D$2:D362, $B$2:B362, B362)</f>
        <v>0.5</v>
      </c>
    </row>
    <row r="363" spans="1:30" x14ac:dyDescent="0.25">
      <c r="A363" s="85">
        <v>46144</v>
      </c>
      <c r="B363" t="s">
        <v>5</v>
      </c>
      <c r="C363">
        <v>22</v>
      </c>
      <c r="D363" s="86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86">
        <f>AVERAGEIFS($C$2:C363, $B$2:B363, B363)</f>
        <v>27.428571428571427</v>
      </c>
      <c r="AB363" s="86">
        <f>AVERAGEIFS($I$2:I363, $B$2:B363, B363)</f>
        <v>0.51428571428571435</v>
      </c>
      <c r="AC363" s="86">
        <f>AVERAGEIFS($J$2:J363, $B$2:B363, B363)</f>
        <v>0.50857142857142856</v>
      </c>
      <c r="AD363" s="86">
        <f>AVERAGEIFS($D$2:D363, $B$2:B363, B363)</f>
        <v>0.5714285714285714</v>
      </c>
    </row>
    <row r="364" spans="1:30" x14ac:dyDescent="0.25">
      <c r="A364" s="85">
        <v>46144</v>
      </c>
      <c r="B364" t="s">
        <v>150</v>
      </c>
      <c r="C364">
        <v>22</v>
      </c>
      <c r="D364" s="86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86">
        <f>AVERAGEIFS($C$2:C364, $B$2:B364, B364)</f>
        <v>18.555555555555557</v>
      </c>
      <c r="AB364" s="86">
        <f>AVERAGEIFS($I$2:I364, $B$2:B364, B364)</f>
        <v>0.73333333333333328</v>
      </c>
      <c r="AC364" s="86">
        <f>AVERAGEIFS($J$2:J364, $B$2:B364, B364)</f>
        <v>0.65444444444444427</v>
      </c>
      <c r="AD364" s="86">
        <f>AVERAGEIFS($D$2:D364, $B$2:B364, B364)</f>
        <v>0.88888888888888884</v>
      </c>
    </row>
    <row r="365" spans="1:30" x14ac:dyDescent="0.25">
      <c r="A365" s="85">
        <v>46144</v>
      </c>
      <c r="B365" t="s">
        <v>113</v>
      </c>
      <c r="C365">
        <v>4</v>
      </c>
      <c r="D365" s="86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86">
        <f>AVERAGEIFS($C$2:C365, $B$2:B365, B365)</f>
        <v>19.363636363636363</v>
      </c>
      <c r="AB365" s="86">
        <f>AVERAGEIFS($I$2:I365, $B$2:B365, B365)</f>
        <v>0.65909090909090906</v>
      </c>
      <c r="AC365" s="86">
        <f>AVERAGEIFS($J$2:J365, $B$2:B365, B365)</f>
        <v>0.55363636363636359</v>
      </c>
      <c r="AD365" s="86">
        <f>AVERAGEIFS($D$2:D365, $B$2:B365, B365)</f>
        <v>0.72727272727272729</v>
      </c>
    </row>
    <row r="366" spans="1:30" x14ac:dyDescent="0.25">
      <c r="A366" s="85">
        <v>46144</v>
      </c>
      <c r="B366" t="s">
        <v>17</v>
      </c>
      <c r="C366">
        <v>7</v>
      </c>
      <c r="D366" s="86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23.7</v>
      </c>
      <c r="AB366" s="86">
        <f>AVERAGEIFS($I$2:I366, $B$2:B366, B366)</f>
        <v>0.47000000000000003</v>
      </c>
      <c r="AC366" s="86">
        <f>AVERAGEIFS($J$2:J366, $B$2:B366, B366)</f>
        <v>0.49599999999999983</v>
      </c>
      <c r="AD366" s="86">
        <f>AVERAGEIFS($D$2:D366, $B$2:B366, B366)</f>
        <v>0.5</v>
      </c>
    </row>
    <row r="367" spans="1:30" x14ac:dyDescent="0.25">
      <c r="A367" s="85">
        <v>46144</v>
      </c>
      <c r="B367" t="s">
        <v>13</v>
      </c>
      <c r="C367">
        <v>19</v>
      </c>
      <c r="D367" s="86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25.24</v>
      </c>
      <c r="AB367" s="86">
        <f>AVERAGEIFS($I$2:I367, $B$2:B367, B367)</f>
        <v>0.61</v>
      </c>
      <c r="AC367" s="86">
        <f>AVERAGEIFS($J$2:J367, $B$2:B367, B367)</f>
        <v>0.56840000000000002</v>
      </c>
      <c r="AD367" s="86">
        <f>AVERAGEIFS($D$2:D367, $B$2:B367, B367)</f>
        <v>0.64</v>
      </c>
    </row>
    <row r="368" spans="1:30" x14ac:dyDescent="0.25">
      <c r="A368" s="85">
        <v>46144</v>
      </c>
      <c r="B368" t="s">
        <v>141</v>
      </c>
      <c r="C368">
        <v>24</v>
      </c>
      <c r="D368" s="86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18.75</v>
      </c>
      <c r="AB368" s="86">
        <f>AVERAGEIFS($I$2:I368, $B$2:B368, B368)</f>
        <v>0.51249999999999996</v>
      </c>
      <c r="AC368" s="86">
        <f>AVERAGEIFS($J$2:J368, $B$2:B368, B368)</f>
        <v>0.46499999999999997</v>
      </c>
      <c r="AD368" s="86">
        <f>AVERAGEIFS($D$2:D368, $B$2:B368, B368)</f>
        <v>0.25</v>
      </c>
    </row>
    <row r="369" spans="1:30" x14ac:dyDescent="0.25">
      <c r="A369" s="85">
        <v>46144</v>
      </c>
      <c r="B369" t="s">
        <v>155</v>
      </c>
      <c r="C369">
        <v>13</v>
      </c>
      <c r="D369" s="86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86">
        <f>AVERAGEIFS($C$2:C369, $B$2:B369, B369)</f>
        <v>18.05263157894737</v>
      </c>
      <c r="AB369" s="86">
        <f>AVERAGEIFS($I$2:I369, $B$2:B369, B369)</f>
        <v>0.33421052631578946</v>
      </c>
      <c r="AC369" s="86">
        <f>AVERAGEIFS($J$2:J369, $B$2:B369, B369)</f>
        <v>0.43052631578947376</v>
      </c>
      <c r="AD369" s="86">
        <f>AVERAGEIFS($D$2:D369, $B$2:B369, B369)</f>
        <v>0.26315789473684209</v>
      </c>
    </row>
    <row r="370" spans="1:30" x14ac:dyDescent="0.25">
      <c r="A370" s="85">
        <v>46144</v>
      </c>
      <c r="B370" t="s">
        <v>148</v>
      </c>
      <c r="C370">
        <v>11</v>
      </c>
      <c r="D370" s="86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86">
        <f>AVERAGEIFS($C$2:C370, $B$2:B370, B370)</f>
        <v>13.25</v>
      </c>
      <c r="AB370" s="86">
        <f>AVERAGEIFS($I$2:I370, $B$2:B370, B370)</f>
        <v>0.57291666666666663</v>
      </c>
      <c r="AC370" s="86">
        <f>AVERAGEIFS($J$2:J370, $B$2:B370, B370)</f>
        <v>0.53333333333333333</v>
      </c>
      <c r="AD370" s="86">
        <f>AVERAGEIFS($D$2:D370, $B$2:B370, B370)</f>
        <v>0.625</v>
      </c>
    </row>
    <row r="371" spans="1:30" x14ac:dyDescent="0.25">
      <c r="A371" s="85">
        <v>46144</v>
      </c>
      <c r="B371" t="s">
        <v>37</v>
      </c>
      <c r="C371">
        <v>19</v>
      </c>
      <c r="D371" s="86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86">
        <f>AVERAGEIFS($C$2:C371, $B$2:B371, B371)</f>
        <v>19.727272727272727</v>
      </c>
      <c r="AB371" s="86">
        <f>AVERAGEIFS($I$2:I371, $B$2:B371, B371)</f>
        <v>0.43636363636363634</v>
      </c>
      <c r="AC371" s="86">
        <f>AVERAGEIFS($J$2:J371, $B$2:B371, B371)</f>
        <v>0.45363636363636356</v>
      </c>
      <c r="AD371" s="86">
        <f>AVERAGEIFS($D$2:D371, $B$2:B371, B371)</f>
        <v>0.54545454545454541</v>
      </c>
    </row>
    <row r="372" spans="1:30" x14ac:dyDescent="0.25">
      <c r="A372" s="85">
        <v>46144</v>
      </c>
      <c r="B372" t="s">
        <v>35</v>
      </c>
      <c r="C372">
        <v>13</v>
      </c>
      <c r="D372" s="86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86">
        <f>AVERAGEIFS($C$2:C372, $B$2:B372, B372)</f>
        <v>13.6875</v>
      </c>
      <c r="AB372" s="86">
        <f>AVERAGEIFS($I$2:I372, $B$2:B372, B372)</f>
        <v>0.39374999999999993</v>
      </c>
      <c r="AC372" s="86">
        <f>AVERAGEIFS($J$2:J372, $B$2:B372, B372)</f>
        <v>0.42124999999999996</v>
      </c>
      <c r="AD372" s="86">
        <f>AVERAGEIFS($D$2:D372, $B$2:B372, B372)</f>
        <v>0.4375</v>
      </c>
    </row>
    <row r="373" spans="1:30" x14ac:dyDescent="0.25">
      <c r="A373" s="85">
        <v>46144</v>
      </c>
      <c r="B373" t="s">
        <v>179</v>
      </c>
      <c r="C373">
        <v>19</v>
      </c>
      <c r="D373" s="86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86">
        <f>AVERAGEIFS($C$2:C373, $B$2:B373, B373)</f>
        <v>13.5</v>
      </c>
      <c r="AB373" s="86">
        <f>AVERAGEIFS($I$2:I373, $B$2:B373, B373)</f>
        <v>0.625</v>
      </c>
      <c r="AC373" s="86">
        <f>AVERAGEIFS($J$2:J373, $B$2:B373, B373)</f>
        <v>0.47499999999999998</v>
      </c>
      <c r="AD373" s="86">
        <f>AVERAGEIFS($D$2:D373, $B$2:B373, B373)</f>
        <v>0.5</v>
      </c>
    </row>
    <row r="374" spans="1:30" x14ac:dyDescent="0.25">
      <c r="A374" s="85">
        <v>46145</v>
      </c>
      <c r="B374" t="s">
        <v>13</v>
      </c>
      <c r="C374">
        <v>28</v>
      </c>
      <c r="D374" s="86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86">
        <f>AVERAGEIFS($C$2:C374, $B$2:B374, B374)</f>
        <v>25.346153846153847</v>
      </c>
      <c r="AB374" s="86">
        <f>AVERAGEIFS($I$2:I374, $B$2:B374, B374)</f>
        <v>0.59615384615384615</v>
      </c>
      <c r="AC374" s="86">
        <f>AVERAGEIFS($J$2:J374, $B$2:B374, B374)</f>
        <v>0.5626923076923076</v>
      </c>
      <c r="AD374" s="86">
        <f>AVERAGEIFS($D$2:D374, $B$2:B374, B374)</f>
        <v>0.61538461538461542</v>
      </c>
    </row>
    <row r="375" spans="1:30" x14ac:dyDescent="0.25">
      <c r="A375" s="85">
        <v>46145</v>
      </c>
      <c r="B375" t="s">
        <v>37</v>
      </c>
      <c r="C375">
        <v>35</v>
      </c>
      <c r="D375" s="86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86">
        <f>AVERAGEIFS($C$2:C375, $B$2:B375, B375)</f>
        <v>21</v>
      </c>
      <c r="AB375" s="86">
        <f>AVERAGEIFS($I$2:I375, $B$2:B375, B375)</f>
        <v>0.42083333333333334</v>
      </c>
      <c r="AC375" s="86">
        <f>AVERAGEIFS($J$2:J375, $B$2:B375, B375)</f>
        <v>0.45083333333333325</v>
      </c>
      <c r="AD375" s="86">
        <f>AVERAGEIFS($D$2:D375, $B$2:B375, B375)</f>
        <v>0.5</v>
      </c>
    </row>
    <row r="376" spans="1:30" x14ac:dyDescent="0.25">
      <c r="A376" s="85">
        <v>46145</v>
      </c>
      <c r="B376" t="s">
        <v>141</v>
      </c>
      <c r="C376">
        <v>16</v>
      </c>
      <c r="D376" s="86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86">
        <f>AVERAGEIFS($C$2:C376, $B$2:B376, B376)</f>
        <v>18.2</v>
      </c>
      <c r="AB376" s="86">
        <f>AVERAGEIFS($I$2:I376, $B$2:B376, B376)</f>
        <v>0.45999999999999996</v>
      </c>
      <c r="AC376" s="86">
        <f>AVERAGEIFS($J$2:J376, $B$2:B376, B376)</f>
        <v>0.45599999999999996</v>
      </c>
      <c r="AD376" s="86">
        <f>AVERAGEIFS($D$2:D376, $B$2:B376, B376)</f>
        <v>0.2</v>
      </c>
    </row>
    <row r="377" spans="1:30" x14ac:dyDescent="0.25">
      <c r="A377" s="85">
        <v>46145</v>
      </c>
      <c r="B377" t="s">
        <v>155</v>
      </c>
      <c r="C377">
        <v>20</v>
      </c>
      <c r="D377" s="86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86">
        <f>AVERAGEIFS($C$2:C377, $B$2:B377, B377)</f>
        <v>18.149999999999999</v>
      </c>
      <c r="AB377" s="86">
        <f>AVERAGEIFS($I$2:I377, $B$2:B377, B377)</f>
        <v>0.32999999999999996</v>
      </c>
      <c r="AC377" s="86">
        <f>AVERAGEIFS($J$2:J377, $B$2:B377, B377)</f>
        <v>0.43000000000000005</v>
      </c>
      <c r="AD377" s="86">
        <f>AVERAGEIFS($D$2:D377, $B$2:B377, B377)</f>
        <v>0.25</v>
      </c>
    </row>
    <row r="378" spans="1:30" x14ac:dyDescent="0.25">
      <c r="A378" s="85">
        <v>46145</v>
      </c>
      <c r="B378" t="s">
        <v>161</v>
      </c>
      <c r="C378">
        <v>16</v>
      </c>
      <c r="D378" s="86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86">
        <f>AVERAGEIFS($C$2:C378, $B$2:B378, B378)</f>
        <v>15.5</v>
      </c>
      <c r="AB378" s="86">
        <f>AVERAGEIFS($I$2:I378, $B$2:B378, B378)</f>
        <v>0.25</v>
      </c>
      <c r="AC378" s="86">
        <f>AVERAGEIFS($J$2:J378, $B$2:B378, B378)</f>
        <v>0.42</v>
      </c>
      <c r="AD378" s="86">
        <f>AVERAGEIFS($D$2:D378, $B$2:B378, B378)</f>
        <v>0</v>
      </c>
    </row>
    <row r="379" spans="1:30" x14ac:dyDescent="0.25">
      <c r="A379" s="85">
        <v>46145</v>
      </c>
      <c r="B379" t="s">
        <v>26</v>
      </c>
      <c r="C379">
        <v>29</v>
      </c>
      <c r="D379" s="86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86">
        <f>AVERAGEIFS($C$2:C379, $B$2:B379, B379)</f>
        <v>17.8</v>
      </c>
      <c r="AB379" s="86">
        <f>AVERAGEIFS($I$2:I379, $B$2:B379, B379)</f>
        <v>0.46500000000000002</v>
      </c>
      <c r="AC379" s="86">
        <f>AVERAGEIFS($J$2:J379, $B$2:B379, B379)</f>
        <v>0.46100000000000002</v>
      </c>
      <c r="AD379" s="86">
        <f>AVERAGEIFS($D$2:D379, $B$2:B379, B379)</f>
        <v>0.4</v>
      </c>
    </row>
    <row r="380" spans="1:30" x14ac:dyDescent="0.25">
      <c r="A380" s="85">
        <v>46145</v>
      </c>
      <c r="B380" t="s">
        <v>29</v>
      </c>
      <c r="C380">
        <v>13</v>
      </c>
      <c r="D380" s="86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86">
        <f>AVERAGEIFS($C$2:C380, $B$2:B380, B380)</f>
        <v>12.1</v>
      </c>
      <c r="AB380" s="86">
        <f>AVERAGEIFS($I$2:I380, $B$2:B380, B380)</f>
        <v>0.37749999999999995</v>
      </c>
      <c r="AC380" s="86">
        <f>AVERAGEIFS($J$2:J380, $B$2:B380, B380)</f>
        <v>0.45800000000000002</v>
      </c>
      <c r="AD380" s="86">
        <f>AVERAGEIFS($D$2:D380, $B$2:B380, B380)</f>
        <v>0.3</v>
      </c>
    </row>
    <row r="381" spans="1:30" x14ac:dyDescent="0.25">
      <c r="A381" s="85">
        <v>46145</v>
      </c>
      <c r="B381" t="s">
        <v>140</v>
      </c>
      <c r="C381">
        <v>17</v>
      </c>
      <c r="D381" s="86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86">
        <f>AVERAGEIFS($C$2:C381, $B$2:B381, B381)</f>
        <v>7.7777777777777777</v>
      </c>
      <c r="AB381" s="86">
        <f>AVERAGEIFS($I$2:I381, $B$2:B381, B381)</f>
        <v>0.44444444444444442</v>
      </c>
      <c r="AC381" s="86">
        <f>AVERAGEIFS($J$2:J381, $B$2:B381, B381)</f>
        <v>0.49</v>
      </c>
      <c r="AD381" s="86">
        <f>AVERAGEIFS($D$2:D381, $B$2:B381, B381)</f>
        <v>0.44444444444444442</v>
      </c>
    </row>
    <row r="382" spans="1:30" x14ac:dyDescent="0.25">
      <c r="A382" s="85">
        <v>46145</v>
      </c>
      <c r="B382" t="s">
        <v>18</v>
      </c>
      <c r="C382">
        <v>39</v>
      </c>
      <c r="D382" s="86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86">
        <f>AVERAGEIFS($C$2:C382, $B$2:B382, B382)</f>
        <v>28.46153846153846</v>
      </c>
      <c r="AB382" s="86">
        <f>AVERAGEIFS($I$2:I382, $B$2:B382, B382)</f>
        <v>0.5461538461538461</v>
      </c>
      <c r="AC382" s="86">
        <f>AVERAGEIFS($J$2:J382, $B$2:B382, B382)</f>
        <v>0.52538461538461534</v>
      </c>
      <c r="AD382" s="86">
        <f>AVERAGEIFS($D$2:D382, $B$2:B382, B382)</f>
        <v>0.61538461538461542</v>
      </c>
    </row>
    <row r="383" spans="1:30" x14ac:dyDescent="0.25">
      <c r="A383" s="85">
        <v>46145</v>
      </c>
      <c r="B383" t="s">
        <v>17</v>
      </c>
      <c r="C383">
        <v>27</v>
      </c>
      <c r="D383" s="86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86">
        <f>AVERAGEIFS($C$2:C383, $B$2:B383, B383)</f>
        <v>23.857142857142858</v>
      </c>
      <c r="AB383" s="86">
        <f>AVERAGEIFS($I$2:I383, $B$2:B383, B383)</f>
        <v>0.48333333333333334</v>
      </c>
      <c r="AC383" s="86">
        <f>AVERAGEIFS($J$2:J383, $B$2:B383, B383)</f>
        <v>0.49999999999999983</v>
      </c>
      <c r="AD383" s="86">
        <f>AVERAGEIFS($D$2:D383, $B$2:B383, B383)</f>
        <v>0.52380952380952384</v>
      </c>
    </row>
    <row r="384" spans="1:30" x14ac:dyDescent="0.25">
      <c r="A384" s="85">
        <v>46145</v>
      </c>
      <c r="B384" t="s">
        <v>25</v>
      </c>
      <c r="C384">
        <v>30</v>
      </c>
      <c r="D384" s="86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86">
        <f>AVERAGEIFS($C$2:C384, $B$2:B384, B384)</f>
        <v>19.857142857142858</v>
      </c>
      <c r="AB384" s="86">
        <f>AVERAGEIFS($I$2:I384, $B$2:B384, B384)</f>
        <v>0.55000000000000004</v>
      </c>
      <c r="AC384" s="86">
        <f>AVERAGEIFS($J$2:J384, $B$2:B384, B384)</f>
        <v>0.50571428571428567</v>
      </c>
      <c r="AD384" s="86">
        <f>AVERAGEIFS($D$2:D384, $B$2:B384, B384)</f>
        <v>0.6428571428571429</v>
      </c>
    </row>
    <row r="385" spans="1:30" x14ac:dyDescent="0.25">
      <c r="A385" s="85">
        <v>46145</v>
      </c>
      <c r="B385" t="s">
        <v>152</v>
      </c>
      <c r="C385">
        <v>16</v>
      </c>
      <c r="D385" s="86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86">
        <f>AVERAGEIFS($C$2:C385, $B$2:B385, B385)</f>
        <v>15.333333333333334</v>
      </c>
      <c r="AB385" s="86">
        <f>AVERAGEIFS($I$2:I385, $B$2:B385, B385)</f>
        <v>0.25833333333333336</v>
      </c>
      <c r="AC385" s="86">
        <f>AVERAGEIFS($J$2:J385, $B$2:B385, B385)</f>
        <v>0.37833333333333335</v>
      </c>
      <c r="AD385" s="86">
        <f>AVERAGEIFS($D$2:D385, $B$2:B385, B385)</f>
        <v>0.16666666666666666</v>
      </c>
    </row>
    <row r="386" spans="1:30" x14ac:dyDescent="0.25">
      <c r="A386" s="85">
        <v>46145</v>
      </c>
      <c r="B386" t="s">
        <v>27</v>
      </c>
      <c r="C386">
        <v>22</v>
      </c>
      <c r="D386" s="86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86">
        <f>AVERAGEIFS($C$2:C386, $B$2:B386, B386)</f>
        <v>18.625</v>
      </c>
      <c r="AB386" s="86">
        <f>AVERAGEIFS($I$2:I386, $B$2:B386, B386)</f>
        <v>0.625</v>
      </c>
      <c r="AC386" s="86">
        <f>AVERAGEIFS($J$2:J386, $B$2:B386, B386)</f>
        <v>0.58500000000000008</v>
      </c>
      <c r="AD386" s="86">
        <f>AVERAGEIFS($D$2:D386, $B$2:B386, B386)</f>
        <v>0.75</v>
      </c>
    </row>
    <row r="387" spans="1:30" x14ac:dyDescent="0.25">
      <c r="A387" s="85">
        <v>46145</v>
      </c>
      <c r="B387" t="s">
        <v>148</v>
      </c>
      <c r="C387">
        <v>21</v>
      </c>
      <c r="D387" s="86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86">
        <f>AVERAGEIFS($C$2:C387, $B$2:B387, B387)</f>
        <v>13.56</v>
      </c>
      <c r="AB387" s="86">
        <f>AVERAGEIFS($I$2:I387, $B$2:B387, B387)</f>
        <v>0.57999999999999996</v>
      </c>
      <c r="AC387" s="86">
        <f>AVERAGEIFS($J$2:J387, $B$2:B387, B387)</f>
        <v>0.53520000000000001</v>
      </c>
      <c r="AD387" s="86">
        <f>AVERAGEIFS($D$2:D387, $B$2:B387, B387)</f>
        <v>0.64</v>
      </c>
    </row>
    <row r="388" spans="1:30" x14ac:dyDescent="0.25">
      <c r="A388" s="85">
        <v>46145</v>
      </c>
      <c r="B388" t="s">
        <v>55</v>
      </c>
      <c r="C388">
        <v>17</v>
      </c>
      <c r="D388" s="86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86">
        <f>AVERAGEIFS($C$2:C388, $B$2:B388, B388)</f>
        <v>10.833333333333334</v>
      </c>
      <c r="AB388" s="86">
        <f>AVERAGEIFS($I$2:I388, $B$2:B388, B388)</f>
        <v>0.69166666666666676</v>
      </c>
      <c r="AC388" s="86">
        <f>AVERAGEIFS($J$2:J388, $B$2:B388, B388)</f>
        <v>0.61666666666666659</v>
      </c>
      <c r="AD388" s="86">
        <f>AVERAGEIFS($D$2:D388, $B$2:B388, B388)</f>
        <v>0.66666666666666663</v>
      </c>
    </row>
    <row r="389" spans="1:30" x14ac:dyDescent="0.25">
      <c r="A389" s="85">
        <v>46145</v>
      </c>
      <c r="B389" t="s">
        <v>38</v>
      </c>
      <c r="C389">
        <v>8</v>
      </c>
      <c r="D389" s="86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86">
        <f>AVERAGEIFS($C$2:C389, $B$2:B389, B389)</f>
        <v>11.571428571428571</v>
      </c>
      <c r="AB389" s="86">
        <f>AVERAGEIFS($I$2:I389, $B$2:B389, B389)</f>
        <v>0.47857142857142859</v>
      </c>
      <c r="AC389" s="86">
        <f>AVERAGEIFS($J$2:J389, $B$2:B389, B389)</f>
        <v>0.48571428571428571</v>
      </c>
      <c r="AD389" s="86">
        <f>AVERAGEIFS($D$2:D389, $B$2:B389, B389)</f>
        <v>0.5714285714285714</v>
      </c>
    </row>
    <row r="390" spans="1:30" x14ac:dyDescent="0.25">
      <c r="A390" s="85">
        <v>46145</v>
      </c>
      <c r="B390" t="s">
        <v>13</v>
      </c>
      <c r="C390">
        <v>23</v>
      </c>
      <c r="D390" s="86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86">
        <f>AVERAGEIFS($C$2:C390, $B$2:B390, B390)</f>
        <v>25.25925925925926</v>
      </c>
      <c r="AB390" s="86">
        <f>AVERAGEIFS($I$2:I390, $B$2:B390, B390)</f>
        <v>0.61111111111111116</v>
      </c>
      <c r="AC390" s="86">
        <f>AVERAGEIFS($J$2:J390, $B$2:B390, B390)</f>
        <v>0.56740740740740736</v>
      </c>
      <c r="AD390" s="86">
        <f>AVERAGEIFS($D$2:D390, $B$2:B390, B390)</f>
        <v>0.62962962962962965</v>
      </c>
    </row>
    <row r="391" spans="1:30" x14ac:dyDescent="0.25">
      <c r="A391" s="85">
        <v>46145</v>
      </c>
      <c r="B391" t="s">
        <v>15</v>
      </c>
      <c r="C391">
        <v>13</v>
      </c>
      <c r="D391" s="86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86">
        <f>AVERAGEIFS($C$2:C391, $B$2:B391, B391)</f>
        <v>22.428571428571427</v>
      </c>
      <c r="AB391" s="86">
        <f>AVERAGEIFS($I$2:I391, $B$2:B391, B391)</f>
        <v>0.58214285714285707</v>
      </c>
      <c r="AC391" s="86">
        <f>AVERAGEIFS($J$2:J391, $B$2:B391, B391)</f>
        <v>0.54928571428571427</v>
      </c>
      <c r="AD391" s="86">
        <f>AVERAGEIFS($D$2:D391, $B$2:B391, B391)</f>
        <v>0.5714285714285714</v>
      </c>
    </row>
    <row r="392" spans="1:30" x14ac:dyDescent="0.25">
      <c r="A392" s="85">
        <v>46145</v>
      </c>
      <c r="B392" t="s">
        <v>6</v>
      </c>
      <c r="C392">
        <v>10</v>
      </c>
      <c r="D392" s="86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86">
        <f>AVERAGEIFS($C$2:C392, $B$2:B392, B392)</f>
        <v>23.1</v>
      </c>
      <c r="AB392" s="86">
        <f>AVERAGEIFS($I$2:I392, $B$2:B392, B392)</f>
        <v>0.65500000000000003</v>
      </c>
      <c r="AC392" s="86">
        <f>AVERAGEIFS($J$2:J392, $B$2:B392, B392)</f>
        <v>0.58499999999999996</v>
      </c>
      <c r="AD392" s="86">
        <f>AVERAGEIFS($D$2:D392, $B$2:B392, B392)</f>
        <v>0.6</v>
      </c>
    </row>
    <row r="393" spans="1:30" x14ac:dyDescent="0.25">
      <c r="A393" s="85">
        <v>46145</v>
      </c>
      <c r="B393" t="s">
        <v>155</v>
      </c>
      <c r="C393">
        <v>10</v>
      </c>
      <c r="D393" s="86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86">
        <f>AVERAGEIFS($C$2:C393, $B$2:B393, B393)</f>
        <v>17.761904761904763</v>
      </c>
      <c r="AB393" s="86">
        <f>AVERAGEIFS($I$2:I393, $B$2:B393, B393)</f>
        <v>0.3619047619047619</v>
      </c>
      <c r="AC393" s="86">
        <f>AVERAGEIFS($J$2:J393, $B$2:B393, B393)</f>
        <v>0.44238095238095243</v>
      </c>
      <c r="AD393" s="86">
        <f>AVERAGEIFS($D$2:D393, $B$2:B393, B393)</f>
        <v>0.2857142857142857</v>
      </c>
    </row>
    <row r="394" spans="1:30" x14ac:dyDescent="0.25">
      <c r="A394" s="85">
        <v>46145</v>
      </c>
      <c r="B394" t="s">
        <v>27</v>
      </c>
      <c r="C394">
        <v>9</v>
      </c>
      <c r="D394" s="86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86">
        <f>AVERAGEIFS($C$2:C394, $B$2:B394, B394)</f>
        <v>17.555555555555557</v>
      </c>
      <c r="AB394" s="86">
        <f>AVERAGEIFS($I$2:I394, $B$2:B394, B394)</f>
        <v>0.66666666666666663</v>
      </c>
      <c r="AC394" s="86">
        <f>AVERAGEIFS($J$2:J394, $B$2:B394, B394)</f>
        <v>0.59666666666666679</v>
      </c>
      <c r="AD394" s="86">
        <f>AVERAGEIFS($D$2:D394, $B$2:B394, B394)</f>
        <v>0.77777777777777779</v>
      </c>
    </row>
    <row r="395" spans="1:30" x14ac:dyDescent="0.25">
      <c r="A395" s="85">
        <v>46145</v>
      </c>
      <c r="B395" t="s">
        <v>179</v>
      </c>
      <c r="C395">
        <v>15</v>
      </c>
      <c r="D395" s="86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86">
        <f>AVERAGEIFS($C$2:C395, $B$2:B395, B395)</f>
        <v>14</v>
      </c>
      <c r="AB395" s="86">
        <f>AVERAGEIFS($I$2:I395, $B$2:B395, B395)</f>
        <v>0.75</v>
      </c>
      <c r="AC395" s="86">
        <f>AVERAGEIFS($J$2:J395, $B$2:B395, B395)</f>
        <v>0.54666666666666663</v>
      </c>
      <c r="AD395" s="86">
        <f>AVERAGEIFS($D$2:D395, $B$2:B395, B395)</f>
        <v>0.66666666666666663</v>
      </c>
    </row>
    <row r="396" spans="1:30" x14ac:dyDescent="0.25">
      <c r="A396" s="85">
        <v>46145</v>
      </c>
      <c r="B396" t="s">
        <v>26</v>
      </c>
      <c r="C396">
        <v>8</v>
      </c>
      <c r="D396" s="8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86">
        <f>AVERAGEIFS($C$2:C396, $B$2:B396, B396)</f>
        <v>16.90909090909091</v>
      </c>
      <c r="AB396" s="86">
        <f>AVERAGEIFS($I$2:I396, $B$2:B396, B396)</f>
        <v>0.51363636363636367</v>
      </c>
      <c r="AC396" s="86">
        <f>AVERAGEIFS($J$2:J396, $B$2:B396, B396)</f>
        <v>0.48181818181818187</v>
      </c>
      <c r="AD396" s="86">
        <f>AVERAGEIFS($D$2:D396, $B$2:B396, B396)</f>
        <v>0.45454545454545453</v>
      </c>
    </row>
    <row r="397" spans="1:30" x14ac:dyDescent="0.25">
      <c r="A397" s="85">
        <v>46145</v>
      </c>
      <c r="B397" t="s">
        <v>18</v>
      </c>
      <c r="C397">
        <v>9</v>
      </c>
      <c r="D397" s="86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86">
        <f>AVERAGEIFS($C$2:C397, $B$2:B397, B397)</f>
        <v>27.071428571428573</v>
      </c>
      <c r="AB397" s="86">
        <f>AVERAGEIFS($I$2:I397, $B$2:B397, B397)</f>
        <v>0.50714285714285712</v>
      </c>
      <c r="AC397" s="86">
        <f>AVERAGEIFS($J$2:J397, $B$2:B397, B397)</f>
        <v>0.51</v>
      </c>
      <c r="AD397" s="86">
        <f>AVERAGEIFS($D$2:D397, $B$2:B397, B397)</f>
        <v>0.5714285714285714</v>
      </c>
    </row>
    <row r="398" spans="1:30" x14ac:dyDescent="0.25">
      <c r="A398" s="85">
        <v>46145</v>
      </c>
      <c r="B398" t="s">
        <v>17</v>
      </c>
      <c r="C398">
        <v>11</v>
      </c>
      <c r="D398" s="86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86">
        <f>AVERAGEIFS($C$2:C398, $B$2:B398, B398)</f>
        <v>23.272727272727273</v>
      </c>
      <c r="AB398" s="86">
        <f>AVERAGEIFS($I$2:I398, $B$2:B398, B398)</f>
        <v>0.46136363636363636</v>
      </c>
      <c r="AC398" s="86">
        <f>AVERAGEIFS($J$2:J398, $B$2:B398, B398)</f>
        <v>0.49136363636363622</v>
      </c>
      <c r="AD398" s="86">
        <f>AVERAGEIFS($D$2:D398, $B$2:B398, B398)</f>
        <v>0.5</v>
      </c>
    </row>
    <row r="399" spans="1:30" x14ac:dyDescent="0.25">
      <c r="A399" s="85">
        <v>46145</v>
      </c>
      <c r="B399" t="s">
        <v>37</v>
      </c>
      <c r="C399">
        <v>18</v>
      </c>
      <c r="D399" s="86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86">
        <f>AVERAGEIFS($C$2:C399, $B$2:B399, B399)</f>
        <v>20.76923076923077</v>
      </c>
      <c r="AB399" s="86">
        <f>AVERAGEIFS($I$2:I399, $B$2:B399, B399)</f>
        <v>0.38846153846153847</v>
      </c>
      <c r="AC399" s="86">
        <f>AVERAGEIFS($J$2:J399, $B$2:B399, B399)</f>
        <v>0.43999999999999989</v>
      </c>
      <c r="AD399" s="86">
        <f>AVERAGEIFS($D$2:D399, $B$2:B399, B399)</f>
        <v>0.46153846153846156</v>
      </c>
    </row>
    <row r="400" spans="1:30" x14ac:dyDescent="0.25">
      <c r="A400" s="85">
        <v>46145</v>
      </c>
      <c r="B400" t="s">
        <v>141</v>
      </c>
      <c r="C400">
        <v>10</v>
      </c>
      <c r="D400" s="86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86">
        <f>AVERAGEIFS($C$2:C400, $B$2:B400, B400)</f>
        <v>16.833333333333332</v>
      </c>
      <c r="AB400" s="86">
        <f>AVERAGEIFS($I$2:I400, $B$2:B400, B400)</f>
        <v>0.3833333333333333</v>
      </c>
      <c r="AC400" s="86">
        <f>AVERAGEIFS($J$2:J400, $B$2:B400, B400)</f>
        <v>0.43166666666666664</v>
      </c>
      <c r="AD400" s="86">
        <f>AVERAGEIFS($D$2:D400, $B$2:B400, B400)</f>
        <v>0.16666666666666666</v>
      </c>
    </row>
    <row r="401" spans="1:30" x14ac:dyDescent="0.25">
      <c r="A401" s="85">
        <v>46145</v>
      </c>
      <c r="B401" t="s">
        <v>25</v>
      </c>
      <c r="C401">
        <v>6</v>
      </c>
      <c r="D401" s="86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86">
        <f>AVERAGEIFS($C$2:C401, $B$2:B401, B401)</f>
        <v>18.933333333333334</v>
      </c>
      <c r="AB401" s="86">
        <f>AVERAGEIFS($I$2:I401, $B$2:B401, B401)</f>
        <v>0.51333333333333331</v>
      </c>
      <c r="AC401" s="86">
        <f>AVERAGEIFS($J$2:J401, $B$2:B401, B401)</f>
        <v>0.49266666666666664</v>
      </c>
      <c r="AD401" s="86">
        <f>AVERAGEIFS($D$2:D401, $B$2:B401, B401)</f>
        <v>0.6</v>
      </c>
    </row>
    <row r="402" spans="1:30" x14ac:dyDescent="0.25">
      <c r="A402" s="85">
        <v>46145</v>
      </c>
      <c r="B402" t="s">
        <v>146</v>
      </c>
      <c r="C402">
        <v>12</v>
      </c>
      <c r="D402" s="86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86">
        <f>AVERAGEIFS($C$2:C402, $B$2:B402, B402)</f>
        <v>13.142857142857142</v>
      </c>
      <c r="AB402" s="86">
        <f>AVERAGEIFS($I$2:I402, $B$2:B402, B402)</f>
        <v>0.29285714285714282</v>
      </c>
      <c r="AC402" s="86">
        <f>AVERAGEIFS($J$2:J402, $B$2:B402, B402)</f>
        <v>0.42142857142857143</v>
      </c>
      <c r="AD402" s="86">
        <f>AVERAGEIFS($D$2:D402, $B$2:B402, B402)</f>
        <v>0.14285714285714285</v>
      </c>
    </row>
    <row r="403" spans="1:30" x14ac:dyDescent="0.25">
      <c r="A403" s="85">
        <v>46145</v>
      </c>
      <c r="B403" t="s">
        <v>140</v>
      </c>
      <c r="C403">
        <v>11</v>
      </c>
      <c r="D403" s="86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86">
        <f>AVERAGEIFS($C$2:C403, $B$2:B403, B403)</f>
        <v>8.1</v>
      </c>
      <c r="AB403" s="86">
        <f>AVERAGEIFS($I$2:I403, $B$2:B403, B403)</f>
        <v>0.4</v>
      </c>
      <c r="AC403" s="86">
        <f>AVERAGEIFS($J$2:J403, $B$2:B403, B403)</f>
        <v>0.47199999999999998</v>
      </c>
      <c r="AD403" s="86">
        <f>AVERAGEIFS($D$2:D403, $B$2:B403, B403)</f>
        <v>0.4</v>
      </c>
    </row>
    <row r="404" spans="1:30" x14ac:dyDescent="0.25">
      <c r="A404" s="85">
        <v>46149</v>
      </c>
      <c r="B404" t="s">
        <v>14</v>
      </c>
      <c r="C404">
        <v>30</v>
      </c>
      <c r="D404" s="86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86">
        <f>AVERAGEIFS($C$2:C404, $B$2:B404, B404)</f>
        <v>23.388888888888889</v>
      </c>
      <c r="AB404" s="86">
        <f>AVERAGEIFS($I$2:I404, $B$2:B404, B404)</f>
        <v>0.36388888888888887</v>
      </c>
      <c r="AC404" s="86">
        <f>AVERAGEIFS($J$2:J404, $B$2:B404, B404)</f>
        <v>0.43611111111111112</v>
      </c>
      <c r="AD404" s="86">
        <f>AVERAGEIFS($D$2:D404, $B$2:B404, B404)</f>
        <v>0.27777777777777779</v>
      </c>
    </row>
    <row r="405" spans="1:30" x14ac:dyDescent="0.25">
      <c r="A405" s="85">
        <v>46149</v>
      </c>
      <c r="B405" t="s">
        <v>18</v>
      </c>
      <c r="C405">
        <v>23</v>
      </c>
      <c r="D405" s="86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86">
        <f>AVERAGEIFS($C$2:C405, $B$2:B405, B405)</f>
        <v>26.8</v>
      </c>
      <c r="AB405" s="86">
        <f>AVERAGEIFS($I$2:I405, $B$2:B405, B405)</f>
        <v>0.53999999999999992</v>
      </c>
      <c r="AC405" s="86">
        <f>AVERAGEIFS($J$2:J405, $B$2:B405, B405)</f>
        <v>0.52200000000000002</v>
      </c>
      <c r="AD405" s="86">
        <f>AVERAGEIFS($D$2:D405, $B$2:B405, B405)</f>
        <v>0.6</v>
      </c>
    </row>
    <row r="406" spans="1:30" x14ac:dyDescent="0.25">
      <c r="A406" s="85">
        <v>46149</v>
      </c>
      <c r="B406" t="s">
        <v>5</v>
      </c>
      <c r="C406">
        <v>21</v>
      </c>
      <c r="D406" s="86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86">
        <f>AVERAGEIFS($C$2:C406, $B$2:B406, B406)</f>
        <v>26.625</v>
      </c>
      <c r="AB406" s="86">
        <f>AVERAGEIFS($I$2:I406, $B$2:B406, B406)</f>
        <v>0.57499999999999996</v>
      </c>
      <c r="AC406" s="86">
        <f>AVERAGEIFS($J$2:J406, $B$2:B406, B406)</f>
        <v>0.53125</v>
      </c>
      <c r="AD406" s="86">
        <f>AVERAGEIFS($D$2:D406, $B$2:B406, B406)</f>
        <v>0.625</v>
      </c>
    </row>
    <row r="407" spans="1:30" x14ac:dyDescent="0.25">
      <c r="A407" s="85">
        <v>46149</v>
      </c>
      <c r="B407" t="s">
        <v>2</v>
      </c>
      <c r="C407">
        <v>19</v>
      </c>
      <c r="D407" s="86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86">
        <f>AVERAGEIFS($C$2:C407, $B$2:B407, B407)</f>
        <v>25.75</v>
      </c>
      <c r="AB407" s="86">
        <f>AVERAGEIFS($I$2:I407, $B$2:B407, B407)</f>
        <v>0.85</v>
      </c>
      <c r="AC407" s="86">
        <f>AVERAGEIFS($J$2:J407, $B$2:B407, B407)</f>
        <v>0.61249999999999993</v>
      </c>
      <c r="AD407" s="86">
        <f>AVERAGEIFS($D$2:D407, $B$2:B407, B407)</f>
        <v>0.75</v>
      </c>
    </row>
    <row r="408" spans="1:30" x14ac:dyDescent="0.25">
      <c r="A408" s="85">
        <v>46149</v>
      </c>
      <c r="B408" t="s">
        <v>150</v>
      </c>
      <c r="C408">
        <v>12</v>
      </c>
      <c r="D408" s="86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86">
        <f>AVERAGEIFS($C$2:C408, $B$2:B408, B408)</f>
        <v>17.899999999999999</v>
      </c>
      <c r="AB408" s="86">
        <f>AVERAGEIFS($I$2:I408, $B$2:B408, B408)</f>
        <v>0.76</v>
      </c>
      <c r="AC408" s="86">
        <f>AVERAGEIFS($J$2:J408, $B$2:B408, B408)</f>
        <v>0.65799999999999981</v>
      </c>
      <c r="AD408" s="86">
        <f>AVERAGEIFS($D$2:D408, $B$2:B408, B408)</f>
        <v>0.9</v>
      </c>
    </row>
    <row r="409" spans="1:30" x14ac:dyDescent="0.25">
      <c r="A409" s="85">
        <v>46149</v>
      </c>
      <c r="B409" t="s">
        <v>37</v>
      </c>
      <c r="C409">
        <v>12</v>
      </c>
      <c r="D409" s="86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86">
        <f>AVERAGEIFS($C$2:C409, $B$2:B409, B409)</f>
        <v>20.142857142857142</v>
      </c>
      <c r="AB409" s="86">
        <f>AVERAGEIFS($I$2:I409, $B$2:B409, B409)</f>
        <v>0.43214285714285711</v>
      </c>
      <c r="AC409" s="86">
        <f>AVERAGEIFS($J$2:J409, $B$2:B409, B409)</f>
        <v>0.45785714285714274</v>
      </c>
      <c r="AD409" s="86">
        <f>AVERAGEIFS($D$2:D409, $B$2:B409, B409)</f>
        <v>0.5</v>
      </c>
    </row>
    <row r="410" spans="1:30" x14ac:dyDescent="0.25">
      <c r="A410" s="85">
        <v>46149</v>
      </c>
      <c r="B410" t="s">
        <v>35</v>
      </c>
      <c r="C410">
        <v>5</v>
      </c>
      <c r="D410" s="86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86">
        <f>AVERAGEIFS($C$2:C410, $B$2:B410, B410)</f>
        <v>13.176470588235293</v>
      </c>
      <c r="AB410" s="86">
        <f>AVERAGEIFS($I$2:I410, $B$2:B410, B410)</f>
        <v>0.42941176470588227</v>
      </c>
      <c r="AC410" s="86">
        <f>AVERAGEIFS($J$2:J410, $B$2:B410, B410)</f>
        <v>0.43705882352941172</v>
      </c>
      <c r="AD410" s="86">
        <f>AVERAGEIFS($D$2:D410, $B$2:B410, B410)</f>
        <v>0.47058823529411764</v>
      </c>
    </row>
    <row r="411" spans="1:30" x14ac:dyDescent="0.25">
      <c r="A411" s="85">
        <v>46149</v>
      </c>
      <c r="B411" t="s">
        <v>140</v>
      </c>
      <c r="C411">
        <v>3</v>
      </c>
      <c r="D411" s="86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86">
        <f>AVERAGEIFS($C$2:C411, $B$2:B411, B411)</f>
        <v>7.6363636363636367</v>
      </c>
      <c r="AB411" s="86">
        <f>AVERAGEIFS($I$2:I411, $B$2:B411, B411)</f>
        <v>0.45454545454545453</v>
      </c>
      <c r="AC411" s="86">
        <f>AVERAGEIFS($J$2:J411, $B$2:B411, B411)</f>
        <v>0.49181818181818182</v>
      </c>
      <c r="AD411" s="86">
        <f>AVERAGEIFS($D$2:D411, $B$2:B411, B411)</f>
        <v>0.45454545454545453</v>
      </c>
    </row>
    <row r="412" spans="1:30" x14ac:dyDescent="0.25">
      <c r="A412" s="85">
        <v>46149</v>
      </c>
      <c r="B412" t="s">
        <v>13</v>
      </c>
      <c r="C412">
        <v>18</v>
      </c>
      <c r="D412" s="86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25</v>
      </c>
      <c r="AB412" s="86">
        <f>AVERAGEIFS($I$2:I412, $B$2:B412, B412)</f>
        <v>0.5892857142857143</v>
      </c>
      <c r="AC412" s="86">
        <f>AVERAGEIFS($J$2:J412, $B$2:B412, B412)</f>
        <v>0.55821428571428566</v>
      </c>
      <c r="AD412" s="86">
        <f>AVERAGEIFS($D$2:D412, $B$2:B412, B412)</f>
        <v>0.6071428571428571</v>
      </c>
    </row>
    <row r="413" spans="1:30" x14ac:dyDescent="0.25">
      <c r="A413" s="85">
        <v>46149</v>
      </c>
      <c r="B413" t="s">
        <v>113</v>
      </c>
      <c r="C413">
        <v>18</v>
      </c>
      <c r="D413" s="86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19.25</v>
      </c>
      <c r="AB413" s="86">
        <f>AVERAGEIFS($I$2:I413, $B$2:B413, B413)</f>
        <v>0.60416666666666663</v>
      </c>
      <c r="AC413" s="86">
        <f>AVERAGEIFS($J$2:J413, $B$2:B413, B413)</f>
        <v>0.53333333333333333</v>
      </c>
      <c r="AD413" s="86">
        <f>AVERAGEIFS($D$2:D413, $B$2:B413, B413)</f>
        <v>0.66666666666666663</v>
      </c>
    </row>
    <row r="414" spans="1:30" x14ac:dyDescent="0.25">
      <c r="A414" s="85">
        <v>46149</v>
      </c>
      <c r="B414" t="s">
        <v>15</v>
      </c>
      <c r="C414">
        <v>16</v>
      </c>
      <c r="D414" s="86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22</v>
      </c>
      <c r="AB414" s="86">
        <f>AVERAGEIFS($I$2:I414, $B$2:B414, B414)</f>
        <v>0.54333333333333322</v>
      </c>
      <c r="AC414" s="86">
        <f>AVERAGEIFS($J$2:J414, $B$2:B414, B414)</f>
        <v>0.53333333333333333</v>
      </c>
      <c r="AD414" s="86">
        <f>AVERAGEIFS($D$2:D414, $B$2:B414, B414)</f>
        <v>0.53333333333333333</v>
      </c>
    </row>
    <row r="415" spans="1:30" x14ac:dyDescent="0.25">
      <c r="A415" s="85">
        <v>46149</v>
      </c>
      <c r="B415" t="s">
        <v>155</v>
      </c>
      <c r="C415">
        <v>15</v>
      </c>
      <c r="D415" s="86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86">
        <f>AVERAGEIFS($C$2:C415, $B$2:B415, B415)</f>
        <v>17.636363636363637</v>
      </c>
      <c r="AB415" s="86">
        <f>AVERAGEIFS($I$2:I415, $B$2:B415, B415)</f>
        <v>0.34545454545454546</v>
      </c>
      <c r="AC415" s="86">
        <f>AVERAGEIFS($J$2:J415, $B$2:B415, B415)</f>
        <v>0.43636363636363645</v>
      </c>
      <c r="AD415" s="86">
        <f>AVERAGEIFS($D$2:D415, $B$2:B415, B415)</f>
        <v>0.27272727272727271</v>
      </c>
    </row>
    <row r="416" spans="1:30" x14ac:dyDescent="0.25">
      <c r="A416" s="85">
        <v>46149</v>
      </c>
      <c r="B416" t="s">
        <v>154</v>
      </c>
      <c r="C416">
        <v>10</v>
      </c>
      <c r="D416" s="86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86">
        <f>AVERAGEIFS($C$2:C416, $B$2:B416, B416)</f>
        <v>10.5</v>
      </c>
      <c r="AB416" s="86">
        <f>AVERAGEIFS($I$2:I416, $B$2:B416, B416)</f>
        <v>0.5625</v>
      </c>
      <c r="AC416" s="86">
        <f>AVERAGEIFS($J$2:J416, $B$2:B416, B416)</f>
        <v>0.55249999999999999</v>
      </c>
      <c r="AD416" s="86">
        <f>AVERAGEIFS($D$2:D416, $B$2:B416, B416)</f>
        <v>0.625</v>
      </c>
    </row>
    <row r="417" spans="1:30" x14ac:dyDescent="0.25">
      <c r="A417" s="85">
        <v>46149</v>
      </c>
      <c r="B417" t="s">
        <v>148</v>
      </c>
      <c r="C417">
        <v>9</v>
      </c>
      <c r="D417" s="86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86">
        <f>AVERAGEIFS($C$2:C417, $B$2:B417, B417)</f>
        <v>13.384615384615385</v>
      </c>
      <c r="AB417" s="86">
        <f>AVERAGEIFS($I$2:I417, $B$2:B417, B417)</f>
        <v>0.55769230769230771</v>
      </c>
      <c r="AC417" s="86">
        <f>AVERAGEIFS($J$2:J417, $B$2:B417, B417)</f>
        <v>0.52653846153846162</v>
      </c>
      <c r="AD417" s="86">
        <f>AVERAGEIFS($D$2:D417, $B$2:B417, B417)</f>
        <v>0.61538461538461542</v>
      </c>
    </row>
    <row r="418" spans="1:30" x14ac:dyDescent="0.25">
      <c r="A418" s="85">
        <v>46149</v>
      </c>
      <c r="B418" t="s">
        <v>17</v>
      </c>
      <c r="C418">
        <v>9</v>
      </c>
      <c r="D418" s="86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86">
        <f>AVERAGEIFS($C$2:C418, $B$2:B418, B418)</f>
        <v>22.652173913043477</v>
      </c>
      <c r="AB418" s="86">
        <f>AVERAGEIFS($I$2:I418, $B$2:B418, B418)</f>
        <v>0.44130434782608696</v>
      </c>
      <c r="AC418" s="86">
        <f>AVERAGEIFS($J$2:J418, $B$2:B418, B418)</f>
        <v>0.48347826086956508</v>
      </c>
      <c r="AD418" s="86">
        <f>AVERAGEIFS($D$2:D418, $B$2:B418, B418)</f>
        <v>0.47826086956521741</v>
      </c>
    </row>
    <row r="419" spans="1:30" x14ac:dyDescent="0.25">
      <c r="A419" s="85">
        <v>46149</v>
      </c>
      <c r="B419" t="s">
        <v>139</v>
      </c>
      <c r="C419">
        <v>5</v>
      </c>
      <c r="D419" s="86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86">
        <f>AVERAGEIFS($C$2:C419, $B$2:B419, B419)</f>
        <v>10.153846153846153</v>
      </c>
      <c r="AB419" s="86">
        <f>AVERAGEIFS($I$2:I419, $B$2:B419, B419)</f>
        <v>0.48461538461538461</v>
      </c>
      <c r="AC419" s="86">
        <f>AVERAGEIFS($J$2:J419, $B$2:B419, B419)</f>
        <v>0.51076923076923075</v>
      </c>
      <c r="AD419" s="86">
        <f>AVERAGEIFS($D$2:D419, $B$2:B419, B419)</f>
        <v>0.61538461538461542</v>
      </c>
    </row>
    <row r="420" spans="1:30" x14ac:dyDescent="0.25">
      <c r="A420" s="85">
        <v>46149</v>
      </c>
      <c r="B420" t="s">
        <v>13</v>
      </c>
      <c r="C420">
        <v>16</v>
      </c>
      <c r="D420" s="86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86">
        <f>AVERAGEIFS($C$2:C420, $B$2:B420, B420)</f>
        <v>24.689655172413794</v>
      </c>
      <c r="AB420" s="86">
        <f>AVERAGEIFS($I$2:I420, $B$2:B420, B420)</f>
        <v>0.59482758620689657</v>
      </c>
      <c r="AC420" s="86">
        <f>AVERAGEIFS($J$2:J420, $B$2:B420, B420)</f>
        <v>0.56068965517241376</v>
      </c>
      <c r="AD420" s="86">
        <f>AVERAGEIFS($D$2:D420, $B$2:B420, B420)</f>
        <v>0.62068965517241381</v>
      </c>
    </row>
    <row r="421" spans="1:30" x14ac:dyDescent="0.25">
      <c r="A421" s="85">
        <v>46149</v>
      </c>
      <c r="B421" t="s">
        <v>15</v>
      </c>
      <c r="C421">
        <v>14</v>
      </c>
      <c r="D421" s="86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86">
        <f>AVERAGEIFS($C$2:C421, $B$2:B421, B421)</f>
        <v>21.5</v>
      </c>
      <c r="AB421" s="86">
        <f>AVERAGEIFS($I$2:I421, $B$2:B421, B421)</f>
        <v>0.55624999999999991</v>
      </c>
      <c r="AC421" s="86">
        <f>AVERAGEIFS($J$2:J421, $B$2:B421, B421)</f>
        <v>0.53937499999999994</v>
      </c>
      <c r="AD421" s="86">
        <f>AVERAGEIFS($D$2:D421, $B$2:B421, B421)</f>
        <v>0.5625</v>
      </c>
    </row>
    <row r="422" spans="1:30" x14ac:dyDescent="0.25">
      <c r="A422" s="85">
        <v>46149</v>
      </c>
      <c r="B422" t="s">
        <v>29</v>
      </c>
      <c r="C422">
        <v>9</v>
      </c>
      <c r="D422" s="86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86">
        <f>AVERAGEIFS($C$2:C422, $B$2:B422, B422)</f>
        <v>11.952380952380953</v>
      </c>
      <c r="AB422" s="86">
        <f>AVERAGEIFS($I$2:I422, $B$2:B422, B422)</f>
        <v>0.39523809523809517</v>
      </c>
      <c r="AC422" s="86">
        <f>AVERAGEIFS($J$2:J422, $B$2:B422, B422)</f>
        <v>0.46619047619047621</v>
      </c>
      <c r="AD422" s="86">
        <f>AVERAGEIFS($D$2:D422, $B$2:B422, B422)</f>
        <v>0.33333333333333331</v>
      </c>
    </row>
    <row r="423" spans="1:30" x14ac:dyDescent="0.25">
      <c r="A423" s="85">
        <v>46149</v>
      </c>
      <c r="B423" t="s">
        <v>18</v>
      </c>
      <c r="C423">
        <v>30</v>
      </c>
      <c r="D423" s="86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86">
        <f>AVERAGEIFS($C$2:C423, $B$2:B423, B423)</f>
        <v>27</v>
      </c>
      <c r="AB423" s="86">
        <f>AVERAGEIFS($I$2:I423, $B$2:B423, B423)</f>
        <v>0.55312499999999998</v>
      </c>
      <c r="AC423" s="86">
        <f>AVERAGEIFS($J$2:J423, $B$2:B423, B423)</f>
        <v>0.52875000000000005</v>
      </c>
      <c r="AD423" s="86">
        <f>AVERAGEIFS($D$2:D423, $B$2:B423, B423)</f>
        <v>0.625</v>
      </c>
    </row>
    <row r="424" spans="1:30" x14ac:dyDescent="0.25">
      <c r="A424" s="85">
        <v>46149</v>
      </c>
      <c r="B424" t="s">
        <v>141</v>
      </c>
      <c r="C424">
        <v>17</v>
      </c>
      <c r="D424" s="86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86">
        <f>AVERAGEIFS($C$2:C424, $B$2:B424, B424)</f>
        <v>16.857142857142858</v>
      </c>
      <c r="AB424" s="86">
        <f>AVERAGEIFS($I$2:I424, $B$2:B424, B424)</f>
        <v>0.43571428571428567</v>
      </c>
      <c r="AC424" s="86">
        <f>AVERAGEIFS($J$2:J424, $B$2:B424, B424)</f>
        <v>0.45999999999999996</v>
      </c>
      <c r="AD424" s="86">
        <f>AVERAGEIFS($D$2:D424, $B$2:B424, B424)</f>
        <v>0.2857142857142857</v>
      </c>
    </row>
    <row r="425" spans="1:30" x14ac:dyDescent="0.25">
      <c r="A425" s="85">
        <v>46149</v>
      </c>
      <c r="B425" t="s">
        <v>155</v>
      </c>
      <c r="C425">
        <v>18</v>
      </c>
      <c r="D425" s="86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86">
        <f>AVERAGEIFS($C$2:C425, $B$2:B425, B425)</f>
        <v>17.652173913043477</v>
      </c>
      <c r="AB425" s="86">
        <f>AVERAGEIFS($I$2:I425, $B$2:B425, B425)</f>
        <v>0.36304347826086952</v>
      </c>
      <c r="AC425" s="86">
        <f>AVERAGEIFS($J$2:J425, $B$2:B425, B425)</f>
        <v>0.44478260869565228</v>
      </c>
      <c r="AD425" s="86">
        <f>AVERAGEIFS($D$2:D425, $B$2:B425, B425)</f>
        <v>0.30434782608695654</v>
      </c>
    </row>
    <row r="426" spans="1:30" x14ac:dyDescent="0.25">
      <c r="A426" s="85">
        <v>46149</v>
      </c>
      <c r="B426" t="s">
        <v>35</v>
      </c>
      <c r="C426">
        <v>13</v>
      </c>
      <c r="D426" s="8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86">
        <f>AVERAGEIFS($C$2:C426, $B$2:B426, B426)</f>
        <v>13.166666666666666</v>
      </c>
      <c r="AB426" s="86">
        <f>AVERAGEIFS($I$2:I426, $B$2:B426, B426)</f>
        <v>0.44722222222222219</v>
      </c>
      <c r="AC426" s="86">
        <f>AVERAGEIFS($J$2:J426, $B$2:B426, B426)</f>
        <v>0.44777777777777783</v>
      </c>
      <c r="AD426" s="86">
        <f>AVERAGEIFS($D$2:D426, $B$2:B426, B426)</f>
        <v>0.5</v>
      </c>
    </row>
    <row r="427" spans="1:30" x14ac:dyDescent="0.25">
      <c r="A427" s="85">
        <v>46149</v>
      </c>
      <c r="B427" t="s">
        <v>6</v>
      </c>
      <c r="C427">
        <v>16</v>
      </c>
      <c r="D427" s="86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86">
        <f>AVERAGEIFS($C$2:C427, $B$2:B427, B427)</f>
        <v>22.454545454545453</v>
      </c>
      <c r="AB427" s="86">
        <f>AVERAGEIFS($I$2:I427, $B$2:B427, B427)</f>
        <v>0.61818181818181817</v>
      </c>
      <c r="AC427" s="86">
        <f>AVERAGEIFS($J$2:J427, $B$2:B427, B427)</f>
        <v>0.56636363636363629</v>
      </c>
      <c r="AD427" s="86">
        <f>AVERAGEIFS($D$2:D427, $B$2:B427, B427)</f>
        <v>0.54545454545454541</v>
      </c>
    </row>
    <row r="428" spans="1:30" x14ac:dyDescent="0.25">
      <c r="A428" s="85">
        <v>46149</v>
      </c>
      <c r="B428" t="s">
        <v>146</v>
      </c>
      <c r="C428">
        <v>8</v>
      </c>
      <c r="D428" s="86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86">
        <f>AVERAGEIFS($C$2:C428, $B$2:B428, B428)</f>
        <v>12.5</v>
      </c>
      <c r="AB428" s="86">
        <f>AVERAGEIFS($I$2:I428, $B$2:B428, B428)</f>
        <v>0.28749999999999998</v>
      </c>
      <c r="AC428" s="86">
        <f>AVERAGEIFS($J$2:J428, $B$2:B428, B428)</f>
        <v>0.41625000000000001</v>
      </c>
      <c r="AD428" s="86">
        <f>AVERAGEIFS($D$2:D428, $B$2:B428, B428)</f>
        <v>0.125</v>
      </c>
    </row>
    <row r="429" spans="1:30" x14ac:dyDescent="0.25">
      <c r="A429" s="85">
        <v>46149</v>
      </c>
      <c r="B429" t="s">
        <v>154</v>
      </c>
      <c r="C429">
        <v>12</v>
      </c>
      <c r="D429" s="86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86">
        <f>AVERAGEIFS($C$2:C429, $B$2:B429, B429)</f>
        <v>10.666666666666666</v>
      </c>
      <c r="AB429" s="86">
        <f>AVERAGEIFS($I$2:I429, $B$2:B429, B429)</f>
        <v>0.52777777777777779</v>
      </c>
      <c r="AC429" s="86">
        <f>AVERAGEIFS($J$2:J429, $B$2:B429, B429)</f>
        <v>0.53333333333333333</v>
      </c>
      <c r="AD429" s="86">
        <f>AVERAGEIFS($D$2:D429, $B$2:B429, B429)</f>
        <v>0.55555555555555558</v>
      </c>
    </row>
    <row r="430" spans="1:30" x14ac:dyDescent="0.25">
      <c r="A430" s="85">
        <v>46149</v>
      </c>
      <c r="B430" t="s">
        <v>113</v>
      </c>
      <c r="C430">
        <v>16</v>
      </c>
      <c r="D430" s="86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86">
        <f>AVERAGEIFS($C$2:C430, $B$2:B430, B430)</f>
        <v>19</v>
      </c>
      <c r="AB430" s="86">
        <f>AVERAGEIFS($I$2:I430, $B$2:B430, B430)</f>
        <v>0.57692307692307687</v>
      </c>
      <c r="AC430" s="86">
        <f>AVERAGEIFS($J$2:J430, $B$2:B430, B430)</f>
        <v>0.52153846153846151</v>
      </c>
      <c r="AD430" s="86">
        <f>AVERAGEIFS($D$2:D430, $B$2:B430, B430)</f>
        <v>0.61538461538461542</v>
      </c>
    </row>
    <row r="431" spans="1:30" x14ac:dyDescent="0.25">
      <c r="A431" s="85">
        <v>46149</v>
      </c>
      <c r="B431" t="s">
        <v>5</v>
      </c>
      <c r="C431">
        <v>18</v>
      </c>
      <c r="D431" s="86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86">
        <f>AVERAGEIFS($C$2:C431, $B$2:B431, B431)</f>
        <v>25.666666666666668</v>
      </c>
      <c r="AB431" s="86">
        <f>AVERAGEIFS($I$2:I431, $B$2:B431, B431)</f>
        <v>0.53888888888888886</v>
      </c>
      <c r="AC431" s="86">
        <f>AVERAGEIFS($J$2:J431, $B$2:B431, B431)</f>
        <v>0.51444444444444448</v>
      </c>
      <c r="AD431" s="86">
        <f>AVERAGEIFS($D$2:D431, $B$2:B431, B431)</f>
        <v>0.55555555555555558</v>
      </c>
    </row>
    <row r="432" spans="1:30" x14ac:dyDescent="0.25">
      <c r="A432" s="85">
        <v>46149</v>
      </c>
      <c r="B432" t="s">
        <v>150</v>
      </c>
      <c r="C432">
        <v>15</v>
      </c>
      <c r="D432" s="86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86">
        <f>AVERAGEIFS($C$2:C432, $B$2:B432, B432)</f>
        <v>17.636363636363637</v>
      </c>
      <c r="AB432" s="86">
        <f>AVERAGEIFS($I$2:I432, $B$2:B432, B432)</f>
        <v>0.71363636363636362</v>
      </c>
      <c r="AC432" s="86">
        <f>AVERAGEIFS($J$2:J432, $B$2:B432, B432)</f>
        <v>0.63272727272727258</v>
      </c>
      <c r="AD432" s="86">
        <f>AVERAGEIFS($D$2:D432, $B$2:B432, B432)</f>
        <v>0.81818181818181823</v>
      </c>
    </row>
    <row r="433" spans="1:30" x14ac:dyDescent="0.25">
      <c r="A433" s="85">
        <v>46149</v>
      </c>
      <c r="B433" t="s">
        <v>140</v>
      </c>
      <c r="C433">
        <v>12</v>
      </c>
      <c r="D433" s="86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86">
        <f>AVERAGEIFS($C$2:C433, $B$2:B433, B433)</f>
        <v>8</v>
      </c>
      <c r="AB433" s="86">
        <f>AVERAGEIFS($I$2:I433, $B$2:B433, B433)</f>
        <v>0.4375</v>
      </c>
      <c r="AC433" s="86">
        <f>AVERAGEIFS($J$2:J433, $B$2:B433, B433)</f>
        <v>0.48249999999999998</v>
      </c>
      <c r="AD433" s="86">
        <f>AVERAGEIFS($D$2:D433, $B$2:B433, B433)</f>
        <v>0.41666666666666669</v>
      </c>
    </row>
    <row r="434" spans="1:30" x14ac:dyDescent="0.25">
      <c r="A434" s="85">
        <v>46149</v>
      </c>
      <c r="B434" t="s">
        <v>6</v>
      </c>
      <c r="C434">
        <v>66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86">
        <f>AVERAGEIFS($C$2:C434, $B$2:B434, B434)</f>
        <v>26.083333333333332</v>
      </c>
      <c r="AB434" s="86">
        <f>AVERAGEIFS($I$2:I434, $B$2:B434, B434)</f>
        <v>0.61666666666666659</v>
      </c>
      <c r="AC434" s="86">
        <f>AVERAGEIFS($J$2:J434, $B$2:B434, B434)</f>
        <v>0.5625</v>
      </c>
      <c r="AD434" s="86">
        <f>AVERAGEIFS($D$2:D434, $B$2:B434, B434)</f>
        <v>0.58333333333333337</v>
      </c>
    </row>
    <row r="435" spans="1:30" x14ac:dyDescent="0.25">
      <c r="A435" s="85">
        <v>46149</v>
      </c>
      <c r="B435" t="s">
        <v>113</v>
      </c>
      <c r="C435">
        <v>50</v>
      </c>
      <c r="D435" s="86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21.214285714285715</v>
      </c>
      <c r="AB435" s="86">
        <f>AVERAGEIFS($I$2:I435, $B$2:B435, B435)</f>
        <v>0.57857142857142851</v>
      </c>
      <c r="AC435" s="86">
        <f>AVERAGEIFS($J$2:J435, $B$2:B435, B435)</f>
        <v>0.52142857142857135</v>
      </c>
      <c r="AD435" s="86">
        <f>AVERAGEIFS($D$2:D435, $B$2:B435, B435)</f>
        <v>0.6428571428571429</v>
      </c>
    </row>
    <row r="436" spans="1:30" x14ac:dyDescent="0.25">
      <c r="A436" s="85">
        <v>46149</v>
      </c>
      <c r="B436" t="s">
        <v>40</v>
      </c>
      <c r="C436">
        <v>40</v>
      </c>
      <c r="D436" s="8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20.416666666666668</v>
      </c>
      <c r="AB436" s="86">
        <f>AVERAGEIFS($I$2:I436, $B$2:B436, B436)</f>
        <v>0.53333333333333333</v>
      </c>
      <c r="AC436" s="86">
        <f>AVERAGEIFS($J$2:J436, $B$2:B436, B436)</f>
        <v>0.49499999999999994</v>
      </c>
      <c r="AD436" s="86">
        <f>AVERAGEIFS($D$2:D436, $B$2:B436, B436)</f>
        <v>0.5</v>
      </c>
    </row>
    <row r="437" spans="1:30" x14ac:dyDescent="0.25">
      <c r="A437" s="85">
        <v>46149</v>
      </c>
      <c r="B437" t="s">
        <v>147</v>
      </c>
      <c r="C437">
        <v>35</v>
      </c>
      <c r="D437" s="86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18.125</v>
      </c>
      <c r="AB437" s="86">
        <f>AVERAGEIFS($I$2:I437, $B$2:B437, B437)</f>
        <v>0.34375</v>
      </c>
      <c r="AC437" s="86">
        <f>AVERAGEIFS($J$2:J437, $B$2:B437, B437)</f>
        <v>0.43</v>
      </c>
      <c r="AD437" s="86">
        <f>AVERAGEIFS($D$2:D437, $B$2:B437, B437)</f>
        <v>0.375</v>
      </c>
    </row>
    <row r="438" spans="1:30" x14ac:dyDescent="0.25">
      <c r="A438" s="85">
        <v>46149</v>
      </c>
      <c r="B438" t="s">
        <v>154</v>
      </c>
      <c r="C438">
        <v>35</v>
      </c>
      <c r="D438" s="86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13.1</v>
      </c>
      <c r="AB438" s="86">
        <f>AVERAGEIFS($I$2:I438, $B$2:B438, B438)</f>
        <v>0.53499999999999992</v>
      </c>
      <c r="AC438" s="86">
        <f>AVERAGEIFS($J$2:J438, $B$2:B438, B438)</f>
        <v>0.53200000000000003</v>
      </c>
      <c r="AD438" s="86">
        <f>AVERAGEIFS($D$2:D438, $B$2:B438, B438)</f>
        <v>0.6</v>
      </c>
    </row>
    <row r="439" spans="1:30" x14ac:dyDescent="0.25">
      <c r="A439" s="85">
        <v>46149</v>
      </c>
      <c r="B439" t="s">
        <v>146</v>
      </c>
      <c r="C439">
        <v>22</v>
      </c>
      <c r="D439" s="86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13.555555555555555</v>
      </c>
      <c r="AB439" s="86">
        <f>AVERAGEIFS($I$2:I439, $B$2:B439, B439)</f>
        <v>0.32222222222222219</v>
      </c>
      <c r="AC439" s="86">
        <f>AVERAGEIFS($J$2:J439, $B$2:B439, B439)</f>
        <v>0.42777777777777781</v>
      </c>
      <c r="AD439" s="86">
        <f>AVERAGEIFS($D$2:D439, $B$2:B439, B439)</f>
        <v>0.22222222222222221</v>
      </c>
    </row>
    <row r="440" spans="1:30" x14ac:dyDescent="0.25">
      <c r="A440" s="85">
        <v>46149</v>
      </c>
      <c r="B440" t="s">
        <v>2</v>
      </c>
      <c r="C440">
        <v>68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86">
        <f>AVERAGEIFS($C$2:C440, $B$2:B440, B440)</f>
        <v>34.200000000000003</v>
      </c>
      <c r="AB440" s="86">
        <f>AVERAGEIFS($I$2:I440, $B$2:B440, B440)</f>
        <v>0.76</v>
      </c>
      <c r="AC440" s="86">
        <f>AVERAGEIFS($J$2:J440, $B$2:B440, B440)</f>
        <v>0.58599999999999997</v>
      </c>
      <c r="AD440" s="86">
        <f>AVERAGEIFS($D$2:D440, $B$2:B440, B440)</f>
        <v>0.6</v>
      </c>
    </row>
    <row r="441" spans="1:30" x14ac:dyDescent="0.25">
      <c r="A441" s="85">
        <v>46149</v>
      </c>
      <c r="B441" t="s">
        <v>18</v>
      </c>
      <c r="C441">
        <v>58</v>
      </c>
      <c r="D441" s="86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86">
        <f>AVERAGEIFS($C$2:C441, $B$2:B441, B441)</f>
        <v>28.823529411764707</v>
      </c>
      <c r="AB441" s="86">
        <f>AVERAGEIFS($I$2:I441, $B$2:B441, B441)</f>
        <v>0.54411764705882348</v>
      </c>
      <c r="AC441" s="86">
        <f>AVERAGEIFS($J$2:J441, $B$2:B441, B441)</f>
        <v>0.52588235294117658</v>
      </c>
      <c r="AD441" s="86">
        <f>AVERAGEIFS($D$2:D441, $B$2:B441, B441)</f>
        <v>0.58823529411764708</v>
      </c>
    </row>
    <row r="442" spans="1:30" x14ac:dyDescent="0.25">
      <c r="A442" s="85">
        <v>46149</v>
      </c>
      <c r="B442" t="s">
        <v>25</v>
      </c>
      <c r="C442">
        <v>50</v>
      </c>
      <c r="D442" s="86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86">
        <f>AVERAGEIFS($C$2:C442, $B$2:B442, B442)</f>
        <v>20.875</v>
      </c>
      <c r="AB442" s="86">
        <f>AVERAGEIFS($I$2:I442, $B$2:B442, B442)</f>
        <v>0.50624999999999998</v>
      </c>
      <c r="AC442" s="86">
        <f>AVERAGEIFS($J$2:J442, $B$2:B442, B442)</f>
        <v>0.49187499999999995</v>
      </c>
      <c r="AD442" s="86">
        <f>AVERAGEIFS($D$2:D442, $B$2:B442, B442)</f>
        <v>0.5625</v>
      </c>
    </row>
    <row r="443" spans="1:30" x14ac:dyDescent="0.25">
      <c r="A443" s="85">
        <v>46149</v>
      </c>
      <c r="B443" t="s">
        <v>150</v>
      </c>
      <c r="C443">
        <v>41</v>
      </c>
      <c r="D443" s="86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86">
        <f>AVERAGEIFS($C$2:C443, $B$2:B443, B443)</f>
        <v>19.583333333333332</v>
      </c>
      <c r="AB443" s="86">
        <f>AVERAGEIFS($I$2:I443, $B$2:B443, B443)</f>
        <v>0.6875</v>
      </c>
      <c r="AC443" s="86">
        <f>AVERAGEIFS($J$2:J443, $B$2:B443, B443)</f>
        <v>0.61999999999999977</v>
      </c>
      <c r="AD443" s="86">
        <f>AVERAGEIFS($D$2:D443, $B$2:B443, B443)</f>
        <v>0.75</v>
      </c>
    </row>
    <row r="444" spans="1:30" x14ac:dyDescent="0.25">
      <c r="A444" s="85">
        <v>46149</v>
      </c>
      <c r="B444" t="s">
        <v>45</v>
      </c>
      <c r="C444">
        <v>29</v>
      </c>
      <c r="D444" s="86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86">
        <f>AVERAGEIFS($C$2:C444, $B$2:B444, B444)</f>
        <v>15.75</v>
      </c>
      <c r="AB444" s="86">
        <f>AVERAGEIFS($I$2:I444, $B$2:B444, B444)</f>
        <v>0.5</v>
      </c>
      <c r="AC444" s="86">
        <f>AVERAGEIFS($J$2:J444, $B$2:B444, B444)</f>
        <v>0.48624999999999996</v>
      </c>
      <c r="AD444" s="86">
        <f>AVERAGEIFS($D$2:D444, $B$2:B444, B444)</f>
        <v>0.5</v>
      </c>
    </row>
    <row r="445" spans="1:30" x14ac:dyDescent="0.25">
      <c r="A445" s="85">
        <v>46149</v>
      </c>
      <c r="B445" t="s">
        <v>140</v>
      </c>
      <c r="C445">
        <v>18</v>
      </c>
      <c r="D445" s="86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86">
        <f>AVERAGEIFS($C$2:C445, $B$2:B445, B445)</f>
        <v>8.7692307692307701</v>
      </c>
      <c r="AB445" s="86">
        <f>AVERAGEIFS($I$2:I445, $B$2:B445, B445)</f>
        <v>0.43461538461538463</v>
      </c>
      <c r="AC445" s="86">
        <f>AVERAGEIFS($J$2:J445, $B$2:B445, B445)</f>
        <v>0.48230769230769227</v>
      </c>
      <c r="AD445" s="86">
        <f>AVERAGEIFS($D$2:D445, $B$2:B445, B445)</f>
        <v>0.38461538461538464</v>
      </c>
    </row>
    <row r="446" spans="1:30" x14ac:dyDescent="0.25">
      <c r="A446" s="85">
        <v>46150</v>
      </c>
      <c r="B446" t="s">
        <v>35</v>
      </c>
      <c r="C446">
        <v>17</v>
      </c>
      <c r="D446" s="86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86">
        <f>AVERAGEIFS($C$2:C446, $B$2:B446, B446)</f>
        <v>13.368421052631579</v>
      </c>
      <c r="AB446" s="86">
        <f>AVERAGEIFS($I$2:I446, $B$2:B446, B446)</f>
        <v>0.47631578947368414</v>
      </c>
      <c r="AC446" s="86">
        <f>AVERAGEIFS($J$2:J446, $B$2:B446, B446)</f>
        <v>0.46368421052631581</v>
      </c>
      <c r="AD446" s="86">
        <f>AVERAGEIFS($D$2:D446, $B$2:B446, B446)</f>
        <v>0.52631578947368418</v>
      </c>
    </row>
    <row r="447" spans="1:30" x14ac:dyDescent="0.25">
      <c r="A447" s="85">
        <v>46150</v>
      </c>
      <c r="B447" t="s">
        <v>17</v>
      </c>
      <c r="C447">
        <v>17</v>
      </c>
      <c r="D447" s="86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86">
        <f>AVERAGEIFS($C$2:C447, $B$2:B447, B447)</f>
        <v>22.416666666666668</v>
      </c>
      <c r="AB447" s="86">
        <f>AVERAGEIFS($I$2:I447, $B$2:B447, B447)</f>
        <v>0.46458333333333335</v>
      </c>
      <c r="AC447" s="86">
        <f>AVERAGEIFS($J$2:J447, $B$2:B447, B447)</f>
        <v>0.49458333333333321</v>
      </c>
      <c r="AD447" s="86">
        <f>AVERAGEIFS($D$2:D447, $B$2:B447, B447)</f>
        <v>0.5</v>
      </c>
    </row>
    <row r="448" spans="1:30" x14ac:dyDescent="0.25">
      <c r="A448" s="85">
        <v>46150</v>
      </c>
      <c r="B448" t="s">
        <v>179</v>
      </c>
      <c r="C448">
        <v>14</v>
      </c>
      <c r="D448" s="86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86">
        <f>AVERAGEIFS($C$2:C448, $B$2:B448, B448)</f>
        <v>14</v>
      </c>
      <c r="AB448" s="86">
        <f>AVERAGEIFS($I$2:I448, $B$2:B448, B448)</f>
        <v>0.8125</v>
      </c>
      <c r="AC448" s="86">
        <f>AVERAGEIFS($J$2:J448, $B$2:B448, B448)</f>
        <v>0.59749999999999992</v>
      </c>
      <c r="AD448" s="86">
        <f>AVERAGEIFS($D$2:D448, $B$2:B448, B448)</f>
        <v>0.75</v>
      </c>
    </row>
    <row r="449" spans="1:30" x14ac:dyDescent="0.25">
      <c r="A449" s="85">
        <v>46150</v>
      </c>
      <c r="B449" t="s">
        <v>29</v>
      </c>
      <c r="C449">
        <v>11</v>
      </c>
      <c r="D449" s="86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86">
        <f>AVERAGEIFS($C$2:C449, $B$2:B449, B449)</f>
        <v>11.909090909090908</v>
      </c>
      <c r="AB449" s="86">
        <f>AVERAGEIFS($I$2:I449, $B$2:B449, B449)</f>
        <v>0.42272727272727267</v>
      </c>
      <c r="AC449" s="86">
        <f>AVERAGEIFS($J$2:J449, $B$2:B449, B449)</f>
        <v>0.47909090909090912</v>
      </c>
      <c r="AD449" s="86">
        <f>AVERAGEIFS($D$2:D449, $B$2:B449, B449)</f>
        <v>0.36363636363636365</v>
      </c>
    </row>
    <row r="450" spans="1:30" x14ac:dyDescent="0.25">
      <c r="A450" s="85">
        <v>46150</v>
      </c>
      <c r="B450" t="s">
        <v>148</v>
      </c>
      <c r="C450">
        <v>11</v>
      </c>
      <c r="D450" s="86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86">
        <f>AVERAGEIFS($C$2:C450, $B$2:B450, B450)</f>
        <v>13.296296296296296</v>
      </c>
      <c r="AB450" s="86">
        <f>AVERAGEIFS($I$2:I450, $B$2:B450, B450)</f>
        <v>0.57407407407407407</v>
      </c>
      <c r="AC450" s="86">
        <f>AVERAGEIFS($J$2:J450, $B$2:B450, B450)</f>
        <v>0.53481481481481485</v>
      </c>
      <c r="AD450" s="86">
        <f>AVERAGEIFS($D$2:D450, $B$2:B450, B450)</f>
        <v>0.62962962962962965</v>
      </c>
    </row>
    <row r="451" spans="1:30" x14ac:dyDescent="0.25">
      <c r="A451" s="85">
        <v>46150</v>
      </c>
      <c r="B451" t="s">
        <v>13</v>
      </c>
      <c r="C451">
        <v>10</v>
      </c>
      <c r="D451" s="86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86">
        <f>AVERAGEIFS($C$2:C451, $B$2:B451, B451)</f>
        <v>24.2</v>
      </c>
      <c r="AB451" s="86">
        <f>AVERAGEIFS($I$2:I451, $B$2:B451, B451)</f>
        <v>0.60833333333333328</v>
      </c>
      <c r="AC451" s="86">
        <f>AVERAGEIFS($J$2:J451, $B$2:B451, B451)</f>
        <v>0.56699999999999995</v>
      </c>
      <c r="AD451" s="86">
        <f>AVERAGEIFS($D$2:D451, $B$2:B451, B451)</f>
        <v>0.6333333333333333</v>
      </c>
    </row>
    <row r="452" spans="1:30" x14ac:dyDescent="0.25">
      <c r="A452" s="85">
        <v>46150</v>
      </c>
      <c r="B452" t="s">
        <v>4</v>
      </c>
      <c r="C452">
        <v>17</v>
      </c>
      <c r="D452" s="86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86">
        <f>AVERAGEIFS($C$2:C452, $B$2:B452, B452)</f>
        <v>24.222222222222221</v>
      </c>
      <c r="AB452" s="86">
        <f>AVERAGEIFS($I$2:I452, $B$2:B452, B452)</f>
        <v>0.38333333333333336</v>
      </c>
      <c r="AC452" s="86">
        <f>AVERAGEIFS($J$2:J452, $B$2:B452, B452)</f>
        <v>0.43111111111111111</v>
      </c>
      <c r="AD452" s="86">
        <f>AVERAGEIFS($D$2:D452, $B$2:B452, B452)</f>
        <v>0.44444444444444442</v>
      </c>
    </row>
    <row r="453" spans="1:30" x14ac:dyDescent="0.25">
      <c r="A453" s="85">
        <v>46150</v>
      </c>
      <c r="B453" t="s">
        <v>15</v>
      </c>
      <c r="C453">
        <v>14</v>
      </c>
      <c r="D453" s="86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86">
        <f>AVERAGEIFS($C$2:C453, $B$2:B453, B453)</f>
        <v>21.058823529411764</v>
      </c>
      <c r="AB453" s="86">
        <f>AVERAGEIFS($I$2:I453, $B$2:B453, B453)</f>
        <v>0.5235294117647058</v>
      </c>
      <c r="AC453" s="86">
        <f>AVERAGEIFS($J$2:J453, $B$2:B453, B453)</f>
        <v>0.52235294117647058</v>
      </c>
      <c r="AD453" s="86">
        <f>AVERAGEIFS($D$2:D453, $B$2:B453, B453)</f>
        <v>0.52941176470588236</v>
      </c>
    </row>
    <row r="454" spans="1:30" x14ac:dyDescent="0.25">
      <c r="A454" s="85">
        <v>46150</v>
      </c>
      <c r="B454" t="s">
        <v>141</v>
      </c>
      <c r="C454">
        <v>13</v>
      </c>
      <c r="D454" s="86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86">
        <f>AVERAGEIFS($C$2:C454, $B$2:B454, B454)</f>
        <v>16.375</v>
      </c>
      <c r="AB454" s="86">
        <f>AVERAGEIFS($I$2:I454, $B$2:B454, B454)</f>
        <v>0.38124999999999998</v>
      </c>
      <c r="AC454" s="86">
        <f>AVERAGEIFS($J$2:J454, $B$2:B454, B454)</f>
        <v>0.43374999999999997</v>
      </c>
      <c r="AD454" s="86">
        <f>AVERAGEIFS($D$2:D454, $B$2:B454, B454)</f>
        <v>0.25</v>
      </c>
    </row>
    <row r="455" spans="1:30" x14ac:dyDescent="0.25">
      <c r="A455" s="85">
        <v>46150</v>
      </c>
      <c r="B455" t="s">
        <v>150</v>
      </c>
      <c r="C455">
        <v>6</v>
      </c>
      <c r="D455" s="86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86">
        <f>AVERAGEIFS($C$2:C455, $B$2:B455, B455)</f>
        <v>18.53846153846154</v>
      </c>
      <c r="AB455" s="86">
        <f>AVERAGEIFS($I$2:I455, $B$2:B455, B455)</f>
        <v>0.63461538461538458</v>
      </c>
      <c r="AC455" s="86">
        <f>AVERAGEIFS($J$2:J455, $B$2:B455, B455)</f>
        <v>0.59153846153846135</v>
      </c>
      <c r="AD455" s="86">
        <f>AVERAGEIFS($D$2:D455, $B$2:B455, B455)</f>
        <v>0.69230769230769229</v>
      </c>
    </row>
    <row r="456" spans="1:30" x14ac:dyDescent="0.25">
      <c r="A456" s="85">
        <v>46150</v>
      </c>
      <c r="B456" t="s">
        <v>152</v>
      </c>
      <c r="C456">
        <v>4</v>
      </c>
      <c r="D456" s="86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86">
        <f>AVERAGEIFS($C$2:C456, $B$2:B456, B456)</f>
        <v>13.714285714285714</v>
      </c>
      <c r="AB456" s="86">
        <f>AVERAGEIFS($I$2:I456, $B$2:B456, B456)</f>
        <v>0.22142857142857145</v>
      </c>
      <c r="AC456" s="86">
        <f>AVERAGEIFS($J$2:J456, $B$2:B456, B456)</f>
        <v>0.36</v>
      </c>
      <c r="AD456" s="86">
        <f>AVERAGEIFS($D$2:D456, $B$2:B456, B456)</f>
        <v>0.14285714285714285</v>
      </c>
    </row>
    <row r="457" spans="1:30" x14ac:dyDescent="0.25">
      <c r="A457" s="85">
        <v>46150</v>
      </c>
      <c r="B457" t="s">
        <v>140</v>
      </c>
      <c r="C457">
        <v>3</v>
      </c>
      <c r="D457" s="86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8.3571428571428577</v>
      </c>
      <c r="AB457" s="86">
        <f>AVERAGEIFS($I$2:I457, $B$2:B457, B457)</f>
        <v>0.40357142857142858</v>
      </c>
      <c r="AC457" s="86">
        <f>AVERAGEIFS($J$2:J457, $B$2:B457, B457)</f>
        <v>0.46571428571428569</v>
      </c>
      <c r="AD457" s="86">
        <f>AVERAGEIFS($D$2:D457, $B$2:B457, B457)</f>
        <v>0.35714285714285715</v>
      </c>
    </row>
    <row r="458" spans="1:30" x14ac:dyDescent="0.25">
      <c r="A458" s="85">
        <v>46150</v>
      </c>
      <c r="B458" t="s">
        <v>179</v>
      </c>
      <c r="C458">
        <v>22</v>
      </c>
      <c r="D458" s="86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86">
        <f>AVERAGEIFS($C$2:C458, $B$2:B458, B458)</f>
        <v>15.6</v>
      </c>
      <c r="AB458" s="86">
        <f>AVERAGEIFS($I$2:I458, $B$2:B458, B458)</f>
        <v>0.85</v>
      </c>
      <c r="AC458" s="86">
        <f>AVERAGEIFS($J$2:J458, $B$2:B458, B458)</f>
        <v>0.62799999999999989</v>
      </c>
      <c r="AD458" s="86">
        <f>AVERAGEIFS($D$2:D458, $B$2:B458, B458)</f>
        <v>0.8</v>
      </c>
    </row>
    <row r="459" spans="1:30" x14ac:dyDescent="0.25">
      <c r="A459" s="85">
        <v>46150</v>
      </c>
      <c r="B459" t="s">
        <v>13</v>
      </c>
      <c r="C459">
        <v>19</v>
      </c>
      <c r="D459" s="86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86">
        <f>AVERAGEIFS($C$2:C459, $B$2:B459, B459)</f>
        <v>24.032258064516128</v>
      </c>
      <c r="AB459" s="86">
        <f>AVERAGEIFS($I$2:I459, $B$2:B459, B459)</f>
        <v>0.62096774193548387</v>
      </c>
      <c r="AC459" s="86">
        <f>AVERAGEIFS($J$2:J459, $B$2:B459, B459)</f>
        <v>0.57290322580645159</v>
      </c>
      <c r="AD459" s="86">
        <f>AVERAGEIFS($D$2:D459, $B$2:B459, B459)</f>
        <v>0.64516129032258063</v>
      </c>
    </row>
    <row r="460" spans="1:30" x14ac:dyDescent="0.25">
      <c r="A460" s="85">
        <v>46150</v>
      </c>
      <c r="B460" t="s">
        <v>150</v>
      </c>
      <c r="C460">
        <v>16</v>
      </c>
      <c r="D460" s="86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86">
        <f>AVERAGEIFS($C$2:C460, $B$2:B460, B460)</f>
        <v>18.357142857142858</v>
      </c>
      <c r="AB460" s="86">
        <f>AVERAGEIFS($I$2:I460, $B$2:B460, B460)</f>
        <v>0.6607142857142857</v>
      </c>
      <c r="AC460" s="86">
        <f>AVERAGEIFS($J$2:J460, $B$2:B460, B460)</f>
        <v>0.60285714285714265</v>
      </c>
      <c r="AD460" s="86">
        <f>AVERAGEIFS($D$2:D460, $B$2:B460, B460)</f>
        <v>0.7142857142857143</v>
      </c>
    </row>
    <row r="461" spans="1:30" x14ac:dyDescent="0.25">
      <c r="A461" s="85">
        <v>46150</v>
      </c>
      <c r="B461" t="s">
        <v>29</v>
      </c>
      <c r="C461">
        <v>14</v>
      </c>
      <c r="D461" s="86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86">
        <f>AVERAGEIFS($C$2:C461, $B$2:B461, B461)</f>
        <v>12</v>
      </c>
      <c r="AB461" s="86">
        <f>AVERAGEIFS($I$2:I461, $B$2:B461, B461)</f>
        <v>0.44782608695652171</v>
      </c>
      <c r="AC461" s="86">
        <f>AVERAGEIFS($J$2:J461, $B$2:B461, B461)</f>
        <v>0.49086956521739133</v>
      </c>
      <c r="AD461" s="86">
        <f>AVERAGEIFS($D$2:D461, $B$2:B461, B461)</f>
        <v>0.39130434782608697</v>
      </c>
    </row>
    <row r="462" spans="1:30" x14ac:dyDescent="0.25">
      <c r="A462" s="85">
        <v>46150</v>
      </c>
      <c r="B462" t="s">
        <v>148</v>
      </c>
      <c r="C462">
        <v>13</v>
      </c>
      <c r="D462" s="86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86">
        <f>AVERAGEIFS($C$2:C462, $B$2:B462, B462)</f>
        <v>13.285714285714286</v>
      </c>
      <c r="AB462" s="86">
        <f>AVERAGEIFS($I$2:I462, $B$2:B462, B462)</f>
        <v>0.5892857142857143</v>
      </c>
      <c r="AC462" s="86">
        <f>AVERAGEIFS($J$2:J462, $B$2:B462, B462)</f>
        <v>0.54250000000000009</v>
      </c>
      <c r="AD462" s="86">
        <f>AVERAGEIFS($D$2:D462, $B$2:B462, B462)</f>
        <v>0.6428571428571429</v>
      </c>
    </row>
    <row r="463" spans="1:30" x14ac:dyDescent="0.25">
      <c r="A463" s="85">
        <v>46150</v>
      </c>
      <c r="B463" t="s">
        <v>4</v>
      </c>
      <c r="C463">
        <v>8</v>
      </c>
      <c r="D463" s="86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86">
        <f>AVERAGEIFS($C$2:C463, $B$2:B463, B463)</f>
        <v>22.6</v>
      </c>
      <c r="AB463" s="86">
        <f>AVERAGEIFS($I$2:I463, $B$2:B463, B463)</f>
        <v>0.44500000000000001</v>
      </c>
      <c r="AC463" s="86">
        <f>AVERAGEIFS($J$2:J463, $B$2:B463, B463)</f>
        <v>0.46299999999999997</v>
      </c>
      <c r="AD463" s="86">
        <f>AVERAGEIFS($D$2:D463, $B$2:B463, B463)</f>
        <v>0.5</v>
      </c>
    </row>
    <row r="464" spans="1:30" x14ac:dyDescent="0.25">
      <c r="A464" s="85">
        <v>46150</v>
      </c>
      <c r="B464" t="s">
        <v>44</v>
      </c>
      <c r="C464">
        <v>7</v>
      </c>
      <c r="D464" s="86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86">
        <f>AVERAGEIFS($C$2:C464, $B$2:B464, B464)</f>
        <v>14.8</v>
      </c>
      <c r="AB464" s="86">
        <f>AVERAGEIFS($I$2:I464, $B$2:B464, B464)</f>
        <v>0.86999999999999988</v>
      </c>
      <c r="AC464" s="86">
        <f>AVERAGEIFS($J$2:J464, $B$2:B464, B464)</f>
        <v>0.67</v>
      </c>
      <c r="AD464" s="86">
        <f>AVERAGEIFS($D$2:D464, $B$2:B464, B464)</f>
        <v>1</v>
      </c>
    </row>
    <row r="465" spans="1:30" x14ac:dyDescent="0.25">
      <c r="A465" s="85">
        <v>46150</v>
      </c>
      <c r="B465" t="s">
        <v>35</v>
      </c>
      <c r="C465">
        <v>5</v>
      </c>
      <c r="D465" s="86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86">
        <f>AVERAGEIFS($C$2:C465, $B$2:B465, B465)</f>
        <v>12.95</v>
      </c>
      <c r="AB465" s="86">
        <f>AVERAGEIFS($I$2:I465, $B$2:B465, B465)</f>
        <v>0.50249999999999995</v>
      </c>
      <c r="AC465" s="86">
        <f>AVERAGEIFS($J$2:J465, $B$2:B465, B465)</f>
        <v>0.47800000000000004</v>
      </c>
      <c r="AD465" s="86">
        <f>AVERAGEIFS($D$2:D465, $B$2:B465, B465)</f>
        <v>0.55000000000000004</v>
      </c>
    </row>
    <row r="466" spans="1:30" x14ac:dyDescent="0.25">
      <c r="A466" s="85">
        <v>46150</v>
      </c>
      <c r="B466" t="s">
        <v>17</v>
      </c>
      <c r="C466">
        <v>19</v>
      </c>
      <c r="D466" s="86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86">
        <f>AVERAGEIFS($C$2:C466, $B$2:B466, B466)</f>
        <v>22.28</v>
      </c>
      <c r="AB466" s="86">
        <f>AVERAGEIFS($I$2:I466, $B$2:B466, B466)</f>
        <v>0.44600000000000001</v>
      </c>
      <c r="AC466" s="86">
        <f>AVERAGEIFS($J$2:J466, $B$2:B466, B466)</f>
        <v>0.4847999999999999</v>
      </c>
      <c r="AD466" s="86">
        <f>AVERAGEIFS($D$2:D466, $B$2:B466, B466)</f>
        <v>0.48</v>
      </c>
    </row>
    <row r="467" spans="1:30" x14ac:dyDescent="0.25">
      <c r="A467" s="85">
        <v>46150</v>
      </c>
      <c r="B467" t="s">
        <v>214</v>
      </c>
      <c r="C467">
        <v>18</v>
      </c>
      <c r="D467" s="86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86">
        <f>AVERAGEIFS($C$2:C467, $B$2:B467, B467)</f>
        <v>20.888888888888889</v>
      </c>
      <c r="AB467" s="86">
        <f>AVERAGEIFS($I$2:I467, $B$2:B467, B467)</f>
        <v>0.49444444444444435</v>
      </c>
      <c r="AC467" s="86">
        <f>AVERAGEIFS($J$2:J467, $B$2:B467, B467)</f>
        <v>0.50722222222222213</v>
      </c>
      <c r="AD467" s="86">
        <f>AVERAGEIFS($D$2:D467, $B$2:B467, B467)</f>
        <v>0.5</v>
      </c>
    </row>
    <row r="468" spans="1:30" x14ac:dyDescent="0.25">
      <c r="A468" s="85">
        <v>46150</v>
      </c>
      <c r="B468" t="s">
        <v>37</v>
      </c>
      <c r="C468">
        <v>18</v>
      </c>
      <c r="D468" s="86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86">
        <f>AVERAGEIFS($C$2:C468, $B$2:B468, B468)</f>
        <v>20</v>
      </c>
      <c r="AB468" s="86">
        <f>AVERAGEIFS($I$2:I468, $B$2:B468, B468)</f>
        <v>0.40333333333333332</v>
      </c>
      <c r="AC468" s="86">
        <f>AVERAGEIFS($J$2:J468, $B$2:B468, B468)</f>
        <v>0.44399999999999989</v>
      </c>
      <c r="AD468" s="86">
        <f>AVERAGEIFS($D$2:D468, $B$2:B468, B468)</f>
        <v>0.46666666666666667</v>
      </c>
    </row>
    <row r="469" spans="1:30" x14ac:dyDescent="0.25">
      <c r="A469" s="85">
        <v>46150</v>
      </c>
      <c r="B469" t="s">
        <v>152</v>
      </c>
      <c r="C469">
        <v>10</v>
      </c>
      <c r="D469" s="86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13.25</v>
      </c>
      <c r="AB469" s="86">
        <f>AVERAGEIFS($I$2:I469, $B$2:B469, B469)</f>
        <v>0.19375000000000001</v>
      </c>
      <c r="AC469" s="86">
        <f>AVERAGEIFS($J$2:J469, $B$2:B469, B469)</f>
        <v>0.34625</v>
      </c>
      <c r="AD469" s="86">
        <f>AVERAGEIFS($D$2:D469, $B$2:B469, B469)</f>
        <v>0.125</v>
      </c>
    </row>
    <row r="470" spans="1:30" x14ac:dyDescent="0.25">
      <c r="A470" s="85">
        <v>46150</v>
      </c>
      <c r="B470" t="s">
        <v>141</v>
      </c>
      <c r="C470">
        <v>9</v>
      </c>
      <c r="D470" s="86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15.555555555555555</v>
      </c>
      <c r="AB470" s="86">
        <f>AVERAGEIFS($I$2:I470, $B$2:B470, B470)</f>
        <v>0.33888888888888885</v>
      </c>
      <c r="AC470" s="86">
        <f>AVERAGEIFS($J$2:J470, $B$2:B470, B470)</f>
        <v>0.41333333333333333</v>
      </c>
      <c r="AD470" s="86">
        <f>AVERAGEIFS($D$2:D470, $B$2:B470, B470)</f>
        <v>0.22222222222222221</v>
      </c>
    </row>
    <row r="471" spans="1:30" x14ac:dyDescent="0.25">
      <c r="A471" s="85">
        <v>46150</v>
      </c>
      <c r="B471" t="s">
        <v>26</v>
      </c>
      <c r="C471">
        <v>9</v>
      </c>
      <c r="D471" s="86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16.25</v>
      </c>
      <c r="AB471" s="86">
        <f>AVERAGEIFS($I$2:I471, $B$2:B471, B471)</f>
        <v>0.47083333333333338</v>
      </c>
      <c r="AC471" s="86">
        <f>AVERAGEIFS($J$2:J471, $B$2:B471, B471)</f>
        <v>0.46250000000000008</v>
      </c>
      <c r="AD471" s="86">
        <f>AVERAGEIFS($D$2:D471, $B$2:B471, B471)</f>
        <v>0.41666666666666669</v>
      </c>
    </row>
    <row r="472" spans="1:30" x14ac:dyDescent="0.25">
      <c r="A472" s="85">
        <v>46150</v>
      </c>
      <c r="B472" t="s">
        <v>140</v>
      </c>
      <c r="C472">
        <v>5</v>
      </c>
      <c r="D472" s="86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8.1333333333333329</v>
      </c>
      <c r="AB472" s="86">
        <f>AVERAGEIFS($I$2:I472, $B$2:B472, B472)</f>
        <v>0.37666666666666671</v>
      </c>
      <c r="AC472" s="86">
        <f>AVERAGEIFS($J$2:J472, $B$2:B472, B472)</f>
        <v>0.45133333333333331</v>
      </c>
      <c r="AD472" s="86">
        <f>AVERAGEIFS($D$2:D472, $B$2:B472, B472)</f>
        <v>0.33333333333333331</v>
      </c>
    </row>
    <row r="473" spans="1:30" x14ac:dyDescent="0.25">
      <c r="A473" s="85">
        <v>46150</v>
      </c>
      <c r="B473" t="s">
        <v>215</v>
      </c>
      <c r="C473">
        <v>0</v>
      </c>
      <c r="D473" s="86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0</v>
      </c>
      <c r="AB473" s="86">
        <f>AVERAGEIFS($I$2:I473, $B$2:B473, B473)</f>
        <v>0</v>
      </c>
      <c r="AC473" s="86">
        <f>AVERAGEIFS($J$2:J473, $B$2:B473, B473)</f>
        <v>0.25</v>
      </c>
      <c r="AD473" s="86">
        <f>AVERAGEIFS($D$2:D473, $B$2:B473, B473)</f>
        <v>0</v>
      </c>
    </row>
    <row r="474" spans="1:30" x14ac:dyDescent="0.25">
      <c r="A474" s="85">
        <v>46151</v>
      </c>
      <c r="B474" t="s">
        <v>155</v>
      </c>
      <c r="C474">
        <v>30</v>
      </c>
      <c r="D474" s="86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86">
        <f>AVERAGEIFS($C$2:C474, $B$2:B474, B474)</f>
        <v>18.166666666666668</v>
      </c>
      <c r="AB474" s="86">
        <f>AVERAGEIFS($I$2:I474, $B$2:B474, B474)</f>
        <v>0.38958333333333334</v>
      </c>
      <c r="AC474" s="86">
        <f>AVERAGEIFS($J$2:J474, $B$2:B474, B474)</f>
        <v>0.45583333333333337</v>
      </c>
      <c r="AD474" s="86">
        <f>AVERAGEIFS($D$2:D474, $B$2:B474, B474)</f>
        <v>0.33333333333333331</v>
      </c>
    </row>
    <row r="475" spans="1:30" x14ac:dyDescent="0.25">
      <c r="A475" s="85">
        <v>46151</v>
      </c>
      <c r="B475" t="s">
        <v>13</v>
      </c>
      <c r="C475">
        <v>30</v>
      </c>
      <c r="D475" s="86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86">
        <f>AVERAGEIFS($C$2:C475, $B$2:B475, B475)</f>
        <v>24.21875</v>
      </c>
      <c r="AB475" s="86">
        <f>AVERAGEIFS($I$2:I475, $B$2:B475, B475)</f>
        <v>0.6328125</v>
      </c>
      <c r="AC475" s="86">
        <f>AVERAGEIFS($J$2:J475, $B$2:B475, B475)</f>
        <v>0.57718749999999996</v>
      </c>
      <c r="AD475" s="86">
        <f>AVERAGEIFS($D$2:D475, $B$2:B475, B475)</f>
        <v>0.65625</v>
      </c>
    </row>
    <row r="476" spans="1:30" x14ac:dyDescent="0.25">
      <c r="A476" s="85">
        <v>46151</v>
      </c>
      <c r="B476" t="s">
        <v>216</v>
      </c>
      <c r="C476">
        <v>11</v>
      </c>
      <c r="D476" s="86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86">
        <f>AVERAGEIFS($C$2:C476, $B$2:B476, B476)</f>
        <v>11</v>
      </c>
      <c r="AB476" s="86">
        <f>AVERAGEIFS($I$2:I476, $B$2:B476, B476)</f>
        <v>1</v>
      </c>
      <c r="AC476" s="86">
        <f>AVERAGEIFS($J$2:J476, $B$2:B476, B476)</f>
        <v>0.71</v>
      </c>
      <c r="AD476" s="86">
        <f>AVERAGEIFS($D$2:D476, $B$2:B476, B476)</f>
        <v>1</v>
      </c>
    </row>
    <row r="477" spans="1:30" x14ac:dyDescent="0.25">
      <c r="A477" s="85">
        <v>46151</v>
      </c>
      <c r="B477" t="s">
        <v>38</v>
      </c>
      <c r="C477">
        <v>10</v>
      </c>
      <c r="D477" s="86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86">
        <f>AVERAGEIFS($C$2:C477, $B$2:B477, B477)</f>
        <v>11.375</v>
      </c>
      <c r="AB477" s="86">
        <f>AVERAGEIFS($I$2:I477, $B$2:B477, B477)</f>
        <v>0.54374999999999996</v>
      </c>
      <c r="AC477" s="86">
        <f>AVERAGEIFS($J$2:J477, $B$2:B477, B477)</f>
        <v>0.51374999999999993</v>
      </c>
      <c r="AD477" s="86">
        <f>AVERAGEIFS($D$2:D477, $B$2:B477, B477)</f>
        <v>0.625</v>
      </c>
    </row>
    <row r="478" spans="1:30" x14ac:dyDescent="0.25">
      <c r="A478" s="85">
        <v>46151</v>
      </c>
      <c r="B478" t="s">
        <v>29</v>
      </c>
      <c r="C478">
        <v>13</v>
      </c>
      <c r="D478" s="86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86">
        <f>AVERAGEIFS($C$2:C478, $B$2:B478, B478)</f>
        <v>12.041666666666666</v>
      </c>
      <c r="AB478" s="86">
        <f>AVERAGEIFS($I$2:I478, $B$2:B478, B478)</f>
        <v>0.47083333333333327</v>
      </c>
      <c r="AC478" s="86">
        <f>AVERAGEIFS($J$2:J478, $B$2:B478, B478)</f>
        <v>0.5</v>
      </c>
      <c r="AD478" s="86">
        <f>AVERAGEIFS($D$2:D478, $B$2:B478, B478)</f>
        <v>0.41666666666666669</v>
      </c>
    </row>
    <row r="479" spans="1:30" x14ac:dyDescent="0.25">
      <c r="A479" s="85">
        <v>46151</v>
      </c>
      <c r="B479" t="s">
        <v>148</v>
      </c>
      <c r="C479">
        <v>10</v>
      </c>
      <c r="D479" s="86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13.172413793103448</v>
      </c>
      <c r="AB479" s="86">
        <f>AVERAGEIFS($I$2:I479, $B$2:B479, B479)</f>
        <v>0.56896551724137934</v>
      </c>
      <c r="AC479" s="86">
        <f>AVERAGEIFS($J$2:J479, $B$2:B479, B479)</f>
        <v>0.53379310344827591</v>
      </c>
      <c r="AD479" s="86">
        <f>AVERAGEIFS($D$2:D479, $B$2:B479, B479)</f>
        <v>0.62068965517241381</v>
      </c>
    </row>
    <row r="480" spans="1:30" x14ac:dyDescent="0.25">
      <c r="A480" s="85">
        <v>46151</v>
      </c>
      <c r="B480" t="s">
        <v>139</v>
      </c>
      <c r="C480">
        <v>15</v>
      </c>
      <c r="D480" s="86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10.5</v>
      </c>
      <c r="AB480" s="86">
        <f>AVERAGEIFS($I$2:I480, $B$2:B480, B480)</f>
        <v>0.45</v>
      </c>
      <c r="AC480" s="86">
        <f>AVERAGEIFS($J$2:J480, $B$2:B480, B480)</f>
        <v>0.495</v>
      </c>
      <c r="AD480" s="86">
        <f>AVERAGEIFS($D$2:D480, $B$2:B480, B480)</f>
        <v>0.5714285714285714</v>
      </c>
    </row>
    <row r="481" spans="1:30" x14ac:dyDescent="0.25">
      <c r="A481" s="85">
        <v>46151</v>
      </c>
      <c r="B481" t="s">
        <v>17</v>
      </c>
      <c r="C481">
        <v>30</v>
      </c>
      <c r="D481" s="86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86">
        <f>AVERAGEIFS($C$2:C481, $B$2:B481, B481)</f>
        <v>22.576923076923077</v>
      </c>
      <c r="AB481" s="86">
        <f>AVERAGEIFS($I$2:I481, $B$2:B481, B481)</f>
        <v>0.42884615384615388</v>
      </c>
      <c r="AC481" s="86">
        <f>AVERAGEIFS($J$2:J481, $B$2:B481, B481)</f>
        <v>0.47730769230769216</v>
      </c>
      <c r="AD481" s="86">
        <f>AVERAGEIFS($D$2:D481, $B$2:B481, B481)</f>
        <v>0.46153846153846156</v>
      </c>
    </row>
    <row r="482" spans="1:30" x14ac:dyDescent="0.25">
      <c r="A482" s="85">
        <v>46151</v>
      </c>
      <c r="B482" t="s">
        <v>140</v>
      </c>
      <c r="C482">
        <v>11</v>
      </c>
      <c r="D482" s="86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86">
        <f>AVERAGEIFS($C$2:C482, $B$2:B482, B482)</f>
        <v>8.3125</v>
      </c>
      <c r="AB482" s="86">
        <f>AVERAGEIFS($I$2:I482, $B$2:B482, B482)</f>
        <v>0.35312500000000002</v>
      </c>
      <c r="AC482" s="86">
        <f>AVERAGEIFS($J$2:J482, $B$2:B482, B482)</f>
        <v>0.44124999999999998</v>
      </c>
      <c r="AD482" s="86">
        <f>AVERAGEIFS($D$2:D482, $B$2:B482, B482)</f>
        <v>0.3125</v>
      </c>
    </row>
    <row r="483" spans="1:30" x14ac:dyDescent="0.25">
      <c r="A483" s="85">
        <v>46152</v>
      </c>
      <c r="B483" t="s">
        <v>27</v>
      </c>
      <c r="C483">
        <v>6</v>
      </c>
      <c r="D483" s="86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86">
        <f>AVERAGEIFS($C$2:C483, $B$2:B483, B483)</f>
        <v>16.399999999999999</v>
      </c>
      <c r="AB483" s="86">
        <f>AVERAGEIFS($I$2:I483, $B$2:B483, B483)</f>
        <v>0.6</v>
      </c>
      <c r="AC483" s="86">
        <f>AVERAGEIFS($J$2:J483, $B$2:B483, B483)</f>
        <v>0.56800000000000006</v>
      </c>
      <c r="AD483" s="86">
        <f>AVERAGEIFS($D$2:D483, $B$2:B483, B483)</f>
        <v>0.7</v>
      </c>
    </row>
    <row r="484" spans="1:30" x14ac:dyDescent="0.25">
      <c r="A484" s="85">
        <v>46152</v>
      </c>
      <c r="B484" t="s">
        <v>38</v>
      </c>
      <c r="C484">
        <v>5</v>
      </c>
      <c r="D484" s="86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86">
        <f>AVERAGEIFS($C$2:C484, $B$2:B484, B484)</f>
        <v>10.666666666666666</v>
      </c>
      <c r="AB484" s="86">
        <f>AVERAGEIFS($I$2:I484, $B$2:B484, B484)</f>
        <v>0.48333333333333328</v>
      </c>
      <c r="AC484" s="86">
        <f>AVERAGEIFS($J$2:J484, $B$2:B484, B484)</f>
        <v>0.491111111111111</v>
      </c>
      <c r="AD484" s="86">
        <f>AVERAGEIFS($D$2:D484, $B$2:B484, B484)</f>
        <v>0.55555555555555558</v>
      </c>
    </row>
    <row r="485" spans="1:30" x14ac:dyDescent="0.25">
      <c r="A485" s="85">
        <v>46152</v>
      </c>
      <c r="B485" t="s">
        <v>221</v>
      </c>
      <c r="C485">
        <v>10</v>
      </c>
      <c r="D485" s="86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86">
        <f>AVERAGEIFS($C$2:C485, $B$2:B485, B485)</f>
        <v>10.466666666666667</v>
      </c>
      <c r="AB485" s="86">
        <f>AVERAGEIFS($I$2:I485, $B$2:B485, B485)</f>
        <v>0.42</v>
      </c>
      <c r="AC485" s="86">
        <f>AVERAGEIFS($J$2:J485, $B$2:B485, B485)</f>
        <v>0.48266666666666663</v>
      </c>
      <c r="AD485" s="86">
        <f>AVERAGEIFS($D$2:D485, $B$2:B485, B485)</f>
        <v>0.53333333333333333</v>
      </c>
    </row>
    <row r="486" spans="1:30" x14ac:dyDescent="0.25">
      <c r="A486" s="85">
        <v>46152</v>
      </c>
      <c r="B486" t="s">
        <v>15</v>
      </c>
      <c r="C486">
        <v>15</v>
      </c>
      <c r="D486" s="86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86">
        <f>AVERAGEIFS($C$2:C486, $B$2:B486, B486)</f>
        <v>20.578947368421051</v>
      </c>
      <c r="AB486" s="86">
        <f>AVERAGEIFS($I$2:I486, $B$2:B486, B486)</f>
        <v>0.46842105263157885</v>
      </c>
      <c r="AC486" s="86">
        <f>AVERAGEIFS($J$2:J486, $B$2:B486, B486)</f>
        <v>0.49684210526315786</v>
      </c>
      <c r="AD486" s="86">
        <f>AVERAGEIFS($D$2:D486, $B$2:B486, B486)</f>
        <v>0.47368421052631576</v>
      </c>
    </row>
    <row r="487" spans="1:30" x14ac:dyDescent="0.25">
      <c r="A487" s="85">
        <v>46152</v>
      </c>
      <c r="B487" t="s">
        <v>13</v>
      </c>
      <c r="C487">
        <v>27</v>
      </c>
      <c r="D487" s="86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86">
        <f>AVERAGEIFS($C$2:C487, $B$2:B487, B487)</f>
        <v>24.303030303030305</v>
      </c>
      <c r="AB487" s="86">
        <f>AVERAGEIFS($I$2:I487, $B$2:B487, B487)</f>
        <v>0.61363636363636365</v>
      </c>
      <c r="AC487" s="86">
        <f>AVERAGEIFS($J$2:J487, $B$2:B487, B487)</f>
        <v>0.56909090909090898</v>
      </c>
      <c r="AD487" s="86">
        <f>AVERAGEIFS($D$2:D487, $B$2:B487, B487)</f>
        <v>0.63636363636363635</v>
      </c>
    </row>
    <row r="488" spans="1:30" x14ac:dyDescent="0.25">
      <c r="A488" s="85">
        <v>46152</v>
      </c>
      <c r="B488" t="s">
        <v>17</v>
      </c>
      <c r="C488">
        <v>13</v>
      </c>
      <c r="D488" s="86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86">
        <f>AVERAGEIFS($C$2:C488, $B$2:B488, B488)</f>
        <v>22.222222222222221</v>
      </c>
      <c r="AB488" s="86">
        <f>AVERAGEIFS($I$2:I488, $B$2:B488, B488)</f>
        <v>0.41296296296296298</v>
      </c>
      <c r="AC488" s="86">
        <f>AVERAGEIFS($J$2:J488, $B$2:B488, B488)</f>
        <v>0.47111111111111098</v>
      </c>
      <c r="AD488" s="86">
        <f>AVERAGEIFS($D$2:D488, $B$2:B488, B488)</f>
        <v>0.44444444444444442</v>
      </c>
    </row>
    <row r="489" spans="1:30" x14ac:dyDescent="0.25">
      <c r="A489" s="85">
        <v>46152</v>
      </c>
      <c r="B489" t="s">
        <v>155</v>
      </c>
      <c r="C489">
        <v>10</v>
      </c>
      <c r="D489" s="86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86">
        <f>AVERAGEIFS($C$2:C489, $B$2:B489, B489)</f>
        <v>17.84</v>
      </c>
      <c r="AB489" s="86">
        <f>AVERAGEIFS($I$2:I489, $B$2:B489, B489)</f>
        <v>0.374</v>
      </c>
      <c r="AC489" s="86">
        <f>AVERAGEIFS($J$2:J489, $B$2:B489, B489)</f>
        <v>0.45000000000000007</v>
      </c>
      <c r="AD489" s="86">
        <f>AVERAGEIFS($D$2:D489, $B$2:B489, B489)</f>
        <v>0.32</v>
      </c>
    </row>
    <row r="490" spans="1:30" x14ac:dyDescent="0.25">
      <c r="A490" s="85">
        <v>46152</v>
      </c>
      <c r="B490" t="s">
        <v>148</v>
      </c>
      <c r="C490">
        <v>1</v>
      </c>
      <c r="D490" s="86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86">
        <f>AVERAGEIFS($C$2:C490, $B$2:B490, B490)</f>
        <v>12.766666666666667</v>
      </c>
      <c r="AB490" s="86">
        <f>AVERAGEIFS($I$2:I490, $B$2:B490, B490)</f>
        <v>0.55000000000000004</v>
      </c>
      <c r="AC490" s="86">
        <f>AVERAGEIFS($J$2:J490, $B$2:B490, B490)</f>
        <v>0.52633333333333332</v>
      </c>
      <c r="AD490" s="86">
        <f>AVERAGEIFS($D$2:D490, $B$2:B490, B490)</f>
        <v>0.6</v>
      </c>
    </row>
    <row r="491" spans="1:30" x14ac:dyDescent="0.25">
      <c r="A491" s="85">
        <v>46152</v>
      </c>
      <c r="B491" t="s">
        <v>179</v>
      </c>
      <c r="C491">
        <v>14</v>
      </c>
      <c r="D491" s="86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86">
        <f>AVERAGEIFS($C$2:C491, $B$2:B491, B491)</f>
        <v>15.333333333333334</v>
      </c>
      <c r="AB491" s="86">
        <f>AVERAGEIFS($I$2:I491, $B$2:B491, B491)</f>
        <v>0.875</v>
      </c>
      <c r="AC491" s="86">
        <f>AVERAGEIFS($J$2:J491, $B$2:B491, B491)</f>
        <v>0.63833333333333331</v>
      </c>
      <c r="AD491" s="86">
        <f>AVERAGEIFS($D$2:D491, $B$2:B491, B491)</f>
        <v>0.83333333333333337</v>
      </c>
    </row>
    <row r="492" spans="1:30" x14ac:dyDescent="0.25">
      <c r="A492" s="85">
        <v>46152</v>
      </c>
      <c r="B492" t="s">
        <v>26</v>
      </c>
      <c r="C492">
        <v>12</v>
      </c>
      <c r="D492" s="86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86">
        <f>AVERAGEIFS($C$2:C492, $B$2:B492, B492)</f>
        <v>15.923076923076923</v>
      </c>
      <c r="AB492" s="86">
        <f>AVERAGEIFS($I$2:I492, $B$2:B492, B492)</f>
        <v>0.51153846153846161</v>
      </c>
      <c r="AC492" s="86">
        <f>AVERAGEIFS($J$2:J492, $B$2:B492, B492)</f>
        <v>0.48000000000000004</v>
      </c>
      <c r="AD492" s="86">
        <f>AVERAGEIFS($D$2:D492, $B$2:B492, B492)</f>
        <v>0.46153846153846156</v>
      </c>
    </row>
    <row r="493" spans="1:30" x14ac:dyDescent="0.25">
      <c r="A493" s="85">
        <v>46152</v>
      </c>
      <c r="B493" t="s">
        <v>141</v>
      </c>
      <c r="C493">
        <v>16</v>
      </c>
      <c r="D493" s="86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86">
        <f>AVERAGEIFS($C$2:C493, $B$2:B493, B493)</f>
        <v>15.6</v>
      </c>
      <c r="AB493" s="86">
        <f>AVERAGEIFS($I$2:I493, $B$2:B493, B493)</f>
        <v>0.40499999999999997</v>
      </c>
      <c r="AC493" s="86">
        <f>AVERAGEIFS($J$2:J493, $B$2:B493, B493)</f>
        <v>0.441</v>
      </c>
      <c r="AD493" s="86">
        <f>AVERAGEIFS($D$2:D493, $B$2:B493, B493)</f>
        <v>0.3</v>
      </c>
    </row>
    <row r="494" spans="1:30" x14ac:dyDescent="0.25">
      <c r="A494" s="85">
        <v>46152</v>
      </c>
      <c r="B494" t="s">
        <v>19</v>
      </c>
      <c r="C494">
        <v>11</v>
      </c>
      <c r="D494" s="86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86">
        <f>AVERAGEIFS($C$2:C494, $B$2:B494, B494)</f>
        <v>12.571428571428571</v>
      </c>
      <c r="AB494" s="86">
        <f>AVERAGEIFS($I$2:I494, $B$2:B494, B494)</f>
        <v>0.65</v>
      </c>
      <c r="AC494" s="86">
        <f>AVERAGEIFS($J$2:J494, $B$2:B494, B494)</f>
        <v>0.5485714285714286</v>
      </c>
      <c r="AD494" s="86">
        <f>AVERAGEIFS($D$2:D494, $B$2:B494, B494)</f>
        <v>0.5714285714285714</v>
      </c>
    </row>
    <row r="495" spans="1:30" x14ac:dyDescent="0.25">
      <c r="A495" s="85">
        <v>46152</v>
      </c>
      <c r="B495" t="s">
        <v>2</v>
      </c>
      <c r="C495">
        <v>23</v>
      </c>
      <c r="D495" s="86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86">
        <f>AVERAGEIFS($C$2:C495, $B$2:B495, B495)</f>
        <v>32.333333333333336</v>
      </c>
      <c r="AB495" s="86">
        <f>AVERAGEIFS($I$2:I495, $B$2:B495, B495)</f>
        <v>0.79999999999999993</v>
      </c>
      <c r="AC495" s="86">
        <f>AVERAGEIFS($J$2:J495, $B$2:B495, B495)</f>
        <v>0.60333333333333328</v>
      </c>
      <c r="AD495" s="86">
        <f>AVERAGEIFS($D$2:D495, $B$2:B495, B495)</f>
        <v>0.66666666666666663</v>
      </c>
    </row>
    <row r="496" spans="1:30" x14ac:dyDescent="0.25">
      <c r="A496" s="85">
        <v>46152</v>
      </c>
      <c r="B496" t="s">
        <v>150</v>
      </c>
      <c r="C496">
        <v>22</v>
      </c>
      <c r="D496" s="86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86">
        <f>AVERAGEIFS($C$2:C496, $B$2:B496, B496)</f>
        <v>18.600000000000001</v>
      </c>
      <c r="AB496" s="86">
        <f>AVERAGEIFS($I$2:I496, $B$2:B496, B496)</f>
        <v>0.68333333333333335</v>
      </c>
      <c r="AC496" s="86">
        <f>AVERAGEIFS($J$2:J496, $B$2:B496, B496)</f>
        <v>0.60866666666666647</v>
      </c>
      <c r="AD496" s="86">
        <f>AVERAGEIFS($D$2:D496, $B$2:B496, B496)</f>
        <v>0.73333333333333328</v>
      </c>
    </row>
    <row r="497" spans="1:30" x14ac:dyDescent="0.25">
      <c r="A497" s="85">
        <v>46152</v>
      </c>
      <c r="B497" t="s">
        <v>40</v>
      </c>
      <c r="C497">
        <v>13</v>
      </c>
      <c r="D497" s="86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86">
        <f>AVERAGEIFS($C$2:C497, $B$2:B497, B497)</f>
        <v>19.846153846153847</v>
      </c>
      <c r="AB497" s="86">
        <f>AVERAGEIFS($I$2:I497, $B$2:B497, B497)</f>
        <v>0.56923076923076921</v>
      </c>
      <c r="AC497" s="86">
        <f>AVERAGEIFS($J$2:J497, $B$2:B497, B497)</f>
        <v>0.5099999999999999</v>
      </c>
      <c r="AD497" s="86">
        <f>AVERAGEIFS($D$2:D497, $B$2:B497, B497)</f>
        <v>0.53846153846153844</v>
      </c>
    </row>
    <row r="498" spans="1:30" x14ac:dyDescent="0.25">
      <c r="A498" s="85">
        <v>46152</v>
      </c>
      <c r="B498" t="s">
        <v>140</v>
      </c>
      <c r="C498">
        <v>6</v>
      </c>
      <c r="D498" s="86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86">
        <f>AVERAGEIFS($C$2:C498, $B$2:B498, B498)</f>
        <v>8.1764705882352935</v>
      </c>
      <c r="AB498" s="86">
        <f>AVERAGEIFS($I$2:I498, $B$2:B498, B498)</f>
        <v>0.39117647058823529</v>
      </c>
      <c r="AC498" s="86">
        <f>AVERAGEIFS($J$2:J498, $B$2:B498, B498)</f>
        <v>0.45588235294117646</v>
      </c>
      <c r="AD498" s="86">
        <f>AVERAGEIFS($D$2:D498, $B$2:B498, B498)</f>
        <v>0.35294117647058826</v>
      </c>
    </row>
    <row r="499" spans="1:30" x14ac:dyDescent="0.25">
      <c r="A499" s="85">
        <v>46152</v>
      </c>
      <c r="B499" t="s">
        <v>13</v>
      </c>
      <c r="C499">
        <v>25</v>
      </c>
      <c r="D499" s="86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86">
        <f>AVERAGEIFS($C$2:C499, $B$2:B499, B499)</f>
        <v>24.323529411764707</v>
      </c>
      <c r="AB499" s="86">
        <f>AVERAGEIFS($I$2:I499, $B$2:B499, B499)</f>
        <v>0.61764705882352944</v>
      </c>
      <c r="AC499" s="86">
        <f>AVERAGEIFS($J$2:J499, $B$2:B499, B499)</f>
        <v>0.56705882352941173</v>
      </c>
      <c r="AD499" s="86">
        <f>AVERAGEIFS($D$2:D499, $B$2:B499, B499)</f>
        <v>0.6470588235294118</v>
      </c>
    </row>
    <row r="500" spans="1:30" x14ac:dyDescent="0.25">
      <c r="A500" s="85">
        <v>46152</v>
      </c>
      <c r="B500" t="s">
        <v>40</v>
      </c>
      <c r="C500">
        <v>19</v>
      </c>
      <c r="D500" s="86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86">
        <f>AVERAGEIFS($C$2:C500, $B$2:B500, B500)</f>
        <v>19.785714285714285</v>
      </c>
      <c r="AB500" s="86">
        <f>AVERAGEIFS($I$2:I500, $B$2:B500, B500)</f>
        <v>0.58214285714285707</v>
      </c>
      <c r="AC500" s="86">
        <f>AVERAGEIFS($J$2:J500, $B$2:B500, B500)</f>
        <v>0.50928571428571423</v>
      </c>
      <c r="AD500" s="86">
        <f>AVERAGEIFS($D$2:D500, $B$2:B500, B500)</f>
        <v>0.5714285714285714</v>
      </c>
    </row>
    <row r="501" spans="1:30" x14ac:dyDescent="0.25">
      <c r="A501" s="85">
        <v>46152</v>
      </c>
      <c r="B501" t="s">
        <v>222</v>
      </c>
      <c r="C501">
        <v>21</v>
      </c>
      <c r="D501" s="86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86">
        <f>AVERAGEIFS($C$2:C501, $B$2:B501, B501)</f>
        <v>18.75</v>
      </c>
      <c r="AB501" s="86">
        <f>AVERAGEIFS($I$2:I501, $B$2:B501, B501)</f>
        <v>0.6875</v>
      </c>
      <c r="AC501" s="86">
        <f>AVERAGEIFS($J$2:J501, $B$2:B501, B501)</f>
        <v>0.60187499999999983</v>
      </c>
      <c r="AD501" s="86">
        <f>AVERAGEIFS($D$2:D501, $B$2:B501, B501)</f>
        <v>0.75</v>
      </c>
    </row>
    <row r="502" spans="1:30" x14ac:dyDescent="0.25">
      <c r="A502" s="85">
        <v>46152</v>
      </c>
      <c r="B502" t="s">
        <v>179</v>
      </c>
      <c r="C502">
        <v>6</v>
      </c>
      <c r="D502" s="86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86">
        <f>AVERAGEIFS($C$2:C502, $B$2:B502, B502)</f>
        <v>14</v>
      </c>
      <c r="AB502" s="86">
        <f>AVERAGEIFS($I$2:I502, $B$2:B502, B502)</f>
        <v>0.8571428571428571</v>
      </c>
      <c r="AC502" s="86">
        <f>AVERAGEIFS($J$2:J502, $B$2:B502, B502)</f>
        <v>0.61857142857142855</v>
      </c>
      <c r="AD502" s="86">
        <f>AVERAGEIFS($D$2:D502, $B$2:B502, B502)</f>
        <v>0.8571428571428571</v>
      </c>
    </row>
    <row r="503" spans="1:30" x14ac:dyDescent="0.25">
      <c r="A503" s="85">
        <v>46152</v>
      </c>
      <c r="B503" t="s">
        <v>27</v>
      </c>
      <c r="C503">
        <v>21</v>
      </c>
      <c r="D503" s="86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86">
        <f>AVERAGEIFS($C$2:C503, $B$2:B503, B503)</f>
        <v>16.818181818181817</v>
      </c>
      <c r="AB503" s="86">
        <f>AVERAGEIFS($I$2:I503, $B$2:B503, B503)</f>
        <v>0.61363636363636365</v>
      </c>
      <c r="AC503" s="86">
        <f>AVERAGEIFS($J$2:J503, $B$2:B503, B503)</f>
        <v>0.56181818181818188</v>
      </c>
      <c r="AD503" s="86">
        <f>AVERAGEIFS($D$2:D503, $B$2:B503, B503)</f>
        <v>0.72727272727272729</v>
      </c>
    </row>
    <row r="504" spans="1:30" x14ac:dyDescent="0.25">
      <c r="A504" s="85">
        <v>46152</v>
      </c>
      <c r="B504" t="s">
        <v>26</v>
      </c>
      <c r="C504">
        <v>13</v>
      </c>
      <c r="D504" s="86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86">
        <f>AVERAGEIFS($C$2:C504, $B$2:B504, B504)</f>
        <v>15.714285714285714</v>
      </c>
      <c r="AB504" s="86">
        <f>AVERAGEIFS($I$2:I504, $B$2:B504, B504)</f>
        <v>0.52857142857142858</v>
      </c>
      <c r="AC504" s="86">
        <f>AVERAGEIFS($J$2:J504, $B$2:B504, B504)</f>
        <v>0.48142857142857143</v>
      </c>
      <c r="AD504" s="86">
        <f>AVERAGEIFS($D$2:D504, $B$2:B504, B504)</f>
        <v>0.5</v>
      </c>
    </row>
    <row r="505" spans="1:30" x14ac:dyDescent="0.25">
      <c r="A505" s="85">
        <v>46152</v>
      </c>
      <c r="B505" t="s">
        <v>152</v>
      </c>
      <c r="C505">
        <v>18</v>
      </c>
      <c r="D505" s="86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86">
        <f>AVERAGEIFS($C$2:C505, $B$2:B505, B505)</f>
        <v>13.777777777777779</v>
      </c>
      <c r="AB505" s="86">
        <f>AVERAGEIFS($I$2:I505, $B$2:B505, B505)</f>
        <v>0.25555555555555554</v>
      </c>
      <c r="AC505" s="86">
        <f>AVERAGEIFS($J$2:J505, $B$2:B505, B505)</f>
        <v>0.36333333333333334</v>
      </c>
      <c r="AD505" s="86">
        <f>AVERAGEIFS($D$2:D505, $B$2:B505, B505)</f>
        <v>0.22222222222222221</v>
      </c>
    </row>
    <row r="506" spans="1:30" x14ac:dyDescent="0.25">
      <c r="A506" s="85">
        <v>46152</v>
      </c>
      <c r="B506" t="s">
        <v>178</v>
      </c>
      <c r="C506">
        <v>8</v>
      </c>
      <c r="D506" s="86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8</v>
      </c>
      <c r="AB506" s="86">
        <f>AVERAGEIFS($I$2:I506, $B$2:B506, B506)</f>
        <v>0.75</v>
      </c>
      <c r="AC506" s="86">
        <f>AVERAGEIFS($J$2:J506, $B$2:B506, B506)</f>
        <v>0.5</v>
      </c>
      <c r="AD506" s="86">
        <f>AVERAGEIFS($D$2:D506, $B$2:B506, B506)</f>
        <v>1</v>
      </c>
    </row>
    <row r="507" spans="1:30" x14ac:dyDescent="0.25">
      <c r="A507" s="85">
        <v>46152</v>
      </c>
      <c r="B507" t="s">
        <v>17</v>
      </c>
      <c r="C507">
        <v>32</v>
      </c>
      <c r="D507" s="86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86">
        <f>AVERAGEIFS($C$2:C507, $B$2:B507, B507)</f>
        <v>22.571428571428573</v>
      </c>
      <c r="AB507" s="86">
        <f>AVERAGEIFS($I$2:I507, $B$2:B507, B507)</f>
        <v>0.40714285714285714</v>
      </c>
      <c r="AC507" s="86">
        <f>AVERAGEIFS($J$2:J507, $B$2:B507, B507)</f>
        <v>0.47214285714285703</v>
      </c>
      <c r="AD507" s="86">
        <f>AVERAGEIFS($D$2:D507, $B$2:B507, B507)</f>
        <v>0.42857142857142855</v>
      </c>
    </row>
    <row r="508" spans="1:30" x14ac:dyDescent="0.25">
      <c r="A508" s="85">
        <v>46152</v>
      </c>
      <c r="B508" t="s">
        <v>5</v>
      </c>
      <c r="C508">
        <v>15</v>
      </c>
      <c r="D508" s="86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86">
        <f>AVERAGEIFS($C$2:C508, $B$2:B508, B508)</f>
        <v>24.6</v>
      </c>
      <c r="AB508" s="86">
        <f>AVERAGEIFS($I$2:I508, $B$2:B508, B508)</f>
        <v>0.51</v>
      </c>
      <c r="AC508" s="86">
        <f>AVERAGEIFS($J$2:J508, $B$2:B508, B508)</f>
        <v>0.51300000000000001</v>
      </c>
      <c r="AD508" s="86">
        <f>AVERAGEIFS($D$2:D508, $B$2:B508, B508)</f>
        <v>0.5</v>
      </c>
    </row>
    <row r="509" spans="1:30" x14ac:dyDescent="0.25">
      <c r="A509" s="85">
        <v>46152</v>
      </c>
      <c r="B509" t="s">
        <v>155</v>
      </c>
      <c r="C509">
        <v>12</v>
      </c>
      <c r="D509" s="86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86">
        <f>AVERAGEIFS($C$2:C509, $B$2:B509, B509)</f>
        <v>17.615384615384617</v>
      </c>
      <c r="AB509" s="86">
        <f>AVERAGEIFS($I$2:I509, $B$2:B509, B509)</f>
        <v>0.3692307692307692</v>
      </c>
      <c r="AC509" s="86">
        <f>AVERAGEIFS($J$2:J509, $B$2:B509, B509)</f>
        <v>0.45192307692307698</v>
      </c>
      <c r="AD509" s="86">
        <f>AVERAGEIFS($D$2:D509, $B$2:B509, B509)</f>
        <v>0.30769230769230771</v>
      </c>
    </row>
    <row r="510" spans="1:30" x14ac:dyDescent="0.25">
      <c r="A510" s="85">
        <v>46152</v>
      </c>
      <c r="B510" t="s">
        <v>141</v>
      </c>
      <c r="C510">
        <v>19</v>
      </c>
      <c r="D510" s="86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86">
        <f>AVERAGEIFS($C$2:C510, $B$2:B510, B510)</f>
        <v>15.909090909090908</v>
      </c>
      <c r="AB510" s="86">
        <f>AVERAGEIFS($I$2:I510, $B$2:B510, B510)</f>
        <v>0.39090909090909087</v>
      </c>
      <c r="AC510" s="86">
        <f>AVERAGEIFS($J$2:J510, $B$2:B510, B510)</f>
        <v>0.44636363636363635</v>
      </c>
      <c r="AD510" s="86">
        <f>AVERAGEIFS($D$2:D510, $B$2:B510, B510)</f>
        <v>0.27272727272727271</v>
      </c>
    </row>
    <row r="511" spans="1:30" x14ac:dyDescent="0.25">
      <c r="A511" s="85">
        <v>46152</v>
      </c>
      <c r="B511" t="s">
        <v>50</v>
      </c>
      <c r="C511">
        <v>16</v>
      </c>
      <c r="D511" s="86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86">
        <f>AVERAGEIFS($C$2:C511, $B$2:B511, B511)</f>
        <v>16</v>
      </c>
      <c r="AB511" s="86">
        <f>AVERAGEIFS($I$2:I511, $B$2:B511, B511)</f>
        <v>0.25</v>
      </c>
      <c r="AC511" s="86">
        <f>AVERAGEIFS($J$2:J511, $B$2:B511, B511)</f>
        <v>0.5</v>
      </c>
      <c r="AD511" s="86">
        <f>AVERAGEIFS($D$2:D511, $B$2:B511, B511)</f>
        <v>0</v>
      </c>
    </row>
    <row r="512" spans="1:30" x14ac:dyDescent="0.25">
      <c r="A512" s="85">
        <v>46152</v>
      </c>
      <c r="B512" t="s">
        <v>45</v>
      </c>
      <c r="C512">
        <v>12</v>
      </c>
      <c r="D512" s="86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86">
        <f>AVERAGEIFS($C$2:C512, $B$2:B512, B512)</f>
        <v>15.333333333333334</v>
      </c>
      <c r="AB512" s="86">
        <f>AVERAGEIFS($I$2:I512, $B$2:B512, B512)</f>
        <v>0.47222222222222221</v>
      </c>
      <c r="AC512" s="86">
        <f>AVERAGEIFS($J$2:J512, $B$2:B512, B512)</f>
        <v>0.48777777777777775</v>
      </c>
      <c r="AD512" s="86">
        <f>AVERAGEIFS($D$2:D512, $B$2:B512, B512)</f>
        <v>0.44444444444444442</v>
      </c>
    </row>
    <row r="513" spans="1:30" x14ac:dyDescent="0.25">
      <c r="A513" s="85">
        <v>46152</v>
      </c>
      <c r="B513" t="s">
        <v>139</v>
      </c>
      <c r="C513">
        <v>10</v>
      </c>
      <c r="D513" s="86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86">
        <f>AVERAGEIFS($C$2:C513, $B$2:B513, B513)</f>
        <v>10.4375</v>
      </c>
      <c r="AB513" s="86">
        <f>AVERAGEIFS($I$2:I513, $B$2:B513, B513)</f>
        <v>0.40937499999999999</v>
      </c>
      <c r="AC513" s="86">
        <f>AVERAGEIFS($J$2:J513, $B$2:B513, B513)</f>
        <v>0.48374999999999996</v>
      </c>
      <c r="AD513" s="86">
        <f>AVERAGEIFS($D$2:D513, $B$2:B513, B513)</f>
        <v>0.5</v>
      </c>
    </row>
    <row r="514" spans="1:30" x14ac:dyDescent="0.25">
      <c r="A514" s="85">
        <v>46152</v>
      </c>
      <c r="B514" t="s">
        <v>140</v>
      </c>
      <c r="C514">
        <v>8</v>
      </c>
      <c r="D514" s="86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86">
        <f>AVERAGEIFS($C$2:C514, $B$2:B514, B514)</f>
        <v>8.1666666666666661</v>
      </c>
      <c r="AB514" s="86">
        <f>AVERAGEIFS($I$2:I514, $B$2:B514, B514)</f>
        <v>0.38333333333333336</v>
      </c>
      <c r="AC514" s="86">
        <f>AVERAGEIFS($J$2:J514, $B$2:B514, B514)</f>
        <v>0.45833333333333331</v>
      </c>
      <c r="AD514" s="86">
        <f>AVERAGEIFS($D$2:D514, $B$2:B514, B514)</f>
        <v>0.33333333333333331</v>
      </c>
    </row>
    <row r="515" spans="1:30" x14ac:dyDescent="0.25">
      <c r="A515" s="85">
        <v>46153</v>
      </c>
      <c r="B515" t="s">
        <v>29</v>
      </c>
      <c r="C515">
        <v>6</v>
      </c>
      <c r="D515" s="86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86">
        <f>AVERAGEIFS($C$2:C515, $B$2:B515, B515)</f>
        <v>11.8</v>
      </c>
      <c r="AB515" s="86">
        <f>AVERAGEIFS($I$2:I515, $B$2:B515, B515)</f>
        <v>0.46199999999999997</v>
      </c>
      <c r="AC515" s="86">
        <f>AVERAGEIFS($J$2:J515, $B$2:B515, B515)</f>
        <v>0.49560000000000004</v>
      </c>
      <c r="AD515" s="86">
        <f>AVERAGEIFS($D$2:D515, $B$2:B515, B515)</f>
        <v>0.4</v>
      </c>
    </row>
    <row r="516" spans="1:30" x14ac:dyDescent="0.25">
      <c r="A516" s="85">
        <v>46153</v>
      </c>
      <c r="B516" t="s">
        <v>15</v>
      </c>
      <c r="C516">
        <v>20</v>
      </c>
      <c r="D516" s="86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86">
        <f>AVERAGEIFS($C$2:C516, $B$2:B516, B516)</f>
        <v>20.55</v>
      </c>
      <c r="AB516" s="86">
        <f>AVERAGEIFS($I$2:I516, $B$2:B516, B516)</f>
        <v>0.45749999999999991</v>
      </c>
      <c r="AC516" s="86">
        <f>AVERAGEIFS($J$2:J516, $B$2:B516, B516)</f>
        <v>0.49149999999999999</v>
      </c>
      <c r="AD516" s="86">
        <f>AVERAGEIFS($D$2:D516, $B$2:B516, B516)</f>
        <v>0.45</v>
      </c>
    </row>
    <row r="517" spans="1:30" x14ac:dyDescent="0.25">
      <c r="A517" s="85">
        <v>46153</v>
      </c>
      <c r="B517" t="s">
        <v>152</v>
      </c>
      <c r="C517">
        <v>17</v>
      </c>
      <c r="D517" s="86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86">
        <f>AVERAGEIFS($C$2:C517, $B$2:B517, B517)</f>
        <v>14.1</v>
      </c>
      <c r="AB517" s="86">
        <f>AVERAGEIFS($I$2:I517, $B$2:B517, B517)</f>
        <v>0.255</v>
      </c>
      <c r="AC517" s="86">
        <f>AVERAGEIFS($J$2:J517, $B$2:B517, B517)</f>
        <v>0.36599999999999999</v>
      </c>
      <c r="AD517" s="86">
        <f>AVERAGEIFS($D$2:D517, $B$2:B517, B517)</f>
        <v>0.2</v>
      </c>
    </row>
    <row r="518" spans="1:30" x14ac:dyDescent="0.25">
      <c r="A518" s="85">
        <v>46153</v>
      </c>
      <c r="B518" t="s">
        <v>5</v>
      </c>
      <c r="C518">
        <v>16</v>
      </c>
      <c r="D518" s="86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86">
        <f>AVERAGEIFS($C$2:C518, $B$2:B518, B518)</f>
        <v>23.818181818181817</v>
      </c>
      <c r="AB518" s="86">
        <f>AVERAGEIFS($I$2:I518, $B$2:B518, B518)</f>
        <v>0.48636363636363633</v>
      </c>
      <c r="AC518" s="86">
        <f>AVERAGEIFS($J$2:J518, $B$2:B518, B518)</f>
        <v>0.50181818181818183</v>
      </c>
      <c r="AD518" s="86">
        <f>AVERAGEIFS($D$2:D518, $B$2:B518, B518)</f>
        <v>0.45454545454545453</v>
      </c>
    </row>
    <row r="519" spans="1:30" x14ac:dyDescent="0.25">
      <c r="A519" s="85">
        <v>46153</v>
      </c>
      <c r="B519" t="s">
        <v>155</v>
      </c>
      <c r="C519">
        <v>31</v>
      </c>
      <c r="D519" s="86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86">
        <f>AVERAGEIFS($C$2:C519, $B$2:B519, B519)</f>
        <v>18.111111111111111</v>
      </c>
      <c r="AB519" s="86">
        <f>AVERAGEIFS($I$2:I519, $B$2:B519, B519)</f>
        <v>0.36481481481481481</v>
      </c>
      <c r="AC519" s="86">
        <f>AVERAGEIFS($J$2:J519, $B$2:B519, B519)</f>
        <v>0.44962962962962971</v>
      </c>
      <c r="AD519" s="86">
        <f>AVERAGEIFS($D$2:D519, $B$2:B519, B519)</f>
        <v>0.29629629629629628</v>
      </c>
    </row>
    <row r="520" spans="1:30" x14ac:dyDescent="0.25">
      <c r="A520" s="85">
        <v>46153</v>
      </c>
      <c r="B520" t="s">
        <v>53</v>
      </c>
      <c r="C520">
        <v>25</v>
      </c>
      <c r="D520" s="86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25</v>
      </c>
      <c r="AB520" s="86">
        <f>AVERAGEIFS($I$2:I520, $B$2:B520, B520)</f>
        <v>0.25</v>
      </c>
      <c r="AC520" s="86">
        <f>AVERAGEIFS($J$2:J520, $B$2:B520, B520)</f>
        <v>0.39</v>
      </c>
      <c r="AD520" s="86">
        <f>AVERAGEIFS($D$2:D520, $B$2:B520, B520)</f>
        <v>0</v>
      </c>
    </row>
    <row r="521" spans="1:30" x14ac:dyDescent="0.25">
      <c r="A521" s="85">
        <v>46153</v>
      </c>
      <c r="B521" t="s">
        <v>107</v>
      </c>
      <c r="C521">
        <v>20</v>
      </c>
      <c r="D521" s="86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20</v>
      </c>
      <c r="AB521" s="86">
        <f>AVERAGEIFS($I$2:I521, $B$2:B521, B521)</f>
        <v>0.25</v>
      </c>
      <c r="AC521" s="86">
        <f>AVERAGEIFS($J$2:J521, $B$2:B521, B521)</f>
        <v>0.39</v>
      </c>
      <c r="AD521" s="86">
        <f>AVERAGEIFS($D$2:D521, $B$2:B521, B521)</f>
        <v>0</v>
      </c>
    </row>
    <row r="522" spans="1:30" x14ac:dyDescent="0.25">
      <c r="A522" s="85">
        <v>46153</v>
      </c>
      <c r="B522" t="s">
        <v>140</v>
      </c>
      <c r="C522">
        <v>15</v>
      </c>
      <c r="D522" s="86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86">
        <f>AVERAGEIFS($C$2:C522, $B$2:B522, B522)</f>
        <v>8.526315789473685</v>
      </c>
      <c r="AB522" s="86">
        <f>AVERAGEIFS($I$2:I522, $B$2:B522, B522)</f>
        <v>0.40263157894736845</v>
      </c>
      <c r="AC522" s="86">
        <f>AVERAGEIFS($J$2:J522, $B$2:B522, B522)</f>
        <v>0.46631578947368418</v>
      </c>
      <c r="AD522" s="86">
        <f>AVERAGEIFS($D$2:D522, $B$2:B522, B522)</f>
        <v>0.36842105263157893</v>
      </c>
    </row>
    <row r="523" spans="1:30" x14ac:dyDescent="0.25">
      <c r="A523" s="85">
        <v>46153</v>
      </c>
      <c r="B523" t="s">
        <v>146</v>
      </c>
      <c r="C523">
        <v>13</v>
      </c>
      <c r="D523" s="86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86">
        <f>AVERAGEIFS($C$2:C523, $B$2:B523, B523)</f>
        <v>13.5</v>
      </c>
      <c r="AB523" s="86">
        <f>AVERAGEIFS($I$2:I523, $B$2:B523, B523)</f>
        <v>0.36499999999999999</v>
      </c>
      <c r="AC523" s="86">
        <f>AVERAGEIFS($J$2:J523, $B$2:B523, B523)</f>
        <v>0.44600000000000001</v>
      </c>
      <c r="AD523" s="86">
        <f>AVERAGEIFS($D$2:D523, $B$2:B523, B523)</f>
        <v>0.3</v>
      </c>
    </row>
    <row r="524" spans="1:30" x14ac:dyDescent="0.25">
      <c r="A524" s="85">
        <v>46153</v>
      </c>
      <c r="B524" t="s">
        <v>26</v>
      </c>
      <c r="C524">
        <v>17</v>
      </c>
      <c r="D524" s="86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86">
        <f>AVERAGEIFS($C$2:C524, $B$2:B524, B524)</f>
        <v>15.8</v>
      </c>
      <c r="AB524" s="86">
        <f>AVERAGEIFS($I$2:I524, $B$2:B524, B524)</f>
        <v>0.54333333333333333</v>
      </c>
      <c r="AC524" s="86">
        <f>AVERAGEIFS($J$2:J524, $B$2:B524, B524)</f>
        <v>0.49000000000000005</v>
      </c>
      <c r="AD524" s="86">
        <f>AVERAGEIFS($D$2:D524, $B$2:B524, B524)</f>
        <v>0.53333333333333333</v>
      </c>
    </row>
    <row r="525" spans="1:30" x14ac:dyDescent="0.25">
      <c r="A525" s="85">
        <v>46153</v>
      </c>
      <c r="B525" t="s">
        <v>141</v>
      </c>
      <c r="C525">
        <v>33</v>
      </c>
      <c r="D525" s="86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86">
        <f>AVERAGEIFS($C$2:C525, $B$2:B525, B525)</f>
        <v>17.333333333333332</v>
      </c>
      <c r="AB525" s="86">
        <f>AVERAGEIFS($I$2:I525, $B$2:B525, B525)</f>
        <v>0.42083333333333334</v>
      </c>
      <c r="AC525" s="86">
        <f>AVERAGEIFS($J$2:J525, $B$2:B525, B525)</f>
        <v>0.46</v>
      </c>
      <c r="AD525" s="86">
        <f>AVERAGEIFS($D$2:D525, $B$2:B525, B525)</f>
        <v>0.33333333333333331</v>
      </c>
    </row>
    <row r="526" spans="1:30" x14ac:dyDescent="0.25">
      <c r="A526" s="85">
        <v>46153</v>
      </c>
      <c r="B526" t="s">
        <v>147</v>
      </c>
      <c r="C526">
        <v>11</v>
      </c>
      <c r="D526" s="86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86">
        <f>AVERAGEIFS($C$2:C526, $B$2:B526, B526)</f>
        <v>17.333333333333332</v>
      </c>
      <c r="AB526" s="86">
        <f>AVERAGEIFS($I$2:I526, $B$2:B526, B526)</f>
        <v>0.3888888888888889</v>
      </c>
      <c r="AC526" s="86">
        <f>AVERAGEIFS($J$2:J526, $B$2:B526, B526)</f>
        <v>0.44999999999999996</v>
      </c>
      <c r="AD526" s="86">
        <f>AVERAGEIFS($D$2:D526, $B$2:B526, B526)</f>
        <v>0.44444444444444442</v>
      </c>
    </row>
    <row r="527" spans="1:30" x14ac:dyDescent="0.25">
      <c r="A527" s="85">
        <v>46153</v>
      </c>
      <c r="B527" t="s">
        <v>6</v>
      </c>
      <c r="C527">
        <v>37</v>
      </c>
      <c r="D527" s="86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86">
        <f>AVERAGEIFS($C$2:C527, $B$2:B527, B527)</f>
        <v>26.923076923076923</v>
      </c>
      <c r="AB527" s="86">
        <f>AVERAGEIFS($I$2:I527, $B$2:B527, B527)</f>
        <v>0.62692307692307681</v>
      </c>
      <c r="AC527" s="86">
        <f>AVERAGEIFS($J$2:J527, $B$2:B527, B527)</f>
        <v>0.56615384615384623</v>
      </c>
      <c r="AD527" s="86">
        <f>AVERAGEIFS($D$2:D527, $B$2:B527, B527)</f>
        <v>0.61538461538461542</v>
      </c>
    </row>
    <row r="528" spans="1:30" x14ac:dyDescent="0.25">
      <c r="A528" s="85">
        <v>46153</v>
      </c>
      <c r="B528" t="s">
        <v>14</v>
      </c>
      <c r="C528">
        <v>13</v>
      </c>
      <c r="D528" s="86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86">
        <f>AVERAGEIFS($C$2:C528, $B$2:B528, B528)</f>
        <v>22.842105263157894</v>
      </c>
      <c r="AB528" s="86">
        <f>AVERAGEIFS($I$2:I528, $B$2:B528, B528)</f>
        <v>0.38421052631578945</v>
      </c>
      <c r="AC528" s="86">
        <f>AVERAGEIFS($J$2:J528, $B$2:B528, B528)</f>
        <v>0.44526315789473681</v>
      </c>
      <c r="AD528" s="86">
        <f>AVERAGEIFS($D$2:D528, $B$2:B528, B528)</f>
        <v>0.31578947368421051</v>
      </c>
    </row>
    <row r="529" spans="1:30" x14ac:dyDescent="0.25">
      <c r="A529" s="85">
        <v>46153</v>
      </c>
      <c r="B529" t="s">
        <v>53</v>
      </c>
      <c r="C529">
        <v>12</v>
      </c>
      <c r="D529" s="86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86">
        <f>AVERAGEIFS($C$2:C529, $B$2:B529, B529)</f>
        <v>18.5</v>
      </c>
      <c r="AB529" s="86">
        <f>AVERAGEIFS($I$2:I529, $B$2:B529, B529)</f>
        <v>0.5</v>
      </c>
      <c r="AC529" s="86">
        <f>AVERAGEIFS($J$2:J529, $B$2:B529, B529)</f>
        <v>0.56000000000000005</v>
      </c>
      <c r="AD529" s="86">
        <f>AVERAGEIFS($D$2:D529, $B$2:B529, B529)</f>
        <v>0.5</v>
      </c>
    </row>
    <row r="530" spans="1:30" x14ac:dyDescent="0.25">
      <c r="A530" s="85">
        <v>46153</v>
      </c>
      <c r="B530" t="s">
        <v>35</v>
      </c>
      <c r="C530">
        <v>9</v>
      </c>
      <c r="D530" s="86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86">
        <f>AVERAGEIFS($C$2:C530, $B$2:B530, B530)</f>
        <v>12.761904761904763</v>
      </c>
      <c r="AB530" s="86">
        <f>AVERAGEIFS($I$2:I530, $B$2:B530, B530)</f>
        <v>0.51428571428571423</v>
      </c>
      <c r="AC530" s="86">
        <f>AVERAGEIFS($J$2:J530, $B$2:B530, B530)</f>
        <v>0.49000000000000005</v>
      </c>
      <c r="AD530" s="86">
        <f>AVERAGEIFS($D$2:D530, $B$2:B530, B530)</f>
        <v>0.5714285714285714</v>
      </c>
    </row>
    <row r="531" spans="1:30" x14ac:dyDescent="0.25">
      <c r="A531" s="85">
        <v>46153</v>
      </c>
      <c r="B531" t="s">
        <v>146</v>
      </c>
      <c r="C531">
        <v>7</v>
      </c>
      <c r="D531" s="86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86">
        <f>AVERAGEIFS($C$2:C531, $B$2:B531, B531)</f>
        <v>12.909090909090908</v>
      </c>
      <c r="AB531" s="86">
        <f>AVERAGEIFS($I$2:I531, $B$2:B531, B531)</f>
        <v>0.4</v>
      </c>
      <c r="AC531" s="86">
        <f>AVERAGEIFS($J$2:J531, $B$2:B531, B531)</f>
        <v>0.47181818181818175</v>
      </c>
      <c r="AD531" s="86">
        <f>AVERAGEIFS($D$2:D531, $B$2:B531, B531)</f>
        <v>0.36363636363636365</v>
      </c>
    </row>
    <row r="532" spans="1:30" x14ac:dyDescent="0.25">
      <c r="A532" s="85">
        <v>46153</v>
      </c>
      <c r="B532" t="s">
        <v>155</v>
      </c>
      <c r="C532">
        <v>19</v>
      </c>
      <c r="D532" s="86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86">
        <f>AVERAGEIFS($C$2:C532, $B$2:B532, B532)</f>
        <v>18.142857142857142</v>
      </c>
      <c r="AB532" s="86">
        <f>AVERAGEIFS($I$2:I532, $B$2:B532, B532)</f>
        <v>0.37857142857142856</v>
      </c>
      <c r="AC532" s="86">
        <f>AVERAGEIFS($J$2:J532, $B$2:B532, B532)</f>
        <v>0.45964285714285724</v>
      </c>
      <c r="AD532" s="86">
        <f>AVERAGEIFS($D$2:D532, $B$2:B532, B532)</f>
        <v>0.32142857142857145</v>
      </c>
    </row>
    <row r="533" spans="1:30" x14ac:dyDescent="0.25">
      <c r="A533" s="85">
        <v>46153</v>
      </c>
      <c r="B533" t="s">
        <v>141</v>
      </c>
      <c r="C533">
        <v>14</v>
      </c>
      <c r="D533" s="86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86">
        <f>AVERAGEIFS($C$2:C533, $B$2:B533, B533)</f>
        <v>17.076923076923077</v>
      </c>
      <c r="AB533" s="86">
        <f>AVERAGEIFS($I$2:I533, $B$2:B533, B533)</f>
        <v>0.44615384615384612</v>
      </c>
      <c r="AC533" s="86">
        <f>AVERAGEIFS($J$2:J533, $B$2:B533, B533)</f>
        <v>0.48076923076923078</v>
      </c>
      <c r="AD533" s="86">
        <f>AVERAGEIFS($D$2:D533, $B$2:B533, B533)</f>
        <v>0.38461538461538464</v>
      </c>
    </row>
    <row r="534" spans="1:30" x14ac:dyDescent="0.25">
      <c r="A534" s="85">
        <v>46153</v>
      </c>
      <c r="B534" t="s">
        <v>6</v>
      </c>
      <c r="C534">
        <v>15</v>
      </c>
      <c r="D534" s="86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86">
        <f>AVERAGEIFS($C$2:C534, $B$2:B534, B534)</f>
        <v>26.071428571428573</v>
      </c>
      <c r="AB534" s="86">
        <f>AVERAGEIFS($I$2:I534, $B$2:B534, B534)</f>
        <v>0.63571428571428557</v>
      </c>
      <c r="AC534" s="86">
        <f>AVERAGEIFS($J$2:J534, $B$2:B534, B534)</f>
        <v>0.57785714285714285</v>
      </c>
      <c r="AD534" s="86">
        <f>AVERAGEIFS($D$2:D534, $B$2:B534, B534)</f>
        <v>0.6428571428571429</v>
      </c>
    </row>
    <row r="535" spans="1:30" x14ac:dyDescent="0.25">
      <c r="A535" s="85">
        <v>46153</v>
      </c>
      <c r="B535" t="s">
        <v>15</v>
      </c>
      <c r="C535">
        <v>10</v>
      </c>
      <c r="D535" s="86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20.047619047619047</v>
      </c>
      <c r="AB535" s="86">
        <f>AVERAGEIFS($I$2:I535, $B$2:B535, B535)</f>
        <v>0.47142857142857136</v>
      </c>
      <c r="AC535" s="86">
        <f>AVERAGEIFS($J$2:J535, $B$2:B535, B535)</f>
        <v>0.50285714285714289</v>
      </c>
      <c r="AD535" s="86">
        <f>AVERAGEIFS($D$2:D535, $B$2:B535, B535)</f>
        <v>0.47619047619047616</v>
      </c>
    </row>
    <row r="536" spans="1:30" x14ac:dyDescent="0.25">
      <c r="A536" s="85">
        <v>46153</v>
      </c>
      <c r="B536" t="s">
        <v>140</v>
      </c>
      <c r="C536">
        <v>8</v>
      </c>
      <c r="D536" s="86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86">
        <f>AVERAGEIFS($C$2:C536, $B$2:B536, B536)</f>
        <v>8.5</v>
      </c>
      <c r="AB536" s="86">
        <f>AVERAGEIFS($I$2:I536, $B$2:B536, B536)</f>
        <v>0.39500000000000002</v>
      </c>
      <c r="AC536" s="86">
        <f>AVERAGEIFS($J$2:J536, $B$2:B536, B536)</f>
        <v>0.45649999999999996</v>
      </c>
      <c r="AD536" s="86">
        <f>AVERAGEIFS($D$2:D536, $B$2:B536, B536)</f>
        <v>0.35</v>
      </c>
    </row>
    <row r="537" spans="1:30" x14ac:dyDescent="0.25">
      <c r="A537" s="85">
        <v>46153</v>
      </c>
      <c r="B537" t="s">
        <v>152</v>
      </c>
      <c r="C537">
        <v>13</v>
      </c>
      <c r="D537" s="86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86">
        <f>AVERAGEIFS($C$2:C537, $B$2:B537, B537)</f>
        <v>14</v>
      </c>
      <c r="AB537" s="86">
        <f>AVERAGEIFS($I$2:I537, $B$2:B537, B537)</f>
        <v>0.25454545454545452</v>
      </c>
      <c r="AC537" s="86">
        <f>AVERAGEIFS($J$2:J537, $B$2:B537, B537)</f>
        <v>0.3572727272727273</v>
      </c>
      <c r="AD537" s="86">
        <f>AVERAGEIFS($D$2:D537, $B$2:B537, B537)</f>
        <v>0.18181818181818182</v>
      </c>
    </row>
    <row r="538" spans="1:30" x14ac:dyDescent="0.25">
      <c r="A538" s="85">
        <v>46153</v>
      </c>
      <c r="B538" t="s">
        <v>46</v>
      </c>
      <c r="C538">
        <v>19</v>
      </c>
      <c r="D538" s="86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86">
        <f>AVERAGEIFS($C$2:C538, $B$2:B538, B538)</f>
        <v>19</v>
      </c>
      <c r="AB538" s="86">
        <f>AVERAGEIFS($I$2:I538, $B$2:B538, B538)</f>
        <v>0.25</v>
      </c>
      <c r="AC538" s="86">
        <f>AVERAGEIFS($J$2:J538, $B$2:B538, B538)</f>
        <v>0.27</v>
      </c>
      <c r="AD538" s="86">
        <f>AVERAGEIFS($D$2:D538, $B$2:B538, B538)</f>
        <v>0</v>
      </c>
    </row>
    <row r="539" spans="1:30" x14ac:dyDescent="0.25">
      <c r="A539" s="85">
        <v>46153</v>
      </c>
      <c r="B539" t="s">
        <v>5</v>
      </c>
      <c r="C539">
        <v>11</v>
      </c>
      <c r="D539" s="86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86">
        <f>AVERAGEIFS($C$2:C539, $B$2:B539, B539)</f>
        <v>22.75</v>
      </c>
      <c r="AB539" s="86">
        <f>AVERAGEIFS($I$2:I539, $B$2:B539, B539)</f>
        <v>0.46666666666666662</v>
      </c>
      <c r="AC539" s="86">
        <f>AVERAGEIFS($J$2:J539, $B$2:B539, B539)</f>
        <v>0.48249999999999993</v>
      </c>
      <c r="AD539" s="86">
        <f>AVERAGEIFS($D$2:D539, $B$2:B539, B539)</f>
        <v>0.41666666666666669</v>
      </c>
    </row>
    <row r="540" spans="1:30" x14ac:dyDescent="0.25">
      <c r="A540" s="85">
        <v>46153</v>
      </c>
      <c r="B540" t="s">
        <v>137</v>
      </c>
      <c r="C540">
        <v>9</v>
      </c>
      <c r="D540" s="86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86">
        <f>AVERAGEIFS($C$2:C540, $B$2:B540, B540)</f>
        <v>9</v>
      </c>
      <c r="AB540" s="86">
        <f>AVERAGEIFS($I$2:I540, $B$2:B540, B540)</f>
        <v>0.32500000000000001</v>
      </c>
      <c r="AC540" s="86">
        <f>AVERAGEIFS($J$2:J540, $B$2:B540, B540)</f>
        <v>0.375</v>
      </c>
      <c r="AD540" s="86">
        <f>AVERAGEIFS($D$2:D540, $B$2:B540, B540)</f>
        <v>0</v>
      </c>
    </row>
    <row r="541" spans="1:30" x14ac:dyDescent="0.25">
      <c r="A541" s="85">
        <v>46153</v>
      </c>
      <c r="B541" t="s">
        <v>29</v>
      </c>
      <c r="C541">
        <v>4</v>
      </c>
      <c r="D541" s="86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86">
        <f>AVERAGEIFS($C$2:C541, $B$2:B541, B541)</f>
        <v>11.5</v>
      </c>
      <c r="AB541" s="86">
        <f>AVERAGEIFS($I$2:I541, $B$2:B541, B541)</f>
        <v>0.45384615384615379</v>
      </c>
      <c r="AC541" s="86">
        <f>AVERAGEIFS($J$2:J541, $B$2:B541, B541)</f>
        <v>0.4869230769230769</v>
      </c>
      <c r="AD541" s="86">
        <f>AVERAGEIFS($D$2:D541, $B$2:B541, B541)</f>
        <v>0.38461538461538464</v>
      </c>
    </row>
    <row r="542" spans="1:30" x14ac:dyDescent="0.25">
      <c r="A542" s="85">
        <v>46153</v>
      </c>
      <c r="B542" t="s">
        <v>14</v>
      </c>
      <c r="C542">
        <v>6</v>
      </c>
      <c r="D542" s="86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86">
        <f>AVERAGEIFS($C$2:C542, $B$2:B542, B542)</f>
        <v>22</v>
      </c>
      <c r="AB542" s="86">
        <f>AVERAGEIFS($I$2:I542, $B$2:B542, B542)</f>
        <v>0.3775</v>
      </c>
      <c r="AC542" s="86">
        <f>AVERAGEIFS($J$2:J542, $B$2:B542, B542)</f>
        <v>0.43649999999999994</v>
      </c>
      <c r="AD542" s="86">
        <f>AVERAGEIFS($D$2:D542, $B$2:B542, B542)</f>
        <v>0.3</v>
      </c>
    </row>
    <row r="543" spans="1:30" x14ac:dyDescent="0.25">
      <c r="A543" s="85">
        <v>46155</v>
      </c>
      <c r="B543" t="s">
        <v>5</v>
      </c>
      <c r="C543">
        <v>21</v>
      </c>
      <c r="D543" s="86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86">
        <f>AVERAGEIFS($C$2:C543, $B$2:B543, B543)</f>
        <v>22.615384615384617</v>
      </c>
      <c r="AB543" s="86">
        <f>AVERAGEIFS($I$2:I543, $B$2:B543, B543)</f>
        <v>0.48846153846153845</v>
      </c>
      <c r="AC543" s="86">
        <f>AVERAGEIFS($J$2:J543, $B$2:B543, B543)</f>
        <v>0.49153846153846142</v>
      </c>
      <c r="AD543" s="86">
        <f>AVERAGEIFS($D$2:D543, $B$2:B543, B543)</f>
        <v>0.46153846153846156</v>
      </c>
    </row>
    <row r="544" spans="1:30" x14ac:dyDescent="0.25">
      <c r="A544" s="85">
        <v>46155</v>
      </c>
      <c r="B544" t="s">
        <v>4</v>
      </c>
      <c r="C544">
        <v>21</v>
      </c>
      <c r="D544" s="86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86">
        <f>AVERAGEIFS($C$2:C544, $B$2:B544, B544)</f>
        <v>22.454545454545453</v>
      </c>
      <c r="AB544" s="86">
        <f>AVERAGEIFS($I$2:I544, $B$2:B544, B544)</f>
        <v>0.47272727272727272</v>
      </c>
      <c r="AC544" s="86">
        <f>AVERAGEIFS($J$2:J544, $B$2:B544, B544)</f>
        <v>0.47545454545454541</v>
      </c>
      <c r="AD544" s="86">
        <f>AVERAGEIFS($D$2:D544, $B$2:B544, B544)</f>
        <v>0.54545454545454541</v>
      </c>
    </row>
    <row r="545" spans="1:30" x14ac:dyDescent="0.25">
      <c r="A545" s="85">
        <v>46155</v>
      </c>
      <c r="B545" t="s">
        <v>42</v>
      </c>
      <c r="C545">
        <v>12</v>
      </c>
      <c r="D545" s="86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86">
        <f>AVERAGEIFS($C$2:C545, $B$2:B545, B545)</f>
        <v>13.25</v>
      </c>
      <c r="AB545" s="86">
        <f>AVERAGEIFS($I$2:I545, $B$2:B545, B545)</f>
        <v>0.28749999999999998</v>
      </c>
      <c r="AC545" s="86">
        <f>AVERAGEIFS($J$2:J545, $B$2:B545, B545)</f>
        <v>0.39249999999999996</v>
      </c>
      <c r="AD545" s="86">
        <f>AVERAGEIFS($D$2:D545, $B$2:B545, B545)</f>
        <v>0.25</v>
      </c>
    </row>
    <row r="546" spans="1:30" x14ac:dyDescent="0.25">
      <c r="A546" s="85">
        <v>46155</v>
      </c>
      <c r="B546" t="s">
        <v>53</v>
      </c>
      <c r="C546">
        <v>12</v>
      </c>
      <c r="D546" s="86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86">
        <f>AVERAGEIFS($C$2:C546, $B$2:B546, B546)</f>
        <v>16.333333333333332</v>
      </c>
      <c r="AB546" s="86">
        <f>AVERAGEIFS($I$2:I546, $B$2:B546, B546)</f>
        <v>0.58333333333333337</v>
      </c>
      <c r="AC546" s="86">
        <f>AVERAGEIFS($J$2:J546, $B$2:B546, B546)</f>
        <v>0.57333333333333336</v>
      </c>
      <c r="AD546" s="86">
        <f>AVERAGEIFS($D$2:D546, $B$2:B546, B546)</f>
        <v>0.66666666666666663</v>
      </c>
    </row>
    <row r="547" spans="1:30" x14ac:dyDescent="0.25">
      <c r="A547" s="85">
        <v>46155</v>
      </c>
      <c r="B547" t="s">
        <v>20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86">
        <f>AVERAGEIFS($C$2:C547, $B$2:B547, B547)</f>
        <v>15.666666666666666</v>
      </c>
      <c r="AB547" s="86">
        <f>AVERAGEIFS($I$2:I547, $B$2:B547, B547)</f>
        <v>0.52222222222222214</v>
      </c>
      <c r="AC547" s="86">
        <f>AVERAGEIFS($J$2:J547, $B$2:B547, B547)</f>
        <v>0.51888888888888884</v>
      </c>
      <c r="AD547" s="86">
        <f>AVERAGEIFS($D$2:D547, $B$2:B547, B547)</f>
        <v>0.44444444444444442</v>
      </c>
    </row>
    <row r="548" spans="1:30" x14ac:dyDescent="0.25">
      <c r="A548" s="85">
        <v>46155</v>
      </c>
      <c r="B548" t="s">
        <v>137</v>
      </c>
      <c r="C548">
        <v>14</v>
      </c>
      <c r="D548" s="86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86">
        <f>AVERAGEIFS($C$2:C548, $B$2:B548, B548)</f>
        <v>10.666666666666666</v>
      </c>
      <c r="AB548" s="86">
        <f>AVERAGEIFS($I$2:I548, $B$2:B548, B548)</f>
        <v>0.46666666666666662</v>
      </c>
      <c r="AC548" s="86">
        <f>AVERAGEIFS($J$2:J548, $B$2:B548, B548)</f>
        <v>0.45</v>
      </c>
      <c r="AD548" s="86">
        <f>AVERAGEIFS($D$2:D548, $B$2:B548, B548)</f>
        <v>0.33333333333333331</v>
      </c>
    </row>
    <row r="549" spans="1:30" x14ac:dyDescent="0.25">
      <c r="A549" s="85">
        <v>46155</v>
      </c>
      <c r="B549" t="s">
        <v>14</v>
      </c>
      <c r="C549">
        <v>20</v>
      </c>
      <c r="D549" s="86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86">
        <f>AVERAGEIFS($C$2:C549, $B$2:B549, B549)</f>
        <v>21.904761904761905</v>
      </c>
      <c r="AB549" s="86">
        <f>AVERAGEIFS($I$2:I549, $B$2:B549, B549)</f>
        <v>0.37142857142857144</v>
      </c>
      <c r="AC549" s="86">
        <f>AVERAGEIFS($J$2:J549, $B$2:B549, B549)</f>
        <v>0.43476190476190474</v>
      </c>
      <c r="AD549" s="86">
        <f>AVERAGEIFS($D$2:D549, $B$2:B549, B549)</f>
        <v>0.2857142857142857</v>
      </c>
    </row>
    <row r="550" spans="1:30" x14ac:dyDescent="0.25">
      <c r="A550" s="85">
        <v>46155</v>
      </c>
      <c r="B550" t="s">
        <v>15</v>
      </c>
      <c r="C550">
        <v>23</v>
      </c>
      <c r="D550" s="86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86">
        <f>AVERAGEIFS($C$2:C550, $B$2:B550, B550)</f>
        <v>20.181818181818183</v>
      </c>
      <c r="AB550" s="86">
        <f>AVERAGEIFS($I$2:I550, $B$2:B550, B550)</f>
        <v>0.46136363636363631</v>
      </c>
      <c r="AC550" s="86">
        <f>AVERAGEIFS($J$2:J550, $B$2:B550, B550)</f>
        <v>0.49818181818181823</v>
      </c>
      <c r="AD550" s="86">
        <f>AVERAGEIFS($D$2:D550, $B$2:B550, B550)</f>
        <v>0.45454545454545453</v>
      </c>
    </row>
    <row r="551" spans="1:30" x14ac:dyDescent="0.25">
      <c r="A551" s="85">
        <v>46155</v>
      </c>
      <c r="B551" t="s">
        <v>155</v>
      </c>
      <c r="C551">
        <v>17</v>
      </c>
      <c r="D551" s="86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86">
        <f>AVERAGEIFS($C$2:C551, $B$2:B551, B551)</f>
        <v>18.103448275862068</v>
      </c>
      <c r="AB551" s="86">
        <f>AVERAGEIFS($I$2:I551, $B$2:B551, B551)</f>
        <v>0.37413793103448273</v>
      </c>
      <c r="AC551" s="86">
        <f>AVERAGEIFS($J$2:J551, $B$2:B551, B551)</f>
        <v>0.45758620689655183</v>
      </c>
      <c r="AD551" s="86">
        <f>AVERAGEIFS($D$2:D551, $B$2:B551, B551)</f>
        <v>0.31034482758620691</v>
      </c>
    </row>
    <row r="552" spans="1:30" x14ac:dyDescent="0.25">
      <c r="A552" s="85">
        <v>46155</v>
      </c>
      <c r="B552" t="s">
        <v>27</v>
      </c>
      <c r="C552">
        <v>10</v>
      </c>
      <c r="D552" s="86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86">
        <f>AVERAGEIFS($C$2:C552, $B$2:B552, B552)</f>
        <v>16.25</v>
      </c>
      <c r="AB552" s="86">
        <f>AVERAGEIFS($I$2:I552, $B$2:B552, B552)</f>
        <v>0.58333333333333337</v>
      </c>
      <c r="AC552" s="86">
        <f>AVERAGEIFS($J$2:J552, $B$2:B552, B552)</f>
        <v>0.54833333333333345</v>
      </c>
      <c r="AD552" s="86">
        <f>AVERAGEIFS($D$2:D552, $B$2:B552, B552)</f>
        <v>0.66666666666666663</v>
      </c>
    </row>
    <row r="553" spans="1:30" x14ac:dyDescent="0.25">
      <c r="A553" s="85">
        <v>46155</v>
      </c>
      <c r="B553" t="s">
        <v>35</v>
      </c>
      <c r="C553">
        <v>12</v>
      </c>
      <c r="D553" s="86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86">
        <f>AVERAGEIFS($C$2:C553, $B$2:B553, B553)</f>
        <v>12.727272727272727</v>
      </c>
      <c r="AB553" s="86">
        <f>AVERAGEIFS($I$2:I553, $B$2:B553, B553)</f>
        <v>0.5022727272727272</v>
      </c>
      <c r="AC553" s="86">
        <f>AVERAGEIFS($J$2:J553, $B$2:B553, B553)</f>
        <v>0.48590909090909096</v>
      </c>
      <c r="AD553" s="86">
        <f>AVERAGEIFS($D$2:D553, $B$2:B553, B553)</f>
        <v>0.54545454545454541</v>
      </c>
    </row>
    <row r="554" spans="1:30" x14ac:dyDescent="0.25">
      <c r="A554" s="85">
        <v>46155</v>
      </c>
      <c r="B554" t="s">
        <v>19</v>
      </c>
      <c r="C554">
        <v>9</v>
      </c>
      <c r="D554" s="86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86">
        <f>AVERAGEIFS($C$2:C554, $B$2:B554, B554)</f>
        <v>12.125</v>
      </c>
      <c r="AB554" s="86">
        <f>AVERAGEIFS($I$2:I554, $B$2:B554, B554)</f>
        <v>0.6</v>
      </c>
      <c r="AC554" s="86">
        <f>AVERAGEIFS($J$2:J554, $B$2:B554, B554)</f>
        <v>0.53</v>
      </c>
      <c r="AD554" s="86">
        <f>AVERAGEIFS($D$2:D554, $B$2:B554, B554)</f>
        <v>0.5</v>
      </c>
    </row>
  </sheetData>
  <autoFilter ref="A1:AD554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0" t="s">
        <v>119</v>
      </c>
      <c r="B4" s="101"/>
      <c r="C4" s="101"/>
    </row>
    <row r="5" spans="1:3" x14ac:dyDescent="0.25">
      <c r="A5" s="100" t="s">
        <v>120</v>
      </c>
      <c r="B5" s="101"/>
      <c r="C5" s="101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3" t="s">
        <v>7</v>
      </c>
      <c r="D1" s="104"/>
      <c r="E1" s="104"/>
      <c r="F1" s="103" t="s">
        <v>22</v>
      </c>
      <c r="G1" s="104"/>
      <c r="H1" s="105"/>
      <c r="I1" s="103" t="s">
        <v>16</v>
      </c>
      <c r="J1" s="104"/>
      <c r="K1" s="105"/>
      <c r="L1" s="103" t="s">
        <v>23</v>
      </c>
      <c r="M1" s="104"/>
      <c r="N1" s="105"/>
      <c r="O1" s="104" t="s">
        <v>64</v>
      </c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5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6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6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6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6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6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6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6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6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3" t="s">
        <v>7</v>
      </c>
      <c r="D15" s="104"/>
      <c r="E15" s="105"/>
      <c r="F15" s="103" t="s">
        <v>22</v>
      </c>
      <c r="G15" s="104"/>
      <c r="H15" s="105"/>
      <c r="I15" s="103" t="s">
        <v>16</v>
      </c>
      <c r="J15" s="104"/>
      <c r="K15" s="105"/>
      <c r="L15" s="103" t="s">
        <v>23</v>
      </c>
      <c r="M15" s="104"/>
      <c r="N15" s="105"/>
      <c r="O15" s="103" t="s">
        <v>64</v>
      </c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5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2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2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2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2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2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2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2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2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N61"/>
  <sheetViews>
    <sheetView workbookViewId="0">
      <pane xSplit="1" ySplit="1" topLeftCell="T29" activePane="bottomRight" state="frozen"/>
      <selection pane="topRight" activeCell="B1" sqref="B1"/>
      <selection pane="bottomLeft" activeCell="A2" sqref="A2"/>
      <selection pane="bottomRight" activeCell="AH11" sqref="AH11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4" width="13.140625" style="1" customWidth="1"/>
    <col min="35" max="35" width="9.140625" style="1"/>
    <col min="36" max="36" width="12.85546875" style="1" customWidth="1"/>
    <col min="37" max="37" width="9.140625" style="1"/>
    <col min="38" max="38" width="12.42578125" style="1" bestFit="1" customWidth="1"/>
    <col min="39" max="39" width="12.42578125" style="1" customWidth="1"/>
    <col min="40" max="40" width="9.140625" style="1"/>
  </cols>
  <sheetData>
    <row r="1" spans="1:40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2" t="s">
        <v>220</v>
      </c>
      <c r="AI1" s="91" t="s">
        <v>104</v>
      </c>
      <c r="AJ1" s="91" t="s">
        <v>66</v>
      </c>
      <c r="AK1" s="91" t="s">
        <v>72</v>
      </c>
      <c r="AL1" s="92" t="s">
        <v>68</v>
      </c>
      <c r="AM1" s="92" t="s">
        <v>135</v>
      </c>
      <c r="AN1" s="93" t="s">
        <v>96</v>
      </c>
    </row>
    <row r="2" spans="1:40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196</v>
      </c>
      <c r="G2" s="66">
        <f>AVERAGEIFS('BA History'!C:C,'BA History'!B:B,A2)</f>
        <v>13.066666666666666</v>
      </c>
      <c r="H2" s="35">
        <f t="array" ref="H2">MAX(IF('BA History'!B:B=A2, 'BA History'!C:C))</f>
        <v>23</v>
      </c>
      <c r="I2" s="34">
        <f>COUNTIFS('BA History'!B:B,A2,'BA History'!D:D, 1)</f>
        <v>8</v>
      </c>
      <c r="J2" s="2">
        <f>COUNTIFS('BA History'!B:B,A2,'BA History'!D:D, 0)</f>
        <v>7</v>
      </c>
      <c r="K2" s="75">
        <f>LOOKUP(2, 1/('BA History'!$B:$B=A2), 'BA History'!$AK:$AK)</f>
        <v>0.53333333333333333</v>
      </c>
      <c r="L2" s="34">
        <f>SUMIFS('BA History'!F:F,'BA History'!B:B,A2)</f>
        <v>31</v>
      </c>
      <c r="M2" s="2">
        <f>SUMIFS('BA History'!E:E,'BA History'!B:B,A2)-L2</f>
        <v>29</v>
      </c>
      <c r="N2" s="75">
        <f>LOOKUP(2, 1/('BA History'!$B:$B=A2), 'BA History'!$AI:$AI)</f>
        <v>0.51</v>
      </c>
      <c r="O2" s="34">
        <f>SUMIFS('BA History'!H:H,'BA History'!B:B,A2)</f>
        <v>125</v>
      </c>
      <c r="P2" s="2">
        <f>SUMIFS('BA History'!G:G,'BA History'!B:B,A2)-O2</f>
        <v>118</v>
      </c>
      <c r="Q2" s="89">
        <f>LOOKUP(2, 1/('BA History'!$B:$B=A2), 'BA History'!$AJ:$AJ)</f>
        <v>0.50266666666666671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6</v>
      </c>
      <c r="U2" s="2">
        <f>COUNTIFS('BA History'!$B:$B,$A$2,'BA History'!N:N, 1)</f>
        <v>4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2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0</v>
      </c>
      <c r="AG2" s="2">
        <f>COUNTIFS('BA History'!$B:$B,$A$2,'BA History'!Z:Z, 1)</f>
        <v>4</v>
      </c>
      <c r="AH2" s="2">
        <f>COUNTIFS('BA History'!$B:$B,$A2,'BA History'!AA:AA, 1)</f>
        <v>0</v>
      </c>
      <c r="AI2" s="2">
        <f>COUNTIFS('BA History'!$B:$B,$A$2,'BA History'!AB:AB, 1)</f>
        <v>0</v>
      </c>
      <c r="AJ2" s="2">
        <f>COUNTIFS('BA History'!$B:$B,$A$2,'BA History'!AC:AC, 1)</f>
        <v>3</v>
      </c>
      <c r="AK2" s="2">
        <f>COUNTIFS('BA History'!$B:$B,$A$2,'BA History'!AD:AD, 1)</f>
        <v>0</v>
      </c>
      <c r="AL2" s="2">
        <f>COUNTIFS('BA History'!$B:$B,$A$2,'BA History'!AE:AE, 1)</f>
        <v>3</v>
      </c>
      <c r="AM2" s="2">
        <f>COUNTIFS('BA History'!$B:$B,$A$2,'BA History'!AF:AF, 1)</f>
        <v>0</v>
      </c>
      <c r="AN2" s="2">
        <f>COUNTIFS('BA History'!$B:$B,$A$2,'BA History'!AG:AG, 1)</f>
        <v>2</v>
      </c>
    </row>
    <row r="3" spans="1:40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115</v>
      </c>
      <c r="G3" s="66">
        <f>AVERAGEIFS('BA History'!C:C,'BA History'!B:B,A3)</f>
        <v>12.777777777777779</v>
      </c>
      <c r="H3" s="35">
        <f t="array" ref="H3">MAX(IF('BA History'!B:B=A3, 'BA History'!C:C))</f>
        <v>19</v>
      </c>
      <c r="I3" s="34">
        <f>COUNTIFS('BA History'!B:B,A3,'BA History'!D:D, 1)</f>
        <v>4</v>
      </c>
      <c r="J3" s="2">
        <f>COUNTIFS('BA History'!B:B,A3,'BA History'!D:D, 0)</f>
        <v>5</v>
      </c>
      <c r="K3" s="75">
        <f>LOOKUP(2, 1/('BA History'!$B:$B=A3), 'BA History'!$AK:$AK)</f>
        <v>0.44444444444444442</v>
      </c>
      <c r="L3" s="34">
        <f>SUMIFS('BA History'!F:F,'BA History'!B:B,A3)</f>
        <v>20</v>
      </c>
      <c r="M3" s="2">
        <f>SUMIFS('BA History'!E:E,'BA History'!B:B,A3)-L3</f>
        <v>18</v>
      </c>
      <c r="N3" s="75">
        <f>LOOKUP(2, 1/('BA History'!$B:$B=A3), 'BA History'!$AI:$AI)</f>
        <v>0.53888888888888886</v>
      </c>
      <c r="O3" s="34">
        <f>SUMIFS('BA History'!H:H,'BA History'!B:B,A3)</f>
        <v>80</v>
      </c>
      <c r="P3" s="2">
        <f>SUMIFS('BA History'!G:G,'BA History'!B:B,A3)-O3</f>
        <v>79</v>
      </c>
      <c r="Q3" s="89">
        <f>LOOKUP(2, 1/('BA History'!$B:$B=A3), 'BA History'!$AJ:$AJ)</f>
        <v>0.49222222222222217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3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2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2</v>
      </c>
      <c r="AH3" s="2">
        <f>COUNTIFS('BA History'!$B:$B,$A3,'BA History'!AA:AA, 1)</f>
        <v>0</v>
      </c>
      <c r="AI3" s="2">
        <f>COUNTIFS('BA History'!$B:$B,$A$3,'BA History'!AB:AB, 1)</f>
        <v>0</v>
      </c>
      <c r="AJ3" s="2">
        <f>COUNTIFS('BA History'!$B:$B,$A$3,'BA History'!AC:AC, 1)</f>
        <v>1</v>
      </c>
      <c r="AK3" s="2">
        <f>COUNTIFS('BA History'!$B:$B,$A$3,'BA History'!AD:AD, 1)</f>
        <v>2</v>
      </c>
      <c r="AL3" s="2">
        <f>COUNTIFS('BA History'!$B:$B,$A$3,'BA History'!AE:AE, 1)</f>
        <v>1</v>
      </c>
      <c r="AM3" s="2">
        <f>COUNTIFS('BA History'!$B:$B,$A$3,'BA History'!AF:AF, 1)</f>
        <v>0</v>
      </c>
      <c r="AN3" s="2">
        <f>COUNTIFS('BA History'!$B:$B,$A$3,'BA History'!AG:AG, 1)</f>
        <v>2</v>
      </c>
    </row>
    <row r="4" spans="1:40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History'!$AK:$AK)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History'!$AI:$AI)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History'!$AJ:$AJ)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0</v>
      </c>
      <c r="AL4" s="2">
        <f>COUNTIFS('BA History'!$B:$B,$A$4,'BA History'!AE:AE, 1)</f>
        <v>2</v>
      </c>
      <c r="AM4" s="2">
        <f>COUNTIFS('BA History'!$B:$B,$A$4,'BA History'!AF:AF, 1)</f>
        <v>0</v>
      </c>
      <c r="AN4" s="2">
        <f>COUNTIFS('BA History'!$B:$B,$A$4,'BA History'!AG:AG, 1)</f>
        <v>0</v>
      </c>
    </row>
    <row r="5" spans="1:40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375</v>
      </c>
      <c r="G5" s="66">
        <f>AVERAGEIFS('BA History'!C:C,'BA History'!B:B,A5)</f>
        <v>12.5</v>
      </c>
      <c r="H5" s="35">
        <f t="array" ref="H5">MAX(IF('BA History'!B:B=A5, 'BA History'!C:C))</f>
        <v>23</v>
      </c>
      <c r="I5" s="34">
        <f>COUNTIFS('BA History'!B:B,A5,'BA History'!D:D, 1)</f>
        <v>15</v>
      </c>
      <c r="J5" s="2">
        <f>COUNTIFS('BA History'!B:B,A5,'BA History'!D:D, 0)</f>
        <v>15</v>
      </c>
      <c r="K5" s="75">
        <f>LOOKUP(2, 1/('BA History'!$B:$B=A5), 'BA History'!$AK:$AK)</f>
        <v>0.5</v>
      </c>
      <c r="L5" s="34">
        <f>SUMIFS('BA History'!F:F,'BA History'!B:B,A5)</f>
        <v>59</v>
      </c>
      <c r="M5" s="2">
        <f>SUMIFS('BA History'!E:E,'BA History'!B:B,A5)-L5</f>
        <v>64</v>
      </c>
      <c r="N5" s="75">
        <f>LOOKUP(2, 1/('BA History'!$B:$B=A5), 'BA History'!$AI:$AI)</f>
        <v>0.45500000000000002</v>
      </c>
      <c r="O5" s="34">
        <f>SUMIFS('BA History'!H:H,'BA History'!B:B,A5)</f>
        <v>247</v>
      </c>
      <c r="P5" s="2">
        <f>SUMIFS('BA History'!G:G,'BA History'!B:B,A5)-O5</f>
        <v>262</v>
      </c>
      <c r="Q5" s="89">
        <f>LOOKUP(2, 1/('BA History'!$B:$B=A5), 'BA History'!$AJ:$AJ)</f>
        <v>0.47266666666666662</v>
      </c>
      <c r="R5" s="2">
        <f>COUNTIFS('BA History'!$B:$B,$A$5,'BA History'!K:K, 1)</f>
        <v>4</v>
      </c>
      <c r="S5" s="2">
        <f>COUNTIFS('BA History'!$B:$B,$A$5,'BA History'!L:L, 1)</f>
        <v>7</v>
      </c>
      <c r="T5" s="2">
        <f>COUNTIFS('BA History'!$B:$B,$A$5,'BA History'!M:M, 1)</f>
        <v>5</v>
      </c>
      <c r="U5" s="2">
        <f>COUNTIFS('BA History'!$B:$B,$A$5,'BA History'!N:N, 1)</f>
        <v>4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5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4</v>
      </c>
      <c r="AH5" s="2">
        <f>COUNTIFS('BA History'!$B:$B,$A5,'BA History'!AA:AA, 1)</f>
        <v>0</v>
      </c>
      <c r="AI5" s="2">
        <f>COUNTIFS('BA History'!$B:$B,$A$5,'BA History'!AB:AB, 1)</f>
        <v>1</v>
      </c>
      <c r="AJ5" s="2">
        <f>COUNTIFS('BA History'!$B:$B,$A$5,'BA History'!AC:AC, 1)</f>
        <v>7</v>
      </c>
      <c r="AK5" s="2">
        <f>COUNTIFS('BA History'!$B:$B,$A$5,'BA History'!AD:AD, 1)</f>
        <v>3</v>
      </c>
      <c r="AL5" s="2">
        <f>COUNTIFS('BA History'!$B:$B,$A$5,'BA History'!AE:AE, 1)</f>
        <v>5</v>
      </c>
      <c r="AM5" s="2">
        <f>COUNTIFS('BA History'!$B:$B,$A$5,'BA History'!AF:AF, 1)</f>
        <v>1</v>
      </c>
      <c r="AN5" s="2">
        <f>COUNTIFS('BA History'!$B:$B,$A$5,'BA History'!AG:AG, 1)</f>
        <v>2</v>
      </c>
    </row>
    <row r="6" spans="1:40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History'!$AK:$AK)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History'!$AI:$AI)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History'!$AJ:$AJ)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  <c r="AN6" s="2">
        <f>COUNTIFS('BA History'!$B:$B,$A$6,'BA History'!AG:AG, 1)</f>
        <v>0</v>
      </c>
    </row>
    <row r="7" spans="1:40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440</v>
      </c>
      <c r="G7" s="66">
        <f>AVERAGEIFS('BA History'!C:C,'BA History'!B:B,A7)</f>
        <v>10.476190476190476</v>
      </c>
      <c r="H7" s="35">
        <f t="array" ref="H7">MAX(IF('BA History'!B:B=A7, 'BA History'!C:C))</f>
        <v>24</v>
      </c>
      <c r="I7" s="34">
        <f>COUNTIFS('BA History'!B:B,A7,'BA History'!D:D, 1)</f>
        <v>18</v>
      </c>
      <c r="J7" s="2">
        <f>COUNTIFS('BA History'!B:B,A7,'BA History'!D:D, 0)</f>
        <v>24</v>
      </c>
      <c r="K7" s="75">
        <f>LOOKUP(2, 1/('BA History'!$B:$B=A7), 'BA History'!$AK:$AK)</f>
        <v>0.42857142857142855</v>
      </c>
      <c r="L7" s="34">
        <f>SUMIFS('BA History'!F:F,'BA History'!B:B,A7)</f>
        <v>81</v>
      </c>
      <c r="M7" s="2">
        <f>SUMIFS('BA History'!E:E,'BA History'!B:B,A7)-L7</f>
        <v>91</v>
      </c>
      <c r="N7" s="75">
        <f>LOOKUP(2, 1/('BA History'!$B:$B=A7), 'BA History'!$AI:$AI)</f>
        <v>0.46023809523809528</v>
      </c>
      <c r="O7" s="34">
        <f>SUMIFS('BA History'!H:H,'BA History'!B:B,A7)</f>
        <v>348</v>
      </c>
      <c r="P7" s="2">
        <f>SUMIFS('BA History'!G:G,'BA History'!B:B,A7)-O7</f>
        <v>365</v>
      </c>
      <c r="Q7" s="89">
        <f>LOOKUP(2, 1/('BA History'!$B:$B=A7), 'BA History'!$AJ:$AJ)</f>
        <v>0.48357142857142854</v>
      </c>
      <c r="R7" s="2">
        <f>COUNTIFS('BA History'!$B:$B,$A$7,'BA History'!K:K, 1)</f>
        <v>4</v>
      </c>
      <c r="S7" s="2">
        <f>COUNTIFS('BA History'!$B:$B,$A$7,'BA History'!L:L, 1)</f>
        <v>4</v>
      </c>
      <c r="T7" s="2">
        <f>COUNTIFS('BA History'!$B:$B,$A$7,'BA History'!M:M, 1)</f>
        <v>6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4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10</v>
      </c>
      <c r="AH7" s="2">
        <f>COUNTIFS('BA History'!$B:$B,$A7,'BA History'!AA:AA, 1)</f>
        <v>0</v>
      </c>
      <c r="AI7" s="2">
        <f>COUNTIFS('BA History'!$B:$B,$A$7,'BA History'!AB:AB, 1)</f>
        <v>2</v>
      </c>
      <c r="AJ7" s="2">
        <f>COUNTIFS('BA History'!$B:$B,$A$7,'BA History'!AC:AC, 1)</f>
        <v>8</v>
      </c>
      <c r="AK7" s="2">
        <f>COUNTIFS('BA History'!$B:$B,$A$7,'BA History'!AD:AD, 1)</f>
        <v>6</v>
      </c>
      <c r="AL7" s="2">
        <f>COUNTIFS('BA History'!$B:$B,$A$7,'BA History'!AE:AE, 1)</f>
        <v>8</v>
      </c>
      <c r="AM7" s="2">
        <f>COUNTIFS('BA History'!$B:$B,$A$7,'BA History'!AF:AF, 1)</f>
        <v>1</v>
      </c>
      <c r="AN7" s="2">
        <f>COUNTIFS('BA History'!$B:$B,$A$7,'BA History'!AG:AG, 1)</f>
        <v>3</v>
      </c>
    </row>
    <row r="8" spans="1:40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History'!$AK:$AK)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History'!$AI:$AI)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History'!$AJ:$AJ)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History'!$B:$B,$A8,'BA History'!AA:AA, 1)</f>
        <v>0</v>
      </c>
      <c r="AI8" s="2">
        <f>COUNTIFS('BA History'!$B:$B,$A$8,'BA History'!AB:AB, 1)</f>
        <v>0</v>
      </c>
      <c r="AJ8" s="2">
        <f>COUNTIFS('BA History'!$B:$B,$A$8,'BA History'!AC:AC, 1)</f>
        <v>5</v>
      </c>
      <c r="AK8" s="2">
        <f>COUNTIFS('BA History'!$B:$B,$A$8,'BA History'!AD:AD, 1)</f>
        <v>3</v>
      </c>
      <c r="AL8" s="2">
        <f>COUNTIFS('BA History'!$B:$B,$A$8,'BA History'!AE:AE, 1)</f>
        <v>3</v>
      </c>
      <c r="AM8" s="2">
        <f>COUNTIFS('BA History'!$B:$B,$A$8,'BA History'!AF:AF, 1)</f>
        <v>0</v>
      </c>
      <c r="AN8" s="2">
        <f>COUNTIFS('BA History'!$B:$B,$A$8,'BA History'!AG:AG, 1)</f>
        <v>1</v>
      </c>
    </row>
    <row r="9" spans="1:40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864</v>
      </c>
      <c r="G9" s="66">
        <f>AVERAGEIFS('BA History'!C:C,'BA History'!B:B,A9)</f>
        <v>18</v>
      </c>
      <c r="H9" s="35">
        <f t="array" ref="H9">MAX(IF('BA History'!B:B=A9, 'BA History'!C:C))</f>
        <v>40</v>
      </c>
      <c r="I9" s="34">
        <f>COUNTIFS('BA History'!B:B,A9,'BA History'!D:D, 1)</f>
        <v>23</v>
      </c>
      <c r="J9" s="2">
        <f>COUNTIFS('BA History'!B:B,A9,'BA History'!D:D, 0)</f>
        <v>25</v>
      </c>
      <c r="K9" s="75">
        <f>LOOKUP(2, 1/('BA History'!$B:$B=A9), 'BA History'!$AK:$AK)</f>
        <v>0.47916666666666669</v>
      </c>
      <c r="L9" s="34">
        <f>SUMIFS('BA History'!F:F,'BA History'!B:B,A9)</f>
        <v>91</v>
      </c>
      <c r="M9" s="2">
        <f>SUMIFS('BA History'!E:E,'BA History'!B:B,A9)-L9</f>
        <v>102</v>
      </c>
      <c r="N9" s="75">
        <f>LOOKUP(2, 1/('BA History'!$B:$B=A9), 'BA History'!$AI:$AI)</f>
        <v>0.46562500000000001</v>
      </c>
      <c r="O9" s="34">
        <f>SUMIFS('BA History'!H:H,'BA History'!B:B,A9)</f>
        <v>373</v>
      </c>
      <c r="P9" s="2">
        <f>SUMIFS('BA History'!G:G,'BA History'!B:B,A9)-O9</f>
        <v>423</v>
      </c>
      <c r="Q9" s="89">
        <f>LOOKUP(2, 1/('BA History'!$B:$B=A9), 'BA History'!$AJ:$AJ)</f>
        <v>0.45958333333333318</v>
      </c>
      <c r="R9" s="2">
        <f>COUNTIFS('BA History'!$B:$B,$A$9,'BA History'!K:K, 1)</f>
        <v>4</v>
      </c>
      <c r="S9" s="2">
        <f>COUNTIFS('BA History'!$B:$B,$A$9,'BA History'!L:L, 1)</f>
        <v>7</v>
      </c>
      <c r="T9" s="2">
        <f>COUNTIFS('BA History'!$B:$B,$A$9,'BA History'!M:M, 1)</f>
        <v>5</v>
      </c>
      <c r="U9" s="2">
        <f>COUNTIFS('BA History'!$B:$B,$A$9,'BA History'!N:N, 1)</f>
        <v>9</v>
      </c>
      <c r="V9" s="2">
        <f>COUNTIFS('BA History'!$B:$B,$A$9,'BA History'!O:O, 1)</f>
        <v>1</v>
      </c>
      <c r="W9" s="2">
        <f>COUNTIFS('BA History'!$B:$B,$A$9,'BA History'!P:P, 1)</f>
        <v>1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4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4</v>
      </c>
      <c r="AD9" s="2">
        <f>COUNTIFS('BA History'!$B:$B,$A$9,'BA History'!W:W, 1)</f>
        <v>2</v>
      </c>
      <c r="AE9" s="2">
        <f>COUNTIFS('BA History'!$B:$B,$A$9,'BA History'!X:X, 1)</f>
        <v>0</v>
      </c>
      <c r="AF9" s="2">
        <f>COUNTIFS('BA History'!$B:$B,$A$9,'BA History'!Y:Y, 1)</f>
        <v>8</v>
      </c>
      <c r="AG9" s="2">
        <f>COUNTIFS('BA History'!$B:$B,$A$9,'BA History'!Z:Z, 1)</f>
        <v>11</v>
      </c>
      <c r="AH9" s="2">
        <f>COUNTIFS('BA History'!$B:$B,$A9,'BA History'!AA:AA, 1)</f>
        <v>0</v>
      </c>
      <c r="AI9" s="2">
        <f>COUNTIFS('BA History'!$B:$B,$A$9,'BA History'!AB:AB, 1)</f>
        <v>2</v>
      </c>
      <c r="AJ9" s="2">
        <f>COUNTIFS('BA History'!$B:$B,$A$9,'BA History'!AC:AC, 1)</f>
        <v>12</v>
      </c>
      <c r="AK9" s="2">
        <f>COUNTIFS('BA History'!$B:$B,$A$9,'BA History'!AD:AD, 1)</f>
        <v>4</v>
      </c>
      <c r="AL9" s="2">
        <f>COUNTIFS('BA History'!$B:$B,$A$9,'BA History'!AE:AE, 1)</f>
        <v>9</v>
      </c>
      <c r="AM9" s="2">
        <f>COUNTIFS('BA History'!$B:$B,$A$9,'BA History'!AF:AF, 1)</f>
        <v>0</v>
      </c>
      <c r="AN9" s="2">
        <f>COUNTIFS('BA History'!$B:$B,$A$9,'BA History'!AG:AG, 1)</f>
        <v>4</v>
      </c>
    </row>
    <row r="10" spans="1:40" x14ac:dyDescent="0.25">
      <c r="A10" s="2" t="s">
        <v>179</v>
      </c>
      <c r="B10" s="2" t="s">
        <v>79</v>
      </c>
      <c r="C10" s="2"/>
      <c r="D10" s="2"/>
      <c r="E10" s="2"/>
      <c r="F10" s="34">
        <f>SUMIFS('BA History'!C:C,'BA History'!B:B,A10)</f>
        <v>59</v>
      </c>
      <c r="G10" s="66">
        <f>AVERAGEIFS('BA History'!C:C,'BA History'!B:B,A10)</f>
        <v>14.75</v>
      </c>
      <c r="H10" s="35">
        <f t="array" ref="H10">MAX(IF('BA History'!B:B=A10, 'BA History'!C:C))</f>
        <v>21</v>
      </c>
      <c r="I10" s="34">
        <f>COUNTIFS('BA History'!B:B,A10,'BA History'!D:D, 1)</f>
        <v>2</v>
      </c>
      <c r="J10" s="2">
        <f>COUNTIFS('BA History'!B:B,A10,'BA History'!D:D, 0)</f>
        <v>2</v>
      </c>
      <c r="K10" s="75">
        <f>LOOKUP(2, 1/('BA History'!$B:$B=A10), 'BA History'!$AK:$AK)</f>
        <v>0.5</v>
      </c>
      <c r="L10" s="34">
        <f>SUMIFS('BA History'!F:F,'BA History'!B:B,A10)</f>
        <v>8</v>
      </c>
      <c r="M10" s="2">
        <f>SUMIFS('BA History'!E:E,'BA History'!B:B,A10)-L10</f>
        <v>7</v>
      </c>
      <c r="N10" s="75">
        <f>LOOKUP(2, 1/('BA History'!$B:$B=A10), 'BA History'!$AI:$AI)</f>
        <v>0.53749999999999998</v>
      </c>
      <c r="O10" s="34">
        <f>SUMIFS('BA History'!H:H,'BA History'!B:B,A10)</f>
        <v>30</v>
      </c>
      <c r="P10" s="2">
        <f>SUMIFS('BA History'!G:G,'BA History'!B:B,A10)-O10</f>
        <v>28</v>
      </c>
      <c r="Q10" s="89">
        <f>LOOKUP(2, 1/('BA History'!$B:$B=A10), 'BA History'!$AJ:$AJ)</f>
        <v>0.53249999999999997</v>
      </c>
      <c r="R10" s="2">
        <f>COUNTIFS('BA History'!$B:$B,$A$10,'BA History'!K:K, 1)</f>
        <v>1</v>
      </c>
      <c r="S10" s="2">
        <f>COUNTIFS('BA History'!$B:$B,$A$10,'BA History'!L:L, 1)</f>
        <v>1</v>
      </c>
      <c r="T10" s="2">
        <f>COUNTIFS('BA History'!$B:$B,$A$10,'BA History'!M:M, 1)</f>
        <v>0</v>
      </c>
      <c r="U10" s="2">
        <f>COUNTIFS('BA History'!$B:$B,$A$10,'BA History'!N:N, 1)</f>
        <v>1</v>
      </c>
      <c r="V10" s="2">
        <f>COUNTIFS('BA History'!$B:$B,$A$10,'BA History'!O:O, 1)</f>
        <v>0</v>
      </c>
      <c r="W10" s="2">
        <f>COUNTIFS('BA History'!$B:$B,$A$10,'BA History'!P:P, 1)</f>
        <v>0</v>
      </c>
      <c r="X10" s="2">
        <f>COUNTIFS('BA History'!$B:$B,$A$10,'BA History'!Q:Q, 1)</f>
        <v>1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0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0</v>
      </c>
      <c r="AG10" s="2">
        <f>COUNTIFS('BA History'!$B:$B,$A$10,'BA History'!Z:Z, 1)</f>
        <v>1</v>
      </c>
      <c r="AH10" s="2">
        <f>COUNTIFS('BA History'!$B:$B,$A10,'BA History'!AA:AA, 1)</f>
        <v>0</v>
      </c>
      <c r="AI10" s="2">
        <f>COUNTIFS('BA History'!$B:$B,$A$10,'BA History'!AB:AB, 1)</f>
        <v>0</v>
      </c>
      <c r="AJ10" s="2">
        <f>COUNTIFS('BA History'!$B:$B,$A$10,'BA History'!AC:AC, 1)</f>
        <v>1</v>
      </c>
      <c r="AK10" s="2">
        <f>COUNTIFS('BA History'!$B:$B,$A$10,'BA History'!AD:AD, 1)</f>
        <v>0</v>
      </c>
      <c r="AL10" s="2">
        <f>COUNTIFS('BA History'!$B:$B,$A$10,'BA History'!AE:AE, 1)</f>
        <v>1</v>
      </c>
      <c r="AM10" s="2">
        <f>COUNTIFS('BA History'!$B:$B,$A$10,'BA History'!AF:AF, 1)</f>
        <v>0</v>
      </c>
      <c r="AN10" s="2">
        <f>COUNTIFS('BA History'!$B:$B,$A$10,'BA History'!AG:AG, 1)</f>
        <v>1</v>
      </c>
    </row>
    <row r="11" spans="1:40" x14ac:dyDescent="0.25">
      <c r="A11" s="2" t="s">
        <v>216</v>
      </c>
      <c r="B11" s="2" t="s">
        <v>79</v>
      </c>
      <c r="C11" s="2"/>
      <c r="D11" s="2"/>
      <c r="E11" s="2"/>
      <c r="F11" s="34">
        <f>SUMIFS('BA History'!C:C,'BA History'!B:B,A11)</f>
        <v>1</v>
      </c>
      <c r="G11" s="66">
        <f>AVERAGEIFS('BA History'!C:C,'BA History'!B:B,A11)</f>
        <v>1</v>
      </c>
      <c r="H11" s="35">
        <f t="array" ref="H11">MAX(IF('BA History'!B:B=A11, 'BA History'!C:C))</f>
        <v>1</v>
      </c>
      <c r="I11" s="34">
        <f>COUNTIFS('BA History'!B:B,A11,'BA History'!D:D, 1)</f>
        <v>1</v>
      </c>
      <c r="J11" s="2">
        <f>COUNTIFS('BA History'!B:B,A11,'BA History'!D:D, 0)</f>
        <v>0</v>
      </c>
      <c r="K11" s="75">
        <f>LOOKUP(2, 1/('BA History'!$B:$B=A11), 'BA History'!$AK:$AK)</f>
        <v>1</v>
      </c>
      <c r="L11" s="34">
        <f>SUMIFS('BA History'!F:F,'BA History'!B:B,A11)</f>
        <v>3</v>
      </c>
      <c r="M11" s="2">
        <f>SUMIFS('BA History'!E:E,'BA History'!B:B,A11)-L11</f>
        <v>0</v>
      </c>
      <c r="N11" s="75">
        <f>LOOKUP(2, 1/('BA History'!$B:$B=A11), 'BA History'!$AI:$AI)</f>
        <v>1</v>
      </c>
      <c r="O11" s="34">
        <f>SUMIFS('BA History'!H:H,'BA History'!B:B,A11)</f>
        <v>9</v>
      </c>
      <c r="P11" s="2">
        <f>SUMIFS('BA History'!G:G,'BA History'!B:B,A11)-O11</f>
        <v>3</v>
      </c>
      <c r="Q11" s="89">
        <f>LOOKUP(2, 1/('BA History'!$B:$B=A11), 'BA History'!$AJ:$AJ)</f>
        <v>0.75</v>
      </c>
      <c r="R11" s="2">
        <f>COUNTIFS('BA History'!$B:$B,$A$11,'BA History'!K:K, 1)</f>
        <v>0</v>
      </c>
      <c r="S11" s="2">
        <f>COUNTIFS('BA History'!$B:$B,$A$11,'BA History'!L:L, 1)</f>
        <v>0</v>
      </c>
      <c r="T11" s="2">
        <f>COUNTIFS('BA History'!$B:$B,$A$11,'BA History'!M:M, 1)</f>
        <v>0</v>
      </c>
      <c r="U11" s="2">
        <f>COUNTIFS('BA History'!$B:$B,$A$11,'BA History'!N:N, 1)</f>
        <v>1</v>
      </c>
      <c r="V11" s="2">
        <f>COUNTIFS('BA History'!$B:$B,$A$11,'BA History'!O:O, 1)</f>
        <v>0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0</v>
      </c>
      <c r="AC11" s="2">
        <f>COUNTIFS('BA History'!$B:$B,$A$11,'BA History'!V:V, 1)</f>
        <v>0</v>
      </c>
      <c r="AD11" s="2">
        <f>COUNTIFS('BA History'!$B:$B,$A$11,'BA History'!W:W, 1)</f>
        <v>0</v>
      </c>
      <c r="AE11" s="2">
        <f>COUNTIFS('BA History'!$B:$B,$A$11,'BA History'!X:X, 1)</f>
        <v>0</v>
      </c>
      <c r="AF11" s="2">
        <f>COUNTIFS('BA History'!$B:$B,$A$11,'BA History'!Y:Y, 1)</f>
        <v>0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0</v>
      </c>
      <c r="AK11" s="2">
        <f>COUNTIFS('BA History'!$B:$B,$A$11,'BA History'!AD:AD, 1)</f>
        <v>0</v>
      </c>
      <c r="AL11" s="2">
        <f>COUNTIFS('BA History'!$B:$B,$A$11,'BA History'!AE:AE, 1)</f>
        <v>0</v>
      </c>
      <c r="AM11" s="2">
        <f>COUNTIFS('BA History'!$B:$B,$A$11,'BA History'!AF:AF, 1)</f>
        <v>0</v>
      </c>
      <c r="AN11" s="2">
        <f>COUNTIFS('BA History'!$B:$B,$A$11,'BA History'!AG:AG, 1)</f>
        <v>0</v>
      </c>
    </row>
    <row r="12" spans="1:40" x14ac:dyDescent="0.25">
      <c r="A12" s="2" t="s">
        <v>25</v>
      </c>
      <c r="B12" s="2" t="s">
        <v>79</v>
      </c>
      <c r="C12" s="2"/>
      <c r="D12" s="2"/>
      <c r="E12" s="2"/>
      <c r="F12" s="34">
        <f>SUMIFS('BA History'!C:C,'BA History'!B:B,A12)</f>
        <v>58</v>
      </c>
      <c r="G12" s="66">
        <f>AVERAGEIFS('BA History'!C:C,'BA History'!B:B,A12)</f>
        <v>9.6666666666666661</v>
      </c>
      <c r="H12" s="35">
        <f t="array" ref="H12">MAX(IF('BA History'!B:B=A12, 'BA History'!C:C))</f>
        <v>15</v>
      </c>
      <c r="I12" s="34">
        <f>COUNTIFS('BA History'!B:B,A12,'BA History'!D:D, 1)</f>
        <v>4</v>
      </c>
      <c r="J12" s="2">
        <f>COUNTIFS('BA History'!B:B,A12,'BA History'!D:D, 0)</f>
        <v>2</v>
      </c>
      <c r="K12" s="75">
        <f>LOOKUP(2, 1/('BA History'!$B:$B=A12), 'BA History'!$AK:$AK)</f>
        <v>0.66666666666666663</v>
      </c>
      <c r="L12" s="34">
        <f>SUMIFS('BA History'!F:F,'BA History'!B:B,A12)</f>
        <v>14</v>
      </c>
      <c r="M12" s="2">
        <f>SUMIFS('BA History'!E:E,'BA History'!B:B,A12)-L12</f>
        <v>8</v>
      </c>
      <c r="N12" s="75">
        <f>LOOKUP(2, 1/('BA History'!$B:$B=A12), 'BA History'!$AI:$AI)</f>
        <v>0.66666666666666663</v>
      </c>
      <c r="O12" s="34">
        <f>SUMIFS('BA History'!H:H,'BA History'!B:B,A12)</f>
        <v>53</v>
      </c>
      <c r="P12" s="2">
        <f>SUMIFS('BA History'!G:G,'BA History'!B:B,A12)-O12</f>
        <v>35</v>
      </c>
      <c r="Q12" s="89">
        <f>LOOKUP(2, 1/('BA History'!$B:$B=A12), 'BA History'!$AJ:$AJ)</f>
        <v>0.63833333333333331</v>
      </c>
      <c r="R12" s="2">
        <f>COUNTIFS('BA History'!$B:$B,$A$12,'BA History'!K:K, 1)</f>
        <v>2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1</v>
      </c>
      <c r="W12" s="2">
        <f>COUNTIFS('BA History'!$B:$B,$A$12,'BA History'!P:P, 1)</f>
        <v>1</v>
      </c>
      <c r="X12" s="2">
        <f>COUNTIFS('BA History'!$B:$B,$A$12,'BA History'!Q:Q, 1)</f>
        <v>2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0</v>
      </c>
      <c r="AC12" s="2">
        <f>COUNTIFS('BA History'!$B:$B,$A$12,'BA History'!V:V, 1)</f>
        <v>1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2</v>
      </c>
      <c r="AG12" s="2">
        <f>COUNTIFS('BA History'!$B:$B,$A$12,'BA History'!Z:Z, 1)</f>
        <v>2</v>
      </c>
      <c r="AH12" s="2">
        <f>COUNTIFS('BA History'!$B:$B,$A12,'BA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0</v>
      </c>
      <c r="AL12" s="2">
        <f>COUNTIFS('BA History'!$B:$B,$A$12,'BA History'!AE:AE, 1)</f>
        <v>0</v>
      </c>
      <c r="AM12" s="2">
        <f>COUNTIFS('BA History'!$B:$B,$A$12,'BA History'!AF:AF, 1)</f>
        <v>0</v>
      </c>
      <c r="AN12" s="2">
        <f>COUNTIFS('BA History'!$B:$B,$A$12,'BA History'!AG:AG, 1)</f>
        <v>0</v>
      </c>
    </row>
    <row r="13" spans="1:40" x14ac:dyDescent="0.25">
      <c r="A13" s="2" t="s">
        <v>115</v>
      </c>
      <c r="B13" s="2" t="s">
        <v>79</v>
      </c>
      <c r="C13" s="2"/>
      <c r="D13" s="2"/>
      <c r="E13" s="2"/>
      <c r="F13" s="34">
        <f>SUMIFS('BA History'!C:C,'BA History'!B:B,A13)</f>
        <v>109</v>
      </c>
      <c r="G13" s="66">
        <f>AVERAGEIFS('BA History'!C:C,'BA History'!B:B,A13)</f>
        <v>13.625</v>
      </c>
      <c r="H13" s="35">
        <f t="array" ref="H13">MAX(IF('BA History'!B:B=A13, 'BA History'!C:C))</f>
        <v>23</v>
      </c>
      <c r="I13" s="34">
        <f>COUNTIFS('BA History'!B:B,A13,'BA History'!D:D, 1)</f>
        <v>3</v>
      </c>
      <c r="J13" s="2">
        <f>COUNTIFS('BA History'!B:B,A13,'BA History'!D:D, 0)</f>
        <v>5</v>
      </c>
      <c r="K13" s="75">
        <f>LOOKUP(2, 1/('BA History'!$B:$B=A13), 'BA History'!$AK:$AK)</f>
        <v>0.375</v>
      </c>
      <c r="L13" s="34">
        <f>SUMIFS('BA History'!F:F,'BA History'!B:B,A13)</f>
        <v>16</v>
      </c>
      <c r="M13" s="2">
        <f>SUMIFS('BA History'!E:E,'BA History'!B:B,A13)-L13</f>
        <v>19</v>
      </c>
      <c r="N13" s="75">
        <f>LOOKUP(2, 1/('BA History'!$B:$B=A13), 'BA History'!$AI:$AI)</f>
        <v>0.45624999999999999</v>
      </c>
      <c r="O13" s="34">
        <f>SUMIFS('BA History'!H:H,'BA History'!B:B,A13)</f>
        <v>66</v>
      </c>
      <c r="P13" s="2">
        <f>SUMIFS('BA History'!G:G,'BA History'!B:B,A13)-O13</f>
        <v>71</v>
      </c>
      <c r="Q13" s="89">
        <f>LOOKUP(2, 1/('BA History'!$B:$B=A13), 'BA History'!$AJ:$AJ)</f>
        <v>0.48374999999999996</v>
      </c>
      <c r="R13" s="2">
        <f>COUNTIFS('BA History'!$B:$B,$A$13,'BA History'!K:K, 1)</f>
        <v>1</v>
      </c>
      <c r="S13" s="2">
        <f>COUNTIFS('BA History'!$B:$B,$A$13,'BA History'!L:L, 1)</f>
        <v>2</v>
      </c>
      <c r="T13" s="2">
        <f>COUNTIFS('BA History'!$B:$B,$A$13,'BA History'!M:M, 1)</f>
        <v>1</v>
      </c>
      <c r="U13" s="2">
        <f>COUNTIFS('BA History'!$B:$B,$A$13,'BA History'!N:N, 1)</f>
        <v>0</v>
      </c>
      <c r="V13" s="2">
        <f>COUNTIFS('BA History'!$B:$B,$A$13,'BA History'!O:O, 1)</f>
        <v>1</v>
      </c>
      <c r="W13" s="2">
        <f>COUNTIFS('BA History'!$B:$B,$A$13,'BA History'!P:P, 1)</f>
        <v>0</v>
      </c>
      <c r="X13" s="2">
        <f>COUNTIFS('BA History'!$B:$B,$A$13,'BA History'!Q:Q, 1)</f>
        <v>1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1</v>
      </c>
      <c r="AD13" s="2">
        <f>COUNTIFS('BA History'!$B:$B,$A$13,'BA History'!W:W, 1)</f>
        <v>1</v>
      </c>
      <c r="AE13" s="2">
        <f>COUNTIFS('BA History'!$B:$B,$A$13,'BA History'!X:X, 1)</f>
        <v>1</v>
      </c>
      <c r="AF13" s="2">
        <f>COUNTIFS('BA History'!$B:$B,$A$13,'BA History'!Y:Y, 1)</f>
        <v>1</v>
      </c>
      <c r="AG13" s="2">
        <f>COUNTIFS('BA History'!$B:$B,$A$13,'BA History'!Z:Z, 1)</f>
        <v>1</v>
      </c>
      <c r="AH13" s="2">
        <f>COUNTIFS('BA History'!$B:$B,$A13,'BA History'!AA:AA, 1)</f>
        <v>0</v>
      </c>
      <c r="AI13" s="2">
        <f>COUNTIFS('BA History'!$B:$B,$A$13,'BA History'!AB:AB, 1)</f>
        <v>0</v>
      </c>
      <c r="AJ13" s="2">
        <f>COUNTIFS('BA History'!$B:$B,$A$13,'BA History'!AC:AC, 1)</f>
        <v>0</v>
      </c>
      <c r="AK13" s="2">
        <f>COUNTIFS('BA History'!$B:$B,$A$13,'BA History'!AD:AD, 1)</f>
        <v>2</v>
      </c>
      <c r="AL13" s="2">
        <f>COUNTIFS('BA History'!$B:$B,$A$13,'BA History'!AE:AE, 1)</f>
        <v>1</v>
      </c>
      <c r="AM13" s="2">
        <f>COUNTIFS('BA History'!$B:$B,$A$13,'BA History'!AF:AF, 1)</f>
        <v>0</v>
      </c>
      <c r="AN13" s="2">
        <f>COUNTIFS('BA History'!$B:$B,$A$13,'BA History'!AG:AG, 1)</f>
        <v>1</v>
      </c>
    </row>
    <row r="14" spans="1:40" x14ac:dyDescent="0.25">
      <c r="A14" s="2" t="s">
        <v>146</v>
      </c>
      <c r="B14" s="2" t="s">
        <v>79</v>
      </c>
      <c r="C14" s="2"/>
      <c r="D14" s="2"/>
      <c r="E14" s="2"/>
      <c r="F14" s="34">
        <f>SUMIFS('BA History'!C:C,'BA History'!B:B,A14)</f>
        <v>70</v>
      </c>
      <c r="G14" s="66">
        <f>AVERAGEIFS('BA History'!C:C,'BA History'!B:B,A14)</f>
        <v>8.75</v>
      </c>
      <c r="H14" s="35">
        <f t="array" ref="H14">MAX(IF('BA History'!B:B=A14, 'BA History'!C:C))</f>
        <v>18</v>
      </c>
      <c r="I14" s="34">
        <f>COUNTIFS('BA History'!B:B,A14,'BA History'!D:D, 1)</f>
        <v>1</v>
      </c>
      <c r="J14" s="2">
        <f>COUNTIFS('BA History'!B:B,A14,'BA History'!D:D, 0)</f>
        <v>7</v>
      </c>
      <c r="K14" s="75">
        <f>LOOKUP(2, 1/('BA History'!$B:$B=A14), 'BA History'!$AK:$AK)</f>
        <v>0.125</v>
      </c>
      <c r="L14" s="34">
        <f>SUMIFS('BA History'!F:F,'BA History'!B:B,A14)</f>
        <v>6</v>
      </c>
      <c r="M14" s="2">
        <f>SUMIFS('BA History'!E:E,'BA History'!B:B,A14)-L14</f>
        <v>21</v>
      </c>
      <c r="N14" s="75">
        <f>LOOKUP(2, 1/('BA History'!$B:$B=A14), 'BA History'!$AI:$AI)</f>
        <v>0.21875</v>
      </c>
      <c r="O14" s="34">
        <f>SUMIFS('BA History'!H:H,'BA History'!B:B,A14)</f>
        <v>40</v>
      </c>
      <c r="P14" s="2">
        <f>SUMIFS('BA History'!G:G,'BA History'!B:B,A14)-O14</f>
        <v>71</v>
      </c>
      <c r="Q14" s="89">
        <f>LOOKUP(2, 1/('BA History'!$B:$B=A14), 'BA History'!$AJ:$AJ)</f>
        <v>0.33875</v>
      </c>
      <c r="R14" s="2">
        <f>COUNTIFS('BA History'!$B:$B,$A$14,'BA History'!K:K, 1)</f>
        <v>0</v>
      </c>
      <c r="S14" s="2">
        <f>COUNTIFS('BA History'!$B:$B,$A$14,'BA History'!L:L, 1)</f>
        <v>0</v>
      </c>
      <c r="T14" s="2">
        <f>COUNTIFS('BA History'!$B:$B,$A$14,'BA History'!M:M, 1)</f>
        <v>1</v>
      </c>
      <c r="U14" s="2">
        <f>COUNTIFS('BA History'!$B:$B,$A$14,'BA History'!N:N, 1)</f>
        <v>1</v>
      </c>
      <c r="V14" s="2">
        <f>COUNTIFS('BA History'!$B:$B,$A$14,'BA History'!O:O, 1)</f>
        <v>2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0</v>
      </c>
      <c r="AG14" s="2">
        <f>COUNTIFS('BA History'!$B:$B,$A$14,'BA History'!Z:Z, 1)</f>
        <v>0</v>
      </c>
      <c r="AH14" s="2">
        <f>COUNTIFS('BA History'!$B:$B,$A14,'BA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0</v>
      </c>
      <c r="AK14" s="2">
        <f>COUNTIFS('BA History'!$B:$B,$A$14,'BA History'!AD:AD, 1)</f>
        <v>1</v>
      </c>
      <c r="AL14" s="2">
        <f>COUNTIFS('BA History'!$B:$B,$A$14,'BA History'!AE:AE, 1)</f>
        <v>1</v>
      </c>
      <c r="AM14" s="2">
        <f>COUNTIFS('BA History'!$B:$B,$A$14,'BA History'!AF:AF, 1)</f>
        <v>0</v>
      </c>
      <c r="AN14" s="2">
        <f>COUNTIFS('BA History'!$B:$B,$A$14,'BA History'!AG:AG, 1)</f>
        <v>0</v>
      </c>
    </row>
    <row r="15" spans="1:40" x14ac:dyDescent="0.25">
      <c r="A15" s="2" t="s">
        <v>27</v>
      </c>
      <c r="B15" s="2" t="s">
        <v>79</v>
      </c>
      <c r="C15" s="2"/>
      <c r="D15" s="2"/>
      <c r="E15" s="2"/>
      <c r="F15" s="34">
        <f>SUMIFS('BA History'!C:C,'BA History'!B:B,A15)</f>
        <v>114</v>
      </c>
      <c r="G15" s="66">
        <f>AVERAGEIFS('BA History'!C:C,'BA History'!B:B,A15)</f>
        <v>11.4</v>
      </c>
      <c r="H15" s="35">
        <f t="array" ref="H15">MAX(IF('BA History'!B:B=A15, 'BA History'!C:C))</f>
        <v>20</v>
      </c>
      <c r="I15" s="34">
        <f>COUNTIFS('BA History'!B:B,A15,'BA History'!D:D, 1)</f>
        <v>3</v>
      </c>
      <c r="J15" s="2">
        <f>COUNTIFS('BA History'!B:B,A15,'BA History'!D:D, 0)</f>
        <v>7</v>
      </c>
      <c r="K15" s="75">
        <f>LOOKUP(2, 1/('BA History'!$B:$B=A15), 'BA History'!$AK:$AK)</f>
        <v>0.3</v>
      </c>
      <c r="L15" s="34">
        <f>SUMIFS('BA History'!F:F,'BA History'!B:B,A15)</f>
        <v>17</v>
      </c>
      <c r="M15" s="2">
        <f>SUMIFS('BA History'!E:E,'BA History'!B:B,A15)-L15</f>
        <v>25</v>
      </c>
      <c r="N15" s="75">
        <f>LOOKUP(2, 1/('BA History'!$B:$B=A15), 'BA History'!$AI:$AI)</f>
        <v>0.4</v>
      </c>
      <c r="O15" s="34">
        <f>SUMIFS('BA History'!H:H,'BA History'!B:B,A15)</f>
        <v>72</v>
      </c>
      <c r="P15" s="2">
        <f>SUMIFS('BA History'!G:G,'BA History'!B:B,A15)-O15</f>
        <v>102</v>
      </c>
      <c r="Q15" s="89">
        <f>LOOKUP(2, 1/('BA History'!$B:$B=A15), 'BA History'!$AJ:$AJ)</f>
        <v>0.39800000000000002</v>
      </c>
      <c r="R15" s="2">
        <f>COUNTIFS('BA History'!$B:$B,$A$15,'BA History'!K:K, 1)</f>
        <v>0</v>
      </c>
      <c r="S15" s="2">
        <f>COUNTIFS('BA History'!$B:$B,$A$15,'BA History'!L:L, 1)</f>
        <v>1</v>
      </c>
      <c r="T15" s="2">
        <f>COUNTIFS('BA History'!$B:$B,$A$15,'BA History'!M:M, 1)</f>
        <v>1</v>
      </c>
      <c r="U15" s="2">
        <f>COUNTIFS('BA History'!$B:$B,$A$15,'BA History'!N:N, 1)</f>
        <v>2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1</v>
      </c>
      <c r="AC15" s="2">
        <f>COUNTIFS('BA History'!$B:$B,$A$15,'BA History'!V:V, 1)</f>
        <v>1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1</v>
      </c>
      <c r="AG15" s="2">
        <f>COUNTIFS('BA History'!$B:$B,$A$15,'BA History'!Z:Z, 1)</f>
        <v>2</v>
      </c>
      <c r="AH15" s="2">
        <f>COUNTIFS('BA History'!$B:$B,$A15,'BA History'!AA:AA, 1)</f>
        <v>0</v>
      </c>
      <c r="AI15" s="2">
        <f>COUNTIFS('BA History'!$B:$B,$A$15,'BA History'!AB:AB, 1)</f>
        <v>1</v>
      </c>
      <c r="AJ15" s="2">
        <f>COUNTIFS('BA History'!$B:$B,$A$15,'BA History'!AC:AC, 1)</f>
        <v>4</v>
      </c>
      <c r="AK15" s="2">
        <f>COUNTIFS('BA History'!$B:$B,$A$15,'BA History'!AD:AD, 1)</f>
        <v>2</v>
      </c>
      <c r="AL15" s="2">
        <f>COUNTIFS('BA History'!$B:$B,$A$15,'BA History'!AE:AE, 1)</f>
        <v>0</v>
      </c>
      <c r="AM15" s="2">
        <f>COUNTIFS('BA History'!$B:$B,$A$15,'BA History'!AF:AF, 1)</f>
        <v>0</v>
      </c>
      <c r="AN15" s="2">
        <f>COUNTIFS('BA History'!$B:$B,$A$15,'BA History'!AG:AG, 1)</f>
        <v>1</v>
      </c>
    </row>
    <row r="16" spans="1:40" x14ac:dyDescent="0.25">
      <c r="A16" s="2" t="s">
        <v>74</v>
      </c>
      <c r="B16" s="2" t="s">
        <v>79</v>
      </c>
      <c r="C16" s="2"/>
      <c r="D16" s="2"/>
      <c r="E16" s="2"/>
      <c r="F16" s="34">
        <f>SUMIFS('BA History'!C:C,'BA History'!B:B,A16)</f>
        <v>9</v>
      </c>
      <c r="G16" s="66">
        <f>AVERAGEIFS('BA History'!C:C,'BA History'!B:B,A16)</f>
        <v>9</v>
      </c>
      <c r="H16" s="35">
        <f t="array" ref="H16">MAX(IF('BA History'!B:B=A16, 'BA History'!C:C))</f>
        <v>9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History'!$AK:$AK)</f>
        <v>0</v>
      </c>
      <c r="L16" s="34">
        <f>SUMIFS('BA History'!F:F,'BA History'!B:B,A16)</f>
        <v>1</v>
      </c>
      <c r="M16" s="2">
        <f>SUMIFS('BA History'!E:E,'BA History'!B:B,A16)-L16</f>
        <v>3</v>
      </c>
      <c r="N16" s="75">
        <f>LOOKUP(2, 1/('BA History'!$B:$B=A16), 'BA History'!$AI:$AI)</f>
        <v>0.25</v>
      </c>
      <c r="O16" s="34">
        <f>SUMIFS('BA History'!H:H,'BA History'!B:B,A16)</f>
        <v>6</v>
      </c>
      <c r="P16" s="2">
        <f>SUMIFS('BA History'!G:G,'BA History'!B:B,A16)-O16</f>
        <v>9</v>
      </c>
      <c r="Q16" s="89">
        <f>LOOKUP(2, 1/('BA History'!$B:$B=A16), 'BA History'!$AJ:$AJ)</f>
        <v>0.4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1</v>
      </c>
      <c r="AH16" s="2">
        <f>COUNTIFS('BA History'!$B:$B,$A16,'BA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History'!$B:$B,$A$16,'BA History'!AF:AF, 1)</f>
        <v>0</v>
      </c>
      <c r="AN16" s="2">
        <f>COUNTIFS('BA History'!$B:$B,$A$16,'BA History'!AG:AG, 1)</f>
        <v>0</v>
      </c>
    </row>
    <row r="17" spans="1:40" x14ac:dyDescent="0.25">
      <c r="A17" s="2" t="s">
        <v>152</v>
      </c>
      <c r="B17" s="2" t="s">
        <v>79</v>
      </c>
      <c r="C17" s="2"/>
      <c r="D17" s="2"/>
      <c r="E17" s="2"/>
      <c r="F17" s="34">
        <f>SUMIFS('BA History'!C:C,'BA History'!B:B,A17)</f>
        <v>79</v>
      </c>
      <c r="G17" s="66">
        <f>AVERAGEIFS('BA History'!C:C,'BA History'!B:B,A17)</f>
        <v>11.285714285714286</v>
      </c>
      <c r="H17" s="35">
        <f t="array" ref="H17">MAX(IF('BA History'!B:B=A17, 'BA History'!C:C))</f>
        <v>19</v>
      </c>
      <c r="I17" s="34">
        <f>COUNTIFS('BA History'!B:B,A17,'BA History'!D:D, 1)</f>
        <v>3</v>
      </c>
      <c r="J17" s="2">
        <f>COUNTIFS('BA History'!B:B,A17,'BA History'!D:D, 0)</f>
        <v>4</v>
      </c>
      <c r="K17" s="75">
        <f>LOOKUP(2, 1/('BA History'!$B:$B=A17), 'BA History'!$AK:$AK)</f>
        <v>0.42857142857142855</v>
      </c>
      <c r="L17" s="34">
        <f>SUMIFS('BA History'!F:F,'BA History'!B:B,A17)</f>
        <v>14</v>
      </c>
      <c r="M17" s="2">
        <f>SUMIFS('BA History'!E:E,'BA History'!B:B,A17)-L17</f>
        <v>16</v>
      </c>
      <c r="N17" s="75">
        <f>LOOKUP(2, 1/('BA History'!$B:$B=A17), 'BA History'!$AI:$AI)</f>
        <v>0.43571428571428578</v>
      </c>
      <c r="O17" s="34">
        <f>SUMIFS('BA History'!H:H,'BA History'!B:B,A17)</f>
        <v>61</v>
      </c>
      <c r="P17" s="2">
        <f>SUMIFS('BA History'!G:G,'BA History'!B:B,A17)-O17</f>
        <v>61</v>
      </c>
      <c r="Q17" s="89">
        <f>LOOKUP(2, 1/('BA History'!$B:$B=A17), 'BA History'!$AJ:$AJ)</f>
        <v>0.48571428571428571</v>
      </c>
      <c r="R17" s="2">
        <f>COUNTIFS('BA History'!$B:$B,$A$17,'BA History'!K:K, 1)</f>
        <v>1</v>
      </c>
      <c r="S17" s="2">
        <f>COUNTIFS('BA History'!$B:$B,$A$17,'BA History'!L:L, 1)</f>
        <v>0</v>
      </c>
      <c r="T17" s="2">
        <f>COUNTIFS('BA History'!$B:$B,$A$17,'BA History'!M:M, 1)</f>
        <v>2</v>
      </c>
      <c r="U17" s="2">
        <f>COUNTIFS('BA History'!$B:$B,$A$17,'BA History'!N:N, 1)</f>
        <v>2</v>
      </c>
      <c r="V17" s="2">
        <f>COUNTIFS('BA History'!$B:$B,$A$17,'BA History'!O:O, 1)</f>
        <v>0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1</v>
      </c>
      <c r="AD17" s="2">
        <f>COUNTIFS('BA History'!$B:$B,$A$17,'BA History'!W:W, 1)</f>
        <v>1</v>
      </c>
      <c r="AE17" s="2">
        <f>COUNTIFS('BA History'!$B:$B,$A$17,'BA History'!X:X, 1)</f>
        <v>0</v>
      </c>
      <c r="AF17" s="2">
        <f>COUNTIFS('BA History'!$B:$B,$A$17,'BA History'!Y:Y, 1)</f>
        <v>0</v>
      </c>
      <c r="AG17" s="2">
        <f>COUNTIFS('BA History'!$B:$B,$A$17,'BA History'!Z:Z, 1)</f>
        <v>0</v>
      </c>
      <c r="AH17" s="2">
        <f>COUNTIFS('BA History'!$B:$B,$A17,'BA History'!AA:AA, 1)</f>
        <v>1</v>
      </c>
      <c r="AI17" s="2">
        <f>COUNTIFS('BA History'!$B:$B,$A$17,'BA History'!AB:AB, 1)</f>
        <v>0</v>
      </c>
      <c r="AJ17" s="2">
        <f>COUNTIFS('BA History'!$B:$B,$A$17,'BA History'!AC:AC, 1)</f>
        <v>3</v>
      </c>
      <c r="AK17" s="2">
        <f>COUNTIFS('BA History'!$B:$B,$A$17,'BA History'!AD:AD, 1)</f>
        <v>2</v>
      </c>
      <c r="AL17" s="2">
        <f>COUNTIFS('BA History'!$B:$B,$A$17,'BA History'!AE:AE, 1)</f>
        <v>0</v>
      </c>
      <c r="AM17" s="2">
        <f>COUNTIFS('BA History'!$B:$B,$A$17,'BA History'!AF:AF, 1)</f>
        <v>0</v>
      </c>
      <c r="AN17" s="2">
        <f>COUNTIFS('BA History'!$B:$B,$A$17,'BA History'!AG:AG, 1)</f>
        <v>0</v>
      </c>
    </row>
    <row r="18" spans="1:40" x14ac:dyDescent="0.25">
      <c r="A18" s="2" t="s">
        <v>89</v>
      </c>
      <c r="B18" s="2" t="s">
        <v>79</v>
      </c>
      <c r="C18" s="2"/>
      <c r="D18" s="2"/>
      <c r="E18" s="2"/>
      <c r="F18" s="34">
        <f>SUMIFS('BA History'!C:C,'BA History'!B:B,A18)</f>
        <v>3</v>
      </c>
      <c r="G18" s="66">
        <f>AVERAGEIFS('BA History'!C:C,'BA History'!B:B,A18)</f>
        <v>3</v>
      </c>
      <c r="H18" s="35">
        <f t="array" ref="H18">MAX(IF('BA History'!B:B=A18, 'BA History'!C:C))</f>
        <v>3</v>
      </c>
      <c r="I18" s="34">
        <f>COUNTIFS('BA History'!B:B,A18,'BA History'!D:D, 1)</f>
        <v>0</v>
      </c>
      <c r="J18" s="2">
        <f>COUNTIFS('BA History'!B:B,A18,'BA History'!D:D, 0)</f>
        <v>1</v>
      </c>
      <c r="K18" s="75">
        <f>LOOKUP(2, 1/('BA History'!$B:$B=A18), 'BA History'!$AK:$AK)</f>
        <v>0</v>
      </c>
      <c r="L18" s="34">
        <f>SUMIFS('BA History'!F:F,'BA History'!B:B,A18)</f>
        <v>0</v>
      </c>
      <c r="M18" s="2">
        <f>SUMIFS('BA History'!E:E,'BA History'!B:B,A18)-L18</f>
        <v>3</v>
      </c>
      <c r="N18" s="75">
        <f>LOOKUP(2, 1/('BA History'!$B:$B=A18), 'BA History'!$AI:$AI)</f>
        <v>0</v>
      </c>
      <c r="O18" s="34">
        <f>SUMIFS('BA History'!H:H,'BA History'!B:B,A18)</f>
        <v>4</v>
      </c>
      <c r="P18" s="2">
        <f>SUMIFS('BA History'!G:G,'BA History'!B:B,A18)-O18</f>
        <v>9</v>
      </c>
      <c r="Q18" s="89">
        <f>LOOKUP(2, 1/('BA History'!$B:$B=A18), 'BA History'!$AJ:$AJ)</f>
        <v>0.31</v>
      </c>
      <c r="R18" s="2">
        <f>COUNTIFS('BA History'!$B:$B,$A$18,'BA History'!K:K, 1)</f>
        <v>0</v>
      </c>
      <c r="S18" s="2">
        <f>COUNTIFS('BA History'!$B:$B,$A$18,'BA History'!L:L, 1)</f>
        <v>0</v>
      </c>
      <c r="T18" s="2">
        <f>COUNTIFS('BA History'!$B:$B,$A$18,'BA History'!M:M, 1)</f>
        <v>0</v>
      </c>
      <c r="U18" s="2">
        <f>COUNTIFS('BA History'!$B:$B,$A$18,'BA History'!N:N, 1)</f>
        <v>0</v>
      </c>
      <c r="V18" s="2">
        <f>COUNTIFS('BA History'!$B:$B,$A$18,'BA History'!O:O, 1)</f>
        <v>0</v>
      </c>
      <c r="W18" s="2">
        <f>COUNTIFS('BA History'!$B:$B,$A$18,'BA History'!P:P, 1)</f>
        <v>0</v>
      </c>
      <c r="X18" s="2">
        <f>COUNTIFS('BA History'!$B:$B,$A$18,'BA History'!Q:Q, 1)</f>
        <v>0</v>
      </c>
      <c r="Y18" s="2">
        <f>COUNTIFS('BA History'!$B:$B,$A$18,'BA History'!R:R, 1)</f>
        <v>0</v>
      </c>
      <c r="Z18" s="2">
        <f>COUNTIFS('BA History'!$B:$B,$A$18,'BA History'!S:S, 1)</f>
        <v>0</v>
      </c>
      <c r="AA18" s="2">
        <f>COUNTIFS('BA History'!$B:$B,$A$18,'BA History'!T:T, 1)</f>
        <v>0</v>
      </c>
      <c r="AB18" s="2">
        <f>COUNTIFS('BA History'!$B:$B,$A$18,'BA History'!U:U, 1)</f>
        <v>0</v>
      </c>
      <c r="AC18" s="2">
        <f>COUNTIFS('BA History'!$B:$B,$A$18,'BA History'!V:V, 1)</f>
        <v>0</v>
      </c>
      <c r="AD18" s="2">
        <f>COUNTIFS('BA History'!$B:$B,$A$18,'BA History'!W:W, 1)</f>
        <v>0</v>
      </c>
      <c r="AE18" s="2">
        <f>COUNTIFS('BA History'!$B:$B,$A$18,'BA History'!X:X, 1)</f>
        <v>0</v>
      </c>
      <c r="AF18" s="2">
        <f>COUNTIFS('BA History'!$B:$B,$A$18,'BA History'!Y:Y, 1)</f>
        <v>0</v>
      </c>
      <c r="AG18" s="2">
        <f>COUNTIFS('BA History'!$B:$B,$A$18,'BA History'!Z:Z, 1)</f>
        <v>0</v>
      </c>
      <c r="AH18" s="2">
        <f>COUNTIFS('BA History'!$B:$B,$A18,'BA History'!AA:AA, 1)</f>
        <v>0</v>
      </c>
      <c r="AI18" s="2">
        <f>COUNTIFS('BA History'!$B:$B,$A$18,'BA History'!AB:AB, 1)</f>
        <v>0</v>
      </c>
      <c r="AJ18" s="2">
        <f>COUNTIFS('BA History'!$B:$B,$A$18,'BA History'!AC:AC, 1)</f>
        <v>0</v>
      </c>
      <c r="AK18" s="2">
        <f>COUNTIFS('BA History'!$B:$B,$A$18,'BA History'!AD:AD, 1)</f>
        <v>0</v>
      </c>
      <c r="AL18" s="2">
        <f>COUNTIFS('BA History'!$B:$B,$A$18,'BA History'!AE:AE, 1)</f>
        <v>0</v>
      </c>
      <c r="AM18" s="2">
        <f>COUNTIFS('BA History'!$B:$B,$A$18,'BA History'!AF:AF, 1)</f>
        <v>0</v>
      </c>
      <c r="AN18" s="2">
        <f>COUNTIFS('BA History'!$B:$B,$A$19,'BA History'!AG:AG, 1)</f>
        <v>0</v>
      </c>
    </row>
    <row r="19" spans="1:40" x14ac:dyDescent="0.25">
      <c r="A19" s="2" t="s">
        <v>45</v>
      </c>
      <c r="B19" s="2" t="s">
        <v>79</v>
      </c>
      <c r="C19" s="2"/>
      <c r="D19" s="2"/>
      <c r="E19" s="2"/>
      <c r="F19" s="34">
        <f>SUMIFS('BA History'!C:C,'BA History'!B:B,A19)</f>
        <v>66</v>
      </c>
      <c r="G19" s="66">
        <f>AVERAGEIFS('BA History'!C:C,'BA History'!B:B,A19)</f>
        <v>9.4285714285714288</v>
      </c>
      <c r="H19" s="35">
        <f t="array" ref="H19">MAX(IF('BA History'!B:B=A19, 'BA History'!C:C))</f>
        <v>14</v>
      </c>
      <c r="I19" s="34">
        <f>COUNTIFS('BA History'!B:B,A19,'BA History'!D:D, 1)</f>
        <v>3</v>
      </c>
      <c r="J19" s="2">
        <f>COUNTIFS('BA History'!B:B,A19,'BA History'!D:D, 0)</f>
        <v>4</v>
      </c>
      <c r="K19" s="75">
        <f>LOOKUP(2, 1/('BA History'!$B:$B=A19), 'BA History'!$AK:$AK)</f>
        <v>0.42857142857142855</v>
      </c>
      <c r="L19" s="34">
        <f>SUMIFS('BA History'!F:F,'BA History'!B:B,A19)</f>
        <v>13</v>
      </c>
      <c r="M19" s="2">
        <f>SUMIFS('BA History'!E:E,'BA History'!B:B,A19)-L19</f>
        <v>15</v>
      </c>
      <c r="N19" s="75">
        <f>LOOKUP(2, 1/('BA History'!$B:$B=A19), 'BA History'!$AI:$AI)</f>
        <v>0.45999999999999996</v>
      </c>
      <c r="O19" s="34">
        <f>SUMIFS('BA History'!H:H,'BA History'!B:B,A19)</f>
        <v>62</v>
      </c>
      <c r="P19" s="2">
        <f>SUMIFS('BA History'!G:G,'BA History'!B:B,A19)-O19</f>
        <v>66</v>
      </c>
      <c r="Q19" s="89">
        <f>LOOKUP(2, 1/('BA History'!$B:$B=A19), 'BA History'!$AJ:$AJ)</f>
        <v>0.48142857142857143</v>
      </c>
      <c r="R19" s="2">
        <f>COUNTIFS('BA History'!$B:$B,$A$19,'BA History'!K:K, 1)</f>
        <v>0</v>
      </c>
      <c r="S19" s="2">
        <f>COUNTIFS('BA History'!$B:$B,$A$19,'BA History'!L:L, 1)</f>
        <v>0</v>
      </c>
      <c r="T19" s="2">
        <f>COUNTIFS('BA History'!$B:$B,$A$19,'BA History'!M:M, 1)</f>
        <v>1</v>
      </c>
      <c r="U19" s="2">
        <f>COUNTIFS('BA History'!$B:$B,$A$19,'BA History'!N:N, 1)</f>
        <v>2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0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1</v>
      </c>
      <c r="AC19" s="2">
        <f>COUNTIFS('BA History'!$B:$B,$A$19,'BA History'!V:V, 1)</f>
        <v>0</v>
      </c>
      <c r="AD19" s="2">
        <f>COUNTIFS('BA History'!$B:$B,$A$19,'BA History'!W:W, 1)</f>
        <v>0</v>
      </c>
      <c r="AE19" s="2">
        <f>COUNTIFS('BA History'!$B:$B,$A$19,'BA History'!X:X, 1)</f>
        <v>0</v>
      </c>
      <c r="AF19" s="2">
        <f>COUNTIFS('BA History'!$B:$B,$A$19,'BA History'!Y:Y, 1)</f>
        <v>2</v>
      </c>
      <c r="AG19" s="2">
        <f>COUNTIFS('BA History'!$B:$B,$A$19,'BA History'!Z:Z, 1)</f>
        <v>1</v>
      </c>
      <c r="AH19" s="2">
        <f>COUNTIFS('BA History'!$B:$B,$A19,'BA History'!AA:AA, 1)</f>
        <v>0</v>
      </c>
      <c r="AI19" s="2">
        <f>COUNTIFS('BA History'!$B:$B,$A$19,'BA History'!AB:AB, 1)</f>
        <v>1</v>
      </c>
      <c r="AJ19" s="2">
        <f>COUNTIFS('BA History'!$B:$B,$A$19,'BA History'!AC:AC, 1)</f>
        <v>2</v>
      </c>
      <c r="AK19" s="2">
        <f>COUNTIFS('BA History'!$B:$B,$A$19,'BA History'!AD:AD, 1)</f>
        <v>2</v>
      </c>
      <c r="AL19" s="2">
        <f>COUNTIFS('BA History'!$B:$B,$A$19,'BA History'!AE:AE, 1)</f>
        <v>0</v>
      </c>
      <c r="AM19" s="2">
        <f>COUNTIFS('BA History'!$B:$B,$A$19,'BA History'!AF:AF, 1)</f>
        <v>0</v>
      </c>
      <c r="AN19" s="2">
        <f>COUNTIFS('BA History'!$B:$B,$A$19,'BA History'!AG:AG, 1)</f>
        <v>0</v>
      </c>
    </row>
    <row r="20" spans="1:40" x14ac:dyDescent="0.25">
      <c r="A20" s="2" t="s">
        <v>50</v>
      </c>
      <c r="B20" s="2" t="s">
        <v>79</v>
      </c>
      <c r="C20" s="2"/>
      <c r="D20" s="2">
        <v>1</v>
      </c>
      <c r="E20" s="2"/>
      <c r="F20" s="34">
        <f>SUMIFS('BA History'!C:C,'BA History'!B:B,A20)</f>
        <v>767</v>
      </c>
      <c r="G20" s="66">
        <f>AVERAGEIFS('BA History'!C:C,'BA History'!B:B,A20)</f>
        <v>17.837209302325583</v>
      </c>
      <c r="H20" s="35">
        <f t="array" ref="H20">MAX(IF('BA History'!B:B=A20, 'BA History'!C:C))</f>
        <v>31</v>
      </c>
      <c r="I20" s="34">
        <f>COUNTIFS('BA History'!B:B,A20,'BA History'!D:D, 1)</f>
        <v>21</v>
      </c>
      <c r="J20" s="2">
        <f>COUNTIFS('BA History'!B:B,A20,'BA History'!D:D, 0)</f>
        <v>22</v>
      </c>
      <c r="K20" s="75">
        <f>LOOKUP(2, 1/('BA History'!$B:$B=A20), 'BA History'!$AK:$AK)</f>
        <v>0.48837209302325579</v>
      </c>
      <c r="L20" s="34">
        <f>SUMIFS('BA History'!F:F,'BA History'!B:B,A20)</f>
        <v>85</v>
      </c>
      <c r="M20" s="2">
        <f>SUMIFS('BA History'!E:E,'BA History'!B:B,A20)-L20</f>
        <v>88</v>
      </c>
      <c r="N20" s="75">
        <f>LOOKUP(2, 1/('BA History'!$B:$B=A20), 'BA History'!$AI:$AI)</f>
        <v>0.49372093023255825</v>
      </c>
      <c r="O20" s="34">
        <f>SUMIFS('BA History'!H:H,'BA History'!B:B,A20)</f>
        <v>363</v>
      </c>
      <c r="P20" s="2">
        <f>SUMIFS('BA History'!G:G,'BA History'!B:B,A20)-O20</f>
        <v>363</v>
      </c>
      <c r="Q20" s="89">
        <f>LOOKUP(2, 1/('BA History'!$B:$B=A20), 'BA History'!$AJ:$AJ)</f>
        <v>0.50906976744186039</v>
      </c>
      <c r="R20" s="2">
        <f>COUNTIFS('BA History'!$B:$B,$A$20,'BA History'!K:K, 1)</f>
        <v>3</v>
      </c>
      <c r="S20" s="2">
        <f>COUNTIFS('BA History'!$B:$B,$A$20,'BA History'!L:L, 1)</f>
        <v>7</v>
      </c>
      <c r="T20" s="2">
        <f>COUNTIFS('BA History'!$B:$B,$A$20,'BA History'!M:M, 1)</f>
        <v>5</v>
      </c>
      <c r="U20" s="2">
        <f>COUNTIFS('BA History'!$B:$B,$A$20,'BA History'!N:N, 1)</f>
        <v>8</v>
      </c>
      <c r="V20" s="2">
        <f>COUNTIFS('BA History'!$B:$B,$A$20,'BA History'!O:O, 1)</f>
        <v>2</v>
      </c>
      <c r="W20" s="2">
        <f>COUNTIFS('BA History'!$B:$B,$A$20,'BA History'!P:P, 1)</f>
        <v>1</v>
      </c>
      <c r="X20" s="2">
        <f>COUNTIFS('BA History'!$B:$B,$A$20,'BA History'!Q:Q, 1)</f>
        <v>4</v>
      </c>
      <c r="Y20" s="2">
        <f>COUNTIFS('BA History'!$B:$B,$A$20,'BA History'!R:R, 1)</f>
        <v>1</v>
      </c>
      <c r="Z20" s="2">
        <f>COUNTIFS('BA History'!$B:$B,$A$20,'BA History'!S:S, 1)</f>
        <v>0</v>
      </c>
      <c r="AA20" s="2">
        <f>COUNTIFS('BA History'!$B:$B,$A$20,'BA History'!T:T, 1)</f>
        <v>1</v>
      </c>
      <c r="AB20" s="2">
        <f>COUNTIFS('BA History'!$B:$B,$A$20,'BA History'!U:U, 1)</f>
        <v>0</v>
      </c>
      <c r="AC20" s="2">
        <f>COUNTIFS('BA History'!$B:$B,$A$20,'BA History'!V:V, 1)</f>
        <v>9</v>
      </c>
      <c r="AD20" s="2">
        <f>COUNTIFS('BA History'!$B:$B,$A$20,'BA History'!W:W, 1)</f>
        <v>2</v>
      </c>
      <c r="AE20" s="2">
        <f>COUNTIFS('BA History'!$B:$B,$A$20,'BA History'!X:X, 1)</f>
        <v>1</v>
      </c>
      <c r="AF20" s="2">
        <f>COUNTIFS('BA History'!$B:$B,$A$20,'BA History'!Y:Y, 1)</f>
        <v>4</v>
      </c>
      <c r="AG20" s="2">
        <f>COUNTIFS('BA History'!$B:$B,$A$20,'BA History'!Z:Z, 1)</f>
        <v>9</v>
      </c>
      <c r="AH20" s="2">
        <f>COUNTIFS('BA History'!$B:$B,$A20,'BA History'!AA:AA, 1)</f>
        <v>0</v>
      </c>
      <c r="AI20" s="2">
        <f>COUNTIFS('BA History'!$B:$B,$A$20,'BA History'!AB:AB, 1)</f>
        <v>1</v>
      </c>
      <c r="AJ20" s="2">
        <f>COUNTIFS('BA History'!$B:$B,$A$20,'BA History'!AC:AC, 1)</f>
        <v>11</v>
      </c>
      <c r="AK20" s="2">
        <f>COUNTIFS('BA History'!$B:$B,$A$20,'BA History'!AD:AD, 1)</f>
        <v>2</v>
      </c>
      <c r="AL20" s="2">
        <f>COUNTIFS('BA History'!$B:$B,$A$20,'BA History'!AE:AE, 1)</f>
        <v>9</v>
      </c>
      <c r="AM20" s="2">
        <f>COUNTIFS('BA History'!$B:$B,$A$20,'BA History'!AF:AF, 1)</f>
        <v>2</v>
      </c>
      <c r="AN20" s="2">
        <f>COUNTIFS('BA History'!$B:$B,$A$20,'BA History'!AG:AG, 1)</f>
        <v>3</v>
      </c>
    </row>
    <row r="21" spans="1:40" x14ac:dyDescent="0.25">
      <c r="A21" s="2" t="s">
        <v>52</v>
      </c>
      <c r="B21" s="2" t="s">
        <v>79</v>
      </c>
      <c r="C21" s="2">
        <v>1</v>
      </c>
      <c r="D21" s="2"/>
      <c r="E21" s="2"/>
      <c r="F21" s="34">
        <f>SUMIFS('BA History'!C:C,'BA History'!B:B,A21)</f>
        <v>235</v>
      </c>
      <c r="G21" s="66">
        <f>AVERAGEIFS('BA History'!C:C,'BA History'!B:B,A21)</f>
        <v>15.666666666666666</v>
      </c>
      <c r="H21" s="35">
        <f t="array" ref="H21">MAX(IF('BA History'!B:B=A21, 'BA History'!C:C))</f>
        <v>31</v>
      </c>
      <c r="I21" s="34">
        <f>COUNTIFS('BA History'!B:B,A21,'BA History'!D:D, 1)</f>
        <v>5</v>
      </c>
      <c r="J21" s="2">
        <f>COUNTIFS('BA History'!B:B,A21,'BA History'!D:D, 0)</f>
        <v>10</v>
      </c>
      <c r="K21" s="75">
        <f>LOOKUP(2, 1/('BA History'!$B:$B=A21), 'BA History'!$AK:$AK)</f>
        <v>0.33333333333333331</v>
      </c>
      <c r="L21" s="34">
        <f>SUMIFS('BA History'!F:F,'BA History'!B:B,A21)</f>
        <v>29</v>
      </c>
      <c r="M21" s="2">
        <f>SUMIFS('BA History'!E:E,'BA History'!B:B,A21)-L21</f>
        <v>35</v>
      </c>
      <c r="N21" s="75">
        <f>LOOKUP(2, 1/('BA History'!$B:$B=A21), 'BA History'!$AI:$AI)</f>
        <v>0.47000000000000003</v>
      </c>
      <c r="O21" s="34">
        <f>SUMIFS('BA History'!H:H,'BA History'!B:B,A21)</f>
        <v>121</v>
      </c>
      <c r="P21" s="2">
        <f>SUMIFS('BA History'!G:G,'BA History'!B:B,A21)-O21</f>
        <v>134</v>
      </c>
      <c r="Q21" s="89">
        <f>LOOKUP(2, 1/('BA History'!$B:$B=A21), 'BA History'!$AJ:$AJ)</f>
        <v>0.48600000000000004</v>
      </c>
      <c r="R21" s="2">
        <f>COUNTIFS('BA History'!$B:$B,$A$21,'BA History'!K:K, 1)</f>
        <v>1</v>
      </c>
      <c r="S21" s="2">
        <f>COUNTIFS('BA History'!$B:$B,$A$21,'BA History'!L:L, 1)</f>
        <v>2</v>
      </c>
      <c r="T21" s="2">
        <f>COUNTIFS('BA History'!$B:$B,$A$21,'BA History'!M:M, 1)</f>
        <v>2</v>
      </c>
      <c r="U21" s="2">
        <f>COUNTIFS('BA History'!$B:$B,$A$21,'BA History'!N:N, 1)</f>
        <v>3</v>
      </c>
      <c r="V21" s="2">
        <f>COUNTIFS('BA History'!$B:$B,$A$21,'BA History'!O:O, 1)</f>
        <v>1</v>
      </c>
      <c r="W21" s="2">
        <f>COUNTIFS('BA History'!$B:$B,$A$21,'BA History'!P:P, 1)</f>
        <v>0</v>
      </c>
      <c r="X21" s="2">
        <f>COUNTIFS('BA History'!$B:$B,$A$21,'BA History'!Q:Q, 1)</f>
        <v>1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4</v>
      </c>
      <c r="AC21" s="2">
        <f>COUNTIFS('BA History'!$B:$B,$A$21,'BA History'!V:V, 1)</f>
        <v>0</v>
      </c>
      <c r="AD21" s="2">
        <f>COUNTIFS('BA History'!$B:$B,$A$21,'BA History'!W:W, 1)</f>
        <v>1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4</v>
      </c>
      <c r="AH21" s="2">
        <f>COUNTIFS('BA History'!$B:$B,$A21,'BA History'!AA:AA, 1)</f>
        <v>0</v>
      </c>
      <c r="AI21" s="2">
        <f>COUNTIFS('BA History'!$B:$B,$A$21,'BA History'!AB:AB, 1)</f>
        <v>0</v>
      </c>
      <c r="AJ21" s="2">
        <f>COUNTIFS('BA History'!$B:$B,$A$21,'BA History'!AC:AC, 1)</f>
        <v>5</v>
      </c>
      <c r="AK21" s="2">
        <f>COUNTIFS('BA History'!$B:$B,$A$21,'BA History'!AD:AD, 1)</f>
        <v>3</v>
      </c>
      <c r="AL21" s="2">
        <f>COUNTIFS('BA History'!$B:$B,$A$21,'BA History'!AE:AE, 1)</f>
        <v>1</v>
      </c>
      <c r="AM21" s="2">
        <f>COUNTIFS('BA History'!$B:$B,$A$21,'BA History'!AF:AF, 1)</f>
        <v>0</v>
      </c>
      <c r="AN21" s="2">
        <f>COUNTIFS('BA History'!$B:$B,$A$21,'BA History'!AG:AG, 1)</f>
        <v>0</v>
      </c>
    </row>
    <row r="22" spans="1:40" x14ac:dyDescent="0.25">
      <c r="A22" s="2" t="s">
        <v>44</v>
      </c>
      <c r="B22" s="2" t="s">
        <v>79</v>
      </c>
      <c r="C22" s="2">
        <v>1</v>
      </c>
      <c r="D22" s="2"/>
      <c r="E22" s="2"/>
      <c r="F22" s="34">
        <f>SUMIFS('BA History'!C:C,'BA History'!B:B,A22)</f>
        <v>772</v>
      </c>
      <c r="G22" s="66">
        <f>AVERAGEIFS('BA History'!C:C,'BA History'!B:B,A22)</f>
        <v>16.425531914893618</v>
      </c>
      <c r="H22" s="35">
        <f t="array" ref="H22">MAX(IF('BA History'!B:B=A22, 'BA History'!C:C))</f>
        <v>36</v>
      </c>
      <c r="I22" s="34">
        <f>COUNTIFS('BA History'!B:B,A22,'BA History'!D:D, 1)</f>
        <v>29</v>
      </c>
      <c r="J22" s="2">
        <f>COUNTIFS('BA History'!B:B,A22,'BA History'!D:D, 0)</f>
        <v>18</v>
      </c>
      <c r="K22" s="75">
        <f>LOOKUP(2, 1/('BA History'!$B:$B=A22), 'BA History'!$AK:$AK)</f>
        <v>0.61702127659574468</v>
      </c>
      <c r="L22" s="34">
        <f>SUMIFS('BA History'!F:F,'BA History'!B:B,A22)</f>
        <v>102</v>
      </c>
      <c r="M22" s="2">
        <f>SUMIFS('BA History'!E:E,'BA History'!B:B,A22)-L22</f>
        <v>87</v>
      </c>
      <c r="N22" s="75">
        <f>LOOKUP(2, 1/('BA History'!$B:$B=A22), 'BA History'!$AI:$AI)</f>
        <v>0.5340425531914893</v>
      </c>
      <c r="O22" s="34">
        <f>SUMIFS('BA History'!H:H,'BA History'!B:B,A22)</f>
        <v>412</v>
      </c>
      <c r="P22" s="2">
        <f>SUMIFS('BA History'!G:G,'BA History'!B:B,A22)-O22</f>
        <v>373</v>
      </c>
      <c r="Q22" s="89">
        <f>LOOKUP(2, 1/('BA History'!$B:$B=A22), 'BA History'!$AJ:$AJ)</f>
        <v>0.53085106382978731</v>
      </c>
      <c r="R22" s="2">
        <f>COUNTIFS('BA History'!$B:$B,$A$22,'BA History'!K:K, 1)</f>
        <v>5</v>
      </c>
      <c r="S22" s="2">
        <f>COUNTIFS('BA History'!$B:$B,$A$22,'BA History'!L:L, 1)</f>
        <v>4</v>
      </c>
      <c r="T22" s="2">
        <f>COUNTIFS('BA History'!$B:$B,$A$22,'BA History'!M:M, 1)</f>
        <v>11</v>
      </c>
      <c r="U22" s="2">
        <f>COUNTIFS('BA History'!$B:$B,$A$22,'BA History'!N:N, 1)</f>
        <v>10</v>
      </c>
      <c r="V22" s="2">
        <f>COUNTIFS('BA History'!$B:$B,$A$22,'BA History'!O:O, 1)</f>
        <v>2</v>
      </c>
      <c r="W22" s="2">
        <f>COUNTIFS('BA History'!$B:$B,$A$22,'BA History'!P:P, 1)</f>
        <v>0</v>
      </c>
      <c r="X22" s="2">
        <f>COUNTIFS('BA History'!$B:$B,$A$22,'BA History'!Q:Q, 1)</f>
        <v>3</v>
      </c>
      <c r="Y22" s="2">
        <f>COUNTIFS('BA History'!$B:$B,$A$22,'BA History'!R:R, 1)</f>
        <v>2</v>
      </c>
      <c r="Z22" s="2">
        <f>COUNTIFS('BA History'!$B:$B,$A$22,'BA History'!S:S, 1)</f>
        <v>2</v>
      </c>
      <c r="AA22" s="2">
        <f>COUNTIFS('BA History'!$B:$B,$A$22,'BA History'!T:T, 1)</f>
        <v>0</v>
      </c>
      <c r="AB22" s="2">
        <f>COUNTIFS('BA History'!$B:$B,$A$22,'BA History'!U:U, 1)</f>
        <v>0</v>
      </c>
      <c r="AC22" s="2">
        <f>COUNTIFS('BA History'!$B:$B,$A$22,'BA History'!V:V, 1)</f>
        <v>5</v>
      </c>
      <c r="AD22" s="2">
        <f>COUNTIFS('BA History'!$B:$B,$A$22,'BA History'!W:W, 1)</f>
        <v>4</v>
      </c>
      <c r="AE22" s="2">
        <f>COUNTIFS('BA History'!$B:$B,$A$22,'BA History'!X:X, 1)</f>
        <v>1</v>
      </c>
      <c r="AF22" s="2">
        <f>COUNTIFS('BA History'!$B:$B,$A$22,'BA History'!Y:Y, 1)</f>
        <v>6</v>
      </c>
      <c r="AG22" s="2">
        <f>COUNTIFS('BA History'!$B:$B,$A$22,'BA History'!Z:Z, 1)</f>
        <v>10</v>
      </c>
      <c r="AH22" s="2">
        <f>COUNTIFS('BA History'!$B:$B,$A22,'BA History'!AA:AA, 1)</f>
        <v>0</v>
      </c>
      <c r="AI22" s="2">
        <f>COUNTIFS('BA History'!$B:$B,$A$22,'BA History'!AB:AB, 1)</f>
        <v>3</v>
      </c>
      <c r="AJ22" s="2">
        <f>COUNTIFS('BA History'!$B:$B,$A$22,'BA History'!AC:AC, 1)</f>
        <v>11</v>
      </c>
      <c r="AK22" s="2">
        <f>COUNTIFS('BA History'!$B:$B,$A$22,'BA History'!AD:AD, 1)</f>
        <v>6</v>
      </c>
      <c r="AL22" s="2">
        <f>COUNTIFS('BA History'!$B:$B,$A$22,'BA History'!AE:AE, 1)</f>
        <v>7</v>
      </c>
      <c r="AM22" s="2">
        <f>COUNTIFS('BA History'!$B:$B,$A$22,'BA History'!AF:AF, 1)</f>
        <v>1</v>
      </c>
      <c r="AN22" s="2">
        <f>COUNTIFS('BA History'!$B:$B,$A$22,'BA History'!AG:AG, 1)</f>
        <v>9</v>
      </c>
    </row>
    <row r="23" spans="1:40" x14ac:dyDescent="0.25">
      <c r="A23" s="2" t="s">
        <v>167</v>
      </c>
      <c r="B23" s="2" t="s">
        <v>79</v>
      </c>
      <c r="C23" s="2"/>
      <c r="D23" s="2"/>
      <c r="E23" s="2"/>
      <c r="F23" s="34">
        <f>SUMIFS('BA History'!C:C,'BA History'!B:B,A23)</f>
        <v>30</v>
      </c>
      <c r="G23" s="66">
        <f>AVERAGEIFS('BA History'!C:C,'BA History'!B:B,A23)</f>
        <v>10</v>
      </c>
      <c r="H23" s="35">
        <f t="array" ref="H23">MAX(IF('BA History'!B:B=A23, 'BA History'!C:C))</f>
        <v>14</v>
      </c>
      <c r="I23" s="34">
        <f>COUNTIFS('BA History'!B:B,A23,'BA History'!D:D, 1)</f>
        <v>1</v>
      </c>
      <c r="J23" s="2">
        <f>COUNTIFS('BA History'!B:B,A23,'BA History'!D:D, 0)</f>
        <v>2</v>
      </c>
      <c r="K23" s="75">
        <f>LOOKUP(2, 1/('BA History'!$B:$B=A23), 'BA History'!$AK:$AK)</f>
        <v>0.33333333333333331</v>
      </c>
      <c r="L23" s="34">
        <f>SUMIFS('BA History'!F:F,'BA History'!B:B,A23)</f>
        <v>6</v>
      </c>
      <c r="M23" s="2">
        <f>SUMIFS('BA History'!E:E,'BA History'!B:B,A23)-L23</f>
        <v>7</v>
      </c>
      <c r="N23" s="75">
        <f>LOOKUP(2, 1/('BA History'!$B:$B=A23), 'BA History'!$AI:$AI)</f>
        <v>0.46666666666666662</v>
      </c>
      <c r="O23" s="34">
        <f>SUMIFS('BA History'!H:H,'BA History'!B:B,A23)</f>
        <v>27</v>
      </c>
      <c r="P23" s="2">
        <f>SUMIFS('BA History'!G:G,'BA History'!B:B,A23)-O23</f>
        <v>29</v>
      </c>
      <c r="Q23" s="89">
        <f>LOOKUP(2, 1/('BA History'!$B:$B=A23), 'BA History'!$AJ:$AJ)</f>
        <v>0.48333333333333334</v>
      </c>
      <c r="R23" s="2">
        <f>COUNTIFS('BA History'!$B:$B,$A$23,'BA History'!K:K, 1)</f>
        <v>0</v>
      </c>
      <c r="S23" s="2">
        <f>COUNTIFS('BA History'!$B:$B,$A$23,'BA History'!L:L, 1)</f>
        <v>0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1</v>
      </c>
      <c r="AG23" s="2">
        <f>COUNTIFS('BA History'!$B:$B,$A$23,'BA History'!Z:Z, 1)</f>
        <v>1</v>
      </c>
      <c r="AH23" s="2">
        <f>COUNTIFS('BA History'!$B:$B,$A23,'BA History'!AA:AA, 1)</f>
        <v>0</v>
      </c>
      <c r="AI23" s="2">
        <f>COUNTIFS('BA History'!$B:$B,$A$23,'BA History'!AB:AB, 1)</f>
        <v>1</v>
      </c>
      <c r="AJ23" s="2">
        <f>COUNTIFS('BA History'!$B:$B,$A$23,'BA History'!AC:AC, 1)</f>
        <v>3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  <c r="AN23" s="2">
        <f>COUNTIFS('BA History'!$B:$B,$A$23,'BA History'!AG:AG, 1)</f>
        <v>0</v>
      </c>
    </row>
    <row r="24" spans="1:40" x14ac:dyDescent="0.25">
      <c r="A24" s="2" t="s">
        <v>1</v>
      </c>
      <c r="B24" s="1" t="s">
        <v>158</v>
      </c>
      <c r="C24" s="1"/>
      <c r="D24" s="1"/>
      <c r="E24" s="1"/>
      <c r="F24" s="34">
        <f>SUMIFS('BA History'!C:C,'BA History'!B:B,A24)</f>
        <v>1065</v>
      </c>
      <c r="G24" s="66">
        <f>AVERAGEIFS('BA History'!C:C,'BA History'!B:B,A24)</f>
        <v>27.307692307692307</v>
      </c>
      <c r="H24" s="35">
        <f t="array" ref="H24">MAX(IF('BA History'!B:B=A24, 'BA History'!C:C))</f>
        <v>50</v>
      </c>
      <c r="I24" s="34">
        <f>COUNTIFS('BA History'!B:B,A24,'BA History'!D:D, 1)</f>
        <v>20</v>
      </c>
      <c r="J24" s="2">
        <f>COUNTIFS('BA History'!B:B,A24,'BA History'!D:D, 0)</f>
        <v>19</v>
      </c>
      <c r="K24" s="75">
        <f>LOOKUP(2, 1/('BA History'!$B:$B=A24), 'BA History'!$AK:$AK)</f>
        <v>0.51282051282051277</v>
      </c>
      <c r="L24" s="34">
        <f>SUMIFS('BA History'!F:F,'BA History'!B:B,A24)</f>
        <v>78</v>
      </c>
      <c r="M24" s="2">
        <f>SUMIFS('BA History'!E:E,'BA History'!B:B,A24)-L24</f>
        <v>78</v>
      </c>
      <c r="N24" s="75">
        <f>LOOKUP(2, 1/('BA History'!$B:$B=A24), 'BA History'!$AI:$AI)</f>
        <v>0.49615384615384617</v>
      </c>
      <c r="O24" s="34">
        <f>SUMIFS('BA History'!H:H,'BA History'!B:B,A24)</f>
        <v>319</v>
      </c>
      <c r="P24" s="2">
        <f>SUMIFS('BA History'!G:G,'BA History'!B:B,A24)-O24</f>
        <v>323</v>
      </c>
      <c r="Q24" s="89">
        <f>LOOKUP(2, 1/('BA History'!$B:$B=A24), 'BA History'!$AJ:$AJ)</f>
        <v>0.49948717948717958</v>
      </c>
      <c r="R24" s="2">
        <f>COUNTIFS('BA History'!$B:$B,$A$24,'BA History'!K:K, 1)</f>
        <v>4</v>
      </c>
      <c r="S24" s="2">
        <f>COUNTIFS('BA History'!$B:$B,$A$24,'BA History'!L:L, 1)</f>
        <v>7</v>
      </c>
      <c r="T24" s="2">
        <f>COUNTIFS('BA History'!$B:$B,$A$24,'BA History'!M:M, 1)</f>
        <v>6</v>
      </c>
      <c r="U24" s="2">
        <f>COUNTIFS('BA History'!$B:$B,$A$24,'BA History'!N:N, 1)</f>
        <v>6</v>
      </c>
      <c r="V24" s="2">
        <f>COUNTIFS('BA History'!$B:$B,$A$24,'BA History'!O:O, 1)</f>
        <v>4</v>
      </c>
      <c r="W24" s="2">
        <f>COUNTIFS('BA History'!$B:$B,$A$24,'BA History'!P:P, 1)</f>
        <v>0</v>
      </c>
      <c r="X24" s="2">
        <f>COUNTIFS('BA History'!$B:$B,$A$24,'BA History'!Q:Q, 1)</f>
        <v>0</v>
      </c>
      <c r="Y24" s="2">
        <f>COUNTIFS('BA History'!$B:$B,$A$24,'BA History'!R:R, 1)</f>
        <v>1</v>
      </c>
      <c r="Z24" s="2">
        <f>COUNTIFS('BA History'!$B:$B,$A$24,'BA History'!S:S, 1)</f>
        <v>2</v>
      </c>
      <c r="AA24" s="2">
        <f>COUNTIFS('BA History'!$B:$B,$A$24,'BA History'!T:T, 1)</f>
        <v>0</v>
      </c>
      <c r="AB24" s="2">
        <f>COUNTIFS('BA History'!$B:$B,$A$24,'BA History'!U:U, 1)</f>
        <v>2</v>
      </c>
      <c r="AC24" s="2">
        <f>COUNTIFS('BA History'!$B:$B,$A$24,'BA History'!V:V, 1)</f>
        <v>6</v>
      </c>
      <c r="AD24" s="2">
        <f>COUNTIFS('BA History'!$B:$B,$A$24,'BA History'!W:W, 1)</f>
        <v>2</v>
      </c>
      <c r="AE24" s="2">
        <f>COUNTIFS('BA History'!$B:$B,$A$24,'BA History'!X:X, 1)</f>
        <v>0</v>
      </c>
      <c r="AF24" s="2">
        <f>COUNTIFS('BA History'!$B:$B,$A$24,'BA History'!Y:Y, 1)</f>
        <v>5</v>
      </c>
      <c r="AG24" s="2">
        <f>COUNTIFS('BA History'!$B:$B,$A$24,'BA History'!Z:Z, 1)</f>
        <v>6</v>
      </c>
      <c r="AH24" s="2">
        <f>COUNTIFS('BA History'!$B:$B,$A24,'BA History'!AA:AA, 1)</f>
        <v>0</v>
      </c>
      <c r="AI24" s="2">
        <f>COUNTIFS('BA History'!$B:$B,$A$24,'BA History'!AB:AB, 1)</f>
        <v>1</v>
      </c>
      <c r="AJ24" s="2">
        <f>COUNTIFS('BA History'!$B:$B,$A$24,'BA History'!AC:AC, 1)</f>
        <v>6</v>
      </c>
      <c r="AK24" s="2">
        <f>COUNTIFS('BA History'!$B:$B,$A$24,'BA History'!AD:AD, 1)</f>
        <v>5</v>
      </c>
      <c r="AL24" s="2">
        <f>COUNTIFS('BA History'!$B:$B,$A$24,'BA History'!AE:AE, 1)</f>
        <v>9</v>
      </c>
      <c r="AM24" s="2">
        <f>COUNTIFS('BA History'!$B:$B,$A$24,'BA History'!AF:AF, 1)</f>
        <v>1</v>
      </c>
      <c r="AN24" s="2">
        <f>COUNTIFS('BA History'!$B:$B,$A$24,'BA History'!AG:AG, 1)</f>
        <v>5</v>
      </c>
    </row>
    <row r="25" spans="1:40" ht="15.75" x14ac:dyDescent="0.25">
      <c r="A25" s="2" t="s">
        <v>151</v>
      </c>
      <c r="B25" s="95" t="s">
        <v>79</v>
      </c>
      <c r="C25" s="95"/>
      <c r="D25" s="95"/>
      <c r="E25" s="95"/>
      <c r="F25" s="34">
        <f>SUMIFS('BA History'!C:C,'BA History'!B:B,A25)</f>
        <v>7</v>
      </c>
      <c r="G25" s="66">
        <f>AVERAGEIFS('BA History'!C:C,'BA History'!B:B,A25)</f>
        <v>7</v>
      </c>
      <c r="H25" s="35">
        <f t="array" ref="H25">MAX(IF('BA History'!B:B=A25, 'BA History'!C:C))</f>
        <v>7</v>
      </c>
      <c r="I25" s="34">
        <f>COUNTIFS('BA History'!B:B,A25,'BA History'!D:D, 1)</f>
        <v>0</v>
      </c>
      <c r="J25" s="2">
        <f>COUNTIFS('BA History'!B:B,A25,'BA History'!D:D, 0)</f>
        <v>1</v>
      </c>
      <c r="K25" s="75">
        <f>LOOKUP(2, 1/('BA History'!$B:$B=A25), 'BA History'!$AK:$AK)</f>
        <v>0</v>
      </c>
      <c r="L25" s="34">
        <f>SUMIFS('BA History'!F:F,'BA History'!B:B,A25)</f>
        <v>1</v>
      </c>
      <c r="M25" s="2">
        <f>SUMIFS('BA History'!E:E,'BA History'!B:B,A25)-L25</f>
        <v>4</v>
      </c>
      <c r="N25" s="75">
        <f>LOOKUP(2, 1/('BA History'!$B:$B=A25), 'BA History'!$AI:$AI)</f>
        <v>0.2</v>
      </c>
      <c r="O25" s="34">
        <f>SUMIFS('BA History'!H:H,'BA History'!B:B,A25)</f>
        <v>5</v>
      </c>
      <c r="P25" s="2">
        <f>SUMIFS('BA History'!G:G,'BA History'!B:B,A25)-O25</f>
        <v>14</v>
      </c>
      <c r="Q25" s="89">
        <f>LOOKUP(2, 1/('BA History'!$B:$B=A25), 'BA History'!$AJ:$AJ)</f>
        <v>0.26</v>
      </c>
      <c r="R25" s="2">
        <f>COUNTIFS('BA History'!$B:$B,$A$25,'BA History'!K:K, 1)</f>
        <v>0</v>
      </c>
      <c r="S25" s="2">
        <f>COUNTIFS('BA History'!$B:$B,$A$25,'BA History'!L:L, 1)</f>
        <v>1</v>
      </c>
      <c r="T25" s="2">
        <f>COUNTIFS('BA History'!$B:$B,$A$25,'BA History'!M:M, 1)</f>
        <v>0</v>
      </c>
      <c r="U25" s="2">
        <f>COUNTIFS('BA History'!$B:$B,$A$25,'BA History'!N:N, 1)</f>
        <v>0</v>
      </c>
      <c r="V25" s="2">
        <f>COUNTIFS('BA History'!$B:$B,$A$25,'BA History'!O:O, 1)</f>
        <v>0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0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0</v>
      </c>
      <c r="AC25" s="2">
        <f>COUNTIFS('BA History'!$B:$B,$A$25,'BA History'!V:V, 1)</f>
        <v>0</v>
      </c>
      <c r="AD25" s="2">
        <f>COUNTIFS('BA History'!$B:$B,$A$25,'BA History'!W:W, 1)</f>
        <v>0</v>
      </c>
      <c r="AE25" s="2">
        <f>COUNTIFS('BA History'!$B:$B,$A$25,'BA History'!X:X, 1)</f>
        <v>0</v>
      </c>
      <c r="AF25" s="2">
        <f>COUNTIFS('BA History'!$B:$B,$A$25,'BA History'!Y:Y, 1)</f>
        <v>0</v>
      </c>
      <c r="AG25" s="2">
        <f>COUNTIFS('BA History'!$B:$B,$A$25,'BA History'!Z:Z, 1)</f>
        <v>0</v>
      </c>
      <c r="AH25" s="2">
        <f>COUNTIFS('BA History'!$B:$B,$A25,'BA History'!AA:AA, 1)</f>
        <v>0</v>
      </c>
      <c r="AI25" s="2">
        <f>COUNTIFS('BA History'!$B:$B,$A$25,'BA History'!AB:AB, 1)</f>
        <v>0</v>
      </c>
      <c r="AJ25" s="2">
        <f>COUNTIFS('BA History'!$B:$B,$A$25,'BA History'!AC:AC, 1)</f>
        <v>0</v>
      </c>
      <c r="AK25" s="2">
        <f>COUNTIFS('BA History'!$B:$B,$A$25,'BA History'!AD:AD, 1)</f>
        <v>0</v>
      </c>
      <c r="AL25" s="2">
        <f>COUNTIFS('BA History'!$B:$B,$A$25,'BA History'!AE:AE, 1)</f>
        <v>0</v>
      </c>
      <c r="AM25" s="2">
        <f>COUNTIFS('BA History'!$B:$B,$A$25,'BA History'!AF:AF, 1)</f>
        <v>0</v>
      </c>
      <c r="AN25" s="2">
        <f>COUNTIFS('BA History'!$B:$B,$A$25,'BA History'!AG:AG, 1)</f>
        <v>0</v>
      </c>
    </row>
    <row r="26" spans="1:40" ht="15.75" x14ac:dyDescent="0.25">
      <c r="A26" s="2" t="s">
        <v>150</v>
      </c>
      <c r="B26" s="95" t="s">
        <v>79</v>
      </c>
      <c r="C26" s="95">
        <v>1</v>
      </c>
      <c r="D26" s="95"/>
      <c r="E26" s="95"/>
      <c r="F26" s="34">
        <f>SUMIFS('BA History'!C:C,'BA History'!B:B,A26)</f>
        <v>392</v>
      </c>
      <c r="G26" s="66">
        <f>AVERAGEIFS('BA History'!C:C,'BA History'!B:B,A26)</f>
        <v>17.818181818181817</v>
      </c>
      <c r="H26" s="35">
        <f t="array" ref="H26">MAX(IF('BA History'!B:B=A26, 'BA History'!C:C))</f>
        <v>30</v>
      </c>
      <c r="I26" s="34">
        <f>COUNTIFS('BA History'!B:B,A26,'BA History'!D:D, 1)</f>
        <v>14</v>
      </c>
      <c r="J26" s="2">
        <f>COUNTIFS('BA History'!B:B,A26,'BA History'!D:D, 0)</f>
        <v>8</v>
      </c>
      <c r="K26" s="75">
        <f>LOOKUP(2, 1/('BA History'!$B:$B=A26), 'BA History'!$AK:$AK)</f>
        <v>0.63636363636363635</v>
      </c>
      <c r="L26" s="34">
        <f>SUMIFS('BA History'!F:F,'BA History'!B:B,A26)</f>
        <v>53</v>
      </c>
      <c r="M26" s="2">
        <f>SUMIFS('BA History'!E:E,'BA History'!B:B,A26)-L26</f>
        <v>36</v>
      </c>
      <c r="N26" s="75">
        <f>LOOKUP(2, 1/('BA History'!$B:$B=A26), 'BA History'!$AI:$AI)</f>
        <v>0.61590909090909085</v>
      </c>
      <c r="O26" s="34">
        <f>SUMIFS('BA History'!H:H,'BA History'!B:B,A26)</f>
        <v>201</v>
      </c>
      <c r="P26" s="2">
        <f>SUMIFS('BA History'!G:G,'BA History'!B:B,A26)-O26</f>
        <v>156</v>
      </c>
      <c r="Q26" s="89">
        <f>LOOKUP(2, 1/('BA History'!$B:$B=A26), 'BA History'!$AJ:$AJ)</f>
        <v>0.5818181818181819</v>
      </c>
      <c r="R26" s="2">
        <f>COUNTIFS('BA History'!$B:$B,$A$26,'BA History'!K:K, 1)</f>
        <v>0</v>
      </c>
      <c r="S26" s="2">
        <f>COUNTIFS('BA History'!$B:$B,$A$26,'BA History'!L:L, 1)</f>
        <v>2</v>
      </c>
      <c r="T26" s="2">
        <f>COUNTIFS('BA History'!$B:$B,$A$26,'BA History'!M:M, 1)</f>
        <v>6</v>
      </c>
      <c r="U26" s="2">
        <f>COUNTIFS('BA History'!$B:$B,$A$26,'BA History'!N:N, 1)</f>
        <v>6</v>
      </c>
      <c r="V26" s="2">
        <f>COUNTIFS('BA History'!$B:$B,$A$26,'BA History'!O:O, 1)</f>
        <v>1</v>
      </c>
      <c r="W26" s="2">
        <f>COUNTIFS('BA History'!$B:$B,$A$26,'BA History'!P:P, 1)</f>
        <v>1</v>
      </c>
      <c r="X26" s="2">
        <f>COUNTIFS('BA History'!$B:$B,$A$26,'BA History'!Q:Q, 1)</f>
        <v>3</v>
      </c>
      <c r="Y26" s="2">
        <f>COUNTIFS('BA History'!$B:$B,$A$26,'BA History'!R:R, 1)</f>
        <v>0</v>
      </c>
      <c r="Z26" s="2">
        <f>COUNTIFS('BA History'!$B:$B,$A$26,'BA History'!S:S, 1)</f>
        <v>1</v>
      </c>
      <c r="AA26" s="2">
        <f>COUNTIFS('BA History'!$B:$B,$A$26,'BA History'!T:T, 1)</f>
        <v>0</v>
      </c>
      <c r="AB26" s="2">
        <f>COUNTIFS('BA History'!$B:$B,$A$26,'BA History'!U:U, 1)</f>
        <v>1</v>
      </c>
      <c r="AC26" s="2">
        <f>COUNTIFS('BA History'!$B:$B,$A$26,'BA History'!V:V, 1)</f>
        <v>2</v>
      </c>
      <c r="AD26" s="2">
        <f>COUNTIFS('BA History'!$B:$B,$A$26,'BA History'!W:W, 1)</f>
        <v>3</v>
      </c>
      <c r="AE26" s="2">
        <f>COUNTIFS('BA History'!$B:$B,$A$26,'BA History'!X:X, 1)</f>
        <v>0</v>
      </c>
      <c r="AF26" s="2">
        <f>COUNTIFS('BA History'!$B:$B,$A$26,'BA History'!Y:Y, 1)</f>
        <v>3</v>
      </c>
      <c r="AG26" s="2">
        <f>COUNTIFS('BA History'!$B:$B,$A$26,'BA History'!Z:Z, 1)</f>
        <v>9</v>
      </c>
      <c r="AH26" s="2">
        <f>COUNTIFS('BA History'!$B:$B,$A26,'BA History'!AA:AA, 1)</f>
        <v>1</v>
      </c>
      <c r="AI26" s="2">
        <f>COUNTIFS('BA History'!$B:$B,$A$26,'BA History'!AB:AB, 1)</f>
        <v>0</v>
      </c>
      <c r="AJ26" s="2">
        <f>COUNTIFS('BA History'!$B:$B,$A$26,'BA History'!AC:AC, 1)</f>
        <v>7</v>
      </c>
      <c r="AK26" s="2">
        <f>COUNTIFS('BA History'!$B:$B,$A$26,'BA History'!AD:AD, 1)</f>
        <v>1</v>
      </c>
      <c r="AL26" s="2">
        <f>COUNTIFS('BA History'!$B:$B,$A$26,'BA History'!AE:AE, 1)</f>
        <v>3</v>
      </c>
      <c r="AM26" s="2">
        <f>COUNTIFS('BA History'!$B:$B,$A$26,'BA History'!AF:AF, 1)</f>
        <v>0</v>
      </c>
      <c r="AN26" s="2">
        <f>COUNTIFS('BA History'!$B:$B,$A$26,'BA History'!AG:AG, 1)</f>
        <v>3</v>
      </c>
    </row>
    <row r="27" spans="1:40" x14ac:dyDescent="0.25">
      <c r="A27" s="2" t="s">
        <v>46</v>
      </c>
      <c r="B27" s="1" t="s">
        <v>158</v>
      </c>
      <c r="C27" s="1"/>
      <c r="D27" s="1"/>
      <c r="E27" s="1"/>
      <c r="F27" s="34">
        <f>SUMIFS('BA History'!C:C,'BA History'!B:B,A27)</f>
        <v>521</v>
      </c>
      <c r="G27" s="66">
        <f>AVERAGEIFS('BA History'!C:C,'BA History'!B:B,A27)</f>
        <v>17.96551724137931</v>
      </c>
      <c r="H27" s="35">
        <f t="array" ref="H27">MAX(IF('BA History'!B:B=A27, 'BA History'!C:C))</f>
        <v>34</v>
      </c>
      <c r="I27" s="34">
        <f>COUNTIFS('BA History'!B:B,A27,'BA History'!D:D, 1)</f>
        <v>10</v>
      </c>
      <c r="J27" s="2">
        <f>COUNTIFS('BA History'!B:B,A27,'BA History'!D:D, 0)</f>
        <v>19</v>
      </c>
      <c r="K27" s="75">
        <f>LOOKUP(2, 1/('BA History'!$B:$B=A27), 'BA History'!$AK:$AK)</f>
        <v>0.34482758620689657</v>
      </c>
      <c r="L27" s="34">
        <f>SUMIFS('BA History'!F:F,'BA History'!B:B,A27)</f>
        <v>51</v>
      </c>
      <c r="M27" s="2">
        <f>SUMIFS('BA History'!E:E,'BA History'!B:B,A27)-L27</f>
        <v>72</v>
      </c>
      <c r="N27" s="75">
        <f>LOOKUP(2, 1/('BA History'!$B:$B=A27), 'BA History'!$AI:$AI)</f>
        <v>0.39310344827586202</v>
      </c>
      <c r="O27" s="34">
        <f>SUMIFS('BA History'!H:H,'BA History'!B:B,A27)</f>
        <v>231</v>
      </c>
      <c r="P27" s="2">
        <f>SUMIFS('BA History'!G:G,'BA History'!B:B,A27)-O27</f>
        <v>280</v>
      </c>
      <c r="Q27" s="89">
        <f>LOOKUP(2, 1/('BA History'!$B:$B=A27), 'BA History'!$AJ:$AJ)</f>
        <v>0.43551724137931036</v>
      </c>
      <c r="R27" s="2">
        <f>COUNTIFS('BA History'!$B:$B,$A$27,'BA History'!K:K, 1)</f>
        <v>6</v>
      </c>
      <c r="S27" s="2">
        <f>COUNTIFS('BA History'!$B:$B,$A$27,'BA History'!L:L, 1)</f>
        <v>4</v>
      </c>
      <c r="T27" s="2">
        <f>COUNTIFS('BA History'!$B:$B,$A$27,'BA History'!M:M, 1)</f>
        <v>3</v>
      </c>
      <c r="U27" s="2">
        <f>COUNTIFS('BA History'!$B:$B,$A$27,'BA History'!N:N, 1)</f>
        <v>4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0</v>
      </c>
      <c r="Y27" s="2">
        <f>COUNTIFS('BA History'!$B:$B,$A$27,'BA History'!R:R, 1)</f>
        <v>1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1</v>
      </c>
      <c r="AC27" s="2">
        <f>COUNTIFS('BA History'!$B:$B,$A$27,'BA History'!V:V, 1)</f>
        <v>1</v>
      </c>
      <c r="AD27" s="2">
        <f>COUNTIFS('BA History'!$B:$B,$A$27,'BA History'!W:W, 1)</f>
        <v>3</v>
      </c>
      <c r="AE27" s="2">
        <f>COUNTIFS('BA History'!$B:$B,$A$27,'BA History'!X:X, 1)</f>
        <v>1</v>
      </c>
      <c r="AF27" s="2">
        <f>COUNTIFS('BA History'!$B:$B,$A$27,'BA History'!Y:Y, 1)</f>
        <v>1</v>
      </c>
      <c r="AG27" s="2">
        <f>COUNTIFS('BA History'!$B:$B,$A$27,'BA History'!Z:Z, 1)</f>
        <v>7</v>
      </c>
      <c r="AH27" s="2">
        <f>COUNTIFS('BA History'!$B:$B,$A27,'BA History'!AA:AA, 1)</f>
        <v>0</v>
      </c>
      <c r="AI27" s="2">
        <f>COUNTIFS('BA History'!$B:$B,$A$27,'BA History'!AB:AB, 1)</f>
        <v>2</v>
      </c>
      <c r="AJ27" s="2">
        <f>COUNTIFS('BA History'!$B:$B,$A$27,'BA History'!AC:AC, 1)</f>
        <v>6</v>
      </c>
      <c r="AK27" s="2">
        <f>COUNTIFS('BA History'!$B:$B,$A$27,'BA History'!AD:AD, 1)</f>
        <v>1</v>
      </c>
      <c r="AL27" s="2">
        <f>COUNTIFS('BA History'!$B:$B,$A$27,'BA History'!AE:AE, 1)</f>
        <v>3</v>
      </c>
      <c r="AM27" s="2">
        <f>COUNTIFS('BA History'!$B:$B,$A$27,'BA History'!AF:AF, 1)</f>
        <v>2</v>
      </c>
      <c r="AN27" s="2">
        <f>COUNTIFS('BA History'!$B:$B,$A$27,'BA History'!AG:AG, 1)</f>
        <v>4</v>
      </c>
    </row>
    <row r="28" spans="1:40" x14ac:dyDescent="0.25">
      <c r="A28" s="2" t="s">
        <v>28</v>
      </c>
      <c r="B28" s="2" t="s">
        <v>79</v>
      </c>
      <c r="C28" s="2"/>
      <c r="D28" s="2"/>
      <c r="E28" s="2"/>
      <c r="F28" s="34">
        <f>SUMIFS('BA History'!C:C,'BA History'!B:B,A28)</f>
        <v>398</v>
      </c>
      <c r="G28" s="66">
        <f>AVERAGEIFS('BA History'!C:C,'BA History'!B:B,A28)</f>
        <v>13.724137931034482</v>
      </c>
      <c r="H28" s="35">
        <f t="array" ref="H28">MAX(IF('BA History'!B:B=A28, 'BA History'!C:C))</f>
        <v>25</v>
      </c>
      <c r="I28" s="34">
        <f>COUNTIFS('BA History'!B:B,A28,'BA History'!D:D, 1)</f>
        <v>12</v>
      </c>
      <c r="J28" s="2">
        <f>COUNTIFS('BA History'!B:B,A28,'BA History'!D:D, 0)</f>
        <v>17</v>
      </c>
      <c r="K28" s="75">
        <f>LOOKUP(2, 1/('BA History'!$B:$B=A28), 'BA History'!$AK:$AK)</f>
        <v>0.41379310344827586</v>
      </c>
      <c r="L28" s="34">
        <f>SUMIFS('BA History'!F:F,'BA History'!B:B,A28)</f>
        <v>49</v>
      </c>
      <c r="M28" s="2">
        <f>SUMIFS('BA History'!E:E,'BA History'!B:B,A28)-L28</f>
        <v>61</v>
      </c>
      <c r="N28" s="75">
        <f>LOOKUP(2, 1/('BA History'!$B:$B=A28), 'BA History'!$AI:$AI)</f>
        <v>0.44413793103448274</v>
      </c>
      <c r="O28" s="34">
        <f>SUMIFS('BA History'!H:H,'BA History'!B:B,A28)</f>
        <v>210</v>
      </c>
      <c r="P28" s="2">
        <f>SUMIFS('BA History'!G:G,'BA History'!B:B,A28)-O28</f>
        <v>236</v>
      </c>
      <c r="Q28" s="89">
        <f>LOOKUP(2, 1/('BA History'!$B:$B=A28), 'BA History'!$AJ:$AJ)</f>
        <v>0.46379310344827579</v>
      </c>
      <c r="R28" s="2">
        <f>COUNTIFS('BA History'!$B:$B,$A$28,'BA History'!K:K, 1)</f>
        <v>1</v>
      </c>
      <c r="S28" s="2">
        <f>COUNTIFS('BA History'!$B:$B,$A$28,'BA History'!L:L, 1)</f>
        <v>4</v>
      </c>
      <c r="T28" s="2">
        <f>COUNTIFS('BA History'!$B:$B,$A$28,'BA History'!M:M, 1)</f>
        <v>2</v>
      </c>
      <c r="U28" s="2">
        <f>COUNTIFS('BA History'!$B:$B,$A$28,'BA History'!N:N, 1)</f>
        <v>5</v>
      </c>
      <c r="V28" s="2">
        <f>COUNTIFS('BA History'!$B:$B,$A$28,'BA History'!O:O, 1)</f>
        <v>3</v>
      </c>
      <c r="W28" s="2">
        <f>COUNTIFS('BA History'!$B:$B,$A$28,'BA History'!P:P, 1)</f>
        <v>1</v>
      </c>
      <c r="X28" s="2">
        <f>COUNTIFS('BA History'!$B:$B,$A$28,'BA History'!Q:Q, 1)</f>
        <v>2</v>
      </c>
      <c r="Y28" s="2">
        <f>COUNTIFS('BA History'!$B:$B,$A$28,'BA History'!R:R, 1)</f>
        <v>1</v>
      </c>
      <c r="Z28" s="2">
        <f>COUNTIFS('BA History'!$B:$B,$A$28,'BA History'!S:S, 1)</f>
        <v>1</v>
      </c>
      <c r="AA28" s="2">
        <f>COUNTIFS('BA History'!$B:$B,$A$28,'BA History'!T:T, 1)</f>
        <v>1</v>
      </c>
      <c r="AB28" s="2">
        <f>COUNTIFS('BA History'!$B:$B,$A$28,'BA History'!U:U, 1)</f>
        <v>3</v>
      </c>
      <c r="AC28" s="2">
        <f>COUNTIFS('BA History'!$B:$B,$A$28,'BA History'!V:V, 1)</f>
        <v>2</v>
      </c>
      <c r="AD28" s="2">
        <f>COUNTIFS('BA History'!$B:$B,$A$28,'BA History'!W:W, 1)</f>
        <v>0</v>
      </c>
      <c r="AE28" s="2">
        <f>COUNTIFS('BA History'!$B:$B,$A$28,'BA History'!X:X, 1)</f>
        <v>1</v>
      </c>
      <c r="AF28" s="2">
        <f>COUNTIFS('BA History'!$B:$B,$A$28,'BA History'!Y:Y, 1)</f>
        <v>3</v>
      </c>
      <c r="AG28" s="2">
        <f>COUNTIFS('BA History'!$B:$B,$A$28,'BA History'!Z:Z, 1)</f>
        <v>4</v>
      </c>
      <c r="AH28" s="2">
        <f>COUNTIFS('BA History'!$B:$B,$A28,'BA History'!AA:AA, 1)</f>
        <v>0</v>
      </c>
      <c r="AI28" s="2">
        <f>COUNTIFS('BA History'!$B:$B,$A$28,'BA History'!AB:AB, 1)</f>
        <v>2</v>
      </c>
      <c r="AJ28" s="2">
        <f>COUNTIFS('BA History'!$B:$B,$A$28,'BA History'!AC:AC, 1)</f>
        <v>4</v>
      </c>
      <c r="AK28" s="2">
        <f>COUNTIFS('BA History'!$B:$B,$A$28,'BA History'!AD:AD, 1)</f>
        <v>3</v>
      </c>
      <c r="AL28" s="2">
        <f>COUNTIFS('BA History'!$B:$B,$A$28,'BA History'!AE:AE, 1)</f>
        <v>5</v>
      </c>
      <c r="AM28" s="2">
        <f>COUNTIFS('BA History'!$B:$B,$A$28,'BA History'!AF:AF, 1)</f>
        <v>0</v>
      </c>
      <c r="AN28" s="2">
        <f>COUNTIFS('BA History'!$B:$B,$A$28,'BA History'!AG:AG, 1)</f>
        <v>1</v>
      </c>
    </row>
    <row r="29" spans="1:40" x14ac:dyDescent="0.25">
      <c r="A29" s="2" t="s">
        <v>53</v>
      </c>
      <c r="B29" s="2" t="s">
        <v>79</v>
      </c>
      <c r="C29" s="2">
        <v>1</v>
      </c>
      <c r="D29" s="2"/>
      <c r="E29" s="2"/>
      <c r="F29" s="34">
        <f>SUMIFS('BA History'!C:C,'BA History'!B:B,A29)</f>
        <v>429</v>
      </c>
      <c r="G29" s="66">
        <f>AVERAGEIFS('BA History'!C:C,'BA History'!B:B,A29)</f>
        <v>14.793103448275861</v>
      </c>
      <c r="H29" s="35">
        <f t="array" ref="H29">MAX(IF('BA History'!B:B=A29, 'BA History'!C:C))</f>
        <v>36</v>
      </c>
      <c r="I29" s="34">
        <f>COUNTIFS('BA History'!B:B,A29,'BA History'!D:D, 1)</f>
        <v>11</v>
      </c>
      <c r="J29" s="2">
        <f>COUNTIFS('BA History'!B:B,A29,'BA History'!D:D, 0)</f>
        <v>18</v>
      </c>
      <c r="K29" s="75">
        <f>LOOKUP(2, 1/('BA History'!$B:$B=A29), 'BA History'!$AK:$AK)</f>
        <v>0.37931034482758619</v>
      </c>
      <c r="L29" s="34">
        <f>SUMIFS('BA History'!F:F,'BA History'!B:B,A29)</f>
        <v>51</v>
      </c>
      <c r="M29" s="2">
        <f>SUMIFS('BA History'!E:E,'BA History'!B:B,A29)-L29</f>
        <v>59</v>
      </c>
      <c r="N29" s="75">
        <f>LOOKUP(2, 1/('BA History'!$B:$B=A29), 'BA History'!$AI:$AI)</f>
        <v>0.47758620689655179</v>
      </c>
      <c r="O29" s="34">
        <f>SUMIFS('BA History'!H:H,'BA History'!B:B,A29)</f>
        <v>216</v>
      </c>
      <c r="P29" s="2">
        <f>SUMIFS('BA History'!G:G,'BA History'!B:B,A29)-O29</f>
        <v>233</v>
      </c>
      <c r="Q29" s="89">
        <f>LOOKUP(2, 1/('BA History'!$B:$B=A29), 'BA History'!$AJ:$AJ)</f>
        <v>0.4875862068965518</v>
      </c>
      <c r="R29" s="2">
        <f>COUNTIFS('BA History'!$B:$B,$A$29,'BA History'!K:K, 1)</f>
        <v>2</v>
      </c>
      <c r="S29" s="2">
        <f>COUNTIFS('BA History'!$B:$B,$A$29,'BA History'!L:L, 1)</f>
        <v>5</v>
      </c>
      <c r="T29" s="2">
        <f>COUNTIFS('BA History'!$B:$B,$A$29,'BA History'!M:M, 1)</f>
        <v>0</v>
      </c>
      <c r="U29" s="2">
        <f>COUNTIFS('BA History'!$B:$B,$A$29,'BA History'!N:N, 1)</f>
        <v>7</v>
      </c>
      <c r="V29" s="2">
        <f>COUNTIFS('BA History'!$B:$B,$A$29,'BA History'!O:O, 1)</f>
        <v>1</v>
      </c>
      <c r="W29" s="2">
        <f>COUNTIFS('BA History'!$B:$B,$A$29,'BA History'!P:P, 1)</f>
        <v>0</v>
      </c>
      <c r="X29" s="2">
        <f>COUNTIFS('BA History'!$B:$B,$A$29,'BA History'!Q:Q, 1)</f>
        <v>2</v>
      </c>
      <c r="Y29" s="2">
        <f>COUNTIFS('BA History'!$B:$B,$A$29,'BA History'!R:R, 1)</f>
        <v>0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2</v>
      </c>
      <c r="AD29" s="2">
        <f>COUNTIFS('BA History'!$B:$B,$A$29,'BA History'!W:W, 1)</f>
        <v>1</v>
      </c>
      <c r="AE29" s="2">
        <f>COUNTIFS('BA History'!$B:$B,$A$29,'BA History'!X:X, 1)</f>
        <v>1</v>
      </c>
      <c r="AF29" s="2">
        <f>COUNTIFS('BA History'!$B:$B,$A$29,'BA History'!Y:Y, 1)</f>
        <v>3</v>
      </c>
      <c r="AG29" s="2">
        <f>COUNTIFS('BA History'!$B:$B,$A$29,'BA History'!Z:Z, 1)</f>
        <v>9</v>
      </c>
      <c r="AH29" s="2">
        <f>COUNTIFS('BA History'!$B:$B,$A29,'BA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8</v>
      </c>
      <c r="AK29" s="2">
        <f>COUNTIFS('BA History'!$B:$B,$A$29,'BA History'!AD:AD, 1)</f>
        <v>3</v>
      </c>
      <c r="AL29" s="2">
        <f>COUNTIFS('BA History'!$B:$B,$A$29,'BA History'!AE:AE, 1)</f>
        <v>2</v>
      </c>
      <c r="AM29" s="2">
        <f>COUNTIFS('BA History'!$B:$B,$A$29,'BA History'!AF:AF, 1)</f>
        <v>1</v>
      </c>
      <c r="AN29" s="2">
        <f>COUNTIFS('BA History'!$B:$B,$A$29,'BA History'!AG:AG, 1)</f>
        <v>3</v>
      </c>
    </row>
    <row r="30" spans="1:40" x14ac:dyDescent="0.25">
      <c r="A30" s="2" t="s">
        <v>51</v>
      </c>
      <c r="B30" s="2" t="s">
        <v>79</v>
      </c>
      <c r="C30" s="2"/>
      <c r="D30" s="2"/>
      <c r="E30" s="2"/>
      <c r="F30" s="34">
        <f>SUMIFS('BA History'!C:C,'BA History'!B:B,A30)</f>
        <v>21</v>
      </c>
      <c r="G30" s="66">
        <f>AVERAGEIFS('BA History'!C:C,'BA History'!B:B,A30)</f>
        <v>10.5</v>
      </c>
      <c r="H30" s="35">
        <f t="array" ref="H30">MAX(IF('BA History'!B:B=A30, 'BA History'!C:C))</f>
        <v>16</v>
      </c>
      <c r="I30" s="34">
        <f>COUNTIFS('BA History'!B:B,A30,'BA History'!D:D, 1)</f>
        <v>1</v>
      </c>
      <c r="J30" s="2">
        <f>COUNTIFS('BA History'!B:B,A30,'BA History'!D:D, 0)</f>
        <v>1</v>
      </c>
      <c r="K30" s="75">
        <f>LOOKUP(2, 1/('BA History'!$B:$B=A30), 'BA History'!$AK:$AK)</f>
        <v>0.5</v>
      </c>
      <c r="L30" s="34">
        <f>SUMIFS('BA History'!F:F,'BA History'!B:B,A30)</f>
        <v>2</v>
      </c>
      <c r="M30" s="2">
        <f>SUMIFS('BA History'!E:E,'BA History'!B:B,A30)-L30</f>
        <v>4</v>
      </c>
      <c r="N30" s="75">
        <f>LOOKUP(2, 1/('BA History'!$B:$B=A30), 'BA History'!$AI:$AI)</f>
        <v>0.33500000000000002</v>
      </c>
      <c r="O30" s="34">
        <f>SUMIFS('BA History'!H:H,'BA History'!B:B,A30)</f>
        <v>10</v>
      </c>
      <c r="P30" s="2">
        <f>SUMIFS('BA History'!G:G,'BA History'!B:B,A30)-O30</f>
        <v>16</v>
      </c>
      <c r="Q30" s="89">
        <f>LOOKUP(2, 1/('BA History'!$B:$B=A30), 'BA History'!$AJ:$AJ)</f>
        <v>0.35499999999999998</v>
      </c>
      <c r="R30" s="2">
        <f>COUNTIFS('BA History'!$B:$B,$A$30,'BA History'!K:K, 1)</f>
        <v>0</v>
      </c>
      <c r="S30" s="2">
        <f>COUNTIFS('BA History'!$B:$B,$A$30,'BA History'!L:L, 1)</f>
        <v>0</v>
      </c>
      <c r="T30" s="2">
        <f>COUNTIFS('BA History'!$B:$B,$A$30,'BA History'!M:M, 1)</f>
        <v>0</v>
      </c>
      <c r="U30" s="2">
        <f>COUNTIFS('BA History'!$B:$B,$A$30,'BA History'!N:N, 1)</f>
        <v>0</v>
      </c>
      <c r="V30" s="2">
        <f>COUNTIFS('BA History'!$B:$B,$A$30,'BA History'!O:O, 1)</f>
        <v>0</v>
      </c>
      <c r="W30" s="2">
        <f>COUNTIFS('BA History'!$B:$B,$A$30,'BA History'!P:P, 1)</f>
        <v>0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0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1</v>
      </c>
      <c r="AG30" s="2">
        <f>COUNTIFS('BA History'!$B:$B,$A$30,'BA History'!Z:Z, 1)</f>
        <v>0</v>
      </c>
      <c r="AH30" s="2">
        <f>COUNTIFS('BA History'!$B:$B,$A30,'BA History'!AA:AA, 1)</f>
        <v>0</v>
      </c>
      <c r="AI30" s="2">
        <f>COUNTIFS('BA History'!$B:$B,$A$30,'BA History'!AB:AB, 1)</f>
        <v>0</v>
      </c>
      <c r="AJ30" s="2">
        <f>COUNTIFS('BA History'!$B:$B,$A$30,'BA History'!AC:AC, 1)</f>
        <v>0</v>
      </c>
      <c r="AK30" s="2">
        <f>COUNTIFS('BA History'!$B:$B,$A$30,'BA History'!AD:AD, 1)</f>
        <v>1</v>
      </c>
      <c r="AL30" s="2">
        <f>COUNTIFS('BA History'!$B:$B,$A$30,'BA History'!AE:AE, 1)</f>
        <v>0</v>
      </c>
      <c r="AM30" s="2">
        <f>COUNTIFS('BA History'!$B:$B,$A$30,'BA History'!AF:AF, 1)</f>
        <v>0</v>
      </c>
      <c r="AN30" s="2">
        <f>COUNTIFS('BA History'!$B:$B,$A$30,'BA History'!AG:AG, 1)</f>
        <v>0</v>
      </c>
    </row>
    <row r="31" spans="1:40" x14ac:dyDescent="0.25">
      <c r="A31" s="2" t="s">
        <v>47</v>
      </c>
      <c r="B31" s="2" t="s">
        <v>79</v>
      </c>
      <c r="C31" s="2"/>
      <c r="D31" s="2"/>
      <c r="E31" s="2"/>
      <c r="F31" s="34">
        <f>SUMIFS('BA History'!C:C,'BA History'!B:B,A31)</f>
        <v>40</v>
      </c>
      <c r="G31" s="66">
        <f>AVERAGEIFS('BA History'!C:C,'BA History'!B:B,A31)</f>
        <v>6.666666666666667</v>
      </c>
      <c r="H31" s="35">
        <f t="array" ref="H31">MAX(IF('BA History'!B:B=A31, 'BA History'!C:C))</f>
        <v>11</v>
      </c>
      <c r="I31" s="34">
        <f>COUNTIFS('BA History'!B:B,A31,'BA History'!D:D, 1)</f>
        <v>2</v>
      </c>
      <c r="J31" s="2">
        <f>COUNTIFS('BA History'!B:B,A31,'BA History'!D:D, 0)</f>
        <v>4</v>
      </c>
      <c r="K31" s="75">
        <f>LOOKUP(2, 1/('BA History'!$B:$B=A31), 'BA History'!$AK:$AK)</f>
        <v>0.33333333333333331</v>
      </c>
      <c r="L31" s="34">
        <f>SUMIFS('BA History'!F:F,'BA History'!B:B,A31)</f>
        <v>13</v>
      </c>
      <c r="M31" s="2">
        <f>SUMIFS('BA History'!E:E,'BA History'!B:B,A31)-L31</f>
        <v>14</v>
      </c>
      <c r="N31" s="75">
        <f>LOOKUP(2, 1/('BA History'!$B:$B=A31), 'BA History'!$AI:$AI)</f>
        <v>0.5083333333333333</v>
      </c>
      <c r="O31" s="34">
        <f>SUMIFS('BA History'!H:H,'BA History'!B:B,A31)</f>
        <v>51</v>
      </c>
      <c r="P31" s="2">
        <f>SUMIFS('BA History'!G:G,'BA History'!B:B,A31)-O31</f>
        <v>54</v>
      </c>
      <c r="Q31" s="89">
        <f>LOOKUP(2, 1/('BA History'!$B:$B=A31), 'BA History'!$AJ:$AJ)</f>
        <v>0.51666666666666661</v>
      </c>
      <c r="R31" s="2">
        <f>COUNTIFS('BA History'!$B:$B,$A$31,'BA History'!K:K, 1)</f>
        <v>2</v>
      </c>
      <c r="S31" s="2">
        <f>COUNTIFS('BA History'!$B:$B,$A$31,'BA History'!L:L, 1)</f>
        <v>1</v>
      </c>
      <c r="T31" s="2">
        <f>COUNTIFS('BA History'!$B:$B,$A$31,'BA History'!M:M, 1)</f>
        <v>2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0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2</v>
      </c>
      <c r="AE31" s="2">
        <f>COUNTIFS('BA History'!$B:$B,$A$31,'BA History'!X:X, 1)</f>
        <v>0</v>
      </c>
      <c r="AF31" s="2">
        <f>COUNTIFS('BA History'!$B:$B,$A$31,'BA History'!Y:Y, 1)</f>
        <v>1</v>
      </c>
      <c r="AG31" s="2">
        <f>COUNTIFS('BA History'!$B:$B,$A$31,'BA History'!Z:Z, 1)</f>
        <v>1</v>
      </c>
      <c r="AH31" s="2">
        <f>COUNTIFS('BA History'!$B:$B,$A31,'BA History'!AA:AA, 1)</f>
        <v>0</v>
      </c>
      <c r="AI31" s="2">
        <f>COUNTIFS('BA History'!$B:$B,$A$31,'BA History'!AB:AB, 1)</f>
        <v>0</v>
      </c>
      <c r="AJ31" s="2">
        <f>COUNTIFS('BA History'!$B:$B,$A$31,'BA History'!AC:AC, 1)</f>
        <v>1</v>
      </c>
      <c r="AK31" s="2">
        <f>COUNTIFS('BA History'!$B:$B,$A$31,'BA History'!AD:AD, 1)</f>
        <v>0</v>
      </c>
      <c r="AL31" s="2">
        <f>COUNTIFS('BA History'!$B:$B,$A$31,'BA History'!AE:AE, 1)</f>
        <v>1</v>
      </c>
      <c r="AM31" s="2">
        <f>COUNTIFS('BA History'!$B:$B,$A$31,'BA History'!AF:AF, 1)</f>
        <v>0</v>
      </c>
      <c r="AN31" s="2">
        <f>COUNTIFS('BA History'!$B:$B,$A$31,'BA History'!AG:AG, 1)</f>
        <v>1</v>
      </c>
    </row>
    <row r="32" spans="1:40" x14ac:dyDescent="0.25">
      <c r="A32" s="2" t="s">
        <v>3</v>
      </c>
      <c r="B32" s="1" t="s">
        <v>158</v>
      </c>
      <c r="C32" s="1"/>
      <c r="D32" s="1"/>
      <c r="E32" s="1"/>
      <c r="F32" s="34">
        <f>SUMIFS('BA History'!C:C,'BA History'!B:B,A32)</f>
        <v>157</v>
      </c>
      <c r="G32" s="66">
        <f>AVERAGEIFS('BA History'!C:C,'BA History'!B:B,A32)</f>
        <v>19.625</v>
      </c>
      <c r="H32" s="35">
        <f t="array" ref="H32">MAX(IF('BA History'!B:B=A32, 'BA History'!C:C))</f>
        <v>27</v>
      </c>
      <c r="I32" s="34">
        <f>COUNTIFS('BA History'!B:B,A32,'BA History'!D:D, 1)</f>
        <v>3</v>
      </c>
      <c r="J32" s="2">
        <f>COUNTIFS('BA History'!B:B,A32,'BA History'!D:D, 0)</f>
        <v>5</v>
      </c>
      <c r="K32" s="75">
        <f>LOOKUP(2, 1/('BA History'!$B:$B=A32), 'BA History'!$AK:$AK)</f>
        <v>0.375</v>
      </c>
      <c r="L32" s="34">
        <f>SUMIFS('BA History'!F:F,'BA History'!B:B,A32)</f>
        <v>16</v>
      </c>
      <c r="M32" s="2">
        <f>SUMIFS('BA History'!E:E,'BA History'!B:B,A32)-L32</f>
        <v>20</v>
      </c>
      <c r="N32" s="75">
        <f>LOOKUP(2, 1/('BA History'!$B:$B=A32), 'BA History'!$AI:$AI)</f>
        <v>0.42499999999999999</v>
      </c>
      <c r="O32" s="34">
        <f>SUMIFS('BA History'!H:H,'BA History'!B:B,A32)</f>
        <v>74</v>
      </c>
      <c r="P32" s="2">
        <f>SUMIFS('BA History'!G:G,'BA History'!B:B,A32)-O32</f>
        <v>83</v>
      </c>
      <c r="Q32" s="89">
        <f>LOOKUP(2, 1/('BA History'!$B:$B=A32), 'BA History'!$AJ:$AJ)</f>
        <v>0.46875</v>
      </c>
      <c r="R32" s="2">
        <f>COUNTIFS('BA History'!$B:$B,$A$32,'BA History'!K:K, 1)</f>
        <v>0</v>
      </c>
      <c r="S32" s="2">
        <f>COUNTIFS('BA History'!$B:$B,$A$32,'BA History'!L:L, 1)</f>
        <v>2</v>
      </c>
      <c r="T32" s="2">
        <f>COUNTIFS('BA History'!$B:$B,$A$32,'BA History'!M:M, 1)</f>
        <v>2</v>
      </c>
      <c r="U32" s="2">
        <f>COUNTIFS('BA History'!$B:$B,$A$32,'BA History'!N:N, 1)</f>
        <v>1</v>
      </c>
      <c r="V32" s="2">
        <f>COUNTIFS('BA History'!$B:$B,$A$32,'BA History'!O:O, 1)</f>
        <v>0</v>
      </c>
      <c r="W32" s="2">
        <f>COUNTIFS('BA History'!$B:$B,$A$32,'BA History'!P:P, 1)</f>
        <v>1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0</v>
      </c>
      <c r="AA32" s="2">
        <f>COUNTIFS('BA History'!$B:$B,$A$32,'BA History'!T:T, 1)</f>
        <v>0</v>
      </c>
      <c r="AB32" s="2">
        <f>COUNTIFS('BA History'!$B:$B,$A$32,'BA History'!U:U, 1)</f>
        <v>1</v>
      </c>
      <c r="AC32" s="2">
        <f>COUNTIFS('BA History'!$B:$B,$A$32,'BA History'!V:V, 1)</f>
        <v>0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2</v>
      </c>
      <c r="AG32" s="2">
        <f>COUNTIFS('BA History'!$B:$B,$A$32,'BA History'!Z:Z, 1)</f>
        <v>1</v>
      </c>
      <c r="AH32" s="2">
        <f>COUNTIFS('BA History'!$B:$B,$A32,'BA History'!AA:AA, 1)</f>
        <v>0</v>
      </c>
      <c r="AI32" s="2">
        <f>COUNTIFS('BA History'!$B:$B,$A$32,'BA History'!AB:AB, 1)</f>
        <v>0</v>
      </c>
      <c r="AJ32" s="2">
        <f>COUNTIFS('BA History'!$B:$B,$A$32,'BA History'!AC:AC, 1)</f>
        <v>1</v>
      </c>
      <c r="AK32" s="2">
        <f>COUNTIFS('BA History'!$B:$B,$A$32,'BA History'!AD:AD, 1)</f>
        <v>3</v>
      </c>
      <c r="AL32" s="2">
        <f>COUNTIFS('BA History'!$B:$B,$A$32,'BA History'!AE:AE, 1)</f>
        <v>2</v>
      </c>
      <c r="AM32" s="2">
        <f>COUNTIFS('BA History'!$B:$B,$A$32,'BA History'!AF:AF, 1)</f>
        <v>0</v>
      </c>
      <c r="AN32" s="2">
        <f>COUNTIFS('BA History'!$B:$B,$A$32,'BA History'!AG:AG, 1)</f>
        <v>0</v>
      </c>
    </row>
    <row r="33" spans="1:40" x14ac:dyDescent="0.25">
      <c r="A33" s="2" t="s">
        <v>148</v>
      </c>
      <c r="B33" s="1" t="s">
        <v>79</v>
      </c>
      <c r="C33" s="1"/>
      <c r="D33" s="1"/>
      <c r="E33" s="1"/>
      <c r="F33" s="34">
        <f>SUMIFS('BA History'!C:C,'BA History'!B:B,A33)</f>
        <v>2</v>
      </c>
      <c r="G33" s="66">
        <f>AVERAGEIFS('BA History'!C:C,'BA History'!B:B,A33)</f>
        <v>2</v>
      </c>
      <c r="H33" s="35">
        <f t="array" ref="H33">MAX(IF('BA History'!B:B=A33, 'BA History'!C:C))</f>
        <v>2</v>
      </c>
      <c r="I33" s="34">
        <f>COUNTIFS('BA History'!B:B,A33,'BA History'!D:D, 1)</f>
        <v>1</v>
      </c>
      <c r="J33" s="2">
        <f>COUNTIFS('BA History'!B:B,A33,'BA History'!D:D, 0)</f>
        <v>0</v>
      </c>
      <c r="K33" s="75">
        <f>LOOKUP(2, 1/('BA History'!$B:$B=A33), 'BA History'!$AK:$AK)</f>
        <v>1</v>
      </c>
      <c r="L33" s="34">
        <f>SUMIFS('BA History'!F:F,'BA History'!B:B,A33)</f>
        <v>3</v>
      </c>
      <c r="M33" s="2">
        <f>SUMIFS('BA History'!E:E,'BA History'!B:B,A33)-L33</f>
        <v>2</v>
      </c>
      <c r="N33" s="75">
        <f>LOOKUP(2, 1/('BA History'!$B:$B=A33), 'BA History'!$AI:$AI)</f>
        <v>0.6</v>
      </c>
      <c r="O33" s="34">
        <f>SUMIFS('BA History'!H:H,'BA History'!B:B,A33)</f>
        <v>10</v>
      </c>
      <c r="P33" s="2">
        <f>SUMIFS('BA History'!G:G,'BA History'!B:B,A33)-O33</f>
        <v>9</v>
      </c>
      <c r="Q33" s="89">
        <f>LOOKUP(2, 1/('BA History'!$B:$B=A33), 'BA History'!$AJ:$AJ)</f>
        <v>0.53</v>
      </c>
      <c r="R33" s="2">
        <f>COUNTIFS('BA History'!$B:$B,$A$33,'BA History'!K:K, 1)</f>
        <v>0</v>
      </c>
      <c r="S33" s="2">
        <f>COUNTIFS('BA History'!$B:$B,$A$33,'BA History'!L:L, 1)</f>
        <v>1</v>
      </c>
      <c r="T33" s="2">
        <f>COUNTIFS('BA History'!$B:$B,$A$33,'BA History'!M:M, 1)</f>
        <v>0</v>
      </c>
      <c r="U33" s="2">
        <f>COUNTIFS('BA History'!$B:$B,$A$33,'BA History'!N:N, 1)</f>
        <v>1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1</v>
      </c>
      <c r="AK33" s="2">
        <f>COUNTIFS('BA History'!$B:$B,$A$33,'BA History'!AD:AD, 1)</f>
        <v>0</v>
      </c>
      <c r="AL33" s="2">
        <f>COUNTIFS('BA History'!$B:$B,$A$33,'BA History'!AE:AE, 1)</f>
        <v>0</v>
      </c>
      <c r="AM33" s="2">
        <f>COUNTIFS('BA History'!$B:$B,$A$33,'BA History'!AF:AF, 1)</f>
        <v>0</v>
      </c>
      <c r="AN33" s="2">
        <f>COUNTIFS('BA History'!$B:$B,$A$33,'BA History'!AG:AG, 1)</f>
        <v>0</v>
      </c>
    </row>
    <row r="34" spans="1:40" x14ac:dyDescent="0.25">
      <c r="A34" s="2" t="s">
        <v>161</v>
      </c>
      <c r="B34" s="1" t="s">
        <v>79</v>
      </c>
      <c r="C34" s="1"/>
      <c r="D34" s="1"/>
      <c r="E34" s="1"/>
      <c r="F34" s="34">
        <f>SUMIFS('BA History'!C:C,'BA History'!B:B,A34)</f>
        <v>97</v>
      </c>
      <c r="G34" s="66">
        <f>AVERAGEIFS('BA History'!C:C,'BA History'!B:B,A34)</f>
        <v>8.8181818181818183</v>
      </c>
      <c r="H34" s="35">
        <f t="array" ref="H34">MAX(IF('BA History'!B:B=A34, 'BA History'!C:C))</f>
        <v>24</v>
      </c>
      <c r="I34" s="34">
        <f>COUNTIFS('BA History'!B:B,A34,'BA History'!D:D, 1)</f>
        <v>6</v>
      </c>
      <c r="J34" s="2">
        <f>COUNTIFS('BA History'!B:B,A34,'BA History'!D:D, 0)</f>
        <v>5</v>
      </c>
      <c r="K34" s="75">
        <f>LOOKUP(2, 1/('BA History'!$B:$B=A34), 'BA History'!$AK:$AK)</f>
        <v>0.54545454545454541</v>
      </c>
      <c r="L34" s="34">
        <f>SUMIFS('BA History'!F:F,'BA History'!B:B,A34)</f>
        <v>24</v>
      </c>
      <c r="M34" s="2">
        <f>SUMIFS('BA History'!E:E,'BA History'!B:B,A34)-L34</f>
        <v>21</v>
      </c>
      <c r="N34" s="75">
        <f>LOOKUP(2, 1/('BA History'!$B:$B=A34), 'BA History'!$AI:$AI)</f>
        <v>0.53636363636363626</v>
      </c>
      <c r="O34" s="34">
        <f>SUMIFS('BA History'!H:H,'BA History'!B:B,A34)</f>
        <v>95</v>
      </c>
      <c r="P34" s="2">
        <f>SUMIFS('BA History'!G:G,'BA History'!B:B,A34)-O34</f>
        <v>91</v>
      </c>
      <c r="Q34" s="89">
        <f>LOOKUP(2, 1/('BA History'!$B:$B=A34), 'BA History'!$AJ:$AJ)</f>
        <v>0.51636363636363636</v>
      </c>
      <c r="R34" s="2">
        <f>COUNTIFS('BA History'!$B:$B,$A$34,'BA History'!K:K, 1)</f>
        <v>1</v>
      </c>
      <c r="S34" s="2">
        <f>COUNTIFS('BA History'!$B:$B,$A$34,'BA History'!L:L, 1)</f>
        <v>2</v>
      </c>
      <c r="T34" s="2">
        <f>COUNTIFS('BA History'!$B:$B,$A$34,'BA History'!M:M, 1)</f>
        <v>2</v>
      </c>
      <c r="U34" s="2">
        <f>COUNTIFS('BA History'!$B:$B,$A$34,'BA History'!N:N, 1)</f>
        <v>1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1</v>
      </c>
      <c r="AA34" s="2">
        <f>COUNTIFS('BA History'!$B:$B,$A$34,'BA History'!T:T, 1)</f>
        <v>0</v>
      </c>
      <c r="AB34" s="2">
        <f>COUNTIFS('BA History'!$B:$B,$A$34,'BA History'!U:U, 1)</f>
        <v>1</v>
      </c>
      <c r="AC34" s="2">
        <f>COUNTIFS('BA History'!$B:$B,$A$34,'BA History'!V:V, 1)</f>
        <v>1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1</v>
      </c>
      <c r="AG34" s="2">
        <f>COUNTIFS('BA History'!$B:$B,$A$34,'BA History'!Z:Z, 1)</f>
        <v>3</v>
      </c>
      <c r="AH34" s="2">
        <f>COUNTIFS('BA History'!$B:$B,$A34,'BA History'!AA:AA, 1)</f>
        <v>1</v>
      </c>
      <c r="AI34" s="2">
        <f>COUNTIFS('BA History'!$B:$B,$A$34,'BA History'!AB:AB, 1)</f>
        <v>0</v>
      </c>
      <c r="AJ34" s="2">
        <f>COUNTIFS('BA History'!$B:$B,$A$34,'BA History'!AC:AC, 1)</f>
        <v>4</v>
      </c>
      <c r="AK34" s="2">
        <f>COUNTIFS('BA History'!$B:$B,$A$34,'BA History'!AD:AD, 1)</f>
        <v>2</v>
      </c>
      <c r="AL34" s="2">
        <f>COUNTIFS('BA History'!$B:$B,$A$34,'BA History'!AE:AE, 1)</f>
        <v>1</v>
      </c>
      <c r="AM34" s="2">
        <f>COUNTIFS('BA History'!$B:$B,$A$34,'BA History'!AF:AF, 1)</f>
        <v>1</v>
      </c>
      <c r="AN34" s="2">
        <f>COUNTIFS('BA History'!$B:$B,$A$34,'BA History'!AG:AG, 1)</f>
        <v>2</v>
      </c>
    </row>
    <row r="35" spans="1:40" x14ac:dyDescent="0.25">
      <c r="A35" s="2" t="s">
        <v>15</v>
      </c>
      <c r="B35" s="2" t="s">
        <v>79</v>
      </c>
      <c r="C35" s="2"/>
      <c r="D35" s="2"/>
      <c r="E35" s="2"/>
      <c r="F35" s="34">
        <f>SUMIFS('BA History'!C:C,'BA History'!B:B,A35)</f>
        <v>4</v>
      </c>
      <c r="G35" s="66">
        <f>AVERAGEIFS('BA History'!C:C,'BA History'!B:B,A35)</f>
        <v>4</v>
      </c>
      <c r="H35" s="35">
        <f t="array" ref="H35">MAX(IF('BA History'!B:B=A35, 'BA History'!C:C))</f>
        <v>4</v>
      </c>
      <c r="I35" s="34">
        <f>COUNTIFS('BA History'!B:B,A35,'BA History'!D:D, 1)</f>
        <v>0</v>
      </c>
      <c r="J35" s="2">
        <f>COUNTIFS('BA History'!B:B,A35,'BA History'!D:D, 0)</f>
        <v>1</v>
      </c>
      <c r="K35" s="75">
        <f>LOOKUP(2, 1/('BA History'!$B:$B=A35), 'BA History'!$AK:$AK)</f>
        <v>0</v>
      </c>
      <c r="L35" s="34">
        <f>SUMIFS('BA History'!F:F,'BA History'!B:B,A35)</f>
        <v>0</v>
      </c>
      <c r="M35" s="2">
        <f>SUMIFS('BA History'!E:E,'BA History'!B:B,A35)-L35</f>
        <v>3</v>
      </c>
      <c r="N35" s="75">
        <f>LOOKUP(2, 1/('BA History'!$B:$B=A35), 'BA History'!$AI:$AI)</f>
        <v>0</v>
      </c>
      <c r="O35" s="34">
        <f>SUMIFS('BA History'!H:H,'BA History'!B:B,A35)</f>
        <v>1</v>
      </c>
      <c r="P35" s="2">
        <f>SUMIFS('BA History'!G:G,'BA History'!B:B,A35)-O35</f>
        <v>9</v>
      </c>
      <c r="Q35" s="89">
        <f>LOOKUP(2, 1/('BA History'!$B:$B=A35), 'BA History'!$AJ:$AJ)</f>
        <v>0.1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0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History'!$B:$B,$A35,'BA History'!AA:AA, 1)</f>
        <v>0</v>
      </c>
      <c r="AI35" s="2">
        <f>COUNTIFS('BA History'!$B:$B,$A$35,'BA History'!AB:AB, 1)</f>
        <v>0</v>
      </c>
      <c r="AJ35" s="2">
        <f>COUNTIFS('BA History'!$B:$B,$A$35,'BA History'!AC:AC, 1)</f>
        <v>0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  <c r="AN35" s="2">
        <f>COUNTIFS('BA History'!$B:$B,$A$35,'BA History'!AG:AG, 1)</f>
        <v>0</v>
      </c>
    </row>
    <row r="36" spans="1:40" x14ac:dyDescent="0.25">
      <c r="A36" s="2" t="s">
        <v>142</v>
      </c>
      <c r="B36" s="2" t="s">
        <v>79</v>
      </c>
      <c r="C36" s="2"/>
      <c r="D36" s="2"/>
      <c r="E36" s="2"/>
      <c r="F36" s="34">
        <f>SUMIFS('BA History'!C:C,'BA History'!B:B,A36)</f>
        <v>25</v>
      </c>
      <c r="G36" s="66">
        <f>AVERAGEIFS('BA History'!C:C,'BA History'!B:B,A36)</f>
        <v>8.3333333333333339</v>
      </c>
      <c r="H36" s="35">
        <f t="array" ref="H36">MAX(IF('BA History'!B:B=A36, 'BA History'!C:C))</f>
        <v>9</v>
      </c>
      <c r="I36" s="34">
        <f>COUNTIFS('BA History'!B:B,A36,'BA History'!D:D, 1)</f>
        <v>0</v>
      </c>
      <c r="J36" s="2">
        <f>COUNTIFS('BA History'!B:B,A36,'BA History'!D:D, 0)</f>
        <v>3</v>
      </c>
      <c r="K36" s="75">
        <f>LOOKUP(2, 1/('BA History'!$B:$B=A36), 'BA History'!$AK:$AK)</f>
        <v>0</v>
      </c>
      <c r="L36" s="34">
        <f>SUMIFS('BA History'!F:F,'BA History'!B:B,A36)</f>
        <v>2</v>
      </c>
      <c r="M36" s="2">
        <f>SUMIFS('BA History'!E:E,'BA History'!B:B,A36)-L36</f>
        <v>9</v>
      </c>
      <c r="N36" s="75">
        <f>LOOKUP(2, 1/('BA History'!$B:$B=A36), 'BA History'!$AI:$AI)</f>
        <v>0.16666666666666666</v>
      </c>
      <c r="O36" s="34">
        <f>SUMIFS('BA History'!H:H,'BA History'!B:B,A36)</f>
        <v>14</v>
      </c>
      <c r="P36" s="2">
        <f>SUMIFS('BA History'!G:G,'BA History'!B:B,A36)-O36</f>
        <v>29</v>
      </c>
      <c r="Q36" s="89">
        <f>LOOKUP(2, 1/('BA History'!$B:$B=A36), 'BA History'!$AJ:$AJ)</f>
        <v>0.32666666666666666</v>
      </c>
      <c r="R36" s="2">
        <f>COUNTIFS('BA History'!$B:$B,$A$36,'BA History'!K:K, 1)</f>
        <v>0</v>
      </c>
      <c r="S36" s="2">
        <f>COUNTIFS('BA History'!$B:$B,$A$36,'BA History'!L:L, 1)</f>
        <v>0</v>
      </c>
      <c r="T36" s="2">
        <f>COUNTIFS('BA History'!$B:$B,$A$36,'BA History'!M:M, 1)</f>
        <v>0</v>
      </c>
      <c r="U36" s="2">
        <f>COUNTIFS('BA History'!$B:$B,$A$36,'BA History'!N:N, 1)</f>
        <v>0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0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0</v>
      </c>
      <c r="AE36" s="2">
        <f>COUNTIFS('BA History'!$B:$B,$A$36,'BA History'!X:X, 1)</f>
        <v>0</v>
      </c>
      <c r="AF36" s="2">
        <f>COUNTIFS('BA History'!$B:$B,$A$36,'BA History'!Y:Y, 1)</f>
        <v>0</v>
      </c>
      <c r="AG36" s="2">
        <f>COUNTIFS('BA History'!$B:$B,$A$36,'BA History'!Z:Z, 1)</f>
        <v>0</v>
      </c>
      <c r="AH36" s="2">
        <f>COUNTIFS('BA History'!$B:$B,$A36,'BA History'!AA:AA, 1)</f>
        <v>0</v>
      </c>
      <c r="AI36" s="2">
        <f>COUNTIFS('BA History'!$B:$B,$A$36,'BA History'!AB:AB, 1)</f>
        <v>0</v>
      </c>
      <c r="AJ36" s="2">
        <f>COUNTIFS('BA History'!$B:$B,$A$36,'BA History'!AC:AC, 1)</f>
        <v>0</v>
      </c>
      <c r="AK36" s="2">
        <f>COUNTIFS('BA History'!$B:$B,$A$36,'BA History'!AD:AD, 1)</f>
        <v>0</v>
      </c>
      <c r="AL36" s="2">
        <f>COUNTIFS('BA History'!$B:$B,$A$36,'BA History'!AE:AE, 1)</f>
        <v>2</v>
      </c>
      <c r="AM36" s="2">
        <f>COUNTIFS('BA History'!$B:$B,$A$36,'BA History'!AF:AF, 1)</f>
        <v>0</v>
      </c>
      <c r="AN36" s="2">
        <f>COUNTIFS('BA History'!$B:$B,$A$36,'BA History'!AG:AG, 1)</f>
        <v>0</v>
      </c>
    </row>
    <row r="37" spans="1:40" x14ac:dyDescent="0.25">
      <c r="A37" s="2" t="s">
        <v>90</v>
      </c>
      <c r="B37" s="2" t="s">
        <v>79</v>
      </c>
      <c r="C37" s="2"/>
      <c r="D37" s="2"/>
      <c r="E37" s="2"/>
      <c r="F37" s="34">
        <f>SUMIFS('BA History'!C:C,'BA History'!B:B,A37)</f>
        <v>3</v>
      </c>
      <c r="G37" s="66">
        <f>AVERAGEIFS('BA History'!C:C,'BA History'!B:B,A37)</f>
        <v>3</v>
      </c>
      <c r="H37" s="35">
        <f t="array" ref="H37">MAX(IF('BA History'!B:B=A37, 'BA History'!C:C))</f>
        <v>3</v>
      </c>
      <c r="I37" s="34">
        <f>COUNTIFS('BA History'!B:B,A37,'BA History'!D:D, 1)</f>
        <v>1</v>
      </c>
      <c r="J37" s="2">
        <f>COUNTIFS('BA History'!B:B,A37,'BA History'!D:D, 0)</f>
        <v>0</v>
      </c>
      <c r="K37" s="75">
        <f>LOOKUP(2, 1/('BA History'!$B:$B=A37), 'BA History'!$AK:$AK)</f>
        <v>1</v>
      </c>
      <c r="L37" s="34">
        <f>SUMIFS('BA History'!F:F,'BA History'!B:B,A37)</f>
        <v>3</v>
      </c>
      <c r="M37" s="2">
        <f>SUMIFS('BA History'!E:E,'BA History'!B:B,A37)-L37</f>
        <v>0</v>
      </c>
      <c r="N37" s="75">
        <f>LOOKUP(2, 1/('BA History'!$B:$B=A37), 'BA History'!$AI:$AI)</f>
        <v>1</v>
      </c>
      <c r="O37" s="34">
        <f>SUMIFS('BA History'!H:H,'BA History'!B:B,A37)</f>
        <v>9</v>
      </c>
      <c r="P37" s="2">
        <f>SUMIFS('BA History'!G:G,'BA History'!B:B,A37)-O37</f>
        <v>5</v>
      </c>
      <c r="Q37" s="89">
        <f>LOOKUP(2, 1/('BA History'!$B:$B=A37), 'BA History'!$AJ:$AJ)</f>
        <v>0.64</v>
      </c>
      <c r="R37" s="2">
        <f>COUNTIFS('BA History'!$B:$B,$A$37,'BA History'!K:K, 1)</f>
        <v>0</v>
      </c>
      <c r="S37" s="2">
        <f>COUNTIFS('BA History'!$B:$B,$A$37,'BA History'!L:L, 1)</f>
        <v>0</v>
      </c>
      <c r="T37" s="2">
        <f>COUNTIFS('BA History'!$B:$B,$A$37,'BA History'!M:M, 1)</f>
        <v>0</v>
      </c>
      <c r="U37" s="2">
        <f>COUNTIFS('BA History'!$B:$B,$A$37,'BA History'!N:N, 1)</f>
        <v>0</v>
      </c>
      <c r="V37" s="2">
        <f>COUNTIFS('BA History'!$B:$B,$A$37,'BA History'!O:O, 1)</f>
        <v>0</v>
      </c>
      <c r="W37" s="2">
        <f>COUNTIFS('BA History'!$B:$B,$A$37,'BA History'!P:P, 1)</f>
        <v>0</v>
      </c>
      <c r="X37" s="2">
        <f>COUNTIFS('BA History'!$B:$B,$A$37,'BA History'!Q:Q, 1)</f>
        <v>0</v>
      </c>
      <c r="Y37" s="2">
        <f>COUNTIFS('BA History'!$B:$B,$A$37,'BA History'!R:R, 1)</f>
        <v>0</v>
      </c>
      <c r="Z37" s="2">
        <f>COUNTIFS('BA History'!$B:$B,$A$37,'BA History'!S:S, 1)</f>
        <v>0</v>
      </c>
      <c r="AA37" s="2">
        <f>COUNTIFS('BA History'!$B:$B,$A$37,'BA History'!T:T, 1)</f>
        <v>0</v>
      </c>
      <c r="AB37" s="2">
        <f>COUNTIFS('BA History'!$B:$B,$A$37,'BA History'!U:U, 1)</f>
        <v>0</v>
      </c>
      <c r="AC37" s="2">
        <f>COUNTIFS('BA History'!$B:$B,$A$37,'BA History'!V:V, 1)</f>
        <v>1</v>
      </c>
      <c r="AD37" s="2">
        <f>COUNTIFS('BA History'!$B:$B,$A$37,'BA History'!W:W, 1)</f>
        <v>0</v>
      </c>
      <c r="AE37" s="2">
        <f>COUNTIFS('BA History'!$B:$B,$A$37,'BA History'!X:X, 1)</f>
        <v>0</v>
      </c>
      <c r="AF37" s="2">
        <f>COUNTIFS('BA History'!$B:$B,$A$37,'BA History'!Y:Y, 1)</f>
        <v>0</v>
      </c>
      <c r="AG37" s="2">
        <f>COUNTIFS('BA History'!$B:$B,$A$37,'BA History'!Z:Z, 1)</f>
        <v>0</v>
      </c>
      <c r="AH37" s="2">
        <f>COUNTIFS('BA History'!$B:$B,$A37,'BA History'!AA:AA, 1)</f>
        <v>0</v>
      </c>
      <c r="AI37" s="2">
        <f>COUNTIFS('BA History'!$B:$B,$A$37,'BA History'!AB:AB, 1)</f>
        <v>0</v>
      </c>
      <c r="AJ37" s="2">
        <f>COUNTIFS('BA History'!$B:$B,$A$37,'BA History'!AC:AC, 1)</f>
        <v>1</v>
      </c>
      <c r="AK37" s="2">
        <f>COUNTIFS('BA History'!$B:$B,$A$37,'BA History'!AD:AD, 1)</f>
        <v>1</v>
      </c>
      <c r="AL37" s="2">
        <f>COUNTIFS('BA History'!$B:$B,$A$37,'BA History'!AE:AE, 1)</f>
        <v>0</v>
      </c>
      <c r="AM37" s="2">
        <f>COUNTIFS('BA History'!$B:$B,$A$37,'BA History'!AF:AF, 1)</f>
        <v>0</v>
      </c>
      <c r="AN37" s="2">
        <f>COUNTIFS('BA History'!$B:$B,$A$37,'BA History'!AG:AG, 1)</f>
        <v>0</v>
      </c>
    </row>
    <row r="38" spans="1:40" x14ac:dyDescent="0.25">
      <c r="A38" s="2" t="s">
        <v>13</v>
      </c>
      <c r="B38" s="2" t="s">
        <v>79</v>
      </c>
      <c r="C38" s="2"/>
      <c r="D38" s="2"/>
      <c r="E38" s="2"/>
      <c r="F38" s="34">
        <f>SUMIFS('BA History'!C:C,'BA History'!B:B,A38)</f>
        <v>269</v>
      </c>
      <c r="G38" s="66">
        <f>AVERAGEIFS('BA History'!C:C,'BA History'!B:B,A38)</f>
        <v>14.157894736842104</v>
      </c>
      <c r="H38" s="35">
        <f t="array" ref="H38">MAX(IF('BA History'!B:B=A38, 'BA History'!C:C))</f>
        <v>23</v>
      </c>
      <c r="I38" s="34">
        <f>COUNTIFS('BA History'!B:B,A38,'BA History'!D:D, 1)</f>
        <v>8</v>
      </c>
      <c r="J38" s="2">
        <f>COUNTIFS('BA History'!B:B,A38,'BA History'!D:D, 0)</f>
        <v>11</v>
      </c>
      <c r="K38" s="75">
        <f>LOOKUP(2, 1/('BA History'!$B:$B=A38), 'BA History'!$AK:$AK)</f>
        <v>0.42105263157894735</v>
      </c>
      <c r="L38" s="34">
        <f>SUMIFS('BA History'!F:F,'BA History'!B:B,A38)</f>
        <v>35</v>
      </c>
      <c r="M38" s="2">
        <f>SUMIFS('BA History'!E:E,'BA History'!B:B,A38)-L38</f>
        <v>37</v>
      </c>
      <c r="N38" s="75">
        <f>LOOKUP(2, 1/('BA History'!$B:$B=A38), 'BA History'!$AI:$AI)</f>
        <v>0.49736842105263152</v>
      </c>
      <c r="O38" s="34">
        <f>SUMIFS('BA History'!H:H,'BA History'!B:B,A38)</f>
        <v>147</v>
      </c>
      <c r="P38" s="2">
        <f>SUMIFS('BA History'!G:G,'BA History'!B:B,A38)-O38</f>
        <v>160</v>
      </c>
      <c r="Q38" s="89">
        <f>LOOKUP(2, 1/('BA History'!$B:$B=A38), 'BA History'!$AJ:$AJ)</f>
        <v>0.4947368421052632</v>
      </c>
      <c r="R38" s="2">
        <f>COUNTIFS('BA History'!$B:$B,$A$38,'BA History'!K:K, 1)</f>
        <v>5</v>
      </c>
      <c r="S38" s="2">
        <f>COUNTIFS('BA History'!$B:$B,$A$38,'BA History'!L:L, 1)</f>
        <v>2</v>
      </c>
      <c r="T38" s="2">
        <f>COUNTIFS('BA History'!$B:$B,$A$38,'BA History'!M:M, 1)</f>
        <v>2</v>
      </c>
      <c r="U38" s="2">
        <f>COUNTIFS('BA History'!$B:$B,$A$38,'BA History'!N:N, 1)</f>
        <v>1</v>
      </c>
      <c r="V38" s="2">
        <f>COUNTIFS('BA History'!$B:$B,$A$38,'BA History'!O:O, 1)</f>
        <v>0</v>
      </c>
      <c r="W38" s="2">
        <f>COUNTIFS('BA History'!$B:$B,$A$38,'BA History'!P:P, 1)</f>
        <v>0</v>
      </c>
      <c r="X38" s="2">
        <f>COUNTIFS('BA History'!$B:$B,$A$38,'BA History'!Q:Q, 1)</f>
        <v>1</v>
      </c>
      <c r="Y38" s="2">
        <f>COUNTIFS('BA History'!$B:$B,$A$38,'BA History'!R:R, 1)</f>
        <v>0</v>
      </c>
      <c r="Z38" s="2">
        <f>COUNTIFS('BA History'!$B:$B,$A$38,'BA History'!S:S, 1)</f>
        <v>0</v>
      </c>
      <c r="AA38" s="2">
        <f>COUNTIFS('BA History'!$B:$B,$A$38,'BA History'!T:T, 1)</f>
        <v>0</v>
      </c>
      <c r="AB38" s="2">
        <f>COUNTIFS('BA History'!$B:$B,$A$38,'BA History'!U:U, 1)</f>
        <v>0</v>
      </c>
      <c r="AC38" s="2">
        <f>COUNTIFS('BA History'!$B:$B,$A$38,'BA History'!V:V, 1)</f>
        <v>0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4</v>
      </c>
      <c r="AG38" s="2">
        <f>COUNTIFS('BA History'!$B:$B,$A$38,'BA History'!Z:Z, 1)</f>
        <v>5</v>
      </c>
      <c r="AH38" s="2">
        <f>COUNTIFS('BA History'!$B:$B,$A38,'BA History'!AA:AA, 1)</f>
        <v>0</v>
      </c>
      <c r="AI38" s="2">
        <f>COUNTIFS('BA History'!$B:$B,$A$38,'BA History'!AB:AB, 1)</f>
        <v>0</v>
      </c>
      <c r="AJ38" s="2">
        <f>COUNTIFS('BA History'!$B:$B,$A$38,'BA History'!AC:AC, 1)</f>
        <v>4</v>
      </c>
      <c r="AK38" s="2">
        <f>COUNTIFS('BA History'!$B:$B,$A$38,'BA History'!AD:AD, 1)</f>
        <v>3</v>
      </c>
      <c r="AL38" s="2">
        <f>COUNTIFS('BA History'!$B:$B,$A$38,'BA History'!AE:AE, 1)</f>
        <v>3</v>
      </c>
      <c r="AM38" s="2">
        <f>COUNTIFS('BA History'!$B:$B,$A$38,'BA History'!AF:AF, 1)</f>
        <v>1</v>
      </c>
      <c r="AN38" s="2">
        <f>COUNTIFS('BA History'!$B:$B,$A$38,'BA History'!AG:AG, 1)</f>
        <v>3</v>
      </c>
    </row>
    <row r="39" spans="1:40" x14ac:dyDescent="0.25">
      <c r="A39" s="2" t="s">
        <v>2</v>
      </c>
      <c r="B39" s="1" t="s">
        <v>158</v>
      </c>
      <c r="C39" s="1">
        <v>1</v>
      </c>
      <c r="D39" s="1"/>
      <c r="E39" s="1"/>
      <c r="F39" s="34">
        <f>SUMIFS('BA History'!C:C,'BA History'!B:B,A39)</f>
        <v>966</v>
      </c>
      <c r="G39" s="66">
        <f>AVERAGEIFS('BA History'!C:C,'BA History'!B:B,A39)</f>
        <v>22.465116279069768</v>
      </c>
      <c r="H39" s="35">
        <f t="array" ref="H39">MAX(IF('BA History'!B:B=A39, 'BA History'!C:C))</f>
        <v>43</v>
      </c>
      <c r="I39" s="34">
        <f>COUNTIFS('BA History'!B:B,A39,'BA History'!D:D, 1)</f>
        <v>22</v>
      </c>
      <c r="J39" s="2">
        <f>COUNTIFS('BA History'!B:B,A39,'BA History'!D:D, 0)</f>
        <v>21</v>
      </c>
      <c r="K39" s="75">
        <f>LOOKUP(2, 1/('BA History'!$B:$B=A39), 'BA History'!$AK:$AK)</f>
        <v>0.51162790697674421</v>
      </c>
      <c r="L39" s="34">
        <f>SUMIFS('BA History'!F:F,'BA History'!B:B,A39)</f>
        <v>86</v>
      </c>
      <c r="M39" s="2">
        <f>SUMIFS('BA History'!E:E,'BA History'!B:B,A39)-L39</f>
        <v>81</v>
      </c>
      <c r="N39" s="75">
        <f>LOOKUP(2, 1/('BA History'!$B:$B=A39), 'BA History'!$AI:$AI)</f>
        <v>0.51697674418604644</v>
      </c>
      <c r="O39" s="34">
        <f>SUMIFS('BA History'!H:H,'BA History'!B:B,A39)</f>
        <v>364</v>
      </c>
      <c r="P39" s="2">
        <f>SUMIFS('BA History'!G:G,'BA History'!B:B,A39)-O39</f>
        <v>327</v>
      </c>
      <c r="Q39" s="89">
        <f>LOOKUP(2, 1/('BA History'!$B:$B=A39), 'BA History'!$AJ:$AJ)</f>
        <v>0.53488372093023251</v>
      </c>
      <c r="R39" s="2">
        <f>COUNTIFS('BA History'!$B:$B,$A$39,'BA History'!K:K, 1)</f>
        <v>5</v>
      </c>
      <c r="S39" s="2">
        <f>COUNTIFS('BA History'!$B:$B,$A$39,'BA History'!L:L, 1)</f>
        <v>2</v>
      </c>
      <c r="T39" s="2">
        <f>COUNTIFS('BA History'!$B:$B,$A$39,'BA History'!M:M, 1)</f>
        <v>5</v>
      </c>
      <c r="U39" s="2">
        <f>COUNTIFS('BA History'!$B:$B,$A$39,'BA History'!N:N, 1)</f>
        <v>9</v>
      </c>
      <c r="V39" s="2">
        <f>COUNTIFS('BA History'!$B:$B,$A$39,'BA History'!O:O, 1)</f>
        <v>1</v>
      </c>
      <c r="W39" s="2">
        <f>COUNTIFS('BA History'!$B:$B,$A$39,'BA History'!P:P, 1)</f>
        <v>1</v>
      </c>
      <c r="X39" s="2">
        <f>COUNTIFS('BA History'!$B:$B,$A$39,'BA History'!Q:Q, 1)</f>
        <v>2</v>
      </c>
      <c r="Y39" s="2">
        <f>COUNTIFS('BA History'!$B:$B,$A$39,'BA History'!R:R, 1)</f>
        <v>1</v>
      </c>
      <c r="Z39" s="2">
        <f>COUNTIFS('BA History'!$B:$B,$A$39,'BA History'!S:S, 1)</f>
        <v>2</v>
      </c>
      <c r="AA39" s="2">
        <f>COUNTIFS('BA History'!$B:$B,$A$39,'BA History'!T:T, 1)</f>
        <v>0</v>
      </c>
      <c r="AB39" s="2">
        <f>COUNTIFS('BA History'!$B:$B,$A$39,'BA History'!U:U, 1)</f>
        <v>3</v>
      </c>
      <c r="AC39" s="2">
        <f>COUNTIFS('BA History'!$B:$B,$A$39,'BA History'!V:V, 1)</f>
        <v>4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6</v>
      </c>
      <c r="AG39" s="2">
        <f>COUNTIFS('BA History'!$B:$B,$A$39,'BA History'!Z:Z, 1)</f>
        <v>9</v>
      </c>
      <c r="AH39" s="2">
        <f>COUNTIFS('BA History'!$B:$B,$A39,'BA History'!AA:AA, 1)</f>
        <v>1</v>
      </c>
      <c r="AI39" s="2">
        <f>COUNTIFS('BA History'!$B:$B,$A$39,'BA History'!AB:AB, 1)</f>
        <v>0</v>
      </c>
      <c r="AJ39" s="2">
        <f>COUNTIFS('BA History'!$B:$B,$A$39,'BA History'!AC:AC, 1)</f>
        <v>16</v>
      </c>
      <c r="AK39" s="2">
        <f>COUNTIFS('BA History'!$B:$B,$A$39,'BA History'!AD:AD, 1)</f>
        <v>5</v>
      </c>
      <c r="AL39" s="2">
        <f>COUNTIFS('BA History'!$B:$B,$A$39,'BA History'!AE:AE, 1)</f>
        <v>7</v>
      </c>
      <c r="AM39" s="2">
        <f>COUNTIFS('BA History'!$B:$B,$A$39,'BA History'!AF:AF, 1)</f>
        <v>0</v>
      </c>
      <c r="AN39" s="2">
        <f>COUNTIFS('BA History'!$B:$B,$A$39,'BA History'!AG:AG, 1)</f>
        <v>5</v>
      </c>
    </row>
    <row r="40" spans="1:40" x14ac:dyDescent="0.25">
      <c r="A40" s="2" t="s">
        <v>54</v>
      </c>
      <c r="B40" s="2" t="s">
        <v>79</v>
      </c>
      <c r="C40" s="2">
        <v>3</v>
      </c>
      <c r="D40" s="2">
        <v>1</v>
      </c>
      <c r="E40" s="2"/>
      <c r="F40" s="34">
        <f>SUMIFS('BA History'!C:C,'BA History'!B:B,A40)</f>
        <v>1422</v>
      </c>
      <c r="G40" s="66">
        <f>AVERAGEIFS('BA History'!C:C,'BA History'!B:B,A40)</f>
        <v>23.7</v>
      </c>
      <c r="H40" s="35">
        <f t="array" ref="H40">MAX(IF('BA History'!B:B=A40, 'BA History'!C:C))</f>
        <v>47</v>
      </c>
      <c r="I40" s="34">
        <f>COUNTIFS('BA History'!B:B,A40,'BA History'!D:D, 1)</f>
        <v>32</v>
      </c>
      <c r="J40" s="2">
        <f>COUNTIFS('BA History'!B:B,A40,'BA History'!D:D, 0)</f>
        <v>28</v>
      </c>
      <c r="K40" s="75">
        <f>LOOKUP(2, 1/('BA History'!$B:$B=A40), 'BA History'!$AK:$AK)</f>
        <v>0.53333333333333333</v>
      </c>
      <c r="L40" s="34">
        <f>SUMIFS('BA History'!F:F,'BA History'!B:B,A40)</f>
        <v>126</v>
      </c>
      <c r="M40" s="2">
        <f>SUMIFS('BA History'!E:E,'BA History'!B:B,A40)-L40</f>
        <v>115</v>
      </c>
      <c r="N40" s="75">
        <f>LOOKUP(2, 1/('BA History'!$B:$B=A40), 'BA History'!$AI:$AI)</f>
        <v>0.52366666666666672</v>
      </c>
      <c r="O40" s="34">
        <f>SUMIFS('BA History'!H:H,'BA History'!B:B,A40)</f>
        <v>504</v>
      </c>
      <c r="P40" s="2">
        <f>SUMIFS('BA History'!G:G,'BA History'!B:B,A40)-O40</f>
        <v>491</v>
      </c>
      <c r="Q40" s="89">
        <f>LOOKUP(2, 1/('BA History'!$B:$B=A40), 'BA History'!$AJ:$AJ)</f>
        <v>0.5073333333333333</v>
      </c>
      <c r="R40" s="2">
        <f>COUNTIFS('BA History'!$B:$B,$A$40,'BA History'!K:K, 1)</f>
        <v>6</v>
      </c>
      <c r="S40" s="2">
        <f>COUNTIFS('BA History'!$B:$B,$A$40,'BA History'!L:L, 1)</f>
        <v>10</v>
      </c>
      <c r="T40" s="2">
        <f>COUNTIFS('BA History'!$B:$B,$A$40,'BA History'!M:M, 1)</f>
        <v>9</v>
      </c>
      <c r="U40" s="2">
        <f>COUNTIFS('BA History'!$B:$B,$A$40,'BA History'!N:N, 1)</f>
        <v>10</v>
      </c>
      <c r="V40" s="2">
        <f>COUNTIFS('BA History'!$B:$B,$A$40,'BA History'!O:O, 1)</f>
        <v>1</v>
      </c>
      <c r="W40" s="2">
        <f>COUNTIFS('BA History'!$B:$B,$A$40,'BA History'!P:P, 1)</f>
        <v>1</v>
      </c>
      <c r="X40" s="2">
        <f>COUNTIFS('BA History'!$B:$B,$A$40,'BA History'!Q:Q, 1)</f>
        <v>4</v>
      </c>
      <c r="Y40" s="2">
        <f>COUNTIFS('BA History'!$B:$B,$A$40,'BA History'!R:R, 1)</f>
        <v>2</v>
      </c>
      <c r="Z40" s="2">
        <f>COUNTIFS('BA History'!$B:$B,$A$40,'BA History'!S:S, 1)</f>
        <v>1</v>
      </c>
      <c r="AA40" s="2">
        <f>COUNTIFS('BA History'!$B:$B,$A$40,'BA History'!T:T, 1)</f>
        <v>1</v>
      </c>
      <c r="AB40" s="2">
        <f>COUNTIFS('BA History'!$B:$B,$A$40,'BA History'!U:U, 1)</f>
        <v>4</v>
      </c>
      <c r="AC40" s="2">
        <f>COUNTIFS('BA History'!$B:$B,$A$40,'BA History'!V:V, 1)</f>
        <v>9</v>
      </c>
      <c r="AD40" s="2">
        <f>COUNTIFS('BA History'!$B:$B,$A$40,'BA History'!W:W, 1)</f>
        <v>1</v>
      </c>
      <c r="AE40" s="2">
        <f>COUNTIFS('BA History'!$B:$B,$A$40,'BA History'!X:X, 1)</f>
        <v>0</v>
      </c>
      <c r="AF40" s="2">
        <f>COUNTIFS('BA History'!$B:$B,$A$40,'BA History'!Y:Y, 1)</f>
        <v>9</v>
      </c>
      <c r="AG40" s="2">
        <f>COUNTIFS('BA History'!$B:$B,$A$40,'BA History'!Z:Z, 1)</f>
        <v>11</v>
      </c>
      <c r="AH40" s="2">
        <f>COUNTIFS('BA History'!$B:$B,$A40,'BA History'!AA:AA, 1)</f>
        <v>0</v>
      </c>
      <c r="AI40" s="2">
        <f>COUNTIFS('BA History'!$B:$B,$A$40,'BA History'!AB:AB, 1)</f>
        <v>3</v>
      </c>
      <c r="AJ40" s="2">
        <f>COUNTIFS('BA History'!$B:$B,$A$40,'BA History'!AC:AC, 1)</f>
        <v>15</v>
      </c>
      <c r="AK40" s="2">
        <f>COUNTIFS('BA History'!$B:$B,$A$40,'BA History'!AD:AD, 1)</f>
        <v>10</v>
      </c>
      <c r="AL40" s="2">
        <f>COUNTIFS('BA History'!$B:$B,$A$40,'BA History'!AE:AE, 1)</f>
        <v>10</v>
      </c>
      <c r="AM40" s="2">
        <f>COUNTIFS('BA History'!$B:$B,$A$40,'BA History'!AF:AF, 1)</f>
        <v>2</v>
      </c>
      <c r="AN40" s="2">
        <f>COUNTIFS('BA History'!$B:$B,$A$40,'BA History'!AG:AG, 1)</f>
        <v>7</v>
      </c>
    </row>
    <row r="41" spans="1:40" x14ac:dyDescent="0.25">
      <c r="A41" s="2" t="s">
        <v>5</v>
      </c>
      <c r="B41" s="1" t="s">
        <v>158</v>
      </c>
      <c r="C41" s="1">
        <v>1</v>
      </c>
      <c r="D41" s="1">
        <v>1</v>
      </c>
      <c r="E41" s="1"/>
      <c r="F41" s="34">
        <f>SUMIFS('BA History'!C:C,'BA History'!B:B,A41)</f>
        <v>662</v>
      </c>
      <c r="G41" s="66">
        <f>AVERAGEIFS('BA History'!C:C,'BA History'!B:B,A41)</f>
        <v>19.470588235294116</v>
      </c>
      <c r="H41" s="35">
        <f t="array" ref="H41">MAX(IF('BA History'!B:B=A41, 'BA History'!C:C))</f>
        <v>37</v>
      </c>
      <c r="I41" s="34">
        <f>COUNTIFS('BA History'!B:B,A41,'BA History'!D:D, 1)</f>
        <v>22</v>
      </c>
      <c r="J41" s="2">
        <f>COUNTIFS('BA History'!B:B,A41,'BA History'!D:D, 0)</f>
        <v>12</v>
      </c>
      <c r="K41" s="75">
        <f>LOOKUP(2, 1/('BA History'!$B:$B=A41), 'BA History'!$AK:$AK)</f>
        <v>0.6470588235294118</v>
      </c>
      <c r="L41" s="34">
        <f>SUMIFS('BA History'!F:F,'BA History'!B:B,A41)</f>
        <v>76</v>
      </c>
      <c r="M41" s="2">
        <f>SUMIFS('BA History'!E:E,'BA History'!B:B,A41)-L41</f>
        <v>58</v>
      </c>
      <c r="N41" s="75">
        <f>LOOKUP(2, 1/('BA History'!$B:$B=A41), 'BA History'!$AI:$AI)</f>
        <v>0.56970588235294106</v>
      </c>
      <c r="O41" s="34">
        <f>SUMIFS('BA History'!H:H,'BA History'!B:B,A41)</f>
        <v>296</v>
      </c>
      <c r="P41" s="2">
        <f>SUMIFS('BA History'!G:G,'BA History'!B:B,A41)-O41</f>
        <v>265</v>
      </c>
      <c r="Q41" s="89">
        <f>LOOKUP(2, 1/('BA History'!$B:$B=A41), 'BA History'!$AJ:$AJ)</f>
        <v>0.53264705882352958</v>
      </c>
      <c r="R41" s="2">
        <f>COUNTIFS('BA History'!$B:$B,$A$41,'BA History'!K:K, 1)</f>
        <v>3</v>
      </c>
      <c r="S41" s="2">
        <f>COUNTIFS('BA History'!$B:$B,$A$41,'BA History'!L:L, 1)</f>
        <v>7</v>
      </c>
      <c r="T41" s="2">
        <f>COUNTIFS('BA History'!$B:$B,$A$41,'BA History'!M:M, 1)</f>
        <v>6</v>
      </c>
      <c r="U41" s="2">
        <f>COUNTIFS('BA History'!$B:$B,$A$41,'BA History'!N:N, 1)</f>
        <v>10</v>
      </c>
      <c r="V41" s="2">
        <f>COUNTIFS('BA History'!$B:$B,$A$41,'BA History'!O:O, 1)</f>
        <v>2</v>
      </c>
      <c r="W41" s="2">
        <f>COUNTIFS('BA History'!$B:$B,$A$41,'BA History'!P:P, 1)</f>
        <v>0</v>
      </c>
      <c r="X41" s="2">
        <f>COUNTIFS('BA History'!$B:$B,$A$41,'BA History'!Q:Q, 1)</f>
        <v>2</v>
      </c>
      <c r="Y41" s="2">
        <f>COUNTIFS('BA History'!$B:$B,$A$41,'BA History'!R:R, 1)</f>
        <v>0</v>
      </c>
      <c r="Z41" s="2">
        <f>COUNTIFS('BA History'!$B:$B,$A$41,'BA History'!S:S, 1)</f>
        <v>0</v>
      </c>
      <c r="AA41" s="2">
        <f>COUNTIFS('BA History'!$B:$B,$A$41,'BA History'!T:T, 1)</f>
        <v>0</v>
      </c>
      <c r="AB41" s="2">
        <f>COUNTIFS('BA History'!$B:$B,$A$41,'BA History'!U:U, 1)</f>
        <v>1</v>
      </c>
      <c r="AC41" s="2">
        <f>COUNTIFS('BA History'!$B:$B,$A$41,'BA History'!V:V, 1)</f>
        <v>4</v>
      </c>
      <c r="AD41" s="2">
        <f>COUNTIFS('BA History'!$B:$B,$A$41,'BA History'!W:W, 1)</f>
        <v>1</v>
      </c>
      <c r="AE41" s="2">
        <f>COUNTIFS('BA History'!$B:$B,$A$41,'BA History'!X:X, 1)</f>
        <v>1</v>
      </c>
      <c r="AF41" s="2">
        <f>COUNTIFS('BA History'!$B:$B,$A$41,'BA History'!Y:Y, 1)</f>
        <v>5</v>
      </c>
      <c r="AG41" s="2">
        <f>COUNTIFS('BA History'!$B:$B,$A$41,'BA History'!Z:Z, 1)</f>
        <v>6</v>
      </c>
      <c r="AH41" s="2">
        <f>COUNTIFS('BA History'!$B:$B,$A41,'BA History'!AA:AA, 1)</f>
        <v>0</v>
      </c>
      <c r="AI41" s="2">
        <f>COUNTIFS('BA History'!$B:$B,$A$41,'BA History'!AB:AB, 1)</f>
        <v>4</v>
      </c>
      <c r="AJ41" s="2">
        <f>COUNTIFS('BA History'!$B:$B,$A$41,'BA History'!AC:AC, 1)</f>
        <v>10</v>
      </c>
      <c r="AK41" s="2">
        <f>COUNTIFS('BA History'!$B:$B,$A$41,'BA History'!AD:AD, 1)</f>
        <v>6</v>
      </c>
      <c r="AL41" s="2">
        <f>COUNTIFS('BA History'!$B:$B,$A$41,'BA History'!AE:AE, 1)</f>
        <v>5</v>
      </c>
      <c r="AM41" s="2">
        <f>COUNTIFS('BA History'!$B:$B,$A$41,'BA History'!AF:AF, 1)</f>
        <v>0</v>
      </c>
      <c r="AN41" s="2">
        <f>COUNTIFS('BA History'!$B:$B,$A$41,'BA History'!AG:AG, 1)</f>
        <v>3</v>
      </c>
    </row>
    <row r="42" spans="1:40" x14ac:dyDescent="0.25">
      <c r="A42" s="2" t="s">
        <v>38</v>
      </c>
      <c r="B42" s="2" t="s">
        <v>79</v>
      </c>
      <c r="C42" s="2"/>
      <c r="D42" s="2"/>
      <c r="E42" s="2"/>
      <c r="F42" s="34">
        <f>SUMIFS('BA History'!C:C,'BA History'!B:B,A42)</f>
        <v>23</v>
      </c>
      <c r="G42" s="66">
        <f>AVERAGEIFS('BA History'!C:C,'BA History'!B:B,A42)</f>
        <v>4.5999999999999996</v>
      </c>
      <c r="H42" s="35">
        <f t="array" ref="H42">MAX(IF('BA History'!B:B=A42, 'BA History'!C:C))</f>
        <v>11</v>
      </c>
      <c r="I42" s="34">
        <f>COUNTIFS('BA History'!B:B,A42,'BA History'!D:D, 1)</f>
        <v>2</v>
      </c>
      <c r="J42" s="2">
        <f>COUNTIFS('BA History'!B:B,A42,'BA History'!D:D, 0)</f>
        <v>3</v>
      </c>
      <c r="K42" s="75">
        <f>LOOKUP(2, 1/('BA History'!$B:$B=A42), 'BA History'!$AK:$AK)</f>
        <v>0.4</v>
      </c>
      <c r="L42" s="34">
        <f>SUMIFS('BA History'!F:F,'BA History'!B:B,A42)</f>
        <v>10</v>
      </c>
      <c r="M42" s="2">
        <f>SUMIFS('BA History'!E:E,'BA History'!B:B,A42)-L42</f>
        <v>12</v>
      </c>
      <c r="N42" s="75">
        <f>LOOKUP(2, 1/('BA History'!$B:$B=A42), 'BA History'!$AI:$AI)</f>
        <v>0.43</v>
      </c>
      <c r="O42" s="34">
        <f>SUMIFS('BA History'!H:H,'BA History'!B:B,A42)</f>
        <v>41</v>
      </c>
      <c r="P42" s="2">
        <f>SUMIFS('BA History'!G:G,'BA History'!B:B,A42)-O42</f>
        <v>49</v>
      </c>
      <c r="Q42" s="89">
        <f>LOOKUP(2, 1/('BA History'!$B:$B=A42), 'BA History'!$AJ:$AJ)</f>
        <v>0.43600000000000005</v>
      </c>
      <c r="R42" s="2">
        <f>COUNTIFS('BA History'!$B:$B,$A$42,'BA History'!K:K, 1)</f>
        <v>1</v>
      </c>
      <c r="S42" s="2">
        <f>COUNTIFS('BA History'!$B:$B,$A$42,'BA History'!L:L, 1)</f>
        <v>1</v>
      </c>
      <c r="T42" s="2">
        <f>COUNTIFS('BA History'!$B:$B,$A$42,'BA History'!M:M, 1)</f>
        <v>1</v>
      </c>
      <c r="U42" s="2">
        <f>COUNTIFS('BA History'!$B:$B,$A$42,'BA History'!N:N, 1)</f>
        <v>0</v>
      </c>
      <c r="V42" s="2">
        <f>COUNTIFS('BA History'!$B:$B,$A$42,'BA History'!O:O, 1)</f>
        <v>1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0</v>
      </c>
      <c r="AA42" s="2">
        <f>COUNTIFS('BA History'!$B:$B,$A$42,'BA History'!T:T, 1)</f>
        <v>0</v>
      </c>
      <c r="AB42" s="2">
        <f>COUNTIFS('BA History'!$B:$B,$A$42,'BA History'!U:U, 1)</f>
        <v>1</v>
      </c>
      <c r="AC42" s="2">
        <f>COUNTIFS('BA History'!$B:$B,$A$42,'BA History'!V:V, 1)</f>
        <v>2</v>
      </c>
      <c r="AD42" s="2">
        <f>COUNTIFS('BA History'!$B:$B,$A$42,'BA History'!W:W, 1)</f>
        <v>0</v>
      </c>
      <c r="AE42" s="2">
        <f>COUNTIFS('BA History'!$B:$B,$A$42,'BA History'!X:X, 1)</f>
        <v>0</v>
      </c>
      <c r="AF42" s="2">
        <f>COUNTIFS('BA History'!$B:$B,$A$42,'BA History'!Y:Y, 1)</f>
        <v>1</v>
      </c>
      <c r="AG42" s="2">
        <f>COUNTIFS('BA History'!$B:$B,$A$42,'BA History'!Z:Z, 1)</f>
        <v>0</v>
      </c>
      <c r="AH42" s="2">
        <f>COUNTIFS('BA History'!$B:$B,$A42,'BA History'!AA:AA, 1)</f>
        <v>0</v>
      </c>
      <c r="AI42" s="2">
        <f>COUNTIFS('BA History'!$B:$B,$A$42,'BA History'!AB:AB, 1)</f>
        <v>0</v>
      </c>
      <c r="AJ42" s="2">
        <f>COUNTIFS('BA History'!$B:$B,$A$42,'BA History'!AC:AC, 1)</f>
        <v>1</v>
      </c>
      <c r="AK42" s="2">
        <f>COUNTIFS('BA History'!$B:$B,$A$42,'BA History'!AD:AD, 1)</f>
        <v>0</v>
      </c>
      <c r="AL42" s="2">
        <f>COUNTIFS('BA History'!$B:$B,$A$42,'BA History'!AE:AE, 1)</f>
        <v>1</v>
      </c>
      <c r="AM42" s="2">
        <f>COUNTIFS('BA History'!$B:$B,$A$42,'BA History'!AF:AF, 1)</f>
        <v>0</v>
      </c>
      <c r="AN42" s="2">
        <f>COUNTIFS('BA History'!$B:$B,$A$42,'BA History'!AG:AG, 1)</f>
        <v>0</v>
      </c>
    </row>
    <row r="43" spans="1:40" x14ac:dyDescent="0.25">
      <c r="A43" s="2" t="s">
        <v>141</v>
      </c>
      <c r="B43" s="2" t="s">
        <v>79</v>
      </c>
      <c r="C43" s="2"/>
      <c r="D43" s="2"/>
      <c r="E43" s="2"/>
      <c r="F43" s="34">
        <f>SUMIFS('BA History'!C:C,'BA History'!B:B,A43)</f>
        <v>233</v>
      </c>
      <c r="G43" s="66">
        <f>AVERAGEIFS('BA History'!C:C,'BA History'!B:B,A43)</f>
        <v>13.705882352941176</v>
      </c>
      <c r="H43" s="35">
        <f t="array" ref="H43">MAX(IF('BA History'!B:B=A43, 'BA History'!C:C))</f>
        <v>22</v>
      </c>
      <c r="I43" s="34">
        <f>COUNTIFS('BA History'!B:B,A43,'BA History'!D:D, 1)</f>
        <v>10</v>
      </c>
      <c r="J43" s="2">
        <f>COUNTIFS('BA History'!B:B,A43,'BA History'!D:D, 0)</f>
        <v>7</v>
      </c>
      <c r="K43" s="75">
        <f>LOOKUP(2, 1/('BA History'!$B:$B=A43), 'BA History'!$AK:$AK)</f>
        <v>0.58823529411764708</v>
      </c>
      <c r="L43" s="34">
        <f>SUMIFS('BA History'!F:F,'BA History'!B:B,A43)</f>
        <v>33</v>
      </c>
      <c r="M43" s="2">
        <f>SUMIFS('BA History'!E:E,'BA History'!B:B,A43)-L43</f>
        <v>31</v>
      </c>
      <c r="N43" s="75">
        <f>LOOKUP(2, 1/('BA History'!$B:$B=A43), 'BA History'!$AI:$AI)</f>
        <v>0.50294117647058822</v>
      </c>
      <c r="O43" s="34">
        <f>SUMIFS('BA History'!H:H,'BA History'!B:B,A43)</f>
        <v>137</v>
      </c>
      <c r="P43" s="2">
        <f>SUMIFS('BA History'!G:G,'BA History'!B:B,A43)-O43</f>
        <v>129</v>
      </c>
      <c r="Q43" s="89">
        <f>LOOKUP(2, 1/('BA History'!$B:$B=A43), 'BA History'!$AJ:$AJ)</f>
        <v>0.51647058823529424</v>
      </c>
      <c r="R43" s="2">
        <f>COUNTIFS('BA History'!$B:$B,$A$43,'BA History'!K:K, 1)</f>
        <v>3</v>
      </c>
      <c r="S43" s="2">
        <f>COUNTIFS('BA History'!$B:$B,$A$43,'BA History'!L:L, 1)</f>
        <v>2</v>
      </c>
      <c r="T43" s="2">
        <f>COUNTIFS('BA History'!$B:$B,$A$43,'BA History'!M:M, 1)</f>
        <v>2</v>
      </c>
      <c r="U43" s="2">
        <f>COUNTIFS('BA History'!$B:$B,$A$43,'BA History'!N:N, 1)</f>
        <v>4</v>
      </c>
      <c r="V43" s="2">
        <f>COUNTIFS('BA History'!$B:$B,$A$43,'BA History'!O:O, 1)</f>
        <v>0</v>
      </c>
      <c r="W43" s="2">
        <f>COUNTIFS('BA History'!$B:$B,$A$43,'BA History'!P:P, 1)</f>
        <v>0</v>
      </c>
      <c r="X43" s="2">
        <f>COUNTIFS('BA History'!$B:$B,$A$43,'BA History'!Q:Q, 1)</f>
        <v>2</v>
      </c>
      <c r="Y43" s="2">
        <f>COUNTIFS('BA History'!$B:$B,$A$43,'BA History'!R:R, 1)</f>
        <v>0</v>
      </c>
      <c r="Z43" s="2">
        <f>COUNTIFS('BA History'!$B:$B,$A$43,'BA History'!S:S, 1)</f>
        <v>1</v>
      </c>
      <c r="AA43" s="2">
        <f>COUNTIFS('BA History'!$B:$B,$A$43,'BA History'!T:T, 1)</f>
        <v>0</v>
      </c>
      <c r="AB43" s="2">
        <f>COUNTIFS('BA History'!$B:$B,$A$43,'BA History'!U:U, 1)</f>
        <v>0</v>
      </c>
      <c r="AC43" s="2">
        <f>COUNTIFS('BA History'!$B:$B,$A$43,'BA History'!V:V, 1)</f>
        <v>2</v>
      </c>
      <c r="AD43" s="2">
        <f>COUNTIFS('BA History'!$B:$B,$A$43,'BA History'!W:W, 1)</f>
        <v>1</v>
      </c>
      <c r="AE43" s="2">
        <f>COUNTIFS('BA History'!$B:$B,$A$43,'BA History'!X:X, 1)</f>
        <v>0</v>
      </c>
      <c r="AF43" s="2">
        <f>COUNTIFS('BA History'!$B:$B,$A$43,'BA History'!Y:Y, 1)</f>
        <v>1</v>
      </c>
      <c r="AG43" s="2">
        <f>COUNTIFS('BA History'!$B:$B,$A$43,'BA History'!Z:Z, 1)</f>
        <v>2</v>
      </c>
      <c r="AH43" s="2">
        <f>COUNTIFS('BA History'!$B:$B,$A43,'BA History'!AA:AA, 1)</f>
        <v>0</v>
      </c>
      <c r="AI43" s="2">
        <f>COUNTIFS('BA History'!$B:$B,$A$43,'BA History'!AB:AB, 1)</f>
        <v>0</v>
      </c>
      <c r="AJ43" s="2">
        <f>COUNTIFS('BA History'!$B:$B,$A$43,'BA History'!AC:AC, 1)</f>
        <v>5</v>
      </c>
      <c r="AK43" s="2">
        <f>COUNTIFS('BA History'!$B:$B,$A$43,'BA History'!AD:AD, 1)</f>
        <v>2</v>
      </c>
      <c r="AL43" s="2">
        <f>COUNTIFS('BA History'!$B:$B,$A$43,'BA History'!AE:AE, 1)</f>
        <v>4</v>
      </c>
      <c r="AM43" s="2">
        <f>COUNTIFS('BA History'!$B:$B,$A$43,'BA History'!AF:AF, 1)</f>
        <v>0</v>
      </c>
      <c r="AN43" s="2">
        <f>COUNTIFS('BA History'!$B:$B,$A$43,'BA History'!AG:AG, 1)</f>
        <v>2</v>
      </c>
    </row>
    <row r="44" spans="1:40" x14ac:dyDescent="0.25">
      <c r="A44" s="2" t="s">
        <v>153</v>
      </c>
      <c r="B44" s="2" t="s">
        <v>79</v>
      </c>
      <c r="C44" s="2"/>
      <c r="D44" s="2"/>
      <c r="E44" s="2"/>
      <c r="F44" s="34">
        <f>SUMIFS('BA History'!C:C,'BA History'!B:B,A44)</f>
        <v>57</v>
      </c>
      <c r="G44" s="66">
        <f>AVERAGEIFS('BA History'!C:C,'BA History'!B:B,A44)</f>
        <v>11.4</v>
      </c>
      <c r="H44" s="35">
        <f t="array" ref="H44">MAX(IF('BA History'!B:B=A44, 'BA History'!C:C))</f>
        <v>14</v>
      </c>
      <c r="I44" s="34">
        <f>COUNTIFS('BA History'!B:B,A44,'BA History'!D:D, 1)</f>
        <v>3</v>
      </c>
      <c r="J44" s="2">
        <f>COUNTIFS('BA History'!B:B,A44,'BA History'!D:D, 0)</f>
        <v>2</v>
      </c>
      <c r="K44" s="75">
        <f>LOOKUP(2, 1/('BA History'!$B:$B=A44), 'BA History'!$AK:$AK)</f>
        <v>0.6</v>
      </c>
      <c r="L44" s="34">
        <f>SUMIFS('BA History'!F:F,'BA History'!B:B,A44)</f>
        <v>10</v>
      </c>
      <c r="M44" s="2">
        <f>SUMIFS('BA History'!E:E,'BA History'!B:B,A44)-L44</f>
        <v>11</v>
      </c>
      <c r="N44" s="75">
        <f>LOOKUP(2, 1/('BA History'!$B:$B=A44), 'BA History'!$AI:$AI)</f>
        <v>0.44000000000000006</v>
      </c>
      <c r="O44" s="34">
        <f>SUMIFS('BA History'!H:H,'BA History'!B:B,A44)</f>
        <v>44</v>
      </c>
      <c r="P44" s="2">
        <f>SUMIFS('BA History'!G:G,'BA History'!B:B,A44)-O44</f>
        <v>46</v>
      </c>
      <c r="Q44" s="89">
        <f>LOOKUP(2, 1/('BA History'!$B:$B=A44), 'BA History'!$AJ:$AJ)</f>
        <v>0.44799999999999995</v>
      </c>
      <c r="R44" s="2">
        <f>COUNTIFS('BA History'!$B:$B,$A$44,'BA History'!K:K, 1)</f>
        <v>0</v>
      </c>
      <c r="S44" s="2">
        <f>COUNTIFS('BA History'!$B:$B,$A$44,'BA History'!L:L, 1)</f>
        <v>1</v>
      </c>
      <c r="T44" s="2">
        <f>COUNTIFS('BA History'!$B:$B,$A$44,'BA History'!M:M, 1)</f>
        <v>0</v>
      </c>
      <c r="U44" s="2">
        <f>COUNTIFS('BA History'!$B:$B,$A$44,'BA History'!N:N, 1)</f>
        <v>1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0</v>
      </c>
      <c r="Y44" s="2">
        <f>COUNTIFS('BA History'!$B:$B,$A$44,'BA History'!R:R, 1)</f>
        <v>0</v>
      </c>
      <c r="Z44" s="2">
        <f>COUNTIFS('BA History'!$B:$B,$A$44,'BA History'!S:S, 1)</f>
        <v>1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1</v>
      </c>
      <c r="AD44" s="2">
        <f>COUNTIFS('BA History'!$B:$B,$A$44,'BA History'!W:W, 1)</f>
        <v>1</v>
      </c>
      <c r="AE44" s="2">
        <f>COUNTIFS('BA History'!$B:$B,$A$44,'BA History'!X:X, 1)</f>
        <v>0</v>
      </c>
      <c r="AF44" s="2">
        <f>COUNTIFS('BA History'!$B:$B,$A$44,'BA History'!Y:Y, 1)</f>
        <v>0</v>
      </c>
      <c r="AG44" s="2">
        <f>COUNTIFS('BA History'!$B:$B,$A$44,'BA History'!Z:Z, 1)</f>
        <v>2</v>
      </c>
      <c r="AH44" s="2">
        <f>COUNTIFS('BA History'!$B:$B,$A44,'BA History'!AA:AA, 1)</f>
        <v>0</v>
      </c>
      <c r="AI44" s="2">
        <f>COUNTIFS('BA History'!$B:$B,$A$44,'BA History'!AB:AB, 1)</f>
        <v>0</v>
      </c>
      <c r="AJ44" s="2">
        <f>COUNTIFS('BA History'!$B:$B,$A$44,'BA History'!AC:AC, 1)</f>
        <v>3</v>
      </c>
      <c r="AK44" s="2">
        <f>COUNTIFS('BA History'!$B:$B,$A$44,'BA History'!AD:AD, 1)</f>
        <v>0</v>
      </c>
      <c r="AL44" s="2">
        <f>COUNTIFS('BA History'!$B:$B,$A$44,'BA History'!AE:AE, 1)</f>
        <v>0</v>
      </c>
      <c r="AM44" s="2">
        <f>COUNTIFS('BA History'!$B:$B,$A$44,'BA History'!AF:AF, 1)</f>
        <v>0</v>
      </c>
      <c r="AN44" s="2">
        <f>COUNTIFS('BA History'!$B:$B,$A$44,'BA History'!AG:AG, 1)</f>
        <v>0</v>
      </c>
    </row>
    <row r="45" spans="1:40" x14ac:dyDescent="0.25">
      <c r="A45" s="2" t="s">
        <v>40</v>
      </c>
      <c r="B45" s="2" t="s">
        <v>79</v>
      </c>
      <c r="C45" s="2"/>
      <c r="D45" s="2"/>
      <c r="E45" s="2"/>
      <c r="F45" s="34">
        <f>SUMIFS('BA History'!C:C,'BA History'!B:B,A45)</f>
        <v>1220</v>
      </c>
      <c r="G45" s="66">
        <f>AVERAGEIFS('BA History'!C:C,'BA History'!B:B,A45)</f>
        <v>18.484848484848484</v>
      </c>
      <c r="H45" s="35">
        <f t="array" ref="H45">MAX(IF('BA History'!B:B=A45, 'BA History'!C:C))</f>
        <v>37</v>
      </c>
      <c r="I45" s="34">
        <f>COUNTIFS('BA History'!B:B,A45,'BA History'!D:D, 1)</f>
        <v>27</v>
      </c>
      <c r="J45" s="2">
        <f>COUNTIFS('BA History'!B:B,A45,'BA History'!D:D, 0)</f>
        <v>39</v>
      </c>
      <c r="K45" s="75">
        <f>LOOKUP(2, 1/('BA History'!$B:$B=A45), 'BA History'!$AK:$AK)</f>
        <v>0.40909090909090912</v>
      </c>
      <c r="L45" s="34">
        <f>SUMIFS('BA History'!F:F,'BA History'!B:B,A45)</f>
        <v>126</v>
      </c>
      <c r="M45" s="2">
        <f>SUMIFS('BA History'!E:E,'BA History'!B:B,A45)-L45</f>
        <v>144</v>
      </c>
      <c r="N45" s="75">
        <f>LOOKUP(2, 1/('BA History'!$B:$B=A45), 'BA History'!$AI:$AI)</f>
        <v>0.46666666666666651</v>
      </c>
      <c r="O45" s="34">
        <f>SUMIFS('BA History'!H:H,'BA History'!B:B,A45)</f>
        <v>536</v>
      </c>
      <c r="P45" s="2">
        <f>SUMIFS('BA History'!G:G,'BA History'!B:B,A45)-O45</f>
        <v>576</v>
      </c>
      <c r="Q45" s="89">
        <f>LOOKUP(2, 1/('BA History'!$B:$B=A45), 'BA History'!$AJ:$AJ)</f>
        <v>0.47772727272727278</v>
      </c>
      <c r="R45" s="2">
        <f>COUNTIFS('BA History'!$B:$B,$A$45,'BA History'!K:K, 1)</f>
        <v>5</v>
      </c>
      <c r="S45" s="2">
        <f>COUNTIFS('BA History'!$B:$B,$A$45,'BA History'!L:L, 1)</f>
        <v>10</v>
      </c>
      <c r="T45" s="2">
        <f>COUNTIFS('BA History'!$B:$B,$A$45,'BA History'!M:M, 1)</f>
        <v>14</v>
      </c>
      <c r="U45" s="2">
        <f>COUNTIFS('BA History'!$B:$B,$A$45,'BA History'!N:N, 1)</f>
        <v>15</v>
      </c>
      <c r="V45" s="2">
        <f>COUNTIFS('BA History'!$B:$B,$A$45,'BA History'!O:O, 1)</f>
        <v>4</v>
      </c>
      <c r="W45" s="2">
        <f>COUNTIFS('BA History'!$B:$B,$A$45,'BA History'!P:P, 1)</f>
        <v>1</v>
      </c>
      <c r="X45" s="2">
        <f>COUNTIFS('BA History'!$B:$B,$A$45,'BA History'!Q:Q, 1)</f>
        <v>4</v>
      </c>
      <c r="Y45" s="2">
        <f>COUNTIFS('BA History'!$B:$B,$A$45,'BA History'!R:R, 1)</f>
        <v>3</v>
      </c>
      <c r="Z45" s="2">
        <f>COUNTIFS('BA History'!$B:$B,$A$45,'BA History'!S:S, 1)</f>
        <v>2</v>
      </c>
      <c r="AA45" s="2">
        <f>COUNTIFS('BA History'!$B:$B,$A$45,'BA History'!T:T, 1)</f>
        <v>0</v>
      </c>
      <c r="AB45" s="2">
        <f>COUNTIFS('BA History'!$B:$B,$A$45,'BA History'!U:U, 1)</f>
        <v>4</v>
      </c>
      <c r="AC45" s="2">
        <f>COUNTIFS('BA History'!$B:$B,$A$45,'BA History'!V:V, 1)</f>
        <v>7</v>
      </c>
      <c r="AD45" s="2">
        <f>COUNTIFS('BA History'!$B:$B,$A$45,'BA History'!W:W, 1)</f>
        <v>2</v>
      </c>
      <c r="AE45" s="2">
        <f>COUNTIFS('BA History'!$B:$B,$A$45,'BA History'!X:X, 1)</f>
        <v>1</v>
      </c>
      <c r="AF45" s="2">
        <f>COUNTIFS('BA History'!$B:$B,$A$45,'BA History'!Y:Y, 1)</f>
        <v>6</v>
      </c>
      <c r="AG45" s="2">
        <f>COUNTIFS('BA History'!$B:$B,$A$45,'BA History'!Z:Z, 1)</f>
        <v>11</v>
      </c>
      <c r="AH45" s="2">
        <f>COUNTIFS('BA History'!$B:$B,$A45,'BA History'!AA:AA, 1)</f>
        <v>0</v>
      </c>
      <c r="AI45" s="2">
        <f>COUNTIFS('BA History'!$B:$B,$A$45,'BA History'!AB:AB, 1)</f>
        <v>1</v>
      </c>
      <c r="AJ45" s="2">
        <f>COUNTIFS('BA History'!$B:$B,$A$45,'BA History'!AC:AC, 1)</f>
        <v>6</v>
      </c>
      <c r="AK45" s="2">
        <f>COUNTIFS('BA History'!$B:$B,$A$45,'BA History'!AD:AD, 1)</f>
        <v>7</v>
      </c>
      <c r="AL45" s="2">
        <f>COUNTIFS('BA History'!$B:$B,$A$45,'BA History'!AE:AE, 1)</f>
        <v>16</v>
      </c>
      <c r="AM45" s="2">
        <f>COUNTIFS('BA History'!$B:$B,$A$45,'BA History'!AF:AF, 1)</f>
        <v>0</v>
      </c>
      <c r="AN45" s="2">
        <f>COUNTIFS('BA History'!$B:$B,$A$45,'BA History'!AG:AG, 1)</f>
        <v>7</v>
      </c>
    </row>
    <row r="46" spans="1:40" x14ac:dyDescent="0.25">
      <c r="A46" s="2" t="s">
        <v>166</v>
      </c>
      <c r="B46" s="2" t="s">
        <v>79</v>
      </c>
      <c r="C46" s="2">
        <v>1</v>
      </c>
      <c r="D46" s="2"/>
      <c r="E46" s="2"/>
      <c r="F46" s="34">
        <f>SUMIFS('BA History'!C:C,'BA History'!B:B,A46)</f>
        <v>40</v>
      </c>
      <c r="G46" s="66">
        <f>AVERAGEIFS('BA History'!C:C,'BA History'!B:B,A46)</f>
        <v>10</v>
      </c>
      <c r="H46" s="35">
        <f t="array" ref="H46">MAX(IF('BA History'!B:B=A46, 'BA History'!C:C))</f>
        <v>21</v>
      </c>
      <c r="I46" s="34">
        <f>COUNTIFS('BA History'!B:B,A46,'BA History'!D:D, 1)</f>
        <v>3</v>
      </c>
      <c r="J46" s="2">
        <f>COUNTIFS('BA History'!B:B,A46,'BA History'!D:D, 0)</f>
        <v>1</v>
      </c>
      <c r="K46" s="75">
        <f>LOOKUP(2, 1/('BA History'!$B:$B=A46), 'BA History'!$AK:$AK)</f>
        <v>0.75</v>
      </c>
      <c r="L46" s="34">
        <f>SUMIFS('BA History'!F:F,'BA History'!B:B,A46)</f>
        <v>9</v>
      </c>
      <c r="M46" s="2">
        <f>SUMIFS('BA History'!E:E,'BA History'!B:B,A46)-L46</f>
        <v>8</v>
      </c>
      <c r="N46" s="75">
        <f>LOOKUP(2, 1/('BA History'!$B:$B=A46), 'BA History'!$AI:$AI)</f>
        <v>0.48750000000000004</v>
      </c>
      <c r="O46" s="34">
        <f>SUMIFS('BA History'!H:H,'BA History'!B:B,A46)</f>
        <v>38</v>
      </c>
      <c r="P46" s="2">
        <f>SUMIFS('BA History'!G:G,'BA History'!B:B,A46)-O46</f>
        <v>35</v>
      </c>
      <c r="Q46" s="89">
        <f>LOOKUP(2, 1/('BA History'!$B:$B=A46), 'BA History'!$AJ:$AJ)</f>
        <v>0.49249999999999999</v>
      </c>
      <c r="R46" s="2">
        <f>COUNTIFS('BA History'!$B:$B,$A$46,'BA History'!K:K, 1)</f>
        <v>1</v>
      </c>
      <c r="S46" s="2">
        <f>COUNTIFS('BA History'!$B:$B,$A$46,'BA History'!L:L, 1)</f>
        <v>0</v>
      </c>
      <c r="T46" s="2">
        <f>COUNTIFS('BA History'!$B:$B,$A$46,'BA History'!M:M, 1)</f>
        <v>1</v>
      </c>
      <c r="U46" s="2">
        <f>COUNTIFS('BA History'!$B:$B,$A$46,'BA History'!N:N, 1)</f>
        <v>1</v>
      </c>
      <c r="V46" s="2">
        <f>COUNTIFS('BA History'!$B:$B,$A$46,'BA History'!O:O, 1)</f>
        <v>0</v>
      </c>
      <c r="W46" s="2">
        <f>COUNTIFS('BA History'!$B:$B,$A$46,'BA History'!P:P, 1)</f>
        <v>0</v>
      </c>
      <c r="X46" s="2">
        <f>COUNTIFS('BA History'!$B:$B,$A$46,'BA History'!Q:Q, 1)</f>
        <v>0</v>
      </c>
      <c r="Y46" s="2">
        <f>COUNTIFS('BA History'!$B:$B,$A$46,'BA History'!R:R, 1)</f>
        <v>0</v>
      </c>
      <c r="Z46" s="2">
        <f>COUNTIFS('BA History'!$B:$B,$A$46,'BA History'!S:S, 1)</f>
        <v>0</v>
      </c>
      <c r="AA46" s="2">
        <f>COUNTIFS('BA History'!$B:$B,$A$46,'BA History'!T:T, 1)</f>
        <v>0</v>
      </c>
      <c r="AB46" s="2">
        <f>COUNTIFS('BA History'!$B:$B,$A$46,'BA History'!U:U, 1)</f>
        <v>0</v>
      </c>
      <c r="AC46" s="2">
        <f>COUNTIFS('BA History'!$B:$B,$A$46,'BA History'!V:V, 1)</f>
        <v>0</v>
      </c>
      <c r="AD46" s="2">
        <f>COUNTIFS('BA History'!$B:$B,$A$46,'BA History'!W:W, 1)</f>
        <v>0</v>
      </c>
      <c r="AE46" s="2">
        <f>COUNTIFS('BA History'!$B:$B,$A$46,'BA History'!X:X, 1)</f>
        <v>0</v>
      </c>
      <c r="AF46" s="2">
        <f>COUNTIFS('BA History'!$B:$B,$A$46,'BA History'!Y:Y, 1)</f>
        <v>1</v>
      </c>
      <c r="AG46" s="2">
        <f>COUNTIFS('BA History'!$B:$B,$A$46,'BA History'!Z:Z, 1)</f>
        <v>2</v>
      </c>
      <c r="AH46" s="2">
        <f>COUNTIFS('BA History'!$B:$B,$A46,'BA History'!AA:AA, 1)</f>
        <v>0</v>
      </c>
      <c r="AI46" s="2">
        <f>COUNTIFS('BA History'!$B:$B,$A$46,'BA History'!AB:AB, 1)</f>
        <v>0</v>
      </c>
      <c r="AJ46" s="2">
        <f>COUNTIFS('BA History'!$B:$B,$A$46,'BA History'!AC:AC, 1)</f>
        <v>1</v>
      </c>
      <c r="AK46" s="2">
        <f>COUNTIFS('BA History'!$B:$B,$A$46,'BA History'!AD:AD, 1)</f>
        <v>0</v>
      </c>
      <c r="AL46" s="2">
        <f>COUNTIFS('BA History'!$B:$B,$A$46,'BA History'!AE:AE, 1)</f>
        <v>1</v>
      </c>
      <c r="AM46" s="2">
        <f>COUNTIFS('BA History'!$B:$B,$A$46,'BA History'!AF:AF, 1)</f>
        <v>0</v>
      </c>
      <c r="AN46" s="2">
        <f>COUNTIFS('BA History'!$B:$B,$A$46,'BA History'!AG:AG, 1)</f>
        <v>1</v>
      </c>
    </row>
    <row r="47" spans="1:40" x14ac:dyDescent="0.25">
      <c r="A47" s="2" t="s">
        <v>147</v>
      </c>
      <c r="B47" s="2" t="s">
        <v>79</v>
      </c>
      <c r="C47" s="2"/>
      <c r="D47" s="2"/>
      <c r="E47" s="2"/>
      <c r="F47" s="34">
        <f>SUMIFS('BA History'!C:C,'BA History'!B:B,A47)</f>
        <v>380</v>
      </c>
      <c r="G47" s="66">
        <f>AVERAGEIFS('BA History'!C:C,'BA History'!B:B,A47)</f>
        <v>12.666666666666666</v>
      </c>
      <c r="H47" s="35">
        <f t="array" ref="H47">MAX(IF('BA History'!B:B=A47, 'BA History'!C:C))</f>
        <v>33</v>
      </c>
      <c r="I47" s="34">
        <f>COUNTIFS('BA History'!B:B,A47,'BA History'!D:D, 1)</f>
        <v>15</v>
      </c>
      <c r="J47" s="2">
        <f>COUNTIFS('BA History'!B:B,A47,'BA History'!D:D, 0)</f>
        <v>15</v>
      </c>
      <c r="K47" s="75">
        <f>LOOKUP(2, 1/('BA History'!$B:$B=A47), 'BA History'!$AK:$AK)</f>
        <v>0.5</v>
      </c>
      <c r="L47" s="34">
        <f>SUMIFS('BA History'!F:F,'BA History'!B:B,A47)</f>
        <v>63</v>
      </c>
      <c r="M47" s="2">
        <f>SUMIFS('BA History'!E:E,'BA History'!B:B,A47)-L47</f>
        <v>57</v>
      </c>
      <c r="N47" s="75">
        <f>LOOKUP(2, 1/('BA History'!$B:$B=A47), 'BA History'!$AI:$AI)</f>
        <v>0.55000000000000004</v>
      </c>
      <c r="O47" s="34">
        <f>SUMIFS('BA History'!H:H,'BA History'!B:B,A47)</f>
        <v>254</v>
      </c>
      <c r="P47" s="2">
        <f>SUMIFS('BA History'!G:G,'BA History'!B:B,A47)-O47</f>
        <v>241</v>
      </c>
      <c r="Q47" s="89">
        <f>LOOKUP(2, 1/('BA History'!$B:$B=A47), 'BA History'!$AJ:$AJ)</f>
        <v>0.52833333333333343</v>
      </c>
      <c r="R47" s="2">
        <f>COUNTIFS('BA History'!$B:$B,$A$47,'BA History'!K:K, 1)</f>
        <v>4</v>
      </c>
      <c r="S47" s="2">
        <f>COUNTIFS('BA History'!$B:$B,$A$47,'BA History'!L:L, 1)</f>
        <v>5</v>
      </c>
      <c r="T47" s="2">
        <f>COUNTIFS('BA History'!$B:$B,$A$47,'BA History'!M:M, 1)</f>
        <v>4</v>
      </c>
      <c r="U47" s="2">
        <f>COUNTIFS('BA History'!$B:$B,$A$47,'BA History'!N:N, 1)</f>
        <v>7</v>
      </c>
      <c r="V47" s="2">
        <f>COUNTIFS('BA History'!$B:$B,$A$47,'BA History'!O:O, 1)</f>
        <v>1</v>
      </c>
      <c r="W47" s="2">
        <f>COUNTIFS('BA History'!$B:$B,$A$47,'BA History'!P:P, 1)</f>
        <v>1</v>
      </c>
      <c r="X47" s="2">
        <f>COUNTIFS('BA History'!$B:$B,$A$47,'BA History'!Q:Q, 1)</f>
        <v>1</v>
      </c>
      <c r="Y47" s="2">
        <f>COUNTIFS('BA History'!$B:$B,$A$47,'BA History'!R:R, 1)</f>
        <v>1</v>
      </c>
      <c r="Z47" s="2">
        <f>COUNTIFS('BA History'!$B:$B,$A$47,'BA History'!S:S, 1)</f>
        <v>1</v>
      </c>
      <c r="AA47" s="2">
        <f>COUNTIFS('BA History'!$B:$B,$A$47,'BA History'!T:T, 1)</f>
        <v>0</v>
      </c>
      <c r="AB47" s="2">
        <f>COUNTIFS('BA History'!$B:$B,$A$47,'BA History'!U:U, 1)</f>
        <v>0</v>
      </c>
      <c r="AC47" s="2">
        <f>COUNTIFS('BA History'!$B:$B,$A$47,'BA History'!V:V, 1)</f>
        <v>2</v>
      </c>
      <c r="AD47" s="2">
        <f>COUNTIFS('BA History'!$B:$B,$A$47,'BA History'!W:W, 1)</f>
        <v>1</v>
      </c>
      <c r="AE47" s="2">
        <f>COUNTIFS('BA History'!$B:$B,$A$47,'BA History'!X:X, 1)</f>
        <v>0</v>
      </c>
      <c r="AF47" s="2">
        <f>COUNTIFS('BA History'!$B:$B,$A$47,'BA History'!Y:Y, 1)</f>
        <v>6</v>
      </c>
      <c r="AG47" s="2">
        <f>COUNTIFS('BA History'!$B:$B,$A$47,'BA History'!Z:Z, 1)</f>
        <v>10</v>
      </c>
      <c r="AH47" s="2">
        <f>COUNTIFS('BA History'!$B:$B,$A47,'BA History'!AA:AA, 1)</f>
        <v>0</v>
      </c>
      <c r="AI47" s="2">
        <f>COUNTIFS('BA History'!$B:$B,$A$47,'BA History'!AB:AB, 1)</f>
        <v>0</v>
      </c>
      <c r="AJ47" s="2">
        <f>COUNTIFS('BA History'!$B:$B,$A$47,'BA History'!AC:AC, 1)</f>
        <v>11</v>
      </c>
      <c r="AK47" s="2">
        <f>COUNTIFS('BA History'!$B:$B,$A$47,'BA History'!AD:AD, 1)</f>
        <v>0</v>
      </c>
      <c r="AL47" s="2">
        <f>COUNTIFS('BA History'!$B:$B,$A$47,'BA History'!AE:AE, 1)</f>
        <v>3</v>
      </c>
      <c r="AM47" s="2">
        <f>COUNTIFS('BA History'!$B:$B,$A$47,'BA History'!AF:AF, 1)</f>
        <v>0</v>
      </c>
      <c r="AN47" s="2">
        <f>COUNTIFS('BA History'!$B:$B,$A$47,'BA History'!AG:AG, 1)</f>
        <v>5</v>
      </c>
    </row>
    <row r="48" spans="1:40" x14ac:dyDescent="0.25">
      <c r="A48" s="2" t="s">
        <v>17</v>
      </c>
      <c r="B48" s="2" t="s">
        <v>79</v>
      </c>
      <c r="C48" s="2">
        <v>1</v>
      </c>
      <c r="D48" s="2">
        <v>1</v>
      </c>
      <c r="E48" s="2"/>
      <c r="F48" s="34">
        <f>SUMIFS('BA History'!C:C,'BA History'!B:B,A48)</f>
        <v>793</v>
      </c>
      <c r="G48" s="66">
        <f>AVERAGEIFS('BA History'!C:C,'BA History'!B:B,A48)</f>
        <v>19.824999999999999</v>
      </c>
      <c r="H48" s="35">
        <f t="array" ref="H48">MAX(IF('BA History'!B:B=A48, 'BA History'!C:C))</f>
        <v>32</v>
      </c>
      <c r="I48" s="34">
        <f>COUNTIFS('BA History'!B:B,A48,'BA History'!D:D, 1)</f>
        <v>23</v>
      </c>
      <c r="J48" s="2">
        <f>COUNTIFS('BA History'!B:B,A48,'BA History'!D:D, 0)</f>
        <v>17</v>
      </c>
      <c r="K48" s="75">
        <f>LOOKUP(2, 1/('BA History'!$B:$B=A48), 'BA History'!$AK:$AK)</f>
        <v>0.57499999999999996</v>
      </c>
      <c r="L48" s="34">
        <f>SUMIFS('BA History'!F:F,'BA History'!B:B,A48)</f>
        <v>86</v>
      </c>
      <c r="M48" s="2">
        <f>SUMIFS('BA History'!E:E,'BA History'!B:B,A48)-L48</f>
        <v>73</v>
      </c>
      <c r="N48" s="75">
        <f>LOOKUP(2, 1/('BA History'!$B:$B=A48), 'BA History'!$AI:$AI)</f>
        <v>0.54800000000000004</v>
      </c>
      <c r="O48" s="34">
        <f>SUMIFS('BA History'!H:H,'BA History'!B:B,A48)</f>
        <v>334</v>
      </c>
      <c r="P48" s="2">
        <f>SUMIFS('BA History'!G:G,'BA History'!B:B,A48)-O48</f>
        <v>323</v>
      </c>
      <c r="Q48" s="89">
        <f>LOOKUP(2, 1/('BA History'!$B:$B=A48), 'BA History'!$AJ:$AJ)</f>
        <v>0.50350000000000006</v>
      </c>
      <c r="R48" s="2">
        <f>COUNTIFS('BA History'!$B:$B,$A$48,'BA History'!K:K, 1)</f>
        <v>6</v>
      </c>
      <c r="S48" s="2">
        <f>COUNTIFS('BA History'!$B:$B,$A$48,'BA History'!L:L, 1)</f>
        <v>3</v>
      </c>
      <c r="T48" s="2">
        <f>COUNTIFS('BA History'!$B:$B,$A$48,'BA History'!M:M, 1)</f>
        <v>7</v>
      </c>
      <c r="U48" s="2">
        <f>COUNTIFS('BA History'!$B:$B,$A$48,'BA History'!N:N, 1)</f>
        <v>9</v>
      </c>
      <c r="V48" s="2">
        <f>COUNTIFS('BA History'!$B:$B,$A$48,'BA History'!O:O, 1)</f>
        <v>0</v>
      </c>
      <c r="W48" s="2">
        <f>COUNTIFS('BA History'!$B:$B,$A$48,'BA History'!P:P, 1)</f>
        <v>1</v>
      </c>
      <c r="X48" s="2">
        <f>COUNTIFS('BA History'!$B:$B,$A$48,'BA History'!Q:Q, 1)</f>
        <v>3</v>
      </c>
      <c r="Y48" s="2">
        <f>COUNTIFS('BA History'!$B:$B,$A$48,'BA History'!R:R, 1)</f>
        <v>1</v>
      </c>
      <c r="Z48" s="2">
        <f>COUNTIFS('BA History'!$B:$B,$A$48,'BA History'!S:S, 1)</f>
        <v>0</v>
      </c>
      <c r="AA48" s="2">
        <f>COUNTIFS('BA History'!$B:$B,$A$48,'BA History'!T:T, 1)</f>
        <v>0</v>
      </c>
      <c r="AB48" s="2">
        <f>COUNTIFS('BA History'!$B:$B,$A$48,'BA History'!U:U, 1)</f>
        <v>2</v>
      </c>
      <c r="AC48" s="2">
        <f>COUNTIFS('BA History'!$B:$B,$A$48,'BA History'!V:V, 1)</f>
        <v>4</v>
      </c>
      <c r="AD48" s="2">
        <f>COUNTIFS('BA History'!$B:$B,$A$48,'BA History'!W:W, 1)</f>
        <v>0</v>
      </c>
      <c r="AE48" s="2">
        <f>COUNTIFS('BA History'!$B:$B,$A$48,'BA History'!X:X, 1)</f>
        <v>0</v>
      </c>
      <c r="AF48" s="2">
        <f>COUNTIFS('BA History'!$B:$B,$A$48,'BA History'!Y:Y, 1)</f>
        <v>3</v>
      </c>
      <c r="AG48" s="2">
        <f>COUNTIFS('BA History'!$B:$B,$A$48,'BA History'!Z:Z, 1)</f>
        <v>10</v>
      </c>
      <c r="AH48" s="2">
        <f>COUNTIFS('BA History'!$B:$B,$A48,'BA History'!AA:AA, 1)</f>
        <v>0</v>
      </c>
      <c r="AI48" s="2">
        <f>COUNTIFS('BA History'!$B:$B,$A$48,'BA History'!AB:AB, 1)</f>
        <v>2</v>
      </c>
      <c r="AJ48" s="2">
        <f>COUNTIFS('BA History'!$B:$B,$A$48,'BA History'!AC:AC, 1)</f>
        <v>11</v>
      </c>
      <c r="AK48" s="2">
        <f>COUNTIFS('BA History'!$B:$B,$A$48,'BA History'!AD:AD, 1)</f>
        <v>8</v>
      </c>
      <c r="AL48" s="2">
        <f>COUNTIFS('BA History'!$B:$B,$A$48,'BA History'!AE:AE, 1)</f>
        <v>9</v>
      </c>
      <c r="AM48" s="2">
        <f>COUNTIFS('BA History'!$B:$B,$A$48,'BA History'!AF:AF, 1)</f>
        <v>2</v>
      </c>
      <c r="AN48" s="2">
        <f>COUNTIFS('BA History'!$B:$B,$A$48,'BA History'!AG:AG, 1)</f>
        <v>5</v>
      </c>
    </row>
    <row r="49" spans="1:40" ht="14.25" customHeight="1" x14ac:dyDescent="0.25">
      <c r="A49" s="1" t="s">
        <v>105</v>
      </c>
      <c r="B49" s="2" t="s">
        <v>79</v>
      </c>
      <c r="C49" s="2"/>
      <c r="D49" s="2"/>
      <c r="E49" s="2"/>
      <c r="F49" s="34">
        <f>SUMIFS('BA History'!C:C,'BA History'!B:B,A49)</f>
        <v>12</v>
      </c>
      <c r="G49" s="66">
        <f>AVERAGEIFS('BA History'!C:C,'BA History'!B:B,A49)</f>
        <v>12</v>
      </c>
      <c r="H49" s="35">
        <f t="array" ref="H49">MAX(IF('BA History'!B:B=A49, 'BA History'!C:C))</f>
        <v>12</v>
      </c>
      <c r="I49" s="34">
        <f>COUNTIFS('BA History'!B:B,A49,'BA History'!D:D, 1)</f>
        <v>1</v>
      </c>
      <c r="J49" s="2">
        <f>COUNTIFS('BA History'!B:B,A49,'BA History'!D:D, 0)</f>
        <v>0</v>
      </c>
      <c r="K49" s="75">
        <f>LOOKUP(2, 1/('BA History'!$B:$B=A49), 'BA History'!$AK:$AK)</f>
        <v>1</v>
      </c>
      <c r="L49" s="34">
        <f>SUMIFS('BA History'!F:F,'BA History'!B:B,A49)</f>
        <v>3</v>
      </c>
      <c r="M49" s="2">
        <f>SUMIFS('BA History'!E:E,'BA History'!B:B,A49)-L49</f>
        <v>2</v>
      </c>
      <c r="N49" s="75">
        <f>LOOKUP(2, 1/('BA History'!$B:$B=A49), 'BA History'!$AI:$AI)</f>
        <v>0.6</v>
      </c>
      <c r="O49" s="34">
        <f>SUMIFS('BA History'!H:H,'BA History'!B:B,A49)</f>
        <v>9</v>
      </c>
      <c r="P49" s="2">
        <f>SUMIFS('BA History'!G:G,'BA History'!B:B,A49)-O49</f>
        <v>10</v>
      </c>
      <c r="Q49" s="89">
        <f>LOOKUP(2, 1/('BA History'!$B:$B=A49), 'BA History'!$AJ:$AJ)</f>
        <v>0.47</v>
      </c>
      <c r="R49" s="2">
        <f>COUNTIFS('BA History'!$B:$B,$A$49,'BA History'!K:K, 1)</f>
        <v>0</v>
      </c>
      <c r="S49" s="2">
        <f>COUNTIFS('BA History'!$B:$B,$A$49,'BA History'!L:L, 1)</f>
        <v>0</v>
      </c>
      <c r="T49" s="2">
        <f>COUNTIFS('BA History'!$B:$B,$A$49,'BA History'!M:M, 1)</f>
        <v>0</v>
      </c>
      <c r="U49" s="2">
        <f>COUNTIFS('BA History'!$B:$B,$A$49,'BA History'!N:N, 1)</f>
        <v>0</v>
      </c>
      <c r="V49" s="2">
        <f>COUNTIFS('BA History'!$B:$B,$A$49,'BA History'!O:O, 1)</f>
        <v>0</v>
      </c>
      <c r="W49" s="2">
        <f>COUNTIFS('BA History'!$B:$B,$A$49,'BA History'!P:P, 1)</f>
        <v>0</v>
      </c>
      <c r="X49" s="2">
        <f>COUNTIFS('BA History'!$B:$B,$A$49,'BA History'!Q:Q, 1)</f>
        <v>0</v>
      </c>
      <c r="Y49" s="2">
        <f>COUNTIFS('BA History'!$B:$B,$A$49,'BA History'!R:R, 1)</f>
        <v>0</v>
      </c>
      <c r="Z49" s="2">
        <f>COUNTIFS('BA History'!$B:$B,$A$49,'BA History'!S:S, 1)</f>
        <v>0</v>
      </c>
      <c r="AA49" s="2">
        <f>COUNTIFS('BA History'!$B:$B,$A$49,'BA History'!T:T, 1)</f>
        <v>0</v>
      </c>
      <c r="AB49" s="2">
        <f>COUNTIFS('BA History'!$B:$B,$A$49,'BA History'!U:U, 1)</f>
        <v>1</v>
      </c>
      <c r="AC49" s="2">
        <f>COUNTIFS('BA History'!$B:$B,$A$49,'BA History'!V:V, 1)</f>
        <v>0</v>
      </c>
      <c r="AD49" s="2">
        <f>COUNTIFS('BA History'!$B:$B,$A$49,'BA History'!W:W, 1)</f>
        <v>0</v>
      </c>
      <c r="AE49" s="2">
        <f>COUNTIFS('BA History'!$B:$B,$A$49,'BA History'!X:X, 1)</f>
        <v>0</v>
      </c>
      <c r="AF49" s="2">
        <f>COUNTIFS('BA History'!$B:$B,$A$49,'BA History'!Y:Y, 1)</f>
        <v>0</v>
      </c>
      <c r="AG49" s="2">
        <f>COUNTIFS('BA History'!$B:$B,$A$49,'BA History'!Z:Z, 1)</f>
        <v>0</v>
      </c>
      <c r="AH49" s="2">
        <f>COUNTIFS('BA History'!$B:$B,$A49,'BA History'!AA:AA, 1)</f>
        <v>0</v>
      </c>
      <c r="AI49" s="2">
        <f>COUNTIFS('BA History'!$B:$B,$A$49,'BA History'!AB:AB, 1)</f>
        <v>0</v>
      </c>
      <c r="AJ49" s="2">
        <f>COUNTIFS('BA History'!$B:$B,$A$49,'BA History'!AC:AC, 1)</f>
        <v>1</v>
      </c>
      <c r="AK49" s="2">
        <f>COUNTIFS('BA History'!$B:$B,$A$49,'BA History'!AD:AD, 1)</f>
        <v>1</v>
      </c>
      <c r="AL49" s="2">
        <f>COUNTIFS('BA History'!$B:$B,$A$49,'BA History'!AE:AE, 1)</f>
        <v>0</v>
      </c>
      <c r="AM49" s="2">
        <f>COUNTIFS('BA History'!$B:$B,$A$49,'BA History'!AF:AF, 1)</f>
        <v>0</v>
      </c>
      <c r="AN49" s="2">
        <f>COUNTIFS('BA History'!$B:$B,$A$49,'BA History'!AG:AG, 1)</f>
        <v>0</v>
      </c>
    </row>
    <row r="50" spans="1:40" ht="14.25" customHeight="1" x14ac:dyDescent="0.25">
      <c r="A50" s="1" t="s">
        <v>143</v>
      </c>
      <c r="B50" s="2" t="s">
        <v>79</v>
      </c>
      <c r="C50" s="2"/>
      <c r="D50" s="2"/>
      <c r="E50" s="2"/>
      <c r="F50" s="34">
        <f>SUMIFS('BA History'!C:C,'BA History'!B:B,A50)</f>
        <v>4</v>
      </c>
      <c r="G50" s="66">
        <f>AVERAGEIFS('BA History'!C:C,'BA History'!B:B,A50)</f>
        <v>4</v>
      </c>
      <c r="H50" s="35">
        <f t="array" ref="H50">MAX(IF('BA History'!B:B=A50, 'BA History'!C:C))</f>
        <v>4</v>
      </c>
      <c r="I50" s="34">
        <f>COUNTIFS('BA History'!B:B,A50,'BA History'!D:D, 1)</f>
        <v>0</v>
      </c>
      <c r="J50" s="2">
        <f>COUNTIFS('BA History'!B:B,A50,'BA History'!D:D, 0)</f>
        <v>1</v>
      </c>
      <c r="K50" s="75">
        <f>LOOKUP(2, 1/('BA History'!$B:$B=A50), 'BA History'!$AK:$AK)</f>
        <v>0</v>
      </c>
      <c r="L50" s="34">
        <f>SUMIFS('BA History'!F:F,'BA History'!B:B,A50)</f>
        <v>1</v>
      </c>
      <c r="M50" s="2">
        <f>SUMIFS('BA History'!E:E,'BA History'!B:B,A50)-L50</f>
        <v>3</v>
      </c>
      <c r="N50" s="75">
        <f>LOOKUP(2, 1/('BA History'!$B:$B=A50), 'BA History'!$AI:$AI)</f>
        <v>0.25</v>
      </c>
      <c r="O50" s="34">
        <f>SUMIFS('BA History'!H:H,'BA History'!B:B,A50)</f>
        <v>7</v>
      </c>
      <c r="P50" s="2">
        <f>SUMIFS('BA History'!G:G,'BA History'!B:B,A50)-O50</f>
        <v>9</v>
      </c>
      <c r="Q50" s="89">
        <f>LOOKUP(2, 1/('BA History'!$B:$B=A50), 'BA History'!$AJ:$AJ)</f>
        <v>0.44</v>
      </c>
      <c r="R50" s="2">
        <f>COUNTIFS('BA History'!$B:$B,$A$50,'BA History'!K:K, 1)</f>
        <v>0</v>
      </c>
      <c r="S50" s="2">
        <f>COUNTIFS('BA History'!$B:$B,$A$50,'BA History'!L:L, 1)</f>
        <v>0</v>
      </c>
      <c r="T50" s="2">
        <f>COUNTIFS('BA History'!$B:$B,$A$50,'BA History'!M:M, 1)</f>
        <v>0</v>
      </c>
      <c r="U50" s="2">
        <f>COUNTIFS('BA History'!$B:$B,$A$50,'BA History'!N:N, 1)</f>
        <v>0</v>
      </c>
      <c r="V50" s="2">
        <f>COUNTIFS('BA History'!$B:$B,$A$50,'BA History'!O:O, 1)</f>
        <v>0</v>
      </c>
      <c r="W50" s="2">
        <f>COUNTIFS('BA History'!$B:$B,$A$50,'BA History'!P:P, 1)</f>
        <v>0</v>
      </c>
      <c r="X50" s="2">
        <f>COUNTIFS('BA History'!$B:$B,$A$50,'BA History'!Q:Q, 1)</f>
        <v>0</v>
      </c>
      <c r="Y50" s="2">
        <f>COUNTIFS('BA History'!$B:$B,$A$50,'BA History'!R:R, 1)</f>
        <v>0</v>
      </c>
      <c r="Z50" s="2">
        <f>COUNTIFS('BA History'!$B:$B,$A$50,'BA History'!S:S, 1)</f>
        <v>0</v>
      </c>
      <c r="AA50" s="2">
        <f>COUNTIFS('BA History'!$B:$B,$A$50,'BA History'!T:T, 1)</f>
        <v>0</v>
      </c>
      <c r="AB50" s="2">
        <f>COUNTIFS('BA History'!$B:$B,$A$50,'BA History'!U:U, 1)</f>
        <v>0</v>
      </c>
      <c r="AC50" s="2">
        <f>COUNTIFS('BA History'!$B:$B,$A$50,'BA History'!V:V, 1)</f>
        <v>0</v>
      </c>
      <c r="AD50" s="2">
        <f>COUNTIFS('BA History'!$B:$B,$A$50,'BA History'!W:W, 1)</f>
        <v>0</v>
      </c>
      <c r="AE50" s="2">
        <f>COUNTIFS('BA History'!$B:$B,$A$50,'BA History'!X:X, 1)</f>
        <v>0</v>
      </c>
      <c r="AF50" s="2">
        <f>COUNTIFS('BA History'!$B:$B,$A$50,'BA History'!Y:Y, 1)</f>
        <v>1</v>
      </c>
      <c r="AG50" s="2">
        <f>COUNTIFS('BA History'!$B:$B,$A$50,'BA History'!Z:Z, 1)</f>
        <v>0</v>
      </c>
      <c r="AH50" s="2">
        <f>COUNTIFS('BA History'!$B:$B,$A50,'BA History'!AA:AA, 1)</f>
        <v>0</v>
      </c>
      <c r="AI50" s="2">
        <f>COUNTIFS('BA History'!$B:$B,$A$50,'BA History'!AB:AB, 1)</f>
        <v>0</v>
      </c>
      <c r="AJ50" s="2">
        <f>COUNTIFS('BA History'!$B:$B,$A$50,'BA History'!AC:AC, 1)</f>
        <v>0</v>
      </c>
      <c r="AK50" s="2">
        <f>COUNTIFS('BA History'!$B:$B,$A$50,'BA History'!AD:AD, 1)</f>
        <v>0</v>
      </c>
      <c r="AL50" s="2">
        <f>COUNTIFS('BA History'!$B:$B,$A$50,'BA History'!AE:AE, 1)</f>
        <v>0</v>
      </c>
      <c r="AM50" s="2">
        <f>COUNTIFS('BA History'!$B:$B,$A$50,'BA History'!AF:AF, 1)</f>
        <v>0</v>
      </c>
      <c r="AN50" s="2">
        <f>COUNTIFS('BA History'!$B:$B,$A$50,'BA History'!AG:AG, 1)</f>
        <v>0</v>
      </c>
    </row>
    <row r="51" spans="1:40" x14ac:dyDescent="0.25">
      <c r="A51" s="1" t="s">
        <v>118</v>
      </c>
      <c r="B51" s="2" t="s">
        <v>79</v>
      </c>
      <c r="C51" s="2"/>
      <c r="D51" s="2"/>
      <c r="E51" s="2"/>
      <c r="F51" s="34">
        <f>SUMIFS('BA History'!C:C,'BA History'!B:B,A51)</f>
        <v>30</v>
      </c>
      <c r="G51" s="66">
        <f>AVERAGEIFS('BA History'!C:C,'BA History'!B:B,A51)</f>
        <v>15</v>
      </c>
      <c r="H51" s="35">
        <f t="array" ref="H51">MAX(IF('BA History'!B:B=A51, 'BA History'!C:C))</f>
        <v>20</v>
      </c>
      <c r="I51" s="34">
        <f>COUNTIFS('BA History'!B:B,A51,'BA History'!D:D, 1)</f>
        <v>1</v>
      </c>
      <c r="J51" s="2">
        <f>COUNTIFS('BA History'!B:B,A51,'BA History'!D:D, 0)</f>
        <v>1</v>
      </c>
      <c r="K51" s="75">
        <f>LOOKUP(2, 1/('BA History'!$B:$B=A51), 'BA History'!$AK:$AK)</f>
        <v>0.5</v>
      </c>
      <c r="L51" s="34">
        <f>SUMIFS('BA History'!F:F,'BA History'!B:B,A51)</f>
        <v>4</v>
      </c>
      <c r="M51" s="2">
        <f>SUMIFS('BA History'!E:E,'BA History'!B:B,A51)-L51</f>
        <v>4</v>
      </c>
      <c r="N51" s="75">
        <f>LOOKUP(2, 1/('BA History'!$B:$B=A51), 'BA History'!$AI:$AI)</f>
        <v>0.5</v>
      </c>
      <c r="O51" s="34">
        <f>SUMIFS('BA History'!H:H,'BA History'!B:B,A51)</f>
        <v>15</v>
      </c>
      <c r="P51" s="2">
        <f>SUMIFS('BA History'!G:G,'BA History'!B:B,A51)-O51</f>
        <v>15</v>
      </c>
      <c r="Q51" s="89">
        <f>LOOKUP(2, 1/('BA History'!$B:$B=A51), 'BA History'!$AJ:$AJ)</f>
        <v>0.51</v>
      </c>
      <c r="R51" s="2">
        <f>COUNTIFS('BA History'!$B:$B,$A$51,'BA History'!K:K, 1)</f>
        <v>0</v>
      </c>
      <c r="S51" s="2">
        <f>COUNTIFS('BA History'!$B:$B,$A$51,'BA History'!L:L, 1)</f>
        <v>0</v>
      </c>
      <c r="T51" s="2">
        <f>COUNTIFS('BA History'!$B:$B,$A$51,'BA History'!M:M, 1)</f>
        <v>0</v>
      </c>
      <c r="U51" s="2">
        <f>COUNTIFS('BA History'!$B:$B,$A$51,'BA History'!N:N, 1)</f>
        <v>0</v>
      </c>
      <c r="V51" s="2">
        <f>COUNTIFS('BA History'!$B:$B,$A$51,'BA History'!O:O, 1)</f>
        <v>0</v>
      </c>
      <c r="W51" s="2">
        <f>COUNTIFS('BA History'!$B:$B,$A$51,'BA History'!P:P, 1)</f>
        <v>0</v>
      </c>
      <c r="X51" s="2">
        <f>COUNTIFS('BA History'!$B:$B,$A$51,'BA History'!Q:Q, 1)</f>
        <v>0</v>
      </c>
      <c r="Y51" s="2">
        <f>COUNTIFS('BA History'!$B:$B,$A$51,'BA History'!R:R, 1)</f>
        <v>0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0</v>
      </c>
      <c r="AC51" s="2">
        <f>COUNTIFS('BA History'!$B:$B,$A$51,'BA History'!V:V, 1)</f>
        <v>1</v>
      </c>
      <c r="AD51" s="2">
        <f>COUNTIFS('BA History'!$B:$B,$A$51,'BA History'!W:W, 1)</f>
        <v>0</v>
      </c>
      <c r="AE51" s="2">
        <f>COUNTIFS('BA History'!$B:$B,$A$51,'BA History'!X:X, 1)</f>
        <v>0</v>
      </c>
      <c r="AF51" s="2">
        <f>COUNTIFS('BA History'!$B:$B,$A$51,'BA History'!Y:Y, 1)</f>
        <v>0</v>
      </c>
      <c r="AG51" s="2">
        <f>COUNTIFS('BA History'!$B:$B,$A$51,'BA History'!Z:Z, 1)</f>
        <v>1</v>
      </c>
      <c r="AH51" s="2">
        <f>COUNTIFS('BA History'!$B:$B,$A51,'BA History'!AA:AA, 1)</f>
        <v>0</v>
      </c>
      <c r="AI51" s="2">
        <f>COUNTIFS('BA History'!$B:$B,$A$51,'BA History'!AB:AB, 1)</f>
        <v>0</v>
      </c>
      <c r="AJ51" s="2">
        <f>COUNTIFS('BA History'!$B:$B,$A$51,'BA History'!AC:AC, 1)</f>
        <v>0</v>
      </c>
      <c r="AK51" s="2">
        <f>COUNTIFS('BA History'!$B:$B,$A$51,'BA History'!AD:AD, 1)</f>
        <v>1</v>
      </c>
      <c r="AL51" s="2">
        <f>COUNTIFS('BA History'!$B:$B,$A$51,'BA History'!AE:AE, 1)</f>
        <v>1</v>
      </c>
      <c r="AM51" s="2">
        <f>COUNTIFS('BA History'!$B:$B,$A$51,'BA History'!AF:AF, 1)</f>
        <v>0</v>
      </c>
      <c r="AN51" s="2">
        <f>COUNTIFS('BA History'!$B:$B,$A$51,'BA History'!AG:AG, 1)</f>
        <v>0</v>
      </c>
    </row>
    <row r="52" spans="1:40" x14ac:dyDescent="0.25">
      <c r="A52" s="2" t="s">
        <v>6</v>
      </c>
      <c r="B52" s="1" t="s">
        <v>158</v>
      </c>
      <c r="C52" s="1"/>
      <c r="D52" s="1">
        <v>1</v>
      </c>
      <c r="E52" s="1">
        <v>1</v>
      </c>
      <c r="F52" s="34">
        <f>SUMIFS('BA History'!C:C,'BA History'!B:B,A52)</f>
        <v>1551</v>
      </c>
      <c r="G52" s="66">
        <f>AVERAGEIFS('BA History'!C:C,'BA History'!B:B,A52)</f>
        <v>22.478260869565219</v>
      </c>
      <c r="H52" s="35">
        <f t="array" ref="H52">MAX(IF('BA History'!B:B=A52, 'BA History'!C:C))</f>
        <v>37</v>
      </c>
      <c r="I52" s="34">
        <f>COUNTIFS('BA History'!B:B,A52,'BA History'!D:D, 1)</f>
        <v>43</v>
      </c>
      <c r="J52" s="2">
        <f>COUNTIFS('BA History'!B:B,A52,'BA History'!D:D, 0)</f>
        <v>26</v>
      </c>
      <c r="K52" s="75">
        <f>LOOKUP(2, 1/('BA History'!$B:$B=A52), 'BA History'!$AK:$AK)</f>
        <v>0.62318840579710144</v>
      </c>
      <c r="L52" s="34">
        <f>SUMIFS('BA History'!F:F,'BA History'!B:B,A52)</f>
        <v>152</v>
      </c>
      <c r="M52" s="2">
        <f>SUMIFS('BA History'!E:E,'BA History'!B:B,A52)-L52</f>
        <v>122</v>
      </c>
      <c r="N52" s="75">
        <f>LOOKUP(2, 1/('BA History'!$B:$B=A52), 'BA History'!$AI:$AI)</f>
        <v>0.55478260869565232</v>
      </c>
      <c r="O52" s="34">
        <f>SUMIFS('BA History'!H:H,'BA History'!B:B,A52)</f>
        <v>602</v>
      </c>
      <c r="P52" s="2">
        <f>SUMIFS('BA History'!G:G,'BA History'!B:B,A52)-O52</f>
        <v>534</v>
      </c>
      <c r="Q52" s="89">
        <f>LOOKUP(2, 1/('BA History'!$B:$B=A52), 'BA History'!$AJ:$AJ)</f>
        <v>0.52927536231884054</v>
      </c>
      <c r="R52" s="2">
        <f>COUNTIFS('BA History'!$B:$B,$A$52,'BA History'!K:K, 1)</f>
        <v>7</v>
      </c>
      <c r="S52" s="2">
        <f>COUNTIFS('BA History'!$B:$B,$A$52,'BA History'!L:L, 1)</f>
        <v>7</v>
      </c>
      <c r="T52" s="2">
        <f>COUNTIFS('BA History'!$B:$B,$A$52,'BA History'!M:M, 1)</f>
        <v>13</v>
      </c>
      <c r="U52" s="2">
        <f>COUNTIFS('BA History'!$B:$B,$A$52,'BA History'!N:N, 1)</f>
        <v>12</v>
      </c>
      <c r="V52" s="2">
        <f>COUNTIFS('BA History'!$B:$B,$A$52,'BA History'!O:O, 1)</f>
        <v>2</v>
      </c>
      <c r="W52" s="2">
        <f>COUNTIFS('BA History'!$B:$B,$A$52,'BA History'!P:P, 1)</f>
        <v>1</v>
      </c>
      <c r="X52" s="2">
        <f>COUNTIFS('BA History'!$B:$B,$A$52,'BA History'!Q:Q, 1)</f>
        <v>6</v>
      </c>
      <c r="Y52" s="2">
        <f>COUNTIFS('BA History'!$B:$B,$A$52,'BA History'!R:R, 1)</f>
        <v>4</v>
      </c>
      <c r="Z52" s="2">
        <f>COUNTIFS('BA History'!$B:$B,$A$52,'BA History'!S:S, 1)</f>
        <v>1</v>
      </c>
      <c r="AA52" s="2">
        <f>COUNTIFS('BA History'!$B:$B,$A$52,'BA History'!T:T, 1)</f>
        <v>0</v>
      </c>
      <c r="AB52" s="2">
        <f>COUNTIFS('BA History'!$B:$B,$A$52,'BA History'!U:U, 1)</f>
        <v>3</v>
      </c>
      <c r="AC52" s="2">
        <f>COUNTIFS('BA History'!$B:$B,$A$52,'BA History'!V:V, 1)</f>
        <v>11</v>
      </c>
      <c r="AD52" s="2">
        <f>COUNTIFS('BA History'!$B:$B,$A$52,'BA History'!W:W, 1)</f>
        <v>4</v>
      </c>
      <c r="AE52" s="2">
        <f>COUNTIFS('BA History'!$B:$B,$A$52,'BA History'!X:X, 1)</f>
        <v>2</v>
      </c>
      <c r="AF52" s="2">
        <f>COUNTIFS('BA History'!$B:$B,$A$52,'BA History'!Y:Y, 1)</f>
        <v>7</v>
      </c>
      <c r="AG52" s="2">
        <f>COUNTIFS('BA History'!$B:$B,$A$52,'BA History'!Z:Z, 1)</f>
        <v>21</v>
      </c>
      <c r="AH52" s="2">
        <f>COUNTIFS('BA History'!$B:$B,$A52,'BA History'!AA:AA, 1)</f>
        <v>1</v>
      </c>
      <c r="AI52" s="2">
        <f>COUNTIFS('BA History'!$B:$B,$A$52,'BA History'!AB:AB, 1)</f>
        <v>2</v>
      </c>
      <c r="AJ52" s="2">
        <f>COUNTIFS('BA History'!$B:$B,$A$52,'BA History'!AC:AC, 1)</f>
        <v>19</v>
      </c>
      <c r="AK52" s="2">
        <f>COUNTIFS('BA History'!$B:$B,$A$52,'BA History'!AD:AD, 1)</f>
        <v>8</v>
      </c>
      <c r="AL52" s="2">
        <f>COUNTIFS('BA History'!$B:$B,$A$52,'BA History'!AE:AE, 1)</f>
        <v>9</v>
      </c>
      <c r="AM52" s="2">
        <f>COUNTIFS('BA History'!$B:$B,$A$52,'BA History'!AF:AF, 1)</f>
        <v>2</v>
      </c>
      <c r="AN52" s="2">
        <f>COUNTIFS('BA History'!$B:$B,$A$52,'BA History'!AG:AG, 1)</f>
        <v>10</v>
      </c>
    </row>
    <row r="53" spans="1:40" x14ac:dyDescent="0.25">
      <c r="A53" s="2" t="s">
        <v>18</v>
      </c>
      <c r="B53" s="2" t="s">
        <v>79</v>
      </c>
      <c r="C53" s="2"/>
      <c r="D53" s="2"/>
      <c r="E53" s="2"/>
      <c r="F53" s="34">
        <f>SUMIFS('BA History'!C:C,'BA History'!B:B,A53)</f>
        <v>174</v>
      </c>
      <c r="G53" s="66">
        <f>AVERAGEIFS('BA History'!C:C,'BA History'!B:B,A53)</f>
        <v>17.399999999999999</v>
      </c>
      <c r="H53" s="35">
        <f t="array" ref="H53">MAX(IF('BA History'!B:B=A53, 'BA History'!C:C))</f>
        <v>26</v>
      </c>
      <c r="I53" s="34">
        <f>COUNTIFS('BA History'!B:B,A53,'BA History'!D:D, 1)</f>
        <v>8</v>
      </c>
      <c r="J53" s="2">
        <f>COUNTIFS('BA History'!B:B,A53,'BA History'!D:D, 0)</f>
        <v>2</v>
      </c>
      <c r="K53" s="75">
        <f>LOOKUP(2, 1/('BA History'!$B:$B=A53), 'BA History'!$AK:$AK)</f>
        <v>0.8</v>
      </c>
      <c r="L53" s="34">
        <f>SUMIFS('BA History'!F:F,'BA History'!B:B,A53)</f>
        <v>25</v>
      </c>
      <c r="M53" s="2">
        <f>SUMIFS('BA History'!E:E,'BA History'!B:B,A53)-L53</f>
        <v>10</v>
      </c>
      <c r="N53" s="75">
        <f>LOOKUP(2, 1/('BA History'!$B:$B=A53), 'BA History'!$AI:$AI)</f>
        <v>0.73499999999999999</v>
      </c>
      <c r="O53" s="34">
        <f>SUMIFS('BA History'!H:H,'BA History'!B:B,A53)</f>
        <v>88</v>
      </c>
      <c r="P53" s="2">
        <f>SUMIFS('BA History'!G:G,'BA History'!B:B,A53)-O53</f>
        <v>61</v>
      </c>
      <c r="Q53" s="89">
        <f>LOOKUP(2, 1/('BA History'!$B:$B=A53), 'BA History'!$AJ:$AJ)</f>
        <v>0.60399999999999987</v>
      </c>
      <c r="R53" s="2">
        <f>COUNTIFS('BA History'!$B:$B,$A$53,'BA History'!K:K, 1)</f>
        <v>0</v>
      </c>
      <c r="S53" s="2">
        <f>COUNTIFS('BA History'!$B:$B,$A$53,'BA History'!L:L, 1)</f>
        <v>4</v>
      </c>
      <c r="T53" s="2">
        <f>COUNTIFS('BA History'!$B:$B,$A$53,'BA History'!M:M, 1)</f>
        <v>1</v>
      </c>
      <c r="U53" s="2">
        <f>COUNTIFS('BA History'!$B:$B,$A$53,'BA History'!N:N, 1)</f>
        <v>4</v>
      </c>
      <c r="V53" s="2">
        <f>COUNTIFS('BA History'!$B:$B,$A$53,'BA History'!O:O, 1)</f>
        <v>0</v>
      </c>
      <c r="W53" s="2">
        <f>COUNTIFS('BA History'!$B:$B,$A$53,'BA History'!P:P, 1)</f>
        <v>0</v>
      </c>
      <c r="X53" s="2">
        <f>COUNTIFS('BA History'!$B:$B,$A$53,'BA History'!Q:Q, 1)</f>
        <v>2</v>
      </c>
      <c r="Y53" s="2">
        <f>COUNTIFS('BA History'!$B:$B,$A$53,'BA History'!R:R, 1)</f>
        <v>1</v>
      </c>
      <c r="Z53" s="2">
        <f>COUNTIFS('BA History'!$B:$B,$A$53,'BA History'!S:S, 1)</f>
        <v>0</v>
      </c>
      <c r="AA53" s="2">
        <f>COUNTIFS('BA History'!$B:$B,$A$53,'BA History'!T:T, 1)</f>
        <v>0</v>
      </c>
      <c r="AB53" s="2">
        <f>COUNTIFS('BA History'!$B:$B,$A$53,'BA History'!U:U, 1)</f>
        <v>0</v>
      </c>
      <c r="AC53" s="2">
        <f>COUNTIFS('BA History'!$B:$B,$A$53,'BA History'!V:V, 1)</f>
        <v>1</v>
      </c>
      <c r="AD53" s="2">
        <f>COUNTIFS('BA History'!$B:$B,$A$53,'BA History'!W:W, 1)</f>
        <v>1</v>
      </c>
      <c r="AE53" s="2">
        <f>COUNTIFS('BA History'!$B:$B,$A$53,'BA History'!X:X, 1)</f>
        <v>1</v>
      </c>
      <c r="AF53" s="2">
        <f>COUNTIFS('BA History'!$B:$B,$A$53,'BA History'!Y:Y, 1)</f>
        <v>1</v>
      </c>
      <c r="AG53" s="2">
        <f>COUNTIFS('BA History'!$B:$B,$A$53,'BA History'!Z:Z, 1)</f>
        <v>4</v>
      </c>
      <c r="AH53" s="2">
        <f>COUNTIFS('BA History'!$B:$B,$A53,'BA History'!AA:AA, 1)</f>
        <v>0</v>
      </c>
      <c r="AI53" s="2">
        <f>COUNTIFS('BA History'!$B:$B,$A$53,'BA History'!AB:AB, 1)</f>
        <v>1</v>
      </c>
      <c r="AJ53" s="2">
        <f>COUNTIFS('BA History'!$B:$B,$A$53,'BA History'!AC:AC, 1)</f>
        <v>2</v>
      </c>
      <c r="AK53" s="2">
        <f>COUNTIFS('BA History'!$B:$B,$A$53,'BA History'!AD:AD, 1)</f>
        <v>0</v>
      </c>
      <c r="AL53" s="2">
        <f>COUNTIFS('BA History'!$B:$B,$A$53,'BA History'!AE:AE, 1)</f>
        <v>2</v>
      </c>
      <c r="AM53" s="2">
        <f>COUNTIFS('BA History'!$B:$B,$A$53,'BA History'!AF:AF, 1)</f>
        <v>0</v>
      </c>
      <c r="AN53" s="2">
        <f>COUNTIFS('BA History'!$B:$B,$A$53,'BA History'!AG:AG, 1)</f>
        <v>0</v>
      </c>
    </row>
    <row r="54" spans="1:40" x14ac:dyDescent="0.25">
      <c r="A54" s="2" t="s">
        <v>178</v>
      </c>
      <c r="B54" s="2" t="s">
        <v>79</v>
      </c>
      <c r="C54" s="2">
        <v>1</v>
      </c>
      <c r="D54" s="2"/>
      <c r="E54" s="2"/>
      <c r="F54" s="34">
        <f>SUMIFS('BA History'!C:C,'BA History'!B:B,A54)</f>
        <v>26</v>
      </c>
      <c r="G54" s="66">
        <f>AVERAGEIFS('BA History'!C:C,'BA History'!B:B,A54)</f>
        <v>13</v>
      </c>
      <c r="H54" s="35">
        <f t="array" ref="H54">MAX(IF('BA History'!B:B=A54, 'BA History'!C:C))</f>
        <v>16</v>
      </c>
      <c r="I54" s="34">
        <f>COUNTIFS('BA History'!B:B,A54,'BA History'!D:D, 1)</f>
        <v>0</v>
      </c>
      <c r="J54" s="2">
        <f>COUNTIFS('BA History'!B:B,A54,'BA History'!D:D, 0)</f>
        <v>2</v>
      </c>
      <c r="K54" s="75">
        <f>LOOKUP(2, 1/('BA History'!$B:$B=A54), 'BA History'!$AK:$AK)</f>
        <v>0</v>
      </c>
      <c r="L54" s="34">
        <f>SUMIFS('BA History'!F:F,'BA History'!B:B,A54)</f>
        <v>3</v>
      </c>
      <c r="M54" s="2">
        <f>SUMIFS('BA History'!E:E,'BA History'!B:B,A54)-L54</f>
        <v>6</v>
      </c>
      <c r="N54" s="75">
        <f>LOOKUP(2, 1/('BA History'!$B:$B=A54), 'BA History'!$AI:$AI)</f>
        <v>0.32500000000000001</v>
      </c>
      <c r="O54" s="34">
        <f>SUMIFS('BA History'!H:H,'BA History'!B:B,A54)</f>
        <v>19</v>
      </c>
      <c r="P54" s="2">
        <f>SUMIFS('BA History'!G:G,'BA History'!B:B,A54)-O54</f>
        <v>22</v>
      </c>
      <c r="Q54" s="89">
        <f>LOOKUP(2, 1/('BA History'!$B:$B=A54), 'BA History'!$AJ:$AJ)</f>
        <v>0.46499999999999997</v>
      </c>
      <c r="R54" s="2">
        <f>COUNTIFS('BA History'!$B:$B,$A$54,'BA History'!K:K, 1)</f>
        <v>0</v>
      </c>
      <c r="S54" s="2">
        <f>COUNTIFS('BA History'!$B:$B,$A$54,'BA History'!L:L, 1)</f>
        <v>0</v>
      </c>
      <c r="T54" s="2">
        <f>COUNTIFS('BA History'!$B:$B,$A$54,'BA History'!M:M, 1)</f>
        <v>0</v>
      </c>
      <c r="U54" s="2">
        <f>COUNTIFS('BA History'!$B:$B,$A$54,'BA History'!N:N, 1)</f>
        <v>1</v>
      </c>
      <c r="V54" s="2">
        <f>COUNTIFS('BA History'!$B:$B,$A$54,'BA History'!O:O, 1)</f>
        <v>0</v>
      </c>
      <c r="W54" s="2">
        <f>COUNTIFS('BA History'!$B:$B,$A$54,'BA History'!P:P, 1)</f>
        <v>0</v>
      </c>
      <c r="X54" s="2">
        <f>COUNTIFS('BA History'!$B:$B,$A$54,'BA History'!Q:Q, 1)</f>
        <v>0</v>
      </c>
      <c r="Y54" s="2">
        <f>COUNTIFS('BA History'!$B:$B,$A$54,'BA History'!R:R, 1)</f>
        <v>0</v>
      </c>
      <c r="Z54" s="2">
        <f>COUNTIFS('BA History'!$B:$B,$A$54,'BA History'!S:S, 1)</f>
        <v>0</v>
      </c>
      <c r="AA54" s="2">
        <f>COUNTIFS('BA History'!$B:$B,$A$54,'BA History'!T:T, 1)</f>
        <v>0</v>
      </c>
      <c r="AB54" s="2">
        <f>COUNTIFS('BA History'!$B:$B,$A$54,'BA History'!U:U, 1)</f>
        <v>0</v>
      </c>
      <c r="AC54" s="2">
        <f>COUNTIFS('BA History'!$B:$B,$A$54,'BA History'!V:V, 1)</f>
        <v>1</v>
      </c>
      <c r="AD54" s="2">
        <f>COUNTIFS('BA History'!$B:$B,$A$54,'BA History'!W:W, 1)</f>
        <v>0</v>
      </c>
      <c r="AE54" s="2">
        <f>COUNTIFS('BA History'!$B:$B,$A$54,'BA History'!X:X, 1)</f>
        <v>0</v>
      </c>
      <c r="AF54" s="2">
        <f>COUNTIFS('BA History'!$B:$B,$A$54,'BA History'!Y:Y, 1)</f>
        <v>0</v>
      </c>
      <c r="AG54" s="2">
        <f>COUNTIFS('BA History'!$B:$B,$A$54,'BA History'!Z:Z, 1)</f>
        <v>0</v>
      </c>
      <c r="AH54" s="2">
        <f>COUNTIFS('BA History'!$B:$B,$A54,'BA History'!AA:AA, 1)</f>
        <v>0</v>
      </c>
      <c r="AI54" s="2">
        <f>COUNTIFS('BA History'!$B:$B,$A$54,'BA History'!AB:AB, 1)</f>
        <v>0</v>
      </c>
      <c r="AJ54" s="2">
        <f>COUNTIFS('BA History'!$B:$B,$A$54,'BA History'!AC:AC, 1)</f>
        <v>0</v>
      </c>
      <c r="AK54" s="2">
        <f>COUNTIFS('BA History'!$B:$B,$A$54,'BA History'!AD:AD, 1)</f>
        <v>1</v>
      </c>
      <c r="AL54" s="2">
        <f>COUNTIFS('BA History'!$B:$B,$A$54,'BA History'!AE:AE, 1)</f>
        <v>0</v>
      </c>
      <c r="AM54" s="2">
        <f>COUNTIFS('BA History'!$B:$B,$A$54,'BA History'!AF:AF, 1)</f>
        <v>0</v>
      </c>
      <c r="AN54" s="2">
        <f>COUNTIFS('BA History'!$B:$B,$A$54,'BA History'!AG:AG, 1)</f>
        <v>0</v>
      </c>
    </row>
    <row r="55" spans="1:40" x14ac:dyDescent="0.25">
      <c r="A55" s="2" t="s">
        <v>113</v>
      </c>
      <c r="B55" s="2" t="s">
        <v>79</v>
      </c>
      <c r="C55" s="2">
        <v>1</v>
      </c>
      <c r="D55" s="2">
        <v>1</v>
      </c>
      <c r="E55" s="2"/>
      <c r="F55" s="34">
        <f>SUMIFS('BA History'!C:C,'BA History'!B:B,A55)</f>
        <v>726</v>
      </c>
      <c r="G55" s="66">
        <f>AVERAGEIFS('BA History'!C:C,'BA History'!B:B,A55)</f>
        <v>17.707317073170731</v>
      </c>
      <c r="H55" s="35">
        <f t="array" ref="H55">MAX(IF('BA History'!B:B=A55, 'BA History'!C:C))</f>
        <v>36</v>
      </c>
      <c r="I55" s="34">
        <f>COUNTIFS('BA History'!B:B,A55,'BA History'!D:D, 1)</f>
        <v>21</v>
      </c>
      <c r="J55" s="2">
        <f>COUNTIFS('BA History'!B:B,A55,'BA History'!D:D, 0)</f>
        <v>20</v>
      </c>
      <c r="K55" s="75">
        <f>LOOKUP(2, 1/('BA History'!$B:$B=A55), 'BA History'!$AK:$AK)</f>
        <v>0.51219512195121952</v>
      </c>
      <c r="L55" s="34">
        <f>SUMIFS('BA History'!F:F,'BA History'!B:B,A55)</f>
        <v>86</v>
      </c>
      <c r="M55" s="2">
        <f>SUMIFS('BA History'!E:E,'BA History'!B:B,A55)-L55</f>
        <v>75</v>
      </c>
      <c r="N55" s="75">
        <f>LOOKUP(2, 1/('BA History'!$B:$B=A55), 'BA History'!$AI:$AI)</f>
        <v>0.54878048780487798</v>
      </c>
      <c r="O55" s="34">
        <f>SUMIFS('BA History'!H:H,'BA History'!B:B,A55)</f>
        <v>338</v>
      </c>
      <c r="P55" s="2">
        <f>SUMIFS('BA History'!G:G,'BA History'!B:B,A55)-O55</f>
        <v>320</v>
      </c>
      <c r="Q55" s="89">
        <f>LOOKUP(2, 1/('BA History'!$B:$B=A55), 'BA History'!$AJ:$AJ)</f>
        <v>0.52243902439024403</v>
      </c>
      <c r="R55" s="2">
        <f>COUNTIFS('BA History'!$B:$B,$A$55,'BA History'!K:K, 1)</f>
        <v>2</v>
      </c>
      <c r="S55" s="2">
        <f>COUNTIFS('BA History'!$B:$B,$A$55,'BA History'!L:L, 1)</f>
        <v>6</v>
      </c>
      <c r="T55" s="2">
        <f>COUNTIFS('BA History'!$B:$B,$A$55,'BA History'!M:M, 1)</f>
        <v>11</v>
      </c>
      <c r="U55" s="2">
        <f>COUNTIFS('BA History'!$B:$B,$A$55,'BA History'!N:N, 1)</f>
        <v>8</v>
      </c>
      <c r="V55" s="2">
        <f>COUNTIFS('BA History'!$B:$B,$A$55,'BA History'!O:O, 1)</f>
        <v>2</v>
      </c>
      <c r="W55" s="2">
        <f>COUNTIFS('BA History'!$B:$B,$A$55,'BA History'!P:P, 1)</f>
        <v>1</v>
      </c>
      <c r="X55" s="2">
        <f>COUNTIFS('BA History'!$B:$B,$A$55,'BA History'!Q:Q, 1)</f>
        <v>3</v>
      </c>
      <c r="Y55" s="2">
        <f>COUNTIFS('BA History'!$B:$B,$A$55,'BA History'!R:R, 1)</f>
        <v>2</v>
      </c>
      <c r="Z55" s="2">
        <f>COUNTIFS('BA History'!$B:$B,$A$55,'BA History'!S:S, 1)</f>
        <v>1</v>
      </c>
      <c r="AA55" s="2">
        <f>COUNTIFS('BA History'!$B:$B,$A$55,'BA History'!T:T, 1)</f>
        <v>0</v>
      </c>
      <c r="AB55" s="2">
        <f>COUNTIFS('BA History'!$B:$B,$A$55,'BA History'!U:U, 1)</f>
        <v>2</v>
      </c>
      <c r="AC55" s="2">
        <f>COUNTIFS('BA History'!$B:$B,$A$55,'BA History'!V:V, 1)</f>
        <v>5</v>
      </c>
      <c r="AD55" s="2">
        <f>COUNTIFS('BA History'!$B:$B,$A$55,'BA History'!W:W, 1)</f>
        <v>0</v>
      </c>
      <c r="AE55" s="2">
        <f>COUNTIFS('BA History'!$B:$B,$A$55,'BA History'!X:X, 1)</f>
        <v>0</v>
      </c>
      <c r="AF55" s="2">
        <f>COUNTIFS('BA History'!$B:$B,$A$55,'BA History'!Y:Y, 1)</f>
        <v>8</v>
      </c>
      <c r="AG55" s="2">
        <f>COUNTIFS('BA History'!$B:$B,$A$55,'BA History'!Z:Z, 1)</f>
        <v>9</v>
      </c>
      <c r="AH55" s="2">
        <f>COUNTIFS('BA History'!$B:$B,$A55,'BA History'!AA:AA, 1)</f>
        <v>0</v>
      </c>
      <c r="AI55" s="2">
        <f>COUNTIFS('BA History'!$B:$B,$A$55,'BA History'!AB:AB, 1)</f>
        <v>0</v>
      </c>
      <c r="AJ55" s="2">
        <f>COUNTIFS('BA History'!$B:$B,$A$55,'BA History'!AC:AC, 1)</f>
        <v>12</v>
      </c>
      <c r="AK55" s="2">
        <f>COUNTIFS('BA History'!$B:$B,$A$55,'BA History'!AD:AD, 1)</f>
        <v>8</v>
      </c>
      <c r="AL55" s="2">
        <f>COUNTIFS('BA History'!$B:$B,$A$55,'BA History'!AE:AE, 1)</f>
        <v>2</v>
      </c>
      <c r="AM55" s="2">
        <f>COUNTIFS('BA History'!$B:$B,$A$55,'BA History'!AF:AF, 1)</f>
        <v>0</v>
      </c>
      <c r="AN55" s="2">
        <f>COUNTIFS('BA History'!$B:$B,$A$55,'BA History'!AG:AG, 1)</f>
        <v>4</v>
      </c>
    </row>
    <row r="56" spans="1:40" x14ac:dyDescent="0.25">
      <c r="A56" s="2" t="s">
        <v>14</v>
      </c>
      <c r="B56" s="2" t="s">
        <v>79</v>
      </c>
      <c r="C56" s="2">
        <v>1</v>
      </c>
      <c r="D56" s="2"/>
      <c r="E56" s="2"/>
      <c r="F56" s="34">
        <f>SUMIFS('BA History'!C:C,'BA History'!B:B,A56)</f>
        <v>352</v>
      </c>
      <c r="G56" s="66">
        <f>AVERAGEIFS('BA History'!C:C,'BA History'!B:B,A56)</f>
        <v>16.761904761904763</v>
      </c>
      <c r="H56" s="35">
        <f t="array" ref="H56">MAX(IF('BA History'!B:B=A56, 'BA History'!C:C))</f>
        <v>30</v>
      </c>
      <c r="I56" s="34">
        <f>COUNTIFS('BA History'!B:B,A56,'BA History'!D:D, 1)</f>
        <v>10</v>
      </c>
      <c r="J56" s="2">
        <f>COUNTIFS('BA History'!B:B,A56,'BA History'!D:D, 0)</f>
        <v>11</v>
      </c>
      <c r="K56" s="75">
        <f>LOOKUP(2, 1/('BA History'!$B:$B=A56), 'BA History'!$AK:$AK)</f>
        <v>0.47619047619047616</v>
      </c>
      <c r="L56" s="34">
        <f>SUMIFS('BA History'!F:F,'BA History'!B:B,A56)</f>
        <v>41</v>
      </c>
      <c r="M56" s="2">
        <f>SUMIFS('BA History'!E:E,'BA History'!B:B,A56)-L56</f>
        <v>45</v>
      </c>
      <c r="N56" s="75">
        <f>LOOKUP(2, 1/('BA History'!$B:$B=A56), 'BA History'!$AI:$AI)</f>
        <v>0.48190476190476189</v>
      </c>
      <c r="O56" s="34">
        <f>SUMIFS('BA History'!H:H,'BA History'!B:B,A56)</f>
        <v>176</v>
      </c>
      <c r="P56" s="2">
        <f>SUMIFS('BA History'!G:G,'BA History'!B:B,A56)-O56</f>
        <v>177</v>
      </c>
      <c r="Q56" s="89">
        <f>LOOKUP(2, 1/('BA History'!$B:$B=A56), 'BA History'!$AJ:$AJ)</f>
        <v>0.49666666666666665</v>
      </c>
      <c r="R56" s="2">
        <f>COUNTIFS('BA History'!$B:$B,$A$56,'BA History'!K:K, 1)</f>
        <v>1</v>
      </c>
      <c r="S56" s="2">
        <f>COUNTIFS('BA History'!$B:$B,$A$56,'BA History'!L:L, 1)</f>
        <v>3</v>
      </c>
      <c r="T56" s="2">
        <f>COUNTIFS('BA History'!$B:$B,$A$56,'BA History'!M:M, 1)</f>
        <v>0</v>
      </c>
      <c r="U56" s="2">
        <f>COUNTIFS('BA History'!$B:$B,$A$56,'BA History'!N:N, 1)</f>
        <v>2</v>
      </c>
      <c r="V56" s="2">
        <f>COUNTIFS('BA History'!$B:$B,$A$56,'BA History'!O:O, 1)</f>
        <v>0</v>
      </c>
      <c r="W56" s="2">
        <f>COUNTIFS('BA History'!$B:$B,$A$56,'BA History'!P:P, 1)</f>
        <v>0</v>
      </c>
      <c r="X56" s="2">
        <f>COUNTIFS('BA History'!$B:$B,$A$56,'BA History'!Q:Q, 1)</f>
        <v>3</v>
      </c>
      <c r="Y56" s="2">
        <f>COUNTIFS('BA History'!$B:$B,$A$56,'BA History'!R:R, 1)</f>
        <v>1</v>
      </c>
      <c r="Z56" s="2">
        <f>COUNTIFS('BA History'!$B:$B,$A$56,'BA History'!S:S, 1)</f>
        <v>0</v>
      </c>
      <c r="AA56" s="2">
        <f>COUNTIFS('BA History'!$B:$B,$A$56,'BA History'!T:T, 1)</f>
        <v>1</v>
      </c>
      <c r="AB56" s="2">
        <f>COUNTIFS('BA History'!$B:$B,$A$56,'BA History'!U:U, 1)</f>
        <v>1</v>
      </c>
      <c r="AC56" s="2">
        <f>COUNTIFS('BA History'!$B:$B,$A$56,'BA History'!V:V, 1)</f>
        <v>2</v>
      </c>
      <c r="AD56" s="2">
        <f>COUNTIFS('BA History'!$B:$B,$A$56,'BA History'!W:W, 1)</f>
        <v>2</v>
      </c>
      <c r="AE56" s="2">
        <f>COUNTIFS('BA History'!$B:$B,$A$56,'BA History'!X:X, 1)</f>
        <v>1</v>
      </c>
      <c r="AF56" s="2">
        <f>COUNTIFS('BA History'!$B:$B,$A$56,'BA History'!Y:Y, 1)</f>
        <v>5</v>
      </c>
      <c r="AG56" s="2">
        <f>COUNTIFS('BA History'!$B:$B,$A$56,'BA History'!Z:Z, 1)</f>
        <v>6</v>
      </c>
      <c r="AH56" s="2">
        <f>COUNTIFS('BA History'!$B:$B,$A56,'BA History'!AA:AA, 1)</f>
        <v>0</v>
      </c>
      <c r="AI56" s="2">
        <f>COUNTIFS('BA History'!$B:$B,$A$56,'BA History'!AB:AB, 1)</f>
        <v>1</v>
      </c>
      <c r="AJ56" s="2">
        <f>COUNTIFS('BA History'!$B:$B,$A$56,'BA History'!AC:AC, 1)</f>
        <v>8</v>
      </c>
      <c r="AK56" s="2">
        <f>COUNTIFS('BA History'!$B:$B,$A$56,'BA History'!AD:AD, 1)</f>
        <v>4</v>
      </c>
      <c r="AL56" s="2">
        <f>COUNTIFS('BA History'!$B:$B,$A$56,'BA History'!AE:AE, 1)</f>
        <v>0</v>
      </c>
      <c r="AM56" s="2">
        <f>COUNTIFS('BA History'!$B:$B,$A$56,'BA History'!AF:AF, 1)</f>
        <v>0</v>
      </c>
      <c r="AN56" s="2">
        <f>COUNTIFS('BA History'!$B:$B,$A$56,'BA History'!AG:AG, 1)</f>
        <v>0</v>
      </c>
    </row>
    <row r="57" spans="1:40" x14ac:dyDescent="0.25">
      <c r="A57" s="2" t="s">
        <v>70</v>
      </c>
      <c r="B57" s="2" t="s">
        <v>79</v>
      </c>
      <c r="C57" s="2"/>
      <c r="D57" s="2"/>
      <c r="E57" s="2"/>
      <c r="F57" s="34">
        <f>SUMIFS('BA History'!C:C,'BA History'!B:B,A57)</f>
        <v>89</v>
      </c>
      <c r="G57" s="66">
        <f>AVERAGEIFS('BA History'!C:C,'BA History'!B:B,A57)</f>
        <v>11.125</v>
      </c>
      <c r="H57" s="35">
        <f t="array" ref="H57">MAX(IF('BA History'!B:B=A57, 'BA History'!C:C))</f>
        <v>19</v>
      </c>
      <c r="I57" s="34">
        <f>COUNTIFS('BA History'!B:B,A57,'BA History'!D:D, 1)</f>
        <v>5</v>
      </c>
      <c r="J57" s="2">
        <f>COUNTIFS('BA History'!B:B,A57,'BA History'!D:D, 0)</f>
        <v>3</v>
      </c>
      <c r="K57" s="75">
        <f>LOOKUP(2, 1/('BA History'!$B:$B=A57), 'BA History'!$AK:$AK)</f>
        <v>0.625</v>
      </c>
      <c r="L57" s="34">
        <f>SUMIFS('BA History'!F:F,'BA History'!B:B,A57)</f>
        <v>17</v>
      </c>
      <c r="M57" s="2">
        <f>SUMIFS('BA History'!E:E,'BA History'!B:B,A57)-L57</f>
        <v>16</v>
      </c>
      <c r="N57" s="75">
        <f>LOOKUP(2, 1/('BA History'!$B:$B=A57), 'BA History'!$AI:$AI)</f>
        <v>0.50625000000000009</v>
      </c>
      <c r="O57" s="34">
        <f>SUMIFS('BA History'!H:H,'BA History'!B:B,A57)</f>
        <v>70</v>
      </c>
      <c r="P57" s="2">
        <f>SUMIFS('BA History'!G:G,'BA History'!B:B,A57)-O57</f>
        <v>68</v>
      </c>
      <c r="Q57" s="89">
        <f>LOOKUP(2, 1/('BA History'!$B:$B=A57), 'BA History'!$AJ:$AJ)</f>
        <v>0.50624999999999998</v>
      </c>
      <c r="R57" s="2">
        <f>COUNTIFS('BA History'!$B:$B,$A$57,'BA History'!K:K, 1)</f>
        <v>1</v>
      </c>
      <c r="S57" s="2">
        <f>COUNTIFS('BA History'!$B:$B,$A$57,'BA History'!L:L, 1)</f>
        <v>1</v>
      </c>
      <c r="T57" s="2">
        <f>COUNTIFS('BA History'!$B:$B,$A$57,'BA History'!M:M, 1)</f>
        <v>2</v>
      </c>
      <c r="U57" s="2">
        <f>COUNTIFS('BA History'!$B:$B,$A$57,'BA History'!N:N, 1)</f>
        <v>4</v>
      </c>
      <c r="V57" s="2">
        <f>COUNTIFS('BA History'!$B:$B,$A$57,'BA History'!O:O, 1)</f>
        <v>0</v>
      </c>
      <c r="W57" s="2">
        <f>COUNTIFS('BA History'!$B:$B,$A$57,'BA History'!P:P, 1)</f>
        <v>0</v>
      </c>
      <c r="X57" s="2">
        <f>COUNTIFS('BA History'!$B:$B,$A$57,'BA History'!Q:Q, 1)</f>
        <v>0</v>
      </c>
      <c r="Y57" s="2">
        <f>COUNTIFS('BA History'!$B:$B,$A$57,'BA History'!R:R, 1)</f>
        <v>1</v>
      </c>
      <c r="Z57" s="2">
        <f>COUNTIFS('BA History'!$B:$B,$A$57,'BA History'!S:S, 1)</f>
        <v>0</v>
      </c>
      <c r="AA57" s="2">
        <f>COUNTIFS('BA History'!$B:$B,$A$57,'BA History'!T:T, 1)</f>
        <v>0</v>
      </c>
      <c r="AB57" s="2">
        <f>COUNTIFS('BA History'!$B:$B,$A$57,'BA History'!U:U, 1)</f>
        <v>0</v>
      </c>
      <c r="AC57" s="2">
        <f>COUNTIFS('BA History'!$B:$B,$A$57,'BA History'!V:V, 1)</f>
        <v>1</v>
      </c>
      <c r="AD57" s="2">
        <f>COUNTIFS('BA History'!$B:$B,$A$57,'BA History'!W:W, 1)</f>
        <v>1</v>
      </c>
      <c r="AE57" s="2">
        <f>COUNTIFS('BA History'!$B:$B,$A$57,'BA History'!X:X, 1)</f>
        <v>0</v>
      </c>
      <c r="AF57" s="2">
        <f>COUNTIFS('BA History'!$B:$B,$A$57,'BA History'!Y:Y, 1)</f>
        <v>1</v>
      </c>
      <c r="AG57" s="2">
        <f>COUNTIFS('BA History'!$B:$B,$A$57,'BA History'!Z:Z, 1)</f>
        <v>0</v>
      </c>
      <c r="AH57" s="2">
        <f>COUNTIFS('BA History'!$B:$B,$A57,'BA History'!AA:AA, 1)</f>
        <v>0</v>
      </c>
      <c r="AI57" s="2">
        <f>COUNTIFS('BA History'!$B:$B,$A$57,'BA History'!AB:AB, 1)</f>
        <v>0</v>
      </c>
      <c r="AJ57" s="2">
        <f>COUNTIFS('BA History'!$B:$B,$A$57,'BA History'!AC:AC, 1)</f>
        <v>0</v>
      </c>
      <c r="AK57" s="2">
        <f>COUNTIFS('BA History'!$B:$B,$A$57,'BA History'!AD:AD, 1)</f>
        <v>0</v>
      </c>
      <c r="AL57" s="2">
        <f>COUNTIFS('BA History'!$B:$B,$A$57,'BA History'!AE:AE, 1)</f>
        <v>3</v>
      </c>
      <c r="AM57" s="2">
        <f>COUNTIFS('BA History'!$B:$B,$A$57,'BA History'!AF:AF, 1)</f>
        <v>0</v>
      </c>
      <c r="AN57" s="2">
        <f>COUNTIFS('BA History'!$B:$B,$A$57,'BA History'!AG:AG, 1)</f>
        <v>2</v>
      </c>
    </row>
    <row r="58" spans="1:40" x14ac:dyDescent="0.25">
      <c r="A58" s="2" t="s">
        <v>4</v>
      </c>
      <c r="B58" s="1" t="s">
        <v>158</v>
      </c>
      <c r="C58" s="1">
        <v>1</v>
      </c>
      <c r="D58" s="1">
        <v>1</v>
      </c>
      <c r="E58" s="1"/>
      <c r="F58" s="34">
        <f>SUMIFS('BA History'!C:C,'BA History'!B:B,A58)</f>
        <v>899</v>
      </c>
      <c r="G58" s="66">
        <f>AVERAGEIFS('BA History'!C:C,'BA History'!B:B,A58)</f>
        <v>24.297297297297298</v>
      </c>
      <c r="H58" s="35">
        <f t="array" ref="H58">MAX(IF('BA History'!B:B=A58, 'BA History'!C:C))</f>
        <v>41</v>
      </c>
      <c r="I58" s="34">
        <f>COUNTIFS('BA History'!B:B,A58,'BA History'!D:D, 1)</f>
        <v>14</v>
      </c>
      <c r="J58" s="2">
        <f>COUNTIFS('BA History'!B:B,A58,'BA History'!D:D, 0)</f>
        <v>23</v>
      </c>
      <c r="K58" s="75">
        <f>LOOKUP(2, 1/('BA History'!$B:$B=A58), 'BA History'!$AK:$AK)</f>
        <v>0.3783783783783784</v>
      </c>
      <c r="L58" s="34">
        <f>SUMIFS('BA History'!F:F,'BA History'!B:B,A58)</f>
        <v>69</v>
      </c>
      <c r="M58" s="2">
        <f>SUMIFS('BA History'!E:E,'BA History'!B:B,A58)-L58</f>
        <v>84</v>
      </c>
      <c r="N58" s="75">
        <f>LOOKUP(2, 1/('BA History'!$B:$B=A58), 'BA History'!$AI:$AI)</f>
        <v>0.45405405405405408</v>
      </c>
      <c r="O58" s="34">
        <f>SUMIFS('BA History'!H:H,'BA History'!B:B,A58)</f>
        <v>299</v>
      </c>
      <c r="P58" s="2">
        <f>SUMIFS('BA History'!G:G,'BA History'!B:B,A58)-O58</f>
        <v>332</v>
      </c>
      <c r="Q58" s="89">
        <f>LOOKUP(2, 1/('BA History'!$B:$B=A58), 'BA History'!$AJ:$AJ)</f>
        <v>0.47027027027027024</v>
      </c>
      <c r="R58" s="2">
        <f>COUNTIFS('BA History'!$B:$B,$A$58,'BA History'!K:K, 1)</f>
        <v>3</v>
      </c>
      <c r="S58" s="2">
        <f>COUNTIFS('BA History'!$B:$B,$A$58,'BA History'!L:L, 1)</f>
        <v>7</v>
      </c>
      <c r="T58" s="2">
        <f>COUNTIFS('BA History'!$B:$B,$A$58,'BA History'!M:M, 1)</f>
        <v>6</v>
      </c>
      <c r="U58" s="2">
        <f>COUNTIFS('BA History'!$B:$B,$A$58,'BA History'!N:N, 1)</f>
        <v>8</v>
      </c>
      <c r="V58" s="2">
        <f>COUNTIFS('BA History'!$B:$B,$A$58,'BA History'!O:O, 1)</f>
        <v>1</v>
      </c>
      <c r="W58" s="2">
        <f>COUNTIFS('BA History'!$B:$B,$A$58,'BA History'!P:P, 1)</f>
        <v>0</v>
      </c>
      <c r="X58" s="2">
        <f>COUNTIFS('BA History'!$B:$B,$A$58,'BA History'!Q:Q, 1)</f>
        <v>1</v>
      </c>
      <c r="Y58" s="2">
        <f>COUNTIFS('BA History'!$B:$B,$A$58,'BA History'!R:R, 1)</f>
        <v>0</v>
      </c>
      <c r="Z58" s="2">
        <f>COUNTIFS('BA History'!$B:$B,$A$58,'BA History'!S:S, 1)</f>
        <v>0</v>
      </c>
      <c r="AA58" s="2">
        <f>COUNTIFS('BA History'!$B:$B,$A$58,'BA History'!T:T, 1)</f>
        <v>0</v>
      </c>
      <c r="AB58" s="2">
        <f>COUNTIFS('BA History'!$B:$B,$A$58,'BA History'!U:U, 1)</f>
        <v>3</v>
      </c>
      <c r="AC58" s="2">
        <f>COUNTIFS('BA History'!$B:$B,$A$58,'BA History'!V:V, 1)</f>
        <v>2</v>
      </c>
      <c r="AD58" s="2">
        <f>COUNTIFS('BA History'!$B:$B,$A$58,'BA History'!W:W, 1)</f>
        <v>1</v>
      </c>
      <c r="AE58" s="2">
        <f>COUNTIFS('BA History'!$B:$B,$A$58,'BA History'!X:X, 1)</f>
        <v>0</v>
      </c>
      <c r="AF58" s="2">
        <f>COUNTIFS('BA History'!$B:$B,$A$58,'BA History'!Y:Y, 1)</f>
        <v>9</v>
      </c>
      <c r="AG58" s="2">
        <f>COUNTIFS('BA History'!$B:$B,$A$58,'BA History'!Z:Z, 1)</f>
        <v>3</v>
      </c>
      <c r="AH58" s="2">
        <f>COUNTIFS('BA History'!$B:$B,$A58,'BA History'!AA:AA, 1)</f>
        <v>1</v>
      </c>
      <c r="AI58" s="2">
        <f>COUNTIFS('BA History'!$B:$B,$A$58,'BA History'!AB:AB, 1)</f>
        <v>0</v>
      </c>
      <c r="AJ58" s="2">
        <f>COUNTIFS('BA History'!$B:$B,$A$58,'BA History'!AC:AC, 1)</f>
        <v>10</v>
      </c>
      <c r="AK58" s="2">
        <f>COUNTIFS('BA History'!$B:$B,$A$58,'BA History'!AD:AD, 1)</f>
        <v>7</v>
      </c>
      <c r="AL58" s="2">
        <f>COUNTIFS('BA History'!$B:$B,$A$58,'BA History'!AE:AE, 1)</f>
        <v>5</v>
      </c>
      <c r="AM58" s="2">
        <f>COUNTIFS('BA History'!$B:$B,$A$58,'BA History'!AF:AF, 1)</f>
        <v>1</v>
      </c>
      <c r="AN58" s="2">
        <f>COUNTIFS('BA History'!$B:$B,$A$58,'BA History'!AG:AG, 1)</f>
        <v>1</v>
      </c>
    </row>
    <row r="59" spans="1:40" x14ac:dyDescent="0.25">
      <c r="A59" s="1" t="s">
        <v>107</v>
      </c>
      <c r="B59" s="2" t="s">
        <v>79</v>
      </c>
      <c r="C59" s="2"/>
      <c r="D59" s="2"/>
      <c r="E59" s="2"/>
      <c r="F59" s="34">
        <f>SUMIFS('BA History'!C:C,'BA History'!B:B,A59)</f>
        <v>729</v>
      </c>
      <c r="G59" s="66">
        <f>AVERAGEIFS('BA History'!C:C,'BA History'!B:B,A59)</f>
        <v>15.847826086956522</v>
      </c>
      <c r="H59" s="35">
        <f t="array" ref="H59">MAX(IF('BA History'!B:B=A59, 'BA History'!C:C))</f>
        <v>35</v>
      </c>
      <c r="I59" s="34">
        <f>COUNTIFS('BA History'!B:B,A59,'BA History'!D:D, 1)</f>
        <v>26</v>
      </c>
      <c r="J59" s="2">
        <f>COUNTIFS('BA History'!B:B,A59,'BA History'!D:D, 0)</f>
        <v>20</v>
      </c>
      <c r="K59" s="75">
        <f>LOOKUP(2, 1/('BA History'!$B:$B=A59), 'BA History'!$AK:$AK)</f>
        <v>0.56521739130434778</v>
      </c>
      <c r="L59" s="34">
        <f>SUMIFS('BA History'!F:F,'BA History'!B:B,A59)</f>
        <v>95</v>
      </c>
      <c r="M59" s="2">
        <f>SUMIFS('BA History'!E:E,'BA History'!B:B,A59)-L59</f>
        <v>90</v>
      </c>
      <c r="N59" s="75">
        <f>LOOKUP(2, 1/('BA History'!$B:$B=A59), 'BA History'!$AI:$AI)</f>
        <v>0.50108695652173918</v>
      </c>
      <c r="O59" s="34">
        <f>SUMIFS('BA History'!H:H,'BA History'!B:B,A59)</f>
        <v>395</v>
      </c>
      <c r="P59" s="2">
        <f>SUMIFS('BA History'!G:G,'BA History'!B:B,A59)-O59</f>
        <v>367</v>
      </c>
      <c r="Q59" s="89">
        <f>LOOKUP(2, 1/('BA History'!$B:$B=A59), 'BA History'!$AJ:$AJ)</f>
        <v>0.51260869565217382</v>
      </c>
      <c r="R59" s="2">
        <f>COUNTIFS('BA History'!$B:$B,$A$59,'BA History'!K:K, 1)</f>
        <v>5</v>
      </c>
      <c r="S59" s="2">
        <f>COUNTIFS('BA History'!$B:$B,$A$59,'BA History'!L:L, 1)</f>
        <v>3</v>
      </c>
      <c r="T59" s="2">
        <f>COUNTIFS('BA History'!$B:$B,$A$59,'BA History'!M:M, 1)</f>
        <v>12</v>
      </c>
      <c r="U59" s="2">
        <f>COUNTIFS('BA History'!$B:$B,$A$59,'BA History'!N:N, 1)</f>
        <v>12</v>
      </c>
      <c r="V59" s="2">
        <f>COUNTIFS('BA History'!$B:$B,$A$59,'BA History'!O:O, 1)</f>
        <v>2</v>
      </c>
      <c r="W59" s="2">
        <f>COUNTIFS('BA History'!$B:$B,$A$59,'BA History'!P:P, 1)</f>
        <v>1</v>
      </c>
      <c r="X59" s="2">
        <f>COUNTIFS('BA History'!$B:$B,$A$59,'BA History'!Q:Q, 1)</f>
        <v>2</v>
      </c>
      <c r="Y59" s="2">
        <f>COUNTIFS('BA History'!$B:$B,$A$59,'BA History'!R:R, 1)</f>
        <v>2</v>
      </c>
      <c r="Z59" s="2">
        <f>COUNTIFS('BA History'!$B:$B,$A$59,'BA History'!S:S, 1)</f>
        <v>1</v>
      </c>
      <c r="AA59" s="2">
        <f>COUNTIFS('BA History'!$B:$B,$A$59,'BA History'!T:T, 1)</f>
        <v>0</v>
      </c>
      <c r="AB59" s="2">
        <f>COUNTIFS('BA History'!$B:$B,$A$59,'BA History'!U:U, 1)</f>
        <v>2</v>
      </c>
      <c r="AC59" s="2">
        <f>COUNTIFS('BA History'!$B:$B,$A$59,'BA History'!V:V, 1)</f>
        <v>3</v>
      </c>
      <c r="AD59" s="2">
        <f>COUNTIFS('BA History'!$B:$B,$A$59,'BA History'!W:W, 1)</f>
        <v>2</v>
      </c>
      <c r="AE59" s="2">
        <f>COUNTIFS('BA History'!$B:$B,$A$59,'BA History'!X:X, 1)</f>
        <v>0</v>
      </c>
      <c r="AF59" s="2">
        <f>COUNTIFS('BA History'!$B:$B,$A$59,'BA History'!Y:Y, 1)</f>
        <v>7</v>
      </c>
      <c r="AG59" s="2">
        <f>COUNTIFS('BA History'!$B:$B,$A$59,'BA History'!Z:Z, 1)</f>
        <v>10</v>
      </c>
      <c r="AH59" s="2">
        <f>COUNTIFS('BA History'!$B:$B,$A59,'BA History'!AA:AA, 1)</f>
        <v>1</v>
      </c>
      <c r="AI59" s="2">
        <f>COUNTIFS('BA History'!$B:$B,$A$59,'BA History'!AB:AB, 1)</f>
        <v>1</v>
      </c>
      <c r="AJ59" s="2">
        <f>COUNTIFS('BA History'!$B:$B,$A$59,'BA History'!AC:AC, 1)</f>
        <v>9</v>
      </c>
      <c r="AK59" s="2">
        <f>COUNTIFS('BA History'!$B:$B,$A$59,'BA History'!AD:AD, 1)</f>
        <v>5</v>
      </c>
      <c r="AL59" s="2">
        <f>COUNTIFS('BA History'!$B:$B,$A$59,'BA History'!AE:AE, 1)</f>
        <v>9</v>
      </c>
      <c r="AM59" s="2">
        <f>COUNTIFS('BA History'!$B:$B,$A$59,'BA History'!AF:AF, 1)</f>
        <v>0</v>
      </c>
      <c r="AN59" s="2">
        <f>COUNTIFS('BA History'!$B:$B,$A$59,'BA History'!AG:AG, 1)</f>
        <v>6</v>
      </c>
    </row>
    <row r="60" spans="1:40" x14ac:dyDescent="0.25">
      <c r="A60" s="2" t="s">
        <v>94</v>
      </c>
      <c r="B60" s="2" t="s">
        <v>79</v>
      </c>
      <c r="C60" s="2"/>
      <c r="D60" s="2"/>
      <c r="E60" s="2"/>
      <c r="F60" s="34">
        <f>SUMIFS('BA History'!C:C,'BA History'!B:B,A60)</f>
        <v>18</v>
      </c>
      <c r="G60" s="66">
        <f>AVERAGEIFS('BA History'!C:C,'BA History'!B:B,A60)</f>
        <v>18</v>
      </c>
      <c r="H60" s="35">
        <f t="array" ref="H60">MAX(IF('BA History'!B:B=A60, 'BA History'!C:C))</f>
        <v>18</v>
      </c>
      <c r="I60" s="34">
        <f>COUNTIFS('BA History'!B:B,A60,'BA History'!D:D, 1)</f>
        <v>1</v>
      </c>
      <c r="J60" s="2">
        <f>COUNTIFS('BA History'!B:B,A60,'BA History'!D:D, 0)</f>
        <v>0</v>
      </c>
      <c r="K60" s="75">
        <f>LOOKUP(2, 1/('BA History'!$B:$B=A60), 'BA History'!$AK:$AK)</f>
        <v>1</v>
      </c>
      <c r="L60" s="34">
        <f>SUMIFS('BA History'!F:F,'BA History'!B:B,A60)</f>
        <v>3</v>
      </c>
      <c r="M60" s="2">
        <f>SUMIFS('BA History'!E:E,'BA History'!B:B,A60)-L60</f>
        <v>2</v>
      </c>
      <c r="N60" s="75">
        <f>LOOKUP(2, 1/('BA History'!$B:$B=A60), 'BA History'!$AI:$AI)</f>
        <v>0.6</v>
      </c>
      <c r="O60" s="34">
        <f>SUMIFS('BA History'!H:H,'BA History'!B:B,A60)</f>
        <v>11</v>
      </c>
      <c r="P60" s="2">
        <f>SUMIFS('BA History'!G:G,'BA History'!B:B,A60)-O60</f>
        <v>10</v>
      </c>
      <c r="Q60" s="89">
        <f>LOOKUP(2, 1/('BA History'!$B:$B=A60), 'BA History'!$AJ:$AJ)</f>
        <v>0.52</v>
      </c>
      <c r="R60" s="2">
        <f>COUNTIFS('BA History'!$B:$B,$A$60,'BA History'!K:K, 1)</f>
        <v>0</v>
      </c>
      <c r="S60" s="2">
        <f>COUNTIFS('BA History'!$B:$B,$A$60,'BA History'!L:L, 1)</f>
        <v>0</v>
      </c>
      <c r="T60" s="2">
        <f>COUNTIFS('BA History'!$B:$B,$A$60,'BA History'!M:M, 1)</f>
        <v>0</v>
      </c>
      <c r="U60" s="2">
        <f>COUNTIFS('BA History'!$B:$B,$A$60,'BA History'!N:N, 1)</f>
        <v>0</v>
      </c>
      <c r="V60" s="2">
        <f>COUNTIFS('BA History'!$B:$B,$A$60,'BA History'!O:O, 1)</f>
        <v>0</v>
      </c>
      <c r="W60" s="2">
        <f>COUNTIFS('BA History'!$B:$B,$A$60,'BA History'!P:P, 1)</f>
        <v>0</v>
      </c>
      <c r="X60" s="2">
        <f>COUNTIFS('BA History'!$B:$B,$A$60,'BA History'!Q:Q, 1)</f>
        <v>0</v>
      </c>
      <c r="Y60" s="2">
        <f>COUNTIFS('BA History'!$B:$B,$A$60,'BA History'!R:R, 1)</f>
        <v>0</v>
      </c>
      <c r="Z60" s="2">
        <f>COUNTIFS('BA History'!$B:$B,$A$60,'BA History'!S:S, 1)</f>
        <v>0</v>
      </c>
      <c r="AA60" s="2">
        <f>COUNTIFS('BA History'!$B:$B,$A$60,'BA History'!T:T, 1)</f>
        <v>0</v>
      </c>
      <c r="AB60" s="2">
        <f>COUNTIFS('BA History'!$B:$B,$A$60,'BA History'!U:U, 1)</f>
        <v>0</v>
      </c>
      <c r="AC60" s="2">
        <f>COUNTIFS('BA History'!$B:$B,$A$60,'BA History'!V:V, 1)</f>
        <v>0</v>
      </c>
      <c r="AD60" s="2">
        <f>COUNTIFS('BA History'!$B:$B,$A$60,'BA History'!W:W, 1)</f>
        <v>1</v>
      </c>
      <c r="AE60" s="2">
        <f>COUNTIFS('BA History'!$B:$B,$A$60,'BA History'!X:X, 1)</f>
        <v>1</v>
      </c>
      <c r="AF60" s="2">
        <f>COUNTIFS('BA History'!$B:$B,$A$60,'BA History'!Y:Y, 1)</f>
        <v>0</v>
      </c>
      <c r="AG60" s="2">
        <f>COUNTIFS('BA History'!$B:$B,$A$60,'BA History'!Z:Z, 1)</f>
        <v>1</v>
      </c>
      <c r="AH60" s="2">
        <f>COUNTIFS('BA History'!$B:$B,$A60,'BA History'!AA:AA, 1)</f>
        <v>0</v>
      </c>
      <c r="AI60" s="2">
        <f>COUNTIFS('BA History'!$B:$B,$A$60,'BA History'!AB:AB, 1)</f>
        <v>0</v>
      </c>
      <c r="AJ60" s="2">
        <f>COUNTIFS('BA History'!$B:$B,$A$60,'BA History'!AC:AC, 1)</f>
        <v>0</v>
      </c>
      <c r="AK60" s="2">
        <f>COUNTIFS('BA History'!$B:$B,$A$60,'BA History'!AD:AD, 1)</f>
        <v>0</v>
      </c>
      <c r="AL60" s="2">
        <f>COUNTIFS('BA History'!$B:$B,$A$60,'BA History'!AE:AE, 1)</f>
        <v>0</v>
      </c>
      <c r="AM60" s="2">
        <f>COUNTIFS('BA History'!$B:$B,$A$60,'BA History'!AF:AF, 1)</f>
        <v>0</v>
      </c>
      <c r="AN60" s="2">
        <f>COUNTIFS('BA History'!$B:$B,$A$60,'BA History'!AG:AG, 1)</f>
        <v>0</v>
      </c>
    </row>
    <row r="61" spans="1:40" ht="15.75" thickBot="1" x14ac:dyDescent="0.3">
      <c r="A61" s="2" t="s">
        <v>55</v>
      </c>
      <c r="B61" s="2" t="s">
        <v>79</v>
      </c>
      <c r="C61" s="2"/>
      <c r="D61" s="2"/>
      <c r="E61" s="2"/>
      <c r="F61" s="34">
        <f>SUMIFS('BA History'!C:C,'BA History'!B:B,A61)</f>
        <v>2</v>
      </c>
      <c r="G61" s="66">
        <f>AVERAGEIFS('BA History'!C:C,'BA History'!B:B,A61)</f>
        <v>2</v>
      </c>
      <c r="H61" s="35">
        <f t="array" ref="H61">MAX(IF('BA History'!B:B=A61, 'BA History'!C:C))</f>
        <v>2</v>
      </c>
      <c r="I61" s="34">
        <f>COUNTIFS('BA History'!B:B,A61,'BA History'!D:D, 1)</f>
        <v>0</v>
      </c>
      <c r="J61" s="2">
        <f>COUNTIFS('BA History'!B:B,A61,'BA History'!D:D, 0)</f>
        <v>1</v>
      </c>
      <c r="K61" s="75">
        <f>LOOKUP(2, 1/('BA History'!$B:$B=A61), 'BA History'!$AK:$AK)</f>
        <v>0</v>
      </c>
      <c r="L61" s="34">
        <f>SUMIFS('BA History'!F:F,'BA History'!B:B,A61)</f>
        <v>0</v>
      </c>
      <c r="M61" s="2">
        <f>SUMIFS('BA History'!E:E,'BA History'!B:B,A61)-L61</f>
        <v>3</v>
      </c>
      <c r="N61" s="75">
        <f>LOOKUP(2, 1/('BA History'!$B:$B=A61), 'BA History'!$AI:$AI)</f>
        <v>0</v>
      </c>
      <c r="O61" s="34">
        <f>SUMIFS('BA History'!H:H,'BA History'!B:B,A61)</f>
        <v>4</v>
      </c>
      <c r="P61" s="48">
        <v>9</v>
      </c>
      <c r="Q61" s="89">
        <f>LOOKUP(2, 1/('BA History'!$B:$B=A61), 'BA History'!$AJ:$AJ)</f>
        <v>0.31</v>
      </c>
      <c r="R61" s="2">
        <f>COUNTIFS('BA History'!$B:$B,$A$61,'BA History'!K:K, 1)</f>
        <v>0</v>
      </c>
      <c r="S61" s="2">
        <f>COUNTIFS('BA History'!$B:$B,$A$61,'BA History'!L:L, 1)</f>
        <v>0</v>
      </c>
      <c r="T61" s="2">
        <f>COUNTIFS('BA History'!$B:$B,$A$61,'BA History'!M:M, 1)</f>
        <v>0</v>
      </c>
      <c r="U61" s="2">
        <f>COUNTIFS('BA History'!$B:$B,$A$61,'BA History'!N:N, 1)</f>
        <v>0</v>
      </c>
      <c r="V61" s="2">
        <f>COUNTIFS('BA History'!$B:$B,$A$61,'BA History'!O:O, 1)</f>
        <v>0</v>
      </c>
      <c r="W61" s="2">
        <f>COUNTIFS('BA History'!$B:$B,$A$61,'BA History'!P:P, 1)</f>
        <v>0</v>
      </c>
      <c r="X61" s="2">
        <f>COUNTIFS('BA History'!$B:$B,$A$61,'BA History'!Q:Q, 1)</f>
        <v>0</v>
      </c>
      <c r="Y61" s="2">
        <f>COUNTIFS('BA History'!$B:$B,$A$61,'BA History'!R:R, 1)</f>
        <v>0</v>
      </c>
      <c r="Z61" s="2">
        <f>COUNTIFS('BA History'!$B:$B,$A$61,'BA History'!S:S, 1)</f>
        <v>0</v>
      </c>
      <c r="AA61" s="2">
        <f>COUNTIFS('BA History'!$B:$B,$A$61,'BA History'!T:T, 1)</f>
        <v>0</v>
      </c>
      <c r="AB61" s="2">
        <f>COUNTIFS('BA History'!$B:$B,$A$61,'BA History'!U:U, 1)</f>
        <v>0</v>
      </c>
      <c r="AC61" s="2">
        <f>COUNTIFS('BA History'!$B:$B,$A$61,'BA History'!V:V, 1)</f>
        <v>0</v>
      </c>
      <c r="AD61" s="2">
        <f>COUNTIFS('BA History'!$B:$B,$A$61,'BA History'!W:W, 1)</f>
        <v>0</v>
      </c>
      <c r="AE61" s="2">
        <f>COUNTIFS('BA History'!$B:$B,$A$61,'BA History'!X:X, 1)</f>
        <v>0</v>
      </c>
      <c r="AF61" s="2">
        <f>COUNTIFS('BA History'!$B:$B,$A$61,'BA History'!Y:Y, 1)</f>
        <v>0</v>
      </c>
      <c r="AG61" s="2">
        <f>COUNTIFS('BA History'!$B:$B,$A$61,'BA History'!Z:Z, 1)</f>
        <v>0</v>
      </c>
      <c r="AH61" s="2">
        <f>COUNTIFS('BA History'!$B:$B,$A61,'BA History'!AA:AA, 1)</f>
        <v>0</v>
      </c>
      <c r="AI61" s="2">
        <f>COUNTIFS('BA History'!$B:$B,$A$61,'BA History'!AB:AB, 1)</f>
        <v>0</v>
      </c>
      <c r="AJ61" s="2">
        <f>COUNTIFS('BA History'!$B:$B,$A$61,'BA History'!AC:AC, 1)</f>
        <v>0</v>
      </c>
      <c r="AK61" s="2">
        <f>COUNTIFS('BA History'!$B:$B,$A$61,'BA History'!AD:AD, 1)</f>
        <v>0</v>
      </c>
      <c r="AL61" s="2">
        <f>COUNTIFS('BA History'!$B:$B,$A$61,'BA History'!AE:AE, 1)</f>
        <v>0</v>
      </c>
      <c r="AM61" s="2">
        <f>COUNTIFS('BA History'!$B:$B,$A$61,'BA History'!AF:AF, 1)</f>
        <v>0</v>
      </c>
      <c r="AN61" s="2">
        <f>COUNTIFS('BA History'!$B:$B,$A$61,'BA History'!AG:AG, 1)</f>
        <v>0</v>
      </c>
    </row>
  </sheetData>
  <autoFilter ref="A1:AN61" xr:uid="{DA548192-1F03-46EA-8AB8-115EB9A7CE5D}">
    <sortState xmlns:xlrd2="http://schemas.microsoft.com/office/spreadsheetml/2017/richdata2" ref="A2:AN61">
      <sortCondition ref="A1:A61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K1068"/>
  <sheetViews>
    <sheetView workbookViewId="0">
      <pane xSplit="2" ySplit="1" topLeftCell="C1042" activePane="bottomRight" state="frozen"/>
      <selection pane="topRight" activeCell="C1" sqref="C1"/>
      <selection pane="bottomLeft" activeCell="A2" sqref="A2"/>
      <selection pane="bottomRight" activeCell="L1071" sqref="L1071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220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AVERAGEIFS($C$2:C2, $B$2:B2, B2)</f>
        <v>25</v>
      </c>
      <c r="AI2" s="86">
        <f>AVERAGEIFS($I$2:I2, $B$2:B2, B2)</f>
        <v>0.6</v>
      </c>
      <c r="AJ2" s="86">
        <f>AVERAGEIFS($J$2:J2, $B$2:B2, B2)</f>
        <v>0.67</v>
      </c>
      <c r="AK2" s="86">
        <f>AVERAGEIFS($D$2:D2, $B$2:B2, B2)</f>
        <v>1</v>
      </c>
    </row>
    <row r="3" spans="1:37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25</v>
      </c>
      <c r="AI3" s="86">
        <f>AVERAGEIFS($I$2:I3, $B$2:B3, B3)</f>
        <v>0.6</v>
      </c>
      <c r="AJ3" s="86">
        <f>AVERAGEIFS($J$2:J3, $B$2:B3, B3)</f>
        <v>0.67</v>
      </c>
      <c r="AK3" s="86">
        <f>AVERAGEIFS($D$2:D3, $B$2:B3, B3)</f>
        <v>1</v>
      </c>
    </row>
    <row r="4" spans="1:37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24</v>
      </c>
      <c r="AI4" s="86">
        <f>AVERAGEIFS($I$2:I4, $B$2:B4, B4)</f>
        <v>0.6</v>
      </c>
      <c r="AJ4" s="86">
        <f>AVERAGEIFS($J$2:J4, $B$2:B4, B4)</f>
        <v>0.67</v>
      </c>
      <c r="AK4" s="86">
        <f>AVERAGEIFS($D$2:D4, $B$2:B4, B4)</f>
        <v>1</v>
      </c>
    </row>
    <row r="5" spans="1:37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16</v>
      </c>
      <c r="AI5" s="86">
        <f>AVERAGEIFS($I$2:I5, $B$2:B5, B5)</f>
        <v>0.6</v>
      </c>
      <c r="AJ5" s="86">
        <f>AVERAGEIFS($J$2:J5, $B$2:B5, B5)</f>
        <v>0.67</v>
      </c>
      <c r="AK5" s="86">
        <f>AVERAGEIFS($D$2:D5, $B$2:B5, B5)</f>
        <v>1</v>
      </c>
    </row>
    <row r="6" spans="1:37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11</v>
      </c>
      <c r="AI6" s="86">
        <f>AVERAGEIFS($I$2:I6, $B$2:B6, B6)</f>
        <v>0.6</v>
      </c>
      <c r="AJ6" s="86">
        <f>AVERAGEIFS($J$2:J6, $B$2:B6, B6)</f>
        <v>0.67</v>
      </c>
      <c r="AK6" s="86">
        <f>AVERAGEIFS($D$2:D6, $B$2:B6, B6)</f>
        <v>1</v>
      </c>
    </row>
    <row r="7" spans="1:37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 s="86">
        <f>AVERAGEIFS($C$2:C7, $B$2:B7, B7)</f>
        <v>7</v>
      </c>
      <c r="AI7" s="86">
        <f>AVERAGEIFS($I$2:I7, $B$2:B7, B7)</f>
        <v>0.6</v>
      </c>
      <c r="AJ7" s="86">
        <f>AVERAGEIFS($J$2:J7, $B$2:B7, B7)</f>
        <v>0.67</v>
      </c>
      <c r="AK7" s="86">
        <f>AVERAGEIFS($D$2:D7, $B$2:B7, B7)</f>
        <v>1</v>
      </c>
    </row>
    <row r="8" spans="1:37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36</v>
      </c>
      <c r="AI8" s="86">
        <f>AVERAGEIFS($I$2:I8, $B$2:B8, B8)</f>
        <v>0.4</v>
      </c>
      <c r="AJ8" s="86">
        <f>AVERAGEIFS($J$2:J8, $B$2:B8, B8)</f>
        <v>0.33</v>
      </c>
      <c r="AK8" s="86">
        <f>AVERAGEIFS($D$2:D8, $B$2:B8, B8)</f>
        <v>0</v>
      </c>
    </row>
    <row r="9" spans="1:37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0.4</v>
      </c>
      <c r="AJ9" s="86">
        <f>AVERAGEIFS($J$2:J9, $B$2:B9, B9)</f>
        <v>0.33</v>
      </c>
      <c r="AK9" s="86">
        <f>AVERAGEIFS($D$2:D9, $B$2:B9, B9)</f>
        <v>0</v>
      </c>
    </row>
    <row r="10" spans="1:37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17</v>
      </c>
      <c r="AI10" s="86">
        <f>AVERAGEIFS($I$2:I10, $B$2:B10, B10)</f>
        <v>0.4</v>
      </c>
      <c r="AJ10" s="86">
        <f>AVERAGEIFS($J$2:J10, $B$2:B10, B10)</f>
        <v>0.33</v>
      </c>
      <c r="AK10" s="86">
        <f>AVERAGEIFS($D$2:D10, $B$2:B10, B10)</f>
        <v>0</v>
      </c>
    </row>
    <row r="11" spans="1:37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12</v>
      </c>
      <c r="AI11" s="86">
        <f>AVERAGEIFS($I$2:I11, $B$2:B11, B11)</f>
        <v>0.4</v>
      </c>
      <c r="AJ11" s="86">
        <f>AVERAGEIFS($J$2:J11, $B$2:B11, B11)</f>
        <v>0.33</v>
      </c>
      <c r="AK11" s="86">
        <f>AVERAGEIFS($D$2:D11, $B$2:B11, B11)</f>
        <v>0</v>
      </c>
    </row>
    <row r="12" spans="1:37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9</v>
      </c>
      <c r="AI12" s="86">
        <f>AVERAGEIFS($I$2:I12, $B$2:B12, B12)</f>
        <v>0.4</v>
      </c>
      <c r="AJ12" s="86">
        <f>AVERAGEIFS($J$2:J12, $B$2:B12, B12)</f>
        <v>0.33</v>
      </c>
      <c r="AK12" s="86">
        <f>AVERAGEIFS($D$2:D12, $B$2:B12, B12)</f>
        <v>0</v>
      </c>
    </row>
    <row r="13" spans="1:37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3</v>
      </c>
      <c r="AI13" s="86">
        <f>AVERAGEIFS($I$2:I13, $B$2:B13, B13)</f>
        <v>0.4</v>
      </c>
      <c r="AJ13" s="86">
        <f>AVERAGEIFS($J$2:J13, $B$2:B13, B13)</f>
        <v>0.33</v>
      </c>
      <c r="AK13" s="86">
        <f>AVERAGEIFS($D$2:D13, $B$2:B13, B13)</f>
        <v>0</v>
      </c>
    </row>
    <row r="14" spans="1:37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</v>
      </c>
      <c r="AF14">
        <v>0</v>
      </c>
      <c r="AG14">
        <v>0</v>
      </c>
      <c r="AH14" s="86">
        <f>AVERAGEIFS($C$2:C14, $B$2:B14, B14)</f>
        <v>9.5</v>
      </c>
      <c r="AI14" s="86">
        <f>AVERAGEIFS($I$2:I14, $B$2:B14, B14)</f>
        <v>0.6</v>
      </c>
      <c r="AJ14" s="86">
        <f>AVERAGEIFS($J$2:J14, $B$2:B14, B14)</f>
        <v>0.57499999999999996</v>
      </c>
      <c r="AK14" s="86">
        <f>AVERAGEIFS($D$2:D14, $B$2:B14, B14)</f>
        <v>1</v>
      </c>
    </row>
    <row r="15" spans="1:37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1</v>
      </c>
      <c r="AF15">
        <v>0</v>
      </c>
      <c r="AG15">
        <v>0</v>
      </c>
      <c r="AH15" s="86">
        <f>AVERAGEIFS($C$2:C15, $B$2:B15, B15)</f>
        <v>27.5</v>
      </c>
      <c r="AI15" s="86">
        <f>AVERAGEIFS($I$2:I15, $B$2:B15, B15)</f>
        <v>0.6</v>
      </c>
      <c r="AJ15" s="86">
        <f>AVERAGEIFS($J$2:J15, $B$2:B15, B15)</f>
        <v>0.57499999999999996</v>
      </c>
      <c r="AK15" s="86">
        <f>AVERAGEIFS($D$2:D15, $B$2:B15, B15)</f>
        <v>1</v>
      </c>
    </row>
    <row r="16" spans="1:37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0</v>
      </c>
      <c r="AG16">
        <v>0</v>
      </c>
      <c r="AH16" s="86">
        <f>AVERAGEIFS($C$2:C16, $B$2:B16, B16)</f>
        <v>24</v>
      </c>
      <c r="AI16" s="86">
        <f>AVERAGEIFS($I$2:I16, $B$2:B16, B16)</f>
        <v>0.6</v>
      </c>
      <c r="AJ16" s="86">
        <f>AVERAGEIFS($J$2:J16, $B$2:B16, B16)</f>
        <v>0.48</v>
      </c>
      <c r="AK16" s="86">
        <f>AVERAGEIFS($D$2:D16, $B$2:B16, B16)</f>
        <v>1</v>
      </c>
    </row>
    <row r="17" spans="1:37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0</v>
      </c>
      <c r="AG17">
        <v>0</v>
      </c>
      <c r="AH17" s="86">
        <f>AVERAGEIFS($C$2:C17, $B$2:B17, B17)</f>
        <v>13</v>
      </c>
      <c r="AI17" s="86">
        <f>AVERAGEIFS($I$2:I17, $B$2:B17, B17)</f>
        <v>0.6</v>
      </c>
      <c r="AJ17" s="86">
        <f>AVERAGEIFS($J$2:J17, $B$2:B17, B17)</f>
        <v>0.48</v>
      </c>
      <c r="AK17" s="86">
        <f>AVERAGEIFS($D$2:D17, $B$2:B17, B17)</f>
        <v>1</v>
      </c>
    </row>
    <row r="18" spans="1:37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 s="86">
        <f>AVERAGEIFS($C$2:C18, $B$2:B18, B18)</f>
        <v>8.5</v>
      </c>
      <c r="AI18" s="86">
        <f>AVERAGEIFS($I$2:I18, $B$2:B18, B18)</f>
        <v>0.5</v>
      </c>
      <c r="AJ18" s="86">
        <f>AVERAGEIFS($J$2:J18, $B$2:B18, B18)</f>
        <v>0.40500000000000003</v>
      </c>
      <c r="AK18" s="86">
        <f>AVERAGEIFS($D$2:D18, $B$2:B18, B18)</f>
        <v>0.5</v>
      </c>
    </row>
    <row r="19" spans="1:37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 s="86">
        <f>AVERAGEIFS($C$2:C19, $B$2:B19, B19)</f>
        <v>6</v>
      </c>
      <c r="AI19" s="86">
        <f>AVERAGEIFS($I$2:I19, $B$2:B19, B19)</f>
        <v>0.6</v>
      </c>
      <c r="AJ19" s="86">
        <f>AVERAGEIFS($J$2:J19, $B$2:B19, B19)</f>
        <v>0.48</v>
      </c>
      <c r="AK19" s="86">
        <f>AVERAGEIFS($D$2:D19, $B$2:B19, B19)</f>
        <v>1</v>
      </c>
    </row>
    <row r="20" spans="1:37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  <c r="AH20" s="86">
        <f>AVERAGEIFS($C$2:C20, $B$2:B20, B20)</f>
        <v>32</v>
      </c>
      <c r="AI20" s="86">
        <f>AVERAGEIFS($I$2:I20, $B$2:B20, B20)</f>
        <v>0.6</v>
      </c>
      <c r="AJ20" s="86">
        <f>AVERAGEIFS($J$2:J20, $B$2:B20, B20)</f>
        <v>0.48</v>
      </c>
      <c r="AK20" s="86">
        <f>AVERAGEIFS($D$2:D20, $B$2:B20, B20)</f>
        <v>1</v>
      </c>
    </row>
    <row r="21" spans="1:37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 s="86">
        <f>AVERAGEIFS($C$2:C21, $B$2:B21, B21)</f>
        <v>15</v>
      </c>
      <c r="AI21" s="86">
        <f>AVERAGEIFS($I$2:I21, $B$2:B21, B21)</f>
        <v>0.6</v>
      </c>
      <c r="AJ21" s="86">
        <f>AVERAGEIFS($J$2:J21, $B$2:B21, B21)</f>
        <v>0.48</v>
      </c>
      <c r="AK21" s="86">
        <f>AVERAGEIFS($D$2:D21, $B$2:B21, B21)</f>
        <v>1</v>
      </c>
    </row>
    <row r="22" spans="1:37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 s="86">
        <f>AVERAGEIFS($C$2:C22, $B$2:B22, B22)</f>
        <v>31</v>
      </c>
      <c r="AI22" s="86">
        <f>AVERAGEIFS($I$2:I22, $B$2:B22, B22)</f>
        <v>0.5</v>
      </c>
      <c r="AJ22" s="86">
        <f>AVERAGEIFS($J$2:J22, $B$2:B22, B22)</f>
        <v>0.59499999999999997</v>
      </c>
      <c r="AK22" s="86">
        <f>AVERAGEIFS($D$2:D22, $B$2:B22, B22)</f>
        <v>0.5</v>
      </c>
    </row>
    <row r="23" spans="1:37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 s="86">
        <f>AVERAGEIFS($C$2:C23, $B$2:B23, B23)</f>
        <v>17</v>
      </c>
      <c r="AI23" s="86">
        <f>AVERAGEIFS($I$2:I23, $B$2:B23, B23)</f>
        <v>0.5</v>
      </c>
      <c r="AJ23" s="86">
        <f>AVERAGEIFS($J$2:J23, $B$2:B23, B23)</f>
        <v>0.59499999999999997</v>
      </c>
      <c r="AK23" s="86">
        <f>AVERAGEIFS($D$2:D23, $B$2:B23, B23)</f>
        <v>0.5</v>
      </c>
    </row>
    <row r="24" spans="1:37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 s="86">
        <f>AVERAGEIFS($C$2:C24, $B$2:B24, B24)</f>
        <v>21.5</v>
      </c>
      <c r="AI24" s="86">
        <f>AVERAGEIFS($I$2:I24, $B$2:B24, B24)</f>
        <v>0.4</v>
      </c>
      <c r="AJ24" s="86">
        <f>AVERAGEIFS($J$2:J24, $B$2:B24, B24)</f>
        <v>0.42500000000000004</v>
      </c>
      <c r="AK24" s="86">
        <f>AVERAGEIFS($D$2:D24, $B$2:B24, B24)</f>
        <v>0</v>
      </c>
    </row>
    <row r="25" spans="1:37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 s="86">
        <f>AVERAGEIFS($C$2:C25, $B$2:B25, B25)</f>
        <v>14.5</v>
      </c>
      <c r="AI25" s="86">
        <f>AVERAGEIFS($I$2:I25, $B$2:B25, B25)</f>
        <v>0.4</v>
      </c>
      <c r="AJ25" s="86">
        <f>AVERAGEIFS($J$2:J25, $B$2:B25, B25)</f>
        <v>0.42500000000000004</v>
      </c>
      <c r="AK25" s="86">
        <f>AVERAGEIFS($D$2:D25, $B$2:B25, B25)</f>
        <v>0</v>
      </c>
    </row>
    <row r="26" spans="1:37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11.5</v>
      </c>
      <c r="AI26" s="86">
        <f>AVERAGEIFS($I$2:I26, $B$2:B26, B26)</f>
        <v>0.5</v>
      </c>
      <c r="AJ26" s="86">
        <f>AVERAGEIFS($J$2:J26, $B$2:B26, B26)</f>
        <v>0.59499999999999997</v>
      </c>
      <c r="AK26" s="86">
        <f>AVERAGEIFS($D$2:D26, $B$2:B26, B26)</f>
        <v>0.5</v>
      </c>
    </row>
    <row r="27" spans="1:37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26.5</v>
      </c>
      <c r="AI27" s="86">
        <f>AVERAGEIFS($I$2:I27, $B$2:B27, B27)</f>
        <v>0.4</v>
      </c>
      <c r="AJ27" s="86">
        <f>AVERAGEIFS($J$2:J27, $B$2:B27, B27)</f>
        <v>0.42500000000000004</v>
      </c>
      <c r="AK27" s="86">
        <f>AVERAGEIFS($D$2:D27, $B$2:B27, B27)</f>
        <v>0</v>
      </c>
    </row>
    <row r="28" spans="1:37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28.5</v>
      </c>
      <c r="AI28" s="86">
        <f>AVERAGEIFS($I$2:I28, $B$2:B28, B28)</f>
        <v>0.4</v>
      </c>
      <c r="AJ28" s="86">
        <f>AVERAGEIFS($J$2:J28, $B$2:B28, B28)</f>
        <v>0.42500000000000004</v>
      </c>
      <c r="AK28" s="86">
        <f>AVERAGEIFS($D$2:D28, $B$2:B28, B28)</f>
        <v>0</v>
      </c>
    </row>
    <row r="29" spans="1:37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1</v>
      </c>
      <c r="AD29">
        <v>1</v>
      </c>
      <c r="AE29">
        <v>0</v>
      </c>
      <c r="AF29">
        <v>0</v>
      </c>
      <c r="AG29">
        <v>0</v>
      </c>
      <c r="AH29" s="86">
        <f>AVERAGEIFS($C$2:C29, $B$2:B29, B29)</f>
        <v>28.666666666666668</v>
      </c>
      <c r="AI29" s="86">
        <f>AVERAGEIFS($I$2:I29, $B$2:B29, B29)</f>
        <v>0.58333333333333337</v>
      </c>
      <c r="AJ29" s="86">
        <f>AVERAGEIFS($J$2:J29, $B$2:B29, B29)</f>
        <v>0.59666666666666668</v>
      </c>
      <c r="AK29" s="86">
        <f>AVERAGEIFS($D$2:D29, $B$2:B29, B29)</f>
        <v>0.66666666666666663</v>
      </c>
    </row>
    <row r="30" spans="1:37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1</v>
      </c>
      <c r="AD30">
        <v>1</v>
      </c>
      <c r="AE30">
        <v>0</v>
      </c>
      <c r="AF30">
        <v>0</v>
      </c>
      <c r="AG30">
        <v>0</v>
      </c>
      <c r="AH30" s="86">
        <f>AVERAGEIFS($C$2:C30, $B$2:B30, B30)</f>
        <v>23</v>
      </c>
      <c r="AI30" s="86">
        <f>AVERAGEIFS($I$2:I30, $B$2:B30, B30)</f>
        <v>0.75</v>
      </c>
      <c r="AJ30" s="86">
        <f>AVERAGEIFS($J$2:J30, $B$2:B30, B30)</f>
        <v>0.6</v>
      </c>
      <c r="AK30" s="86">
        <f>AVERAGEIFS($D$2:D30, $B$2:B30, B30)</f>
        <v>1</v>
      </c>
    </row>
    <row r="31" spans="1:37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1</v>
      </c>
      <c r="AD31">
        <v>1</v>
      </c>
      <c r="AE31">
        <v>0</v>
      </c>
      <c r="AF31">
        <v>0</v>
      </c>
      <c r="AG31">
        <v>0</v>
      </c>
      <c r="AH31" s="86">
        <f>AVERAGEIFS($C$2:C31, $B$2:B31, B31)</f>
        <v>22.5</v>
      </c>
      <c r="AI31" s="86">
        <f>AVERAGEIFS($I$2:I31, $B$2:B31, B31)</f>
        <v>0.67500000000000004</v>
      </c>
      <c r="AJ31" s="86">
        <f>AVERAGEIFS($J$2:J31, $B$2:B31, B31)</f>
        <v>0.54</v>
      </c>
      <c r="AK31" s="86">
        <f>AVERAGEIFS($D$2:D31, $B$2:B31, B31)</f>
        <v>1</v>
      </c>
    </row>
    <row r="32" spans="1:37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1</v>
      </c>
      <c r="AE32">
        <v>0</v>
      </c>
      <c r="AF32">
        <v>0</v>
      </c>
      <c r="AG32">
        <v>0</v>
      </c>
      <c r="AH32" s="86">
        <f>AVERAGEIFS($C$2:C32, $B$2:B32, B32)</f>
        <v>18</v>
      </c>
      <c r="AI32" s="86">
        <f>AVERAGEIFS($I$2:I32, $B$2:B32, B32)</f>
        <v>0.67500000000000004</v>
      </c>
      <c r="AJ32" s="86">
        <f>AVERAGEIFS($J$2:J32, $B$2:B32, B32)</f>
        <v>0.54</v>
      </c>
      <c r="AK32" s="86">
        <f>AVERAGEIFS($D$2:D32, $B$2:B32, B32)</f>
        <v>1</v>
      </c>
    </row>
    <row r="33" spans="1:37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1</v>
      </c>
      <c r="AE33">
        <v>0</v>
      </c>
      <c r="AF33">
        <v>0</v>
      </c>
      <c r="AG33">
        <v>0</v>
      </c>
      <c r="AH33" s="86">
        <f>AVERAGEIFS($C$2:C33, $B$2:B33, B33)</f>
        <v>12.333333333333334</v>
      </c>
      <c r="AI33" s="86">
        <f>AVERAGEIFS($I$2:I33, $B$2:B33, B33)</f>
        <v>0.58333333333333337</v>
      </c>
      <c r="AJ33" s="86">
        <f>AVERAGEIFS($J$2:J33, $B$2:B33, B33)</f>
        <v>0.59666666666666668</v>
      </c>
      <c r="AK33" s="86">
        <f>AVERAGEIFS($D$2:D33, $B$2:B33, B33)</f>
        <v>0.66666666666666663</v>
      </c>
    </row>
    <row r="34" spans="1:37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1</v>
      </c>
      <c r="AE34">
        <v>0</v>
      </c>
      <c r="AF34">
        <v>0</v>
      </c>
      <c r="AG34">
        <v>0</v>
      </c>
      <c r="AH34" s="86">
        <f>AVERAGEIFS($C$2:C34, $B$2:B34, B34)</f>
        <v>11</v>
      </c>
      <c r="AI34" s="86">
        <f>AVERAGEIFS($I$2:I34, $B$2:B34, B34)</f>
        <v>0.75</v>
      </c>
      <c r="AJ34" s="86">
        <f>AVERAGEIFS($J$2:J34, $B$2:B34, B34)</f>
        <v>0.6</v>
      </c>
      <c r="AK34" s="86">
        <f>AVERAGEIFS($D$2:D34, $B$2:B34, B34)</f>
        <v>1</v>
      </c>
    </row>
    <row r="35" spans="1:37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20.333333333333332</v>
      </c>
      <c r="AI35" s="86">
        <f>AVERAGEIFS($I$2:I35, $B$2:B35, B35)</f>
        <v>0.41666666666666669</v>
      </c>
      <c r="AJ35" s="86">
        <f>AVERAGEIFS($J$2:J35, $B$2:B35, B35)</f>
        <v>0.52999999999999992</v>
      </c>
      <c r="AK35" s="86">
        <f>AVERAGEIFS($D$2:D35, $B$2:B35, B35)</f>
        <v>0.33333333333333331</v>
      </c>
    </row>
    <row r="36" spans="1:37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25.333333333333332</v>
      </c>
      <c r="AI36" s="86">
        <f>AVERAGEIFS($I$2:I36, $B$2:B36, B36)</f>
        <v>0.48333333333333334</v>
      </c>
      <c r="AJ36" s="86">
        <f>AVERAGEIFS($J$2:J36, $B$2:B36, B36)</f>
        <v>0.51666666666666661</v>
      </c>
      <c r="AK36" s="86">
        <f>AVERAGEIFS($D$2:D36, $B$2:B36, B36)</f>
        <v>0.66666666666666663</v>
      </c>
    </row>
    <row r="37" spans="1:37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20.666666666666668</v>
      </c>
      <c r="AI37" s="86">
        <f>AVERAGEIFS($I$2:I37, $B$2:B37, B37)</f>
        <v>0.35000000000000003</v>
      </c>
      <c r="AJ37" s="86">
        <f>AVERAGEIFS($J$2:J37, $B$2:B37, B37)</f>
        <v>0.41666666666666669</v>
      </c>
      <c r="AK37" s="86">
        <f>AVERAGEIFS($D$2:D37, $B$2:B37, B37)</f>
        <v>0</v>
      </c>
    </row>
    <row r="38" spans="1:37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 s="86">
        <f>AVERAGEIFS($C$2:C38, $B$2:B38, B38)</f>
        <v>13.5</v>
      </c>
      <c r="AI38" s="86">
        <f>AVERAGEIFS($I$2:I38, $B$2:B38, B38)</f>
        <v>0.42499999999999999</v>
      </c>
      <c r="AJ38" s="86">
        <f>AVERAGEIFS($J$2:J38, $B$2:B38, B38)</f>
        <v>0.53500000000000003</v>
      </c>
      <c r="AK38" s="86">
        <f>AVERAGEIFS($D$2:D38, $B$2:B38, B38)</f>
        <v>0.5</v>
      </c>
    </row>
    <row r="39" spans="1:37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 s="86">
        <f>AVERAGEIFS($C$2:C39, $B$2:B39, B39)</f>
        <v>9</v>
      </c>
      <c r="AI39" s="86">
        <f>AVERAGEIFS($I$2:I39, $B$2:B39, B39)</f>
        <v>0.25</v>
      </c>
      <c r="AJ39" s="86">
        <f>AVERAGEIFS($J$2:J39, $B$2:B39, B39)</f>
        <v>0.4</v>
      </c>
      <c r="AK39" s="86">
        <f>AVERAGEIFS($D$2:D39, $B$2:B39, B39)</f>
        <v>0</v>
      </c>
    </row>
    <row r="40" spans="1:37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 s="86">
        <f>AVERAGEIFS($C$2:C40, $B$2:B40, B40)</f>
        <v>23</v>
      </c>
      <c r="AI40" s="86">
        <f>AVERAGEIFS($I$2:I40, $B$2:B40, B40)</f>
        <v>0.35000000000000003</v>
      </c>
      <c r="AJ40" s="86">
        <f>AVERAGEIFS($J$2:J40, $B$2:B40, B40)</f>
        <v>0.41666666666666669</v>
      </c>
      <c r="AK40" s="86">
        <f>AVERAGEIFS($D$2:D40, $B$2:B40, B40)</f>
        <v>0</v>
      </c>
    </row>
    <row r="41" spans="1:37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 s="86">
        <f>AVERAGEIFS($C$2:C41, $B$2:B41, B41)</f>
        <v>24</v>
      </c>
      <c r="AI41" s="86">
        <f>AVERAGEIFS($I$2:I41, $B$2:B41, B41)</f>
        <v>1</v>
      </c>
      <c r="AJ41" s="86">
        <f>AVERAGEIFS($J$2:J41, $B$2:B41, B41)</f>
        <v>0.69</v>
      </c>
      <c r="AK41" s="86">
        <f>AVERAGEIFS($D$2:D41, $B$2:B41, B41)</f>
        <v>1</v>
      </c>
    </row>
    <row r="42" spans="1:37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 s="86">
        <f>AVERAGEIFS($C$2:C42, $B$2:B42, B42)</f>
        <v>23</v>
      </c>
      <c r="AI42" s="86">
        <f>AVERAGEIFS($I$2:I42, $B$2:B42, B42)</f>
        <v>0.875</v>
      </c>
      <c r="AJ42" s="86">
        <f>AVERAGEIFS($J$2:J42, $B$2:B42, B42)</f>
        <v>0.64500000000000002</v>
      </c>
      <c r="AK42" s="86">
        <f>AVERAGEIFS($D$2:D42, $B$2:B42, B42)</f>
        <v>1</v>
      </c>
    </row>
    <row r="43" spans="1:37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 s="86">
        <f>AVERAGEIFS($C$2:C43, $B$2:B43, B43)</f>
        <v>23.666666666666668</v>
      </c>
      <c r="AI43" s="86">
        <f>AVERAGEIFS($I$2:I43, $B$2:B43, B43)</f>
        <v>0.6</v>
      </c>
      <c r="AJ43" s="86">
        <f>AVERAGEIFS($J$2:J43, $B$2:B43, B43)</f>
        <v>0.51333333333333331</v>
      </c>
      <c r="AK43" s="86">
        <f>AVERAGEIFS($D$2:D43, $B$2:B43, B43)</f>
        <v>0.33333333333333331</v>
      </c>
    </row>
    <row r="44" spans="1:37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 s="86">
        <f>AVERAGEIFS($C$2:C44, $B$2:B44, B44)</f>
        <v>23</v>
      </c>
      <c r="AI44" s="86">
        <f>AVERAGEIFS($I$2:I44, $B$2:B44, B44)</f>
        <v>0.61250000000000004</v>
      </c>
      <c r="AJ44" s="86">
        <f>AVERAGEIFS($J$2:J44, $B$2:B44, B44)</f>
        <v>0.55999999999999994</v>
      </c>
      <c r="AK44" s="86">
        <f>AVERAGEIFS($D$2:D44, $B$2:B44, B44)</f>
        <v>0.75</v>
      </c>
    </row>
    <row r="45" spans="1:37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 s="86">
        <f>AVERAGEIFS($C$2:C45, $B$2:B45, B45)</f>
        <v>12.5</v>
      </c>
      <c r="AI45" s="86">
        <f>AVERAGEIFS($I$2:I45, $B$2:B45, B45)</f>
        <v>0.8</v>
      </c>
      <c r="AJ45" s="86">
        <f>AVERAGEIFS($J$2:J45, $B$2:B45, B45)</f>
        <v>0.58499999999999996</v>
      </c>
      <c r="AK45" s="86">
        <f>AVERAGEIFS($D$2:D45, $B$2:B45, B45)</f>
        <v>1</v>
      </c>
    </row>
    <row r="46" spans="1:37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 s="86">
        <f>AVERAGEIFS($C$2:C46, $B$2:B46, B46)</f>
        <v>9</v>
      </c>
      <c r="AI46" s="86">
        <f>AVERAGEIFS($I$2:I46, $B$2:B46, B46)</f>
        <v>0.73333333333333339</v>
      </c>
      <c r="AJ46" s="86">
        <f>AVERAGEIFS($J$2:J46, $B$2:B46, B46)</f>
        <v>0.61333333333333329</v>
      </c>
      <c r="AK46" s="86">
        <f>AVERAGEIFS($D$2:D46, $B$2:B46, B46)</f>
        <v>1</v>
      </c>
    </row>
    <row r="47" spans="1:37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27.75</v>
      </c>
      <c r="AI47" s="86">
        <f>AVERAGEIFS($I$2:I47, $B$2:B47, B47)</f>
        <v>0.4375</v>
      </c>
      <c r="AJ47" s="86">
        <f>AVERAGEIFS($J$2:J47, $B$2:B47, B47)</f>
        <v>0.52500000000000002</v>
      </c>
      <c r="AK47" s="86">
        <f>AVERAGEIFS($D$2:D47, $B$2:B47, B47)</f>
        <v>0.5</v>
      </c>
    </row>
    <row r="48" spans="1:37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22</v>
      </c>
      <c r="AI48" s="86">
        <f>AVERAGEIFS($I$2:I48, $B$2:B48, B48)</f>
        <v>0.26250000000000001</v>
      </c>
      <c r="AJ48" s="86">
        <f>AVERAGEIFS($J$2:J48, $B$2:B48, B48)</f>
        <v>0.39</v>
      </c>
      <c r="AK48" s="86">
        <f>AVERAGEIFS($D$2:D48, $B$2:B48, B48)</f>
        <v>0</v>
      </c>
    </row>
    <row r="49" spans="1:37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17.666666666666668</v>
      </c>
      <c r="AI49" s="86">
        <f>AVERAGEIFS($I$2:I49, $B$2:B49, B49)</f>
        <v>0.45</v>
      </c>
      <c r="AJ49" s="86">
        <f>AVERAGEIFS($J$2:J49, $B$2:B49, B49)</f>
        <v>0.46333333333333337</v>
      </c>
      <c r="AK49" s="86">
        <f>AVERAGEIFS($D$2:D49, $B$2:B49, B49)</f>
        <v>0.66666666666666663</v>
      </c>
    </row>
    <row r="50" spans="1:37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11.75</v>
      </c>
      <c r="AI50" s="86">
        <f>AVERAGEIFS($I$2:I50, $B$2:B50, B50)</f>
        <v>0.4375</v>
      </c>
      <c r="AJ50" s="86">
        <f>AVERAGEIFS($J$2:J50, $B$2:B50, B50)</f>
        <v>0.52500000000000002</v>
      </c>
      <c r="AK50" s="86">
        <f>AVERAGEIFS($D$2:D50, $B$2:B50, B50)</f>
        <v>0.5</v>
      </c>
    </row>
    <row r="51" spans="1:37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3</v>
      </c>
      <c r="AI51" s="86">
        <f>AVERAGEIFS($I$2:I51, $B$2:B51, B51)</f>
        <v>0</v>
      </c>
      <c r="AJ51" s="86">
        <f>AVERAGEIFS($J$2:J51, $B$2:B51, B51)</f>
        <v>0.31</v>
      </c>
      <c r="AK51" s="86">
        <f>AVERAGEIFS($D$2:D51, $B$2:B51, B51)</f>
        <v>0</v>
      </c>
    </row>
    <row r="52" spans="1:37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2</v>
      </c>
      <c r="AI52" s="86">
        <f>AVERAGEIFS($I$2:I52, $B$2:B52, B52)</f>
        <v>0</v>
      </c>
      <c r="AJ52" s="86">
        <f>AVERAGEIFS($J$2:J52, $B$2:B52, B52)</f>
        <v>0.31</v>
      </c>
      <c r="AK52" s="86">
        <f>AVERAGEIFS($D$2:D52, $B$2:B52, B52)</f>
        <v>0</v>
      </c>
    </row>
    <row r="53" spans="1:37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1</v>
      </c>
      <c r="AE53">
        <v>0</v>
      </c>
      <c r="AF53">
        <v>0</v>
      </c>
      <c r="AG53">
        <v>0</v>
      </c>
      <c r="AH53" s="86">
        <f>AVERAGEIFS($C$2:C53, $B$2:B53, B53)</f>
        <v>22</v>
      </c>
      <c r="AI53" s="86">
        <f>AVERAGEIFS($I$2:I53, $B$2:B53, B53)</f>
        <v>0.58750000000000002</v>
      </c>
      <c r="AJ53" s="86">
        <f>AVERAGEIFS($J$2:J53, $B$2:B53, B53)</f>
        <v>0.50750000000000006</v>
      </c>
      <c r="AK53" s="86">
        <f>AVERAGEIFS($D$2:D53, $B$2:B53, B53)</f>
        <v>0.75</v>
      </c>
    </row>
    <row r="54" spans="1:37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1</v>
      </c>
      <c r="AE54">
        <v>0</v>
      </c>
      <c r="AF54">
        <v>0</v>
      </c>
      <c r="AG54">
        <v>0</v>
      </c>
      <c r="AH54" s="86">
        <f>AVERAGEIFS($C$2:C54, $B$2:B54, B54)</f>
        <v>27</v>
      </c>
      <c r="AI54" s="86">
        <f>AVERAGEIFS($I$2:I54, $B$2:B54, B54)</f>
        <v>0.55000000000000004</v>
      </c>
      <c r="AJ54" s="86">
        <f>AVERAGEIFS($J$2:J54, $B$2:B54, B54)</f>
        <v>0.54800000000000004</v>
      </c>
      <c r="AK54" s="86">
        <f>AVERAGEIFS($D$2:D54, $B$2:B54, B54)</f>
        <v>0.6</v>
      </c>
    </row>
    <row r="55" spans="1:37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1</v>
      </c>
      <c r="AE55">
        <v>0</v>
      </c>
      <c r="AF55">
        <v>0</v>
      </c>
      <c r="AG55">
        <v>0</v>
      </c>
      <c r="AH55" s="86">
        <f>AVERAGEIFS($C$2:C55, $B$2:B55, B55)</f>
        <v>23</v>
      </c>
      <c r="AI55" s="86">
        <f>AVERAGEIFS($I$2:I55, $B$2:B55, B55)</f>
        <v>0.91666666666666663</v>
      </c>
      <c r="AJ55" s="86">
        <f>AVERAGEIFS($J$2:J55, $B$2:B55, B55)</f>
        <v>0.64333333333333342</v>
      </c>
      <c r="AK55" s="86">
        <f>AVERAGEIFS($D$2:D55, $B$2:B55, B55)</f>
        <v>1</v>
      </c>
    </row>
    <row r="56" spans="1:37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1</v>
      </c>
      <c r="AD56">
        <v>1</v>
      </c>
      <c r="AE56">
        <v>0</v>
      </c>
      <c r="AF56">
        <v>0</v>
      </c>
      <c r="AG56">
        <v>0</v>
      </c>
      <c r="AH56" s="86">
        <f>AVERAGEIFS($C$2:C56, $B$2:B56, B56)</f>
        <v>23.25</v>
      </c>
      <c r="AI56" s="86">
        <f>AVERAGEIFS($I$2:I56, $B$2:B56, B56)</f>
        <v>0.7</v>
      </c>
      <c r="AJ56" s="86">
        <f>AVERAGEIFS($J$2:J56, $B$2:B56, B56)</f>
        <v>0.54500000000000004</v>
      </c>
      <c r="AK56" s="86">
        <f>AVERAGEIFS($D$2:D56, $B$2:B56, B56)</f>
        <v>0.5</v>
      </c>
    </row>
    <row r="57" spans="1:37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1</v>
      </c>
      <c r="AD57">
        <v>1</v>
      </c>
      <c r="AE57">
        <v>0</v>
      </c>
      <c r="AF57">
        <v>0</v>
      </c>
      <c r="AG57">
        <v>0</v>
      </c>
      <c r="AH57" s="86">
        <f>AVERAGEIFS($C$2:C57, $B$2:B57, B57)</f>
        <v>12</v>
      </c>
      <c r="AI57" s="86">
        <f>AVERAGEIFS($I$2:I57, $B$2:B57, B57)</f>
        <v>1</v>
      </c>
      <c r="AJ57" s="86">
        <f>AVERAGEIFS($J$2:J57, $B$2:B57, B57)</f>
        <v>0.64</v>
      </c>
      <c r="AK57" s="86">
        <f>AVERAGEIFS($D$2:D57, $B$2:B57, B57)</f>
        <v>1</v>
      </c>
    </row>
    <row r="58" spans="1:37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1</v>
      </c>
      <c r="AD58">
        <v>1</v>
      </c>
      <c r="AE58">
        <v>0</v>
      </c>
      <c r="AF58">
        <v>0</v>
      </c>
      <c r="AG58">
        <v>0</v>
      </c>
      <c r="AH58" s="86">
        <f>AVERAGEIFS($C$2:C58, $B$2:B58, B58)</f>
        <v>3</v>
      </c>
      <c r="AI58" s="86">
        <f>AVERAGEIFS($I$2:I58, $B$2:B58, B58)</f>
        <v>1</v>
      </c>
      <c r="AJ58" s="86">
        <f>AVERAGEIFS($J$2:J58, $B$2:B58, B58)</f>
        <v>0.64</v>
      </c>
      <c r="AK58" s="86">
        <f>AVERAGEIFS($D$2:D58, $B$2:B58, B58)</f>
        <v>1</v>
      </c>
    </row>
    <row r="59" spans="1:37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28.5</v>
      </c>
      <c r="AI59" s="86">
        <f>AVERAGEIFS($I$2:I59, $B$2:B59, B59)</f>
        <v>0.3</v>
      </c>
      <c r="AJ59" s="86">
        <f>AVERAGEIFS($J$2:J59, $B$2:B59, B59)</f>
        <v>0.42</v>
      </c>
      <c r="AK59" s="86">
        <f>AVERAGEIFS($D$2:D59, $B$2:B59, B59)</f>
        <v>0.5</v>
      </c>
    </row>
    <row r="60" spans="1:37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15.333333333333334</v>
      </c>
      <c r="AI60" s="86">
        <f>AVERAGEIFS($I$2:I60, $B$2:B60, B60)</f>
        <v>0.28333333333333333</v>
      </c>
      <c r="AJ60" s="86">
        <f>AVERAGEIFS($J$2:J60, $B$2:B60, B60)</f>
        <v>0.47666666666666674</v>
      </c>
      <c r="AK60" s="86">
        <f>AVERAGEIFS($D$2:D60, $B$2:B60, B60)</f>
        <v>0.33333333333333331</v>
      </c>
    </row>
    <row r="61" spans="1:37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12.8</v>
      </c>
      <c r="AI61" s="86">
        <f>AVERAGEIFS($I$2:I61, $B$2:B61, B61)</f>
        <v>0.35</v>
      </c>
      <c r="AJ61" s="86">
        <f>AVERAGEIFS($J$2:J61, $B$2:B61, B61)</f>
        <v>0.49199999999999999</v>
      </c>
      <c r="AK61" s="86">
        <f>AVERAGEIFS($D$2:D61, $B$2:B61, B61)</f>
        <v>0.4</v>
      </c>
    </row>
    <row r="62" spans="1:37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21.6</v>
      </c>
      <c r="AI62" s="86">
        <f>AVERAGEIFS($I$2:I62, $B$2:B62, B62)</f>
        <v>0.49000000000000005</v>
      </c>
      <c r="AJ62" s="86">
        <f>AVERAGEIFS($J$2:J62, $B$2:B62, B62)</f>
        <v>0.51999999999999991</v>
      </c>
      <c r="AK62" s="86">
        <f>AVERAGEIFS($D$2:D62, $B$2:B62, B62)</f>
        <v>0.6</v>
      </c>
    </row>
    <row r="63" spans="1:37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15</v>
      </c>
      <c r="AI63" s="86">
        <f>AVERAGEIFS($I$2:I63, $B$2:B63, B63)</f>
        <v>0</v>
      </c>
      <c r="AJ63" s="86">
        <f>AVERAGEIFS($J$2:J63, $B$2:B63, B63)</f>
        <v>0.36</v>
      </c>
      <c r="AK63" s="86">
        <f>AVERAGEIFS($D$2:D63, $B$2:B63, B63)</f>
        <v>0</v>
      </c>
    </row>
    <row r="64" spans="1:37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17.333333333333332</v>
      </c>
      <c r="AI64" s="86">
        <f>AVERAGEIFS($I$2:I64, $B$2:B64, B64)</f>
        <v>0.45</v>
      </c>
      <c r="AJ64" s="86">
        <f>AVERAGEIFS($J$2:J64, $B$2:B64, B64)</f>
        <v>0.48</v>
      </c>
      <c r="AK64" s="86">
        <f>AVERAGEIFS($D$2:D64, $B$2:B64, B64)</f>
        <v>0.66666666666666663</v>
      </c>
    </row>
    <row r="65" spans="1:37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0</v>
      </c>
      <c r="AG65">
        <v>0</v>
      </c>
      <c r="AH65" s="86">
        <f>AVERAGEIFS($C$2:C65, $B$2:B65, B65)</f>
        <v>18.5</v>
      </c>
      <c r="AI65" s="86">
        <f>AVERAGEIFS($I$2:I65, $B$2:B65, B65)</f>
        <v>0.5</v>
      </c>
      <c r="AJ65" s="86">
        <f>AVERAGEIFS($J$2:J65, $B$2:B65, B65)</f>
        <v>0.59</v>
      </c>
      <c r="AK65" s="86">
        <f>AVERAGEIFS($D$2:D65, $B$2:B65, B65)</f>
        <v>0.5</v>
      </c>
    </row>
    <row r="66" spans="1:37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0</v>
      </c>
      <c r="AG66">
        <v>0</v>
      </c>
      <c r="AH66" s="86">
        <f>AVERAGEIFS($C$2:C66, $B$2:B66, B66)</f>
        <v>21.4</v>
      </c>
      <c r="AI66" s="86">
        <f>AVERAGEIFS($I$2:I66, $B$2:B66, B66)</f>
        <v>0.67</v>
      </c>
      <c r="AJ66" s="86">
        <f>AVERAGEIFS($J$2:J66, $B$2:B66, B66)</f>
        <v>0.57000000000000006</v>
      </c>
      <c r="AK66" s="86">
        <f>AVERAGEIFS($D$2:D66, $B$2:B66, B66)</f>
        <v>0.8</v>
      </c>
    </row>
    <row r="67" spans="1:37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0</v>
      </c>
      <c r="AG67">
        <v>0</v>
      </c>
      <c r="AH67" s="86">
        <f>AVERAGEIFS($C$2:C67, $B$2:B67, B67)</f>
        <v>9.5</v>
      </c>
      <c r="AI67" s="86">
        <f>AVERAGEIFS($I$2:I67, $B$2:B67, B67)</f>
        <v>0.8</v>
      </c>
      <c r="AJ67" s="86">
        <f>AVERAGEIFS($J$2:J67, $B$2:B67, B67)</f>
        <v>0.66499999999999992</v>
      </c>
      <c r="AK67" s="86">
        <f>AVERAGEIFS($D$2:D67, $B$2:B67, B67)</f>
        <v>1</v>
      </c>
    </row>
    <row r="68" spans="1:37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 s="86">
        <f>AVERAGEIFS($C$2:C68, $B$2:B68, B68)</f>
        <v>19.833333333333332</v>
      </c>
      <c r="AI68" s="86">
        <f>AVERAGEIFS($I$2:I68, $B$2:B68, B68)</f>
        <v>0.57500000000000007</v>
      </c>
      <c r="AJ68" s="86">
        <f>AVERAGEIFS($J$2:J68, $B$2:B68, B68)</f>
        <v>0.56999999999999995</v>
      </c>
      <c r="AK68" s="86">
        <f>AVERAGEIFS($D$2:D68, $B$2:B68, B68)</f>
        <v>0.66666666666666663</v>
      </c>
    </row>
    <row r="69" spans="1:37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0</v>
      </c>
      <c r="AG69">
        <v>0</v>
      </c>
      <c r="AH69" s="86">
        <f>AVERAGEIFS($C$2:C69, $B$2:B69, B69)</f>
        <v>13.25</v>
      </c>
      <c r="AI69" s="86">
        <f>AVERAGEIFS($I$2:I69, $B$2:B69, B69)</f>
        <v>0.46250000000000002</v>
      </c>
      <c r="AJ69" s="86">
        <f>AVERAGEIFS($J$2:J69, $B$2:B69, B69)</f>
        <v>0.5625</v>
      </c>
      <c r="AK69" s="86">
        <f>AVERAGEIFS($D$2:D69, $B$2:B69, B69)</f>
        <v>0.5</v>
      </c>
    </row>
    <row r="70" spans="1:37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0</v>
      </c>
      <c r="AG70">
        <v>0</v>
      </c>
      <c r="AH70" s="86">
        <f>AVERAGEIFS($C$2:C70, $B$2:B70, B70)</f>
        <v>11.666666666666666</v>
      </c>
      <c r="AI70" s="86">
        <f>AVERAGEIFS($I$2:I70, $B$2:B70, B70)</f>
        <v>0.45833333333333331</v>
      </c>
      <c r="AJ70" s="86">
        <f>AVERAGEIFS($J$2:J70, $B$2:B70, B70)</f>
        <v>0.54666666666666663</v>
      </c>
      <c r="AK70" s="86">
        <f>AVERAGEIFS($D$2:D70, $B$2:B70, B70)</f>
        <v>0.5</v>
      </c>
    </row>
    <row r="71" spans="1:37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s="86">
        <f>AVERAGEIFS($C$2:C71, $B$2:B71, B71)</f>
        <v>21.6</v>
      </c>
      <c r="AI71" s="86">
        <f>AVERAGEIFS($I$2:I71, $B$2:B71, B71)</f>
        <v>0.21000000000000002</v>
      </c>
      <c r="AJ71" s="86">
        <f>AVERAGEIFS($J$2:J71, $B$2:B71, B71)</f>
        <v>0.34799999999999998</v>
      </c>
      <c r="AK71" s="86">
        <f>AVERAGEIFS($D$2:D71, $B$2:B71, B71)</f>
        <v>0</v>
      </c>
    </row>
    <row r="72" spans="1:37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s="86">
        <f>AVERAGEIFS($C$2:C72, $B$2:B72, B72)</f>
        <v>25.333333333333332</v>
      </c>
      <c r="AI72" s="86">
        <f>AVERAGEIFS($I$2:I72, $B$2:B72, B72)</f>
        <v>0.45833333333333331</v>
      </c>
      <c r="AJ72" s="86">
        <f>AVERAGEIFS($J$2:J72, $B$2:B72, B72)</f>
        <v>0.48666666666666675</v>
      </c>
      <c r="AK72" s="86">
        <f>AVERAGEIFS($D$2:D72, $B$2:B72, B72)</f>
        <v>0.5</v>
      </c>
    </row>
    <row r="73" spans="1:37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s="86">
        <f>AVERAGEIFS($C$2:C73, $B$2:B73, B73)</f>
        <v>17.5</v>
      </c>
      <c r="AI73" s="86">
        <f>AVERAGEIFS($I$2:I73, $B$2:B73, B73)</f>
        <v>0.3125</v>
      </c>
      <c r="AJ73" s="86">
        <f>AVERAGEIFS($J$2:J73, $B$2:B73, B73)</f>
        <v>0.44249999999999995</v>
      </c>
      <c r="AK73" s="86">
        <f>AVERAGEIFS($D$2:D73, $B$2:B73, B73)</f>
        <v>0.25</v>
      </c>
    </row>
    <row r="74" spans="1:37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s="86">
        <f>AVERAGEIFS($C$2:C74, $B$2:B74, B74)</f>
        <v>18.75</v>
      </c>
      <c r="AI74" s="86">
        <f>AVERAGEIFS($I$2:I74, $B$2:B74, B74)</f>
        <v>0.6875</v>
      </c>
      <c r="AJ74" s="86">
        <f>AVERAGEIFS($J$2:J74, $B$2:B74, B74)</f>
        <v>0.52750000000000008</v>
      </c>
      <c r="AK74" s="86">
        <f>AVERAGEIFS($D$2:D74, $B$2:B74, B74)</f>
        <v>0.75</v>
      </c>
    </row>
    <row r="75" spans="1:37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s="86">
        <f>AVERAGEIFS($C$2:C75, $B$2:B75, B75)</f>
        <v>5</v>
      </c>
      <c r="AI75" s="86">
        <f>AVERAGEIFS($I$2:I75, $B$2:B75, B75)</f>
        <v>0</v>
      </c>
      <c r="AJ75" s="86">
        <f>AVERAGEIFS($J$2:J75, $B$2:B75, B75)</f>
        <v>0.18</v>
      </c>
      <c r="AK75" s="86">
        <f>AVERAGEIFS($D$2:D75, $B$2:B75, B75)</f>
        <v>0</v>
      </c>
    </row>
    <row r="76" spans="1:37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s="86">
        <f>AVERAGEIFS($C$2:C76, $B$2:B76, B76)</f>
        <v>2</v>
      </c>
      <c r="AI76" s="86">
        <f>AVERAGEIFS($I$2:I76, $B$2:B76, B76)</f>
        <v>0</v>
      </c>
      <c r="AJ76" s="86">
        <f>AVERAGEIFS($J$2:J76, $B$2:B76, B76)</f>
        <v>0.18</v>
      </c>
      <c r="AK76" s="86">
        <f>AVERAGEIFS($D$2:D76, $B$2:B76, B76)</f>
        <v>0</v>
      </c>
    </row>
    <row r="77" spans="1:37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0</v>
      </c>
      <c r="AF77">
        <v>0</v>
      </c>
      <c r="AG77">
        <v>0</v>
      </c>
      <c r="AH77" s="86">
        <f>AVERAGEIFS($C$2:C77, $B$2:B77, B77)</f>
        <v>26.142857142857142</v>
      </c>
      <c r="AI77" s="86">
        <f>AVERAGEIFS($I$2:I77, $B$2:B77, B77)</f>
        <v>0.48857142857142855</v>
      </c>
      <c r="AJ77" s="86">
        <f>AVERAGEIFS($J$2:J77, $B$2:B77, B77)</f>
        <v>0.49285714285714288</v>
      </c>
      <c r="AK77" s="86">
        <f>AVERAGEIFS($D$2:D77, $B$2:B77, B77)</f>
        <v>0.5714285714285714</v>
      </c>
    </row>
    <row r="78" spans="1:37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0</v>
      </c>
      <c r="AF78">
        <v>0</v>
      </c>
      <c r="AG78">
        <v>0</v>
      </c>
      <c r="AH78" s="86">
        <f>AVERAGEIFS($C$2:C78, $B$2:B78, B78)</f>
        <v>22</v>
      </c>
      <c r="AI78" s="86">
        <f>AVERAGEIFS($I$2:I78, $B$2:B78, B78)</f>
        <v>0.28666666666666668</v>
      </c>
      <c r="AJ78" s="86">
        <f>AVERAGEIFS($J$2:J78, $B$2:B78, B78)</f>
        <v>0.37833333333333335</v>
      </c>
      <c r="AK78" s="86">
        <f>AVERAGEIFS($D$2:D78, $B$2:B78, B78)</f>
        <v>0.16666666666666666</v>
      </c>
    </row>
    <row r="79" spans="1:37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 s="86">
        <f>AVERAGEIFS($C$2:C79, $B$2:B79, B79)</f>
        <v>18.600000000000001</v>
      </c>
      <c r="AI79" s="86">
        <f>AVERAGEIFS($I$2:I79, $B$2:B79, B79)</f>
        <v>0.38400000000000001</v>
      </c>
      <c r="AJ79" s="86">
        <f>AVERAGEIFS($J$2:J79, $B$2:B79, B79)</f>
        <v>0.45999999999999996</v>
      </c>
      <c r="AK79" s="86">
        <f>AVERAGEIFS($D$2:D79, $B$2:B79, B79)</f>
        <v>0.4</v>
      </c>
    </row>
    <row r="80" spans="1:37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0</v>
      </c>
      <c r="AD80">
        <v>1</v>
      </c>
      <c r="AE80">
        <v>0</v>
      </c>
      <c r="AF80">
        <v>0</v>
      </c>
      <c r="AG80">
        <v>0</v>
      </c>
      <c r="AH80" s="86">
        <f>AVERAGEIFS($C$2:C80, $B$2:B80, B80)</f>
        <v>19.399999999999999</v>
      </c>
      <c r="AI80" s="86">
        <f>AVERAGEIFS($I$2:I80, $B$2:B80, B80)</f>
        <v>0.68399999999999994</v>
      </c>
      <c r="AJ80" s="86">
        <f>AVERAGEIFS($J$2:J80, $B$2:B80, B80)</f>
        <v>0.52800000000000014</v>
      </c>
      <c r="AK80" s="86">
        <f>AVERAGEIFS($D$2:D80, $B$2:B80, B80)</f>
        <v>0.8</v>
      </c>
    </row>
    <row r="81" spans="1:37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 s="86">
        <f>AVERAGEIFS($C$2:C81, $B$2:B81, B81)</f>
        <v>10.5</v>
      </c>
      <c r="AI81" s="86">
        <f>AVERAGEIFS($I$2:I81, $B$2:B81, B81)</f>
        <v>0.33500000000000002</v>
      </c>
      <c r="AJ81" s="86">
        <f>AVERAGEIFS($J$2:J81, $B$2:B81, B81)</f>
        <v>0.35499999999999998</v>
      </c>
      <c r="AK81" s="86">
        <f>AVERAGEIFS($D$2:D81, $B$2:B81, B81)</f>
        <v>0.5</v>
      </c>
    </row>
    <row r="82" spans="1:37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0</v>
      </c>
      <c r="AF82">
        <v>0</v>
      </c>
      <c r="AG82">
        <v>0</v>
      </c>
      <c r="AH82" s="86">
        <f>AVERAGEIFS($C$2:C82, $B$2:B82, B82)</f>
        <v>7</v>
      </c>
      <c r="AI82" s="86">
        <f>AVERAGEIFS($I$2:I82, $B$2:B82, B82)</f>
        <v>0.71</v>
      </c>
      <c r="AJ82" s="86">
        <f>AVERAGEIFS($J$2:J82, $B$2:B82, B82)</f>
        <v>0.56499999999999995</v>
      </c>
      <c r="AK82" s="86">
        <f>AVERAGEIFS($D$2:D82, $B$2:B82, B82)</f>
        <v>1</v>
      </c>
    </row>
    <row r="83" spans="1:37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21.333333333333332</v>
      </c>
      <c r="AI83" s="86">
        <f>AVERAGEIFS($I$2:I83, $B$2:B83, B83)</f>
        <v>0.44333333333333336</v>
      </c>
      <c r="AJ83" s="86">
        <f>AVERAGEIFS($J$2:J83, $B$2:B83, B83)</f>
        <v>0.54999999999999993</v>
      </c>
      <c r="AK83" s="86">
        <f>AVERAGEIFS($D$2:D83, $B$2:B83, B83)</f>
        <v>0.33333333333333331</v>
      </c>
    </row>
    <row r="84" spans="1:37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15.6</v>
      </c>
      <c r="AI84" s="86">
        <f>AVERAGEIFS($I$2:I84, $B$2:B84, B84)</f>
        <v>0.43600000000000005</v>
      </c>
      <c r="AJ84" s="86">
        <f>AVERAGEIFS($J$2:J84, $B$2:B84, B84)</f>
        <v>0.54399999999999993</v>
      </c>
      <c r="AK84" s="86">
        <f>AVERAGEIFS($D$2:D84, $B$2:B84, B84)</f>
        <v>0.4</v>
      </c>
    </row>
    <row r="85" spans="1:37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21.5</v>
      </c>
      <c r="AI85" s="86">
        <f>AVERAGEIFS($I$2:I85, $B$2:B85, B85)</f>
        <v>0.6133333333333334</v>
      </c>
      <c r="AJ85" s="86">
        <f>AVERAGEIFS($J$2:J85, $B$2:B85, B85)</f>
        <v>0.55333333333333334</v>
      </c>
      <c r="AK85" s="86">
        <f>AVERAGEIFS($D$2:D85, $B$2:B85, B85)</f>
        <v>0.66666666666666663</v>
      </c>
    </row>
    <row r="86" spans="1:37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19.285714285714285</v>
      </c>
      <c r="AI86" s="86">
        <f>AVERAGEIFS($I$2:I86, $B$2:B86, B86)</f>
        <v>0.54</v>
      </c>
      <c r="AJ86" s="86">
        <f>AVERAGEIFS($J$2:J86, $B$2:B86, B86)</f>
        <v>0.55571428571428572</v>
      </c>
      <c r="AK86" s="86">
        <f>AVERAGEIFS($D$2:D86, $B$2:B86, B86)</f>
        <v>0.5714285714285714</v>
      </c>
    </row>
    <row r="87" spans="1:37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12</v>
      </c>
      <c r="AI87" s="86">
        <f>AVERAGEIFS($I$2:I87, $B$2:B87, B87)</f>
        <v>0.44</v>
      </c>
      <c r="AJ87" s="86">
        <f>AVERAGEIFS($J$2:J87, $B$2:B87, B87)</f>
        <v>0.5357142857142857</v>
      </c>
      <c r="AK87" s="86">
        <f>AVERAGEIFS($D$2:D87, $B$2:B87, B87)</f>
        <v>0.42857142857142855</v>
      </c>
    </row>
    <row r="88" spans="1:37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9.1999999999999993</v>
      </c>
      <c r="AI88" s="86">
        <f>AVERAGEIFS($I$2:I88, $B$2:B88, B88)</f>
        <v>0.70600000000000007</v>
      </c>
      <c r="AJ88" s="86">
        <f>AVERAGEIFS($J$2:J88, $B$2:B88, B88)</f>
        <v>0.626</v>
      </c>
      <c r="AK88" s="86">
        <f>AVERAGEIFS($D$2:D88, $B$2:B88, B88)</f>
        <v>0.8</v>
      </c>
    </row>
    <row r="89" spans="1:37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26.666666666666668</v>
      </c>
      <c r="AI89" s="86">
        <f>AVERAGEIFS($I$2:I89, $B$2:B89, B89)</f>
        <v>0.45</v>
      </c>
      <c r="AJ89" s="86">
        <f>AVERAGEIFS($J$2:J89, $B$2:B89, B89)</f>
        <v>0.48</v>
      </c>
      <c r="AK89" s="86">
        <f>AVERAGEIFS($D$2:D89, $B$2:B89, B89)</f>
        <v>0.66666666666666663</v>
      </c>
    </row>
    <row r="90" spans="1:37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19.625</v>
      </c>
      <c r="AI90" s="86">
        <f>AVERAGEIFS($I$2:I90, $B$2:B90, B90)</f>
        <v>0.56625000000000003</v>
      </c>
      <c r="AJ90" s="86">
        <f>AVERAGEIFS($J$2:J90, $B$2:B90, B90)</f>
        <v>0.56124999999999992</v>
      </c>
      <c r="AK90" s="86">
        <f>AVERAGEIFS($D$2:D90, $B$2:B90, B90)</f>
        <v>0.625</v>
      </c>
    </row>
    <row r="91" spans="1:37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15.5</v>
      </c>
      <c r="AI91" s="86">
        <f>AVERAGEIFS($I$2:I91, $B$2:B91, B91)</f>
        <v>0.875</v>
      </c>
      <c r="AJ91" s="86">
        <f>AVERAGEIFS($J$2:J91, $B$2:B91, B91)</f>
        <v>0.62</v>
      </c>
      <c r="AK91" s="86">
        <f>AVERAGEIFS($D$2:D91, $B$2:B91, B91)</f>
        <v>1</v>
      </c>
    </row>
    <row r="92" spans="1:37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21</v>
      </c>
      <c r="AI92" s="86">
        <f>AVERAGEIFS($I$2:I92, $B$2:B92, B92)</f>
        <v>0.35285714285714287</v>
      </c>
      <c r="AJ92" s="86">
        <f>AVERAGEIFS($J$2:J92, $B$2:B92, B92)</f>
        <v>0.41000000000000003</v>
      </c>
      <c r="AK92" s="86">
        <f>AVERAGEIFS($D$2:D92, $B$2:B92, B92)</f>
        <v>0.2857142857142857</v>
      </c>
    </row>
    <row r="93" spans="1:37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24.625</v>
      </c>
      <c r="AI93" s="86">
        <f>AVERAGEIFS($I$2:I93, $B$2:B93, B93)</f>
        <v>0.52124999999999999</v>
      </c>
      <c r="AJ93" s="86">
        <f>AVERAGEIFS($J$2:J93, $B$2:B93, B93)</f>
        <v>0.50624999999999998</v>
      </c>
      <c r="AK93" s="86">
        <f>AVERAGEIFS($D$2:D93, $B$2:B93, B93)</f>
        <v>0.625</v>
      </c>
    </row>
    <row r="94" spans="1:37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2.5</v>
      </c>
      <c r="AI94" s="86">
        <f>AVERAGEIFS($I$2:I94, $B$2:B94, B94)</f>
        <v>0.375</v>
      </c>
      <c r="AJ94" s="86">
        <f>AVERAGEIFS($J$2:J94, $B$2:B94, B94)</f>
        <v>0.39</v>
      </c>
      <c r="AK94" s="86">
        <f>AVERAGEIFS($D$2:D94, $B$2:B94, B94)</f>
        <v>0.5</v>
      </c>
    </row>
    <row r="95" spans="1:37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1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22.25</v>
      </c>
      <c r="AI95" s="86">
        <f>AVERAGEIFS($I$2:I95, $B$2:B95, B95)</f>
        <v>0.39500000000000002</v>
      </c>
      <c r="AJ95" s="86">
        <f>AVERAGEIFS($J$2:J95, $B$2:B95, B95)</f>
        <v>0.51249999999999996</v>
      </c>
      <c r="AK95" s="86">
        <f>AVERAGEIFS($D$2:D95, $B$2:B95, B95)</f>
        <v>0.25</v>
      </c>
    </row>
    <row r="96" spans="1:37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1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20</v>
      </c>
      <c r="AI96" s="86">
        <f>AVERAGEIFS($I$2:I96, $B$2:B96, B96)</f>
        <v>0.32500000000000001</v>
      </c>
      <c r="AJ96" s="86">
        <f>AVERAGEIFS($J$2:J96, $B$2:B96, B96)</f>
        <v>0.41249999999999998</v>
      </c>
      <c r="AK96" s="86">
        <f>AVERAGEIFS($D$2:D96, $B$2:B96, B96)</f>
        <v>0</v>
      </c>
    </row>
    <row r="97" spans="1:37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1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22.2</v>
      </c>
      <c r="AI97" s="86">
        <f>AVERAGEIFS($I$2:I97, $B$2:B97, B97)</f>
        <v>0.61</v>
      </c>
      <c r="AJ97" s="86">
        <f>AVERAGEIFS($J$2:J97, $B$2:B97, B97)</f>
        <v>0.51600000000000001</v>
      </c>
      <c r="AK97" s="86">
        <f>AVERAGEIFS($D$2:D97, $B$2:B97, B97)</f>
        <v>0.4</v>
      </c>
    </row>
    <row r="98" spans="1:37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17.666666666666668</v>
      </c>
      <c r="AI98" s="86">
        <f>AVERAGEIFS($I$2:I98, $B$2:B98, B98)</f>
        <v>0.36166666666666664</v>
      </c>
      <c r="AJ98" s="86">
        <f>AVERAGEIFS($J$2:J98, $B$2:B98, B98)</f>
        <v>0.44999999999999996</v>
      </c>
      <c r="AK98" s="86">
        <f>AVERAGEIFS($D$2:D98, $B$2:B98, B98)</f>
        <v>0.33333333333333331</v>
      </c>
    </row>
    <row r="99" spans="1:37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1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12</v>
      </c>
      <c r="AI99" s="86">
        <f>AVERAGEIFS($I$2:I99, $B$2:B99, B99)</f>
        <v>0.25</v>
      </c>
      <c r="AJ99" s="86">
        <f>AVERAGEIFS($J$2:J99, $B$2:B99, B99)</f>
        <v>0.4</v>
      </c>
      <c r="AK99" s="86">
        <f>AVERAGEIFS($D$2:D99, $B$2:B99, B99)</f>
        <v>0</v>
      </c>
    </row>
    <row r="100" spans="1:37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9.1666666666666661</v>
      </c>
      <c r="AI100" s="86">
        <f>AVERAGEIFS($I$2:I100, $B$2:B100, B100)</f>
        <v>0.63</v>
      </c>
      <c r="AJ100" s="86">
        <f>AVERAGEIFS($J$2:J100, $B$2:B100, B100)</f>
        <v>0.58833333333333326</v>
      </c>
      <c r="AK100" s="86">
        <f>AVERAGEIFS($D$2:D100, $B$2:B100, B100)</f>
        <v>0.66666666666666663</v>
      </c>
    </row>
    <row r="101" spans="1:37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20.399999999999999</v>
      </c>
      <c r="AI101" s="86">
        <f>AVERAGEIFS($I$2:I101, $B$2:B101, B101)</f>
        <v>0.38</v>
      </c>
      <c r="AJ101" s="86">
        <f>AVERAGEIFS($J$2:J101, $B$2:B101, B101)</f>
        <v>0.434</v>
      </c>
      <c r="AK101" s="86">
        <f>AVERAGEIFS($D$2:D101, $B$2:B101, B101)</f>
        <v>0.2</v>
      </c>
    </row>
    <row r="102" spans="1:37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18</v>
      </c>
      <c r="AI102" s="86">
        <f>AVERAGEIFS($I$2:I102, $B$2:B102, B102)</f>
        <v>0.6</v>
      </c>
      <c r="AJ102" s="86">
        <f>AVERAGEIFS($J$2:J102, $B$2:B102, B102)</f>
        <v>0.52</v>
      </c>
      <c r="AK102" s="86">
        <f>AVERAGEIFS($D$2:D102, $B$2:B102, B102)</f>
        <v>1</v>
      </c>
    </row>
    <row r="103" spans="1:37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19</v>
      </c>
      <c r="AI103" s="86">
        <f>AVERAGEIFS($I$2:I103, $B$2:B103, B103)</f>
        <v>0.8</v>
      </c>
      <c r="AJ103" s="86">
        <f>AVERAGEIFS($J$2:J103, $B$2:B103, B103)</f>
        <v>0.60499999999999998</v>
      </c>
      <c r="AK103" s="86">
        <f>AVERAGEIFS($D$2:D103, $B$2:B103, B103)</f>
        <v>1</v>
      </c>
    </row>
    <row r="104" spans="1:37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17</v>
      </c>
      <c r="AI104" s="86">
        <f>AVERAGEIFS($I$2:I104, $B$2:B104, B104)</f>
        <v>0.39571428571428574</v>
      </c>
      <c r="AJ104" s="86">
        <f>AVERAGEIFS($J$2:J104, $B$2:B104, B104)</f>
        <v>0.45999999999999996</v>
      </c>
      <c r="AK104" s="86">
        <f>AVERAGEIFS($D$2:D104, $B$2:B104, B104)</f>
        <v>0.42857142857142855</v>
      </c>
    </row>
    <row r="105" spans="1:37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20.5</v>
      </c>
      <c r="AI105" s="86">
        <f>AVERAGEIFS($I$2:I105, $B$2:B105, B105)</f>
        <v>0.60833333333333328</v>
      </c>
      <c r="AJ105" s="86">
        <f>AVERAGEIFS($J$2:J105, $B$2:B105, B105)</f>
        <v>0.51666666666666672</v>
      </c>
      <c r="AK105" s="86">
        <f>AVERAGEIFS($D$2:D105, $B$2:B105, B105)</f>
        <v>0.5</v>
      </c>
    </row>
    <row r="106" spans="1:37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1</v>
      </c>
      <c r="AH106" s="86">
        <f>AVERAGEIFS($C$2:C106, $B$2:B106, B106)</f>
        <v>24.666666666666668</v>
      </c>
      <c r="AI106" s="86">
        <f>AVERAGEIFS($I$2:I106, $B$2:B106, B106)</f>
        <v>0.50777777777777777</v>
      </c>
      <c r="AJ106" s="86">
        <f>AVERAGEIFS($J$2:J106, $B$2:B106, B106)</f>
        <v>0.5033333333333333</v>
      </c>
      <c r="AK106" s="86">
        <f>AVERAGEIFS($D$2:D106, $B$2:B106, B106)</f>
        <v>0.55555555555555558</v>
      </c>
    </row>
    <row r="107" spans="1:37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1</v>
      </c>
      <c r="AF107">
        <v>0</v>
      </c>
      <c r="AG107">
        <v>1</v>
      </c>
      <c r="AH107" s="86">
        <f>AVERAGEIFS($C$2:C107, $B$2:B107, B107)</f>
        <v>20.875</v>
      </c>
      <c r="AI107" s="86">
        <f>AVERAGEIFS($I$2:I107, $B$2:B107, B107)</f>
        <v>0.35875000000000001</v>
      </c>
      <c r="AJ107" s="86">
        <f>AVERAGEIFS($J$2:J107, $B$2:B107, B107)</f>
        <v>0.41875000000000001</v>
      </c>
      <c r="AK107" s="86">
        <f>AVERAGEIFS($D$2:D107, $B$2:B107, B107)</f>
        <v>0.25</v>
      </c>
    </row>
    <row r="108" spans="1:37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1</v>
      </c>
      <c r="AF108">
        <v>0</v>
      </c>
      <c r="AG108">
        <v>1</v>
      </c>
      <c r="AH108" s="86">
        <f>AVERAGEIFS($C$2:C108, $B$2:B108, B108)</f>
        <v>18.888888888888889</v>
      </c>
      <c r="AI108" s="86">
        <f>AVERAGEIFS($I$2:I108, $B$2:B108, B108)</f>
        <v>0.54777777777777781</v>
      </c>
      <c r="AJ108" s="86">
        <f>AVERAGEIFS($J$2:J108, $B$2:B108, B108)</f>
        <v>0.55222222222222206</v>
      </c>
      <c r="AK108" s="86">
        <f>AVERAGEIFS($D$2:D108, $B$2:B108, B108)</f>
        <v>0.55555555555555558</v>
      </c>
    </row>
    <row r="109" spans="1:37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1</v>
      </c>
      <c r="AF109">
        <v>0</v>
      </c>
      <c r="AG109">
        <v>1</v>
      </c>
      <c r="AH109" s="86">
        <f>AVERAGEIFS($C$2:C109, $B$2:B109, B109)</f>
        <v>9.2857142857142865</v>
      </c>
      <c r="AI109" s="86">
        <f>AVERAGEIFS($I$2:I109, $B$2:B109, B109)</f>
        <v>0.5971428571428572</v>
      </c>
      <c r="AJ109" s="86">
        <f>AVERAGEIFS($J$2:J109, $B$2:B109, B109)</f>
        <v>0.57285714285714284</v>
      </c>
      <c r="AK109" s="86">
        <f>AVERAGEIFS($D$2:D109, $B$2:B109, B109)</f>
        <v>0.5714285714285714</v>
      </c>
    </row>
    <row r="110" spans="1:37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1</v>
      </c>
      <c r="AF110">
        <v>0</v>
      </c>
      <c r="AG110">
        <v>1</v>
      </c>
      <c r="AH110" s="86">
        <f>AVERAGEIFS($C$2:C110, $B$2:B110, B110)</f>
        <v>13.333333333333334</v>
      </c>
      <c r="AI110" s="86">
        <f>AVERAGEIFS($I$2:I110, $B$2:B110, B110)</f>
        <v>0.71666666666666667</v>
      </c>
      <c r="AJ110" s="86">
        <f>AVERAGEIFS($J$2:J110, $B$2:B110, B110)</f>
        <v>0.57333333333333336</v>
      </c>
      <c r="AK110" s="86">
        <f>AVERAGEIFS($D$2:D110, $B$2:B110, B110)</f>
        <v>0.66666666666666663</v>
      </c>
    </row>
    <row r="111" spans="1:37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1</v>
      </c>
      <c r="AG111">
        <v>0</v>
      </c>
      <c r="AH111" s="86">
        <f>AVERAGEIFS($C$2:C111, $B$2:B111, B111)</f>
        <v>22</v>
      </c>
      <c r="AI111" s="86">
        <f>AVERAGEIFS($I$2:I111, $B$2:B111, B111)</f>
        <v>0.66857142857142848</v>
      </c>
      <c r="AJ111" s="86">
        <f>AVERAGEIFS($J$2:J111, $B$2:B111, B111)</f>
        <v>0.55571428571428572</v>
      </c>
      <c r="AK111" s="86">
        <f>AVERAGEIFS($D$2:D111, $B$2:B111, B111)</f>
        <v>0.7142857142857143</v>
      </c>
    </row>
    <row r="112" spans="1:37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1</v>
      </c>
      <c r="AG112">
        <v>0</v>
      </c>
      <c r="AH112" s="86">
        <f>AVERAGEIFS($C$2:C112, $B$2:B112, B112)</f>
        <v>23.9</v>
      </c>
      <c r="AI112" s="86">
        <f>AVERAGEIFS($I$2:I112, $B$2:B112, B112)</f>
        <v>0.55700000000000005</v>
      </c>
      <c r="AJ112" s="86">
        <f>AVERAGEIFS($J$2:J112, $B$2:B112, B112)</f>
        <v>0.51</v>
      </c>
      <c r="AK112" s="86">
        <f>AVERAGEIFS($D$2:D112, $B$2:B112, B112)</f>
        <v>0.6</v>
      </c>
    </row>
    <row r="113" spans="1:37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1</v>
      </c>
      <c r="AG113">
        <v>0</v>
      </c>
      <c r="AH113" s="86">
        <f>AVERAGEIFS($C$2:C113, $B$2:B113, B113)</f>
        <v>19.666666666666668</v>
      </c>
      <c r="AI113" s="86">
        <f>AVERAGEIFS($I$2:I113, $B$2:B113, B113)</f>
        <v>0.48333333333333334</v>
      </c>
      <c r="AJ113" s="86">
        <f>AVERAGEIFS($J$2:J113, $B$2:B113, B113)</f>
        <v>0.45666666666666661</v>
      </c>
      <c r="AK113" s="86">
        <f>AVERAGEIFS($D$2:D113, $B$2:B113, B113)</f>
        <v>0.33333333333333331</v>
      </c>
    </row>
    <row r="114" spans="1:37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1</v>
      </c>
      <c r="AG114">
        <v>0</v>
      </c>
      <c r="AH114" s="86">
        <f>AVERAGEIFS($C$2:C114, $B$2:B114, B114)</f>
        <v>20</v>
      </c>
      <c r="AI114" s="86">
        <f>AVERAGEIFS($I$2:I114, $B$2:B114, B114)</f>
        <v>0.43</v>
      </c>
      <c r="AJ114" s="86">
        <f>AVERAGEIFS($J$2:J114, $B$2:B114, B114)</f>
        <v>0.43555555555555553</v>
      </c>
      <c r="AK114" s="86">
        <f>AVERAGEIFS($D$2:D114, $B$2:B114, B114)</f>
        <v>0.33333333333333331</v>
      </c>
    </row>
    <row r="115" spans="1:37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1</v>
      </c>
      <c r="AG115">
        <v>0</v>
      </c>
      <c r="AH115" s="86">
        <f>AVERAGEIFS($C$2:C115, $B$2:B115, B115)</f>
        <v>11.5</v>
      </c>
      <c r="AI115" s="86">
        <f>AVERAGEIFS($I$2:I115, $B$2:B115, B115)</f>
        <v>0.51</v>
      </c>
      <c r="AJ115" s="86">
        <f>AVERAGEIFS($J$2:J115, $B$2:B115, B115)</f>
        <v>0.54</v>
      </c>
      <c r="AK115" s="86">
        <f>AVERAGEIFS($D$2:D115, $B$2:B115, B115)</f>
        <v>0.5</v>
      </c>
    </row>
    <row r="116" spans="1:37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21.6</v>
      </c>
      <c r="AI116" s="86">
        <f>AVERAGEIFS($I$2:I116, $B$2:B116, B116)</f>
        <v>0.316</v>
      </c>
      <c r="AJ116" s="86">
        <f>AVERAGEIFS($J$2:J116, $B$2:B116, B116)</f>
        <v>0.496</v>
      </c>
      <c r="AK116" s="86">
        <f>AVERAGEIFS($D$2:D116, $B$2:B116, B116)</f>
        <v>0.2</v>
      </c>
    </row>
    <row r="117" spans="1:37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17</v>
      </c>
      <c r="AI117" s="86">
        <f>AVERAGEIFS($I$2:I117, $B$2:B117, B117)</f>
        <v>0</v>
      </c>
      <c r="AJ117" s="86">
        <f>AVERAGEIFS($J$2:J117, $B$2:B117, B117)</f>
        <v>0.43</v>
      </c>
      <c r="AK117" s="86">
        <f>AVERAGEIFS($D$2:D117, $B$2:B117, B117)</f>
        <v>0</v>
      </c>
    </row>
    <row r="118" spans="1:37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18.666666666666668</v>
      </c>
      <c r="AI118" s="86">
        <f>AVERAGEIFS($I$2:I118, $B$2:B118, B118)</f>
        <v>0.56999999999999995</v>
      </c>
      <c r="AJ118" s="86">
        <f>AVERAGEIFS($J$2:J118, $B$2:B118, B118)</f>
        <v>0.51166666666666683</v>
      </c>
      <c r="AK118" s="86">
        <f>AVERAGEIFS($D$2:D118, $B$2:B118, B118)</f>
        <v>0.66666666666666663</v>
      </c>
    </row>
    <row r="119" spans="1:37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9</v>
      </c>
      <c r="AI119" s="86">
        <f>AVERAGEIFS($I$2:I119, $B$2:B119, B119)</f>
        <v>0.52250000000000008</v>
      </c>
      <c r="AJ119" s="86">
        <f>AVERAGEIFS($J$2:J119, $B$2:B119, B119)</f>
        <v>0.55499999999999994</v>
      </c>
      <c r="AK119" s="86">
        <f>AVERAGEIFS($D$2:D119, $B$2:B119, B119)</f>
        <v>0.5</v>
      </c>
    </row>
    <row r="120" spans="1:37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17.7</v>
      </c>
      <c r="AI120" s="86">
        <f>AVERAGEIFS($I$2:I120, $B$2:B120, B120)</f>
        <v>0.49300000000000005</v>
      </c>
      <c r="AJ120" s="86">
        <f>AVERAGEIFS($J$2:J120, $B$2:B120, B120)</f>
        <v>0.53999999999999981</v>
      </c>
      <c r="AK120" s="86">
        <f>AVERAGEIFS($D$2:D120, $B$2:B120, B120)</f>
        <v>0.5</v>
      </c>
    </row>
    <row r="121" spans="1:37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1</v>
      </c>
      <c r="AE121">
        <v>0</v>
      </c>
      <c r="AF121">
        <v>0</v>
      </c>
      <c r="AG121">
        <v>0</v>
      </c>
      <c r="AH121" s="86">
        <f>AVERAGEIFS($C$2:C121, $B$2:B121, B121)</f>
        <v>17</v>
      </c>
      <c r="AI121" s="86">
        <f>AVERAGEIFS($I$2:I121, $B$2:B121, B121)</f>
        <v>0.6</v>
      </c>
      <c r="AJ121" s="86">
        <f>AVERAGEIFS($J$2:J121, $B$2:B121, B121)</f>
        <v>0.54</v>
      </c>
      <c r="AK121" s="86">
        <f>AVERAGEIFS($D$2:D121, $B$2:B121, B121)</f>
        <v>1</v>
      </c>
    </row>
    <row r="122" spans="1:37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0</v>
      </c>
      <c r="AF122">
        <v>0</v>
      </c>
      <c r="AG122">
        <v>0</v>
      </c>
      <c r="AH122" s="86">
        <f>AVERAGEIFS($C$2:C122, $B$2:B122, B122)</f>
        <v>17</v>
      </c>
      <c r="AI122" s="86">
        <f>AVERAGEIFS($I$2:I122, $B$2:B122, B122)</f>
        <v>0.6</v>
      </c>
      <c r="AJ122" s="86">
        <f>AVERAGEIFS($J$2:J122, $B$2:B122, B122)</f>
        <v>0.54</v>
      </c>
      <c r="AK122" s="86">
        <f>AVERAGEIFS($D$2:D122, $B$2:B122, B122)</f>
        <v>1</v>
      </c>
    </row>
    <row r="123" spans="1:37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0</v>
      </c>
      <c r="AF123">
        <v>0</v>
      </c>
      <c r="AG123">
        <v>0</v>
      </c>
      <c r="AH123" s="86">
        <f>AVERAGEIFS($C$2:C123, $B$2:B123, B123)</f>
        <v>21.142857142857142</v>
      </c>
      <c r="AI123" s="86">
        <f>AVERAGEIFS($I$2:I123, $B$2:B123, B123)</f>
        <v>0.57428571428571418</v>
      </c>
      <c r="AJ123" s="86">
        <f>AVERAGEIFS($J$2:J123, $B$2:B123, B123)</f>
        <v>0.51571428571428579</v>
      </c>
      <c r="AK123" s="86">
        <f>AVERAGEIFS($D$2:D123, $B$2:B123, B123)</f>
        <v>0.7142857142857143</v>
      </c>
    </row>
    <row r="124" spans="1:37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1</v>
      </c>
      <c r="AE124">
        <v>0</v>
      </c>
      <c r="AF124">
        <v>0</v>
      </c>
      <c r="AG124">
        <v>0</v>
      </c>
      <c r="AH124" s="86">
        <f>AVERAGEIFS($C$2:C124, $B$2:B124, B124)</f>
        <v>24.181818181818183</v>
      </c>
      <c r="AI124" s="86">
        <f>AVERAGEIFS($I$2:I124, $B$2:B124, B124)</f>
        <v>0.56090909090909091</v>
      </c>
      <c r="AJ124" s="86">
        <f>AVERAGEIFS($J$2:J124, $B$2:B124, B124)</f>
        <v>0.5127272727272727</v>
      </c>
      <c r="AK124" s="86">
        <f>AVERAGEIFS($D$2:D124, $B$2:B124, B124)</f>
        <v>0.63636363636363635</v>
      </c>
    </row>
    <row r="125" spans="1:37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1</v>
      </c>
      <c r="AE125">
        <v>0</v>
      </c>
      <c r="AF125">
        <v>0</v>
      </c>
      <c r="AG125">
        <v>0</v>
      </c>
      <c r="AH125" s="86">
        <f>AVERAGEIFS($C$2:C125, $B$2:B125, B125)</f>
        <v>16.5</v>
      </c>
      <c r="AI125" s="86">
        <f>AVERAGEIFS($I$2:I125, $B$2:B125, B125)</f>
        <v>0.48750000000000004</v>
      </c>
      <c r="AJ125" s="86">
        <f>AVERAGEIFS($J$2:J125, $B$2:B125, B125)</f>
        <v>0.495</v>
      </c>
      <c r="AK125" s="86">
        <f>AVERAGEIFS($D$2:D125, $B$2:B125, B125)</f>
        <v>0.75</v>
      </c>
    </row>
    <row r="126" spans="1:37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18</v>
      </c>
      <c r="AI126" s="86">
        <f>AVERAGEIFS($I$2:I126, $B$2:B126, B126)</f>
        <v>0.48454545454545461</v>
      </c>
      <c r="AJ126" s="86">
        <f>AVERAGEIFS($J$2:J126, $B$2:B126, B126)</f>
        <v>0.5327272727272726</v>
      </c>
      <c r="AK126" s="86">
        <f>AVERAGEIFS($D$2:D126, $B$2:B126, B126)</f>
        <v>0.45454545454545453</v>
      </c>
    </row>
    <row r="127" spans="1:37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21.625</v>
      </c>
      <c r="AI127" s="86">
        <f>AVERAGEIFS($I$2:I127, $B$2:B127, B127)</f>
        <v>0.63500000000000001</v>
      </c>
      <c r="AJ127" s="86">
        <f>AVERAGEIFS($J$2:J127, $B$2:B127, B127)</f>
        <v>0.54375000000000007</v>
      </c>
      <c r="AK127" s="86">
        <f>AVERAGEIFS($D$2:D127, $B$2:B127, B127)</f>
        <v>0.625</v>
      </c>
    </row>
    <row r="128" spans="1:37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15.5</v>
      </c>
      <c r="AI128" s="86">
        <f>AVERAGEIFS($I$2:I128, $B$2:B128, B128)</f>
        <v>0.32500000000000001</v>
      </c>
      <c r="AJ128" s="86">
        <f>AVERAGEIFS($J$2:J128, $B$2:B128, B128)</f>
        <v>0.43000000000000005</v>
      </c>
      <c r="AK128" s="86">
        <f>AVERAGEIFS($D$2:D128, $B$2:B128, B128)</f>
        <v>0</v>
      </c>
    </row>
    <row r="129" spans="1:37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18.714285714285715</v>
      </c>
      <c r="AI129" s="86">
        <f>AVERAGEIFS($I$2:I129, $B$2:B129, B129)</f>
        <v>0.47142857142857142</v>
      </c>
      <c r="AJ129" s="86">
        <f>AVERAGEIFS($J$2:J129, $B$2:B129, B129)</f>
        <v>0.45714285714285713</v>
      </c>
      <c r="AK129" s="86">
        <f>AVERAGEIFS($D$2:D129, $B$2:B129, B129)</f>
        <v>0.2857142857142857</v>
      </c>
    </row>
    <row r="130" spans="1:37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27</v>
      </c>
      <c r="AI130" s="86">
        <f>AVERAGEIFS($I$2:I130, $B$2:B130, B130)</f>
        <v>0.4</v>
      </c>
      <c r="AJ130" s="86">
        <f>AVERAGEIFS($J$2:J130, $B$2:B130, B130)</f>
        <v>0.46</v>
      </c>
      <c r="AK130" s="86">
        <f>AVERAGEIFS($D$2:D130, $B$2:B130, B130)</f>
        <v>0</v>
      </c>
    </row>
    <row r="131" spans="1:37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1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21.166666666666668</v>
      </c>
      <c r="AI131" s="86">
        <f>AVERAGEIFS($I$2:I131, $B$2:B131, B131)</f>
        <v>0.38833333333333336</v>
      </c>
      <c r="AJ131" s="86">
        <f>AVERAGEIFS($J$2:J131, $B$2:B131, B131)</f>
        <v>0.54500000000000004</v>
      </c>
      <c r="AK131" s="86">
        <f>AVERAGEIFS($D$2:D131, $B$2:B131, B131)</f>
        <v>0.33333333333333331</v>
      </c>
    </row>
    <row r="132" spans="1:37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1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18.5</v>
      </c>
      <c r="AI132" s="86">
        <f>AVERAGEIFS($I$2:I132, $B$2:B132, B132)</f>
        <v>0.50624999999999998</v>
      </c>
      <c r="AJ132" s="86">
        <f>AVERAGEIFS($J$2:J132, $B$2:B132, B132)</f>
        <v>0.49874999999999997</v>
      </c>
      <c r="AK132" s="86">
        <f>AVERAGEIFS($D$2:D132, $B$2:B132, B132)</f>
        <v>0.375</v>
      </c>
    </row>
    <row r="133" spans="1:37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1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19.3</v>
      </c>
      <c r="AI133" s="86">
        <f>AVERAGEIFS($I$2:I133, $B$2:B133, B133)</f>
        <v>0.46200000000000002</v>
      </c>
      <c r="AJ133" s="86">
        <f>AVERAGEIFS($J$2:J133, $B$2:B133, B133)</f>
        <v>0.47099999999999997</v>
      </c>
      <c r="AK133" s="86">
        <f>AVERAGEIFS($D$2:D133, $B$2:B133, B133)</f>
        <v>0.4</v>
      </c>
    </row>
    <row r="134" spans="1:37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20.555555555555557</v>
      </c>
      <c r="AI134" s="86">
        <f>AVERAGEIFS($I$2:I134, $B$2:B134, B134)</f>
        <v>0.64777777777777779</v>
      </c>
      <c r="AJ134" s="86">
        <f>AVERAGEIFS($J$2:J134, $B$2:B134, B134)</f>
        <v>0.57111111111111112</v>
      </c>
      <c r="AK134" s="86">
        <f>AVERAGEIFS($D$2:D134, $B$2:B134, B134)</f>
        <v>0.66666666666666663</v>
      </c>
    </row>
    <row r="135" spans="1:37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1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10</v>
      </c>
      <c r="AI135" s="86">
        <f>AVERAGEIFS($I$2:I135, $B$2:B135, B135)</f>
        <v>0.75</v>
      </c>
      <c r="AJ135" s="86">
        <f>AVERAGEIFS($J$2:J135, $B$2:B135, B135)</f>
        <v>0.79</v>
      </c>
      <c r="AK135" s="86">
        <f>AVERAGEIFS($D$2:D135, $B$2:B135, B135)</f>
        <v>1</v>
      </c>
    </row>
    <row r="136" spans="1:37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1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8.3333333333333339</v>
      </c>
      <c r="AI136" s="86">
        <f>AVERAGEIFS($I$2:I136, $B$2:B136, B136)</f>
        <v>0.54777777777777781</v>
      </c>
      <c r="AJ136" s="86">
        <f>AVERAGEIFS($J$2:J136, $B$2:B136, B136)</f>
        <v>0.58111111111111102</v>
      </c>
      <c r="AK136" s="86">
        <f>AVERAGEIFS($D$2:D136, $B$2:B136, B136)</f>
        <v>0.55555555555555558</v>
      </c>
    </row>
    <row r="137" spans="1:37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23.75</v>
      </c>
      <c r="AI137" s="86">
        <f>AVERAGEIFS($I$2:I137, $B$2:B137, B137)</f>
        <v>0.53500000000000003</v>
      </c>
      <c r="AJ137" s="86">
        <f>AVERAGEIFS($J$2:J137, $B$2:B137, B137)</f>
        <v>0.48749999999999999</v>
      </c>
      <c r="AK137" s="86">
        <f>AVERAGEIFS($D$2:D137, $B$2:B137, B137)</f>
        <v>0.58333333333333337</v>
      </c>
    </row>
    <row r="138" spans="1:37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 s="86">
        <f>AVERAGEIFS($C$2:C138, $B$2:B138, B138)</f>
        <v>19.5</v>
      </c>
      <c r="AI138" s="86">
        <f>AVERAGEIFS($I$2:I138, $B$2:B138, B138)</f>
        <v>0.32500000000000001</v>
      </c>
      <c r="AJ138" s="86">
        <f>AVERAGEIFS($J$2:J138, $B$2:B138, B138)</f>
        <v>0.33500000000000002</v>
      </c>
      <c r="AK138" s="86">
        <f>AVERAGEIFS($D$2:D138, $B$2:B138, B138)</f>
        <v>0</v>
      </c>
    </row>
    <row r="139" spans="1:37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 s="86">
        <f>AVERAGEIFS($C$2:C139, $B$2:B139, B139)</f>
        <v>11.444444444444445</v>
      </c>
      <c r="AI139" s="86">
        <f>AVERAGEIFS($I$2:I139, $B$2:B139, B139)</f>
        <v>0.4811111111111111</v>
      </c>
      <c r="AJ139" s="86">
        <f>AVERAGEIFS($J$2:J139, $B$2:B139, B139)</f>
        <v>0.50333333333333341</v>
      </c>
      <c r="AK139" s="86">
        <f>AVERAGEIFS($D$2:D139, $B$2:B139, B139)</f>
        <v>0.44444444444444442</v>
      </c>
    </row>
    <row r="140" spans="1:37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 s="86">
        <f>AVERAGEIFS($C$2:C140, $B$2:B140, B140)</f>
        <v>14</v>
      </c>
      <c r="AI140" s="86">
        <f>AVERAGEIFS($I$2:I140, $B$2:B140, B140)</f>
        <v>0.42499999999999999</v>
      </c>
      <c r="AJ140" s="86">
        <f>AVERAGEIFS($J$2:J140, $B$2:B140, B140)</f>
        <v>0.375</v>
      </c>
      <c r="AK140" s="86">
        <f>AVERAGEIFS($D$2:D140, $B$2:B140, B140)</f>
        <v>0.5</v>
      </c>
    </row>
    <row r="141" spans="1:37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 s="86">
        <f>AVERAGEIFS($C$2:C141, $B$2:B141, B141)</f>
        <v>12</v>
      </c>
      <c r="AI141" s="86">
        <f>AVERAGEIFS($I$2:I141, $B$2:B141, B141)</f>
        <v>0.3</v>
      </c>
      <c r="AJ141" s="86">
        <f>AVERAGEIFS($J$2:J141, $B$2:B141, B141)</f>
        <v>0.35666666666666669</v>
      </c>
      <c r="AK141" s="86">
        <f>AVERAGEIFS($D$2:D141, $B$2:B141, B141)</f>
        <v>0</v>
      </c>
    </row>
    <row r="142" spans="1:37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 s="86">
        <f>AVERAGEIFS($C$2:C142, $B$2:B142, B142)</f>
        <v>11</v>
      </c>
      <c r="AI142" s="86">
        <f>AVERAGEIFS($I$2:I142, $B$2:B142, B142)</f>
        <v>0.42499999999999999</v>
      </c>
      <c r="AJ142" s="86">
        <f>AVERAGEIFS($J$2:J142, $B$2:B142, B142)</f>
        <v>0.375</v>
      </c>
      <c r="AK142" s="86">
        <f>AVERAGEIFS($D$2:D142, $B$2:B142, B142)</f>
        <v>0.5</v>
      </c>
    </row>
    <row r="143" spans="1:37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 s="86">
        <f>AVERAGEIFS($C$2:C143, $B$2:B143, B143)</f>
        <v>18.916666666666668</v>
      </c>
      <c r="AI143" s="86">
        <f>AVERAGEIFS($I$2:I143, $B$2:B143, B143)</f>
        <v>0.50666666666666671</v>
      </c>
      <c r="AJ143" s="86">
        <f>AVERAGEIFS($J$2:J143, $B$2:B143, B143)</f>
        <v>0.54166666666666652</v>
      </c>
      <c r="AK143" s="86">
        <f>AVERAGEIFS($D$2:D143, $B$2:B143, B143)</f>
        <v>0.5</v>
      </c>
    </row>
    <row r="144" spans="1:37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20.8</v>
      </c>
      <c r="AI144" s="86">
        <f>AVERAGEIFS($I$2:I144, $B$2:B144, B144)</f>
        <v>0.65800000000000003</v>
      </c>
      <c r="AJ144" s="86">
        <f>AVERAGEIFS($J$2:J144, $B$2:B144, B144)</f>
        <v>0.57800000000000007</v>
      </c>
      <c r="AK144" s="86">
        <f>AVERAGEIFS($D$2:D144, $B$2:B144, B144)</f>
        <v>0.7</v>
      </c>
    </row>
    <row r="145" spans="1:37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21</v>
      </c>
      <c r="AI145" s="86">
        <f>AVERAGEIFS($I$2:I145, $B$2:B145, B145)</f>
        <v>0.44</v>
      </c>
      <c r="AJ145" s="86">
        <f>AVERAGEIFS($J$2:J145, $B$2:B145, B145)</f>
        <v>0.55857142857142861</v>
      </c>
      <c r="AK145" s="86">
        <f>AVERAGEIFS($D$2:D145, $B$2:B145, B145)</f>
        <v>0.42857142857142855</v>
      </c>
    </row>
    <row r="146" spans="1:37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11</v>
      </c>
      <c r="AI146" s="86">
        <f>AVERAGEIFS($I$2:I146, $B$2:B146, B146)</f>
        <v>0.75</v>
      </c>
      <c r="AJ146" s="86">
        <f>AVERAGEIFS($J$2:J146, $B$2:B146, B146)</f>
        <v>0.71500000000000008</v>
      </c>
      <c r="AK146" s="86">
        <f>AVERAGEIFS($D$2:D146, $B$2:B146, B146)</f>
        <v>1</v>
      </c>
    </row>
    <row r="147" spans="1:37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11.333333333333334</v>
      </c>
      <c r="AI147" s="86">
        <f>AVERAGEIFS($I$2:I147, $B$2:B147, B147)</f>
        <v>0.53333333333333333</v>
      </c>
      <c r="AJ147" s="86">
        <f>AVERAGEIFS($J$2:J147, $B$2:B147, B147)</f>
        <v>0.46333333333333337</v>
      </c>
      <c r="AK147" s="86">
        <f>AVERAGEIFS($D$2:D147, $B$2:B147, B147)</f>
        <v>0.66666666666666663</v>
      </c>
    </row>
    <row r="148" spans="1:37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8</v>
      </c>
      <c r="AI148" s="86">
        <f>AVERAGEIFS($I$2:I148, $B$2:B148, B148)</f>
        <v>0.56800000000000006</v>
      </c>
      <c r="AJ148" s="86">
        <f>AVERAGEIFS($J$2:J148, $B$2:B148, B148)</f>
        <v>0.58699999999999997</v>
      </c>
      <c r="AK148" s="86">
        <f>AVERAGEIFS($D$2:D148, $B$2:B148, B148)</f>
        <v>0.6</v>
      </c>
    </row>
    <row r="149" spans="1:37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24.384615384615383</v>
      </c>
      <c r="AI149" s="86">
        <f>AVERAGEIFS($I$2:I149, $B$2:B149, B149)</f>
        <v>0.5130769230769231</v>
      </c>
      <c r="AJ149" s="86">
        <f>AVERAGEIFS($J$2:J149, $B$2:B149, B149)</f>
        <v>0.47769230769230769</v>
      </c>
      <c r="AK149" s="86">
        <f>AVERAGEIFS($D$2:D149, $B$2:B149, B149)</f>
        <v>0.53846153846153844</v>
      </c>
    </row>
    <row r="150" spans="1:37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19.181818181818183</v>
      </c>
      <c r="AI150" s="86">
        <f>AVERAGEIFS($I$2:I150, $B$2:B150, B150)</f>
        <v>0.44272727272727275</v>
      </c>
      <c r="AJ150" s="86">
        <f>AVERAGEIFS($J$2:J150, $B$2:B150, B150)</f>
        <v>0.46090909090909093</v>
      </c>
      <c r="AK150" s="86">
        <f>AVERAGEIFS($D$2:D150, $B$2:B150, B150)</f>
        <v>0.36363636363636365</v>
      </c>
    </row>
    <row r="151" spans="1:37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18.333333333333332</v>
      </c>
      <c r="AI151" s="86">
        <f>AVERAGEIFS($I$2:I151, $B$2:B151, B151)</f>
        <v>0.47777777777777775</v>
      </c>
      <c r="AJ151" s="86">
        <f>AVERAGEIFS($J$2:J151, $B$2:B151, B151)</f>
        <v>0.48333333333333328</v>
      </c>
      <c r="AK151" s="86">
        <f>AVERAGEIFS($D$2:D151, $B$2:B151, B151)</f>
        <v>0.33333333333333331</v>
      </c>
    </row>
    <row r="152" spans="1:37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12.5</v>
      </c>
      <c r="AI152" s="86">
        <f>AVERAGEIFS($I$2:I152, $B$2:B152, B152)</f>
        <v>0.28749999999999998</v>
      </c>
      <c r="AJ152" s="86">
        <f>AVERAGEIFS($J$2:J152, $B$2:B152, B152)</f>
        <v>0.35750000000000004</v>
      </c>
      <c r="AK152" s="86">
        <f>AVERAGEIFS($D$2:D152, $B$2:B152, B152)</f>
        <v>0</v>
      </c>
    </row>
    <row r="153" spans="1:37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15</v>
      </c>
      <c r="AI153" s="86">
        <f>AVERAGEIFS($I$2:I153, $B$2:B153, B153)</f>
        <v>0.40500000000000003</v>
      </c>
      <c r="AJ153" s="86">
        <f>AVERAGEIFS($J$2:J153, $B$2:B153, B153)</f>
        <v>0.51333333333333331</v>
      </c>
      <c r="AK153" s="86">
        <f>AVERAGEIFS($D$2:D153, $B$2:B153, B153)</f>
        <v>0.33333333333333331</v>
      </c>
    </row>
    <row r="154" spans="1:37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8</v>
      </c>
      <c r="AI154" s="86">
        <f>AVERAGEIFS($I$2:I154, $B$2:B154, B154)</f>
        <v>0.3666666666666667</v>
      </c>
      <c r="AJ154" s="86">
        <f>AVERAGEIFS($J$2:J154, $B$2:B154, B154)</f>
        <v>0.36999999999999994</v>
      </c>
      <c r="AK154" s="86">
        <f>AVERAGEIFS($D$2:D154, $B$2:B154, B154)</f>
        <v>0.33333333333333331</v>
      </c>
    </row>
    <row r="155" spans="1:37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1</v>
      </c>
      <c r="AD155">
        <v>1</v>
      </c>
      <c r="AE155">
        <v>0</v>
      </c>
      <c r="AF155">
        <v>0</v>
      </c>
      <c r="AG155">
        <v>0</v>
      </c>
      <c r="AH155" s="86">
        <f>AVERAGEIFS($C$2:C155, $B$2:B155, B155)</f>
        <v>21.625</v>
      </c>
      <c r="AI155" s="86">
        <f>AVERAGEIFS($I$2:I155, $B$2:B155, B155)</f>
        <v>0.51</v>
      </c>
      <c r="AJ155" s="86">
        <f>AVERAGEIFS($J$2:J155, $B$2:B155, B155)</f>
        <v>0.56374999999999997</v>
      </c>
      <c r="AK155" s="86">
        <f>AVERAGEIFS($D$2:D155, $B$2:B155, B155)</f>
        <v>0.5</v>
      </c>
    </row>
    <row r="156" spans="1:37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0</v>
      </c>
      <c r="AC156">
        <v>1</v>
      </c>
      <c r="AD156">
        <v>1</v>
      </c>
      <c r="AE156">
        <v>0</v>
      </c>
      <c r="AF156">
        <v>0</v>
      </c>
      <c r="AG156">
        <v>0</v>
      </c>
      <c r="AH156" s="86">
        <f>AVERAGEIFS($C$2:C156, $B$2:B156, B156)</f>
        <v>19.23076923076923</v>
      </c>
      <c r="AI156" s="86">
        <f>AVERAGEIFS($I$2:I156, $B$2:B156, B156)</f>
        <v>0.54461538461538472</v>
      </c>
      <c r="AJ156" s="86">
        <f>AVERAGEIFS($J$2:J156, $B$2:B156, B156)</f>
        <v>0.54615384615384599</v>
      </c>
      <c r="AK156" s="86">
        <f>AVERAGEIFS($D$2:D156, $B$2:B156, B156)</f>
        <v>0.53846153846153844</v>
      </c>
    </row>
    <row r="157" spans="1:37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0</v>
      </c>
      <c r="AC157">
        <v>1</v>
      </c>
      <c r="AD157">
        <v>1</v>
      </c>
      <c r="AE157">
        <v>0</v>
      </c>
      <c r="AF157">
        <v>0</v>
      </c>
      <c r="AG157">
        <v>0</v>
      </c>
      <c r="AH157" s="86">
        <f>AVERAGEIFS($C$2:C157, $B$2:B157, B157)</f>
        <v>20.818181818181817</v>
      </c>
      <c r="AI157" s="86">
        <f>AVERAGEIFS($I$2:I157, $B$2:B157, B157)</f>
        <v>0.68909090909090909</v>
      </c>
      <c r="AJ157" s="86">
        <f>AVERAGEIFS($J$2:J157, $B$2:B157, B157)</f>
        <v>0.57999999999999996</v>
      </c>
      <c r="AK157" s="86">
        <f>AVERAGEIFS($D$2:D157, $B$2:B157, B157)</f>
        <v>0.72727272727272729</v>
      </c>
    </row>
    <row r="158" spans="1:37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0</v>
      </c>
      <c r="AC158">
        <v>1</v>
      </c>
      <c r="AD158">
        <v>1</v>
      </c>
      <c r="AE158">
        <v>0</v>
      </c>
      <c r="AF158">
        <v>0</v>
      </c>
      <c r="AG158">
        <v>0</v>
      </c>
      <c r="AH158" s="86">
        <f>AVERAGEIFS($C$2:C158, $B$2:B158, B158)</f>
        <v>18.833333333333332</v>
      </c>
      <c r="AI158" s="86">
        <f>AVERAGEIFS($I$2:I158, $B$2:B158, B158)</f>
        <v>0.48916666666666669</v>
      </c>
      <c r="AJ158" s="86">
        <f>AVERAGEIFS($J$2:J158, $B$2:B158, B158)</f>
        <v>0.47249999999999998</v>
      </c>
      <c r="AK158" s="86">
        <f>AVERAGEIFS($D$2:D158, $B$2:B158, B158)</f>
        <v>0.41666666666666669</v>
      </c>
    </row>
    <row r="159" spans="1:37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0</v>
      </c>
      <c r="AC159">
        <v>1</v>
      </c>
      <c r="AD159">
        <v>1</v>
      </c>
      <c r="AE159">
        <v>0</v>
      </c>
      <c r="AF159">
        <v>0</v>
      </c>
      <c r="AG159">
        <v>0</v>
      </c>
      <c r="AH159" s="86">
        <f>AVERAGEIFS($C$2:C159, $B$2:B159, B159)</f>
        <v>15</v>
      </c>
      <c r="AI159" s="86">
        <f>AVERAGEIFS($I$2:I159, $B$2:B159, B159)</f>
        <v>0.49000000000000005</v>
      </c>
      <c r="AJ159" s="86">
        <f>AVERAGEIFS($J$2:J159, $B$2:B159, B159)</f>
        <v>0.52571428571428569</v>
      </c>
      <c r="AK159" s="86">
        <f>AVERAGEIFS($D$2:D159, $B$2:B159, B159)</f>
        <v>0.42857142857142855</v>
      </c>
    </row>
    <row r="160" spans="1:37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1</v>
      </c>
      <c r="AD160">
        <v>1</v>
      </c>
      <c r="AE160">
        <v>0</v>
      </c>
      <c r="AF160">
        <v>0</v>
      </c>
      <c r="AG160">
        <v>0</v>
      </c>
      <c r="AH160" s="86">
        <f>AVERAGEIFS($C$2:C160, $B$2:B160, B160)</f>
        <v>8.1818181818181817</v>
      </c>
      <c r="AI160" s="86">
        <f>AVERAGEIFS($I$2:I160, $B$2:B160, B160)</f>
        <v>0.6072727272727273</v>
      </c>
      <c r="AJ160" s="86">
        <f>AVERAGEIFS($J$2:J160, $B$2:B160, B160)</f>
        <v>0.58818181818181803</v>
      </c>
      <c r="AK160" s="86">
        <f>AVERAGEIFS($D$2:D160, $B$2:B160, B160)</f>
        <v>0.63636363636363635</v>
      </c>
    </row>
    <row r="161" spans="1:37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11.5</v>
      </c>
      <c r="AI161" s="86">
        <f>AVERAGEIFS($I$2:I161, $B$2:B161, B161)</f>
        <v>0.27500000000000002</v>
      </c>
      <c r="AJ161" s="86">
        <f>AVERAGEIFS($J$2:J161, $B$2:B161, B161)</f>
        <v>0.37749999999999995</v>
      </c>
      <c r="AK161" s="86">
        <f>AVERAGEIFS($D$2:D161, $B$2:B161, B161)</f>
        <v>0.25</v>
      </c>
    </row>
    <row r="162" spans="1:37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 s="86">
        <f>AVERAGEIFS($C$2:C162, $B$2:B162, B162)</f>
        <v>18.666666666666668</v>
      </c>
      <c r="AI162" s="86">
        <f>AVERAGEIFS($I$2:I162, $B$2:B162, B162)</f>
        <v>0.21666666666666667</v>
      </c>
      <c r="AJ162" s="86">
        <f>AVERAGEIFS($J$2:J162, $B$2:B162, B162)</f>
        <v>0.35666666666666669</v>
      </c>
      <c r="AK162" s="86">
        <f>AVERAGEIFS($D$2:D162, $B$2:B162, B162)</f>
        <v>0</v>
      </c>
    </row>
    <row r="163" spans="1:37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 s="86">
        <f>AVERAGEIFS($C$2:C163, $B$2:B163, B163)</f>
        <v>12.5</v>
      </c>
      <c r="AI163" s="86">
        <f>AVERAGEIFS($I$2:I163, $B$2:B163, B163)</f>
        <v>0.4</v>
      </c>
      <c r="AJ163" s="86">
        <f>AVERAGEIFS($J$2:J163, $B$2:B163, B163)</f>
        <v>0.44750000000000001</v>
      </c>
      <c r="AK163" s="86">
        <f>AVERAGEIFS($D$2:D163, $B$2:B163, B163)</f>
        <v>0.5</v>
      </c>
    </row>
    <row r="164" spans="1:37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 s="86">
        <f>AVERAGEIFS($C$2:C164, $B$2:B164, B164)</f>
        <v>24</v>
      </c>
      <c r="AI164" s="86">
        <f>AVERAGEIFS($I$2:I164, $B$2:B164, B164)</f>
        <v>0.33750000000000002</v>
      </c>
      <c r="AJ164" s="86">
        <f>AVERAGEIFS($J$2:J164, $B$2:B164, B164)</f>
        <v>0.45999999999999996</v>
      </c>
      <c r="AK164" s="86">
        <f>AVERAGEIFS($D$2:D164, $B$2:B164, B164)</f>
        <v>0.5</v>
      </c>
    </row>
    <row r="165" spans="1:37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 s="86">
        <f>AVERAGEIFS($C$2:C165, $B$2:B165, B165)</f>
        <v>11.4</v>
      </c>
      <c r="AI165" s="86">
        <f>AVERAGEIFS($I$2:I165, $B$2:B165, B165)</f>
        <v>0.433</v>
      </c>
      <c r="AJ165" s="86">
        <f>AVERAGEIFS($J$2:J165, $B$2:B165, B165)</f>
        <v>0.49300000000000005</v>
      </c>
      <c r="AK165" s="86">
        <f>AVERAGEIFS($D$2:D165, $B$2:B165, B165)</f>
        <v>0.4</v>
      </c>
    </row>
    <row r="166" spans="1:37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 s="86">
        <f>AVERAGEIFS($C$2:C166, $B$2:B166, B166)</f>
        <v>19.142857142857142</v>
      </c>
      <c r="AI166" s="86">
        <f>AVERAGEIFS($I$2:I166, $B$2:B166, B166)</f>
        <v>0.52142857142857146</v>
      </c>
      <c r="AJ166" s="86">
        <f>AVERAGEIFS($J$2:J166, $B$2:B166, B166)</f>
        <v>0.5</v>
      </c>
      <c r="AK166" s="86">
        <f>AVERAGEIFS($D$2:D166, $B$2:B166, B166)</f>
        <v>0.42857142857142855</v>
      </c>
    </row>
    <row r="167" spans="1:37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0</v>
      </c>
      <c r="AG167">
        <v>0</v>
      </c>
      <c r="AH167" s="86">
        <f>AVERAGEIFS($C$2:C167, $B$2:B167, B167)</f>
        <v>24.6</v>
      </c>
      <c r="AI167" s="86">
        <f>AVERAGEIFS($I$2:I167, $B$2:B167, B167)</f>
        <v>0.39</v>
      </c>
      <c r="AJ167" s="86">
        <f>AVERAGEIFS($J$2:J167, $B$2:B167, B167)</f>
        <v>0.46799999999999997</v>
      </c>
      <c r="AK167" s="86">
        <f>AVERAGEIFS($D$2:D167, $B$2:B167, B167)</f>
        <v>0.6</v>
      </c>
    </row>
    <row r="168" spans="1:37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0</v>
      </c>
      <c r="AB168">
        <v>1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21.166666666666668</v>
      </c>
      <c r="AI168" s="86">
        <f>AVERAGEIFS($I$2:I168, $B$2:B168, B168)</f>
        <v>0.68166666666666664</v>
      </c>
      <c r="AJ168" s="86">
        <f>AVERAGEIFS($J$2:J168, $B$2:B168, B168)</f>
        <v>0.57333333333333336</v>
      </c>
      <c r="AK168" s="86">
        <f>AVERAGEIFS($D$2:D168, $B$2:B168, B168)</f>
        <v>0.75</v>
      </c>
    </row>
    <row r="169" spans="1:37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0</v>
      </c>
      <c r="AB169">
        <v>1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17.5</v>
      </c>
      <c r="AI169" s="86">
        <f>AVERAGEIFS($I$2:I169, $B$2:B169, B169)</f>
        <v>0.42125000000000001</v>
      </c>
      <c r="AJ169" s="86">
        <f>AVERAGEIFS($J$2:J169, $B$2:B169, B169)</f>
        <v>0.46499999999999997</v>
      </c>
      <c r="AK169" s="86">
        <f>AVERAGEIFS($D$2:D169, $B$2:B169, B169)</f>
        <v>0.5</v>
      </c>
    </row>
    <row r="170" spans="1:37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0</v>
      </c>
      <c r="AB170">
        <v>1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19.285714285714285</v>
      </c>
      <c r="AI170" s="86">
        <f>AVERAGEIFS($I$2:I170, $B$2:B170, B170)</f>
        <v>0.5485714285714286</v>
      </c>
      <c r="AJ170" s="86">
        <f>AVERAGEIFS($J$2:J170, $B$2:B170, B170)</f>
        <v>0.5428571428571427</v>
      </c>
      <c r="AK170" s="86">
        <f>AVERAGEIFS($D$2:D170, $B$2:B170, B170)</f>
        <v>0.5714285714285714</v>
      </c>
    </row>
    <row r="171" spans="1:37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0</v>
      </c>
      <c r="AB171">
        <v>1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16</v>
      </c>
      <c r="AI171" s="86">
        <f>AVERAGEIFS($I$2:I171, $B$2:B171, B171)</f>
        <v>0.3</v>
      </c>
      <c r="AJ171" s="86">
        <f>AVERAGEIFS($J$2:J171, $B$2:B171, B171)</f>
        <v>0.46499999999999997</v>
      </c>
      <c r="AK171" s="86">
        <f>AVERAGEIFS($D$2:D171, $B$2:B171, B171)</f>
        <v>0.5</v>
      </c>
    </row>
    <row r="172" spans="1:37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0</v>
      </c>
      <c r="AB172">
        <v>1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12.6</v>
      </c>
      <c r="AI172" s="86">
        <f>AVERAGEIFS($I$2:I172, $B$2:B172, B172)</f>
        <v>0.44000000000000006</v>
      </c>
      <c r="AJ172" s="86">
        <f>AVERAGEIFS($J$2:J172, $B$2:B172, B172)</f>
        <v>0.45800000000000002</v>
      </c>
      <c r="AK172" s="86">
        <f>AVERAGEIFS($D$2:D172, $B$2:B172, B172)</f>
        <v>0.6</v>
      </c>
    </row>
    <row r="173" spans="1:37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 s="86">
        <f>AVERAGEIFS($C$2:C173, $B$2:B173, B173)</f>
        <v>19.846153846153847</v>
      </c>
      <c r="AI173" s="86">
        <f>AVERAGEIFS($I$2:I173, $B$2:B173, B173)</f>
        <v>0.48230769230769233</v>
      </c>
      <c r="AJ173" s="86">
        <f>AVERAGEIFS($J$2:J173, $B$2:B173, B173)</f>
        <v>0.47461538461538461</v>
      </c>
      <c r="AK173" s="86">
        <f>AVERAGEIFS($D$2:D173, $B$2:B173, B173)</f>
        <v>0.38461538461538464</v>
      </c>
    </row>
    <row r="174" spans="1:37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1</v>
      </c>
      <c r="AF174">
        <v>0</v>
      </c>
      <c r="AG174">
        <v>0</v>
      </c>
      <c r="AH174" s="86">
        <f>AVERAGEIFS($C$2:C174, $B$2:B174, B174)</f>
        <v>19.2</v>
      </c>
      <c r="AI174" s="86">
        <f>AVERAGEIFS($I$2:I174, $B$2:B174, B174)</f>
        <v>0.47000000000000003</v>
      </c>
      <c r="AJ174" s="86">
        <f>AVERAGEIFS($J$2:J174, $B$2:B174, B174)</f>
        <v>0.48499999999999999</v>
      </c>
      <c r="AK174" s="86">
        <f>AVERAGEIFS($D$2:D174, $B$2:B174, B174)</f>
        <v>0.3</v>
      </c>
    </row>
    <row r="175" spans="1:37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1</v>
      </c>
      <c r="AF175">
        <v>0</v>
      </c>
      <c r="AG175">
        <v>0</v>
      </c>
      <c r="AH175" s="86">
        <f>AVERAGEIFS($C$2:C175, $B$2:B175, B175)</f>
        <v>22</v>
      </c>
      <c r="AI175" s="86">
        <f>AVERAGEIFS($I$2:I175, $B$2:B175, B175)</f>
        <v>0.49777777777777782</v>
      </c>
      <c r="AJ175" s="86">
        <f>AVERAGEIFS($J$2:J175, $B$2:B175, B175)</f>
        <v>0.55666666666666664</v>
      </c>
      <c r="AK175" s="86">
        <f>AVERAGEIFS($D$2:D175, $B$2:B175, B175)</f>
        <v>0.44444444444444442</v>
      </c>
    </row>
    <row r="176" spans="1:37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1</v>
      </c>
      <c r="AF176">
        <v>0</v>
      </c>
      <c r="AG176">
        <v>0</v>
      </c>
      <c r="AH176" s="86">
        <f>AVERAGEIFS($C$2:C176, $B$2:B176, B176)</f>
        <v>12.8</v>
      </c>
      <c r="AI176" s="86">
        <f>AVERAGEIFS($I$2:I176, $B$2:B176, B176)</f>
        <v>0.3</v>
      </c>
      <c r="AJ176" s="86">
        <f>AVERAGEIFS($J$2:J176, $B$2:B176, B176)</f>
        <v>0.40199999999999997</v>
      </c>
      <c r="AK176" s="86">
        <f>AVERAGEIFS($D$2:D176, $B$2:B176, B176)</f>
        <v>0.2</v>
      </c>
    </row>
    <row r="177" spans="1:37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1</v>
      </c>
      <c r="AF177">
        <v>0</v>
      </c>
      <c r="AG177">
        <v>0</v>
      </c>
      <c r="AH177" s="86">
        <f>AVERAGEIFS($C$2:C177, $B$2:B177, B177)</f>
        <v>9</v>
      </c>
      <c r="AI177" s="86">
        <f>AVERAGEIFS($I$2:I177, $B$2:B177, B177)</f>
        <v>0.4</v>
      </c>
      <c r="AJ177" s="86">
        <f>AVERAGEIFS($J$2:J177, $B$2:B177, B177)</f>
        <v>0.5</v>
      </c>
      <c r="AK177" s="86">
        <f>AVERAGEIFS($D$2:D177, $B$2:B177, B177)</f>
        <v>0</v>
      </c>
    </row>
    <row r="178" spans="1:37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1</v>
      </c>
      <c r="AF178">
        <v>0</v>
      </c>
      <c r="AG178">
        <v>0</v>
      </c>
      <c r="AH178" s="86">
        <f>AVERAGEIFS($C$2:C178, $B$2:B178, B178)</f>
        <v>10.909090909090908</v>
      </c>
      <c r="AI178" s="86">
        <f>AVERAGEIFS($I$2:I178, $B$2:B178, B178)</f>
        <v>0.43000000000000005</v>
      </c>
      <c r="AJ178" s="86">
        <f>AVERAGEIFS($J$2:J178, $B$2:B178, B178)</f>
        <v>0.49363636363636371</v>
      </c>
      <c r="AK178" s="86">
        <f>AVERAGEIFS($D$2:D178, $B$2:B178, B178)</f>
        <v>0.36363636363636365</v>
      </c>
    </row>
    <row r="179" spans="1:37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1</v>
      </c>
      <c r="AE179">
        <v>0</v>
      </c>
      <c r="AF179">
        <v>0</v>
      </c>
      <c r="AG179">
        <v>0</v>
      </c>
      <c r="AH179" s="86">
        <f>AVERAGEIFS($C$2:C179, $B$2:B179, B179)</f>
        <v>23.2</v>
      </c>
      <c r="AI179" s="86">
        <f>AVERAGEIFS($I$2:I179, $B$2:B179, B179)</f>
        <v>0.50800000000000001</v>
      </c>
      <c r="AJ179" s="86">
        <f>AVERAGEIFS($J$2:J179, $B$2:B179, B179)</f>
        <v>0.54799999999999993</v>
      </c>
      <c r="AK179" s="86">
        <f>AVERAGEIFS($D$2:D179, $B$2:B179, B179)</f>
        <v>0.5</v>
      </c>
    </row>
    <row r="180" spans="1:37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18.333333333333332</v>
      </c>
      <c r="AI180" s="86">
        <f>AVERAGEIFS($I$2:I180, $B$2:B180, B180)</f>
        <v>0.44111111111111112</v>
      </c>
      <c r="AJ180" s="86">
        <f>AVERAGEIFS($J$2:J180, $B$2:B180, B180)</f>
        <v>0.4655555555555555</v>
      </c>
      <c r="AK180" s="86">
        <f>AVERAGEIFS($D$2:D180, $B$2:B180, B180)</f>
        <v>0.55555555555555558</v>
      </c>
    </row>
    <row r="181" spans="1:37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13.6</v>
      </c>
      <c r="AI181" s="86">
        <f>AVERAGEIFS($I$2:I181, $B$2:B181, B181)</f>
        <v>0.35</v>
      </c>
      <c r="AJ181" s="86">
        <f>AVERAGEIFS($J$2:J181, $B$2:B181, B181)</f>
        <v>0.38</v>
      </c>
      <c r="AK181" s="86">
        <f>AVERAGEIFS($D$2:D181, $B$2:B181, B181)</f>
        <v>0.2</v>
      </c>
    </row>
    <row r="182" spans="1:37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14.666666666666666</v>
      </c>
      <c r="AI182" s="86">
        <f>AVERAGEIFS($I$2:I182, $B$2:B182, B182)</f>
        <v>0.46666666666666662</v>
      </c>
      <c r="AJ182" s="86">
        <f>AVERAGEIFS($J$2:J182, $B$2:B182, B182)</f>
        <v>0.44</v>
      </c>
      <c r="AK182" s="86">
        <f>AVERAGEIFS($D$2:D182, $B$2:B182, B182)</f>
        <v>0.33333333333333331</v>
      </c>
    </row>
    <row r="183" spans="1:37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12</v>
      </c>
      <c r="AI183" s="86">
        <f>AVERAGEIFS($I$2:I183, $B$2:B183, B183)</f>
        <v>0.6</v>
      </c>
      <c r="AJ183" s="86">
        <f>AVERAGEIFS($J$2:J183, $B$2:B183, B183)</f>
        <v>0.47</v>
      </c>
      <c r="AK183" s="86">
        <f>AVERAGEIFS($D$2:D183, $B$2:B183, B183)</f>
        <v>1</v>
      </c>
    </row>
    <row r="184" spans="1:37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8.0833333333333339</v>
      </c>
      <c r="AI184" s="86">
        <f>AVERAGEIFS($I$2:I184, $B$2:B184, B184)</f>
        <v>0.60666666666666669</v>
      </c>
      <c r="AJ184" s="86">
        <f>AVERAGEIFS($J$2:J184, $B$2:B184, B184)</f>
        <v>0.57833333333333325</v>
      </c>
      <c r="AK184" s="86">
        <f>AVERAGEIFS($D$2:D184, $B$2:B184, B184)</f>
        <v>0.66666666666666663</v>
      </c>
    </row>
    <row r="185" spans="1:37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 s="86">
        <f>AVERAGEIFS($C$2:C185, $B$2:B185, B185)</f>
        <v>21.46153846153846</v>
      </c>
      <c r="AI185" s="86">
        <f>AVERAGEIFS($I$2:I185, $B$2:B185, B185)</f>
        <v>0.66</v>
      </c>
      <c r="AJ185" s="86">
        <f>AVERAGEIFS($J$2:J185, $B$2:B185, B185)</f>
        <v>0.57000000000000006</v>
      </c>
      <c r="AK185" s="86">
        <f>AVERAGEIFS($D$2:D185, $B$2:B185, B185)</f>
        <v>0.69230769230769229</v>
      </c>
    </row>
    <row r="186" spans="1:37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20.142857142857142</v>
      </c>
      <c r="AI186" s="86">
        <f>AVERAGEIFS($I$2:I186, $B$2:B186, B186)</f>
        <v>0.47642857142857148</v>
      </c>
      <c r="AJ186" s="86">
        <f>AVERAGEIFS($J$2:J186, $B$2:B186, B186)</f>
        <v>0.47857142857142859</v>
      </c>
      <c r="AK186" s="86">
        <f>AVERAGEIFS($D$2:D186, $B$2:B186, B186)</f>
        <v>0.35714285714285715</v>
      </c>
    </row>
    <row r="187" spans="1:37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14.5</v>
      </c>
      <c r="AI187" s="86">
        <f>AVERAGEIFS($I$2:I187, $B$2:B187, B187)</f>
        <v>0.31666666666666665</v>
      </c>
      <c r="AJ187" s="86">
        <f>AVERAGEIFS($J$2:J187, $B$2:B187, B187)</f>
        <v>0.42333333333333334</v>
      </c>
      <c r="AK187" s="86">
        <f>AVERAGEIFS($D$2:D187, $B$2:B187, B187)</f>
        <v>0.16666666666666666</v>
      </c>
    </row>
    <row r="188" spans="1:37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15.333333333333334</v>
      </c>
      <c r="AI188" s="86">
        <f>AVERAGEIFS($I$2:I188, $B$2:B188, B188)</f>
        <v>0.33333333333333331</v>
      </c>
      <c r="AJ188" s="86">
        <f>AVERAGEIFS($J$2:J188, $B$2:B188, B188)</f>
        <v>0.48666666666666664</v>
      </c>
      <c r="AK188" s="86">
        <f>AVERAGEIFS($D$2:D188, $B$2:B188, B188)</f>
        <v>0.33333333333333331</v>
      </c>
    </row>
    <row r="189" spans="1:37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14</v>
      </c>
      <c r="AI189" s="86">
        <f>AVERAGEIFS($I$2:I189, $B$2:B189, B189)</f>
        <v>0.63749999999999996</v>
      </c>
      <c r="AJ189" s="86">
        <f>AVERAGEIFS($J$2:J189, $B$2:B189, B189)</f>
        <v>0.5625</v>
      </c>
      <c r="AK189" s="86">
        <f>AVERAGEIFS($D$2:D189, $B$2:B189, B189)</f>
        <v>0.5</v>
      </c>
    </row>
    <row r="190" spans="1:37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10.583333333333334</v>
      </c>
      <c r="AI190" s="86">
        <f>AVERAGEIFS($I$2:I190, $B$2:B190, B190)</f>
        <v>0.42750000000000005</v>
      </c>
      <c r="AJ190" s="86">
        <f>AVERAGEIFS($J$2:J190, $B$2:B190, B190)</f>
        <v>0.49666666666666676</v>
      </c>
      <c r="AK190" s="86">
        <f>AVERAGEIFS($D$2:D190, $B$2:B190, B190)</f>
        <v>0.33333333333333331</v>
      </c>
    </row>
    <row r="191" spans="1:37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 s="86">
        <f>AVERAGEIFS($C$2:C191, $B$2:B191, B191)</f>
        <v>20.066666666666666</v>
      </c>
      <c r="AI191" s="86">
        <f>AVERAGEIFS($I$2:I191, $B$2:B191, B191)</f>
        <v>0.55200000000000005</v>
      </c>
      <c r="AJ191" s="86">
        <f>AVERAGEIFS($J$2:J191, $B$2:B191, B191)</f>
        <v>0.54466666666666652</v>
      </c>
      <c r="AK191" s="86">
        <f>AVERAGEIFS($D$2:D191, $B$2:B191, B191)</f>
        <v>0.6</v>
      </c>
    </row>
    <row r="192" spans="1:37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1</v>
      </c>
      <c r="AF192">
        <v>0</v>
      </c>
      <c r="AG192">
        <v>0</v>
      </c>
      <c r="AH192" s="86">
        <f>AVERAGEIFS($C$2:C192, $B$2:B192, B192)</f>
        <v>22.142857142857142</v>
      </c>
      <c r="AI192" s="86">
        <f>AVERAGEIFS($I$2:I192, $B$2:B192, B192)</f>
        <v>0.65571428571428569</v>
      </c>
      <c r="AJ192" s="86">
        <f>AVERAGEIFS($J$2:J192, $B$2:B192, B192)</f>
        <v>0.57000000000000006</v>
      </c>
      <c r="AK192" s="86">
        <f>AVERAGEIFS($D$2:D192, $B$2:B192, B192)</f>
        <v>0.7142857142857143</v>
      </c>
    </row>
    <row r="193" spans="1:37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1</v>
      </c>
      <c r="AF193">
        <v>0</v>
      </c>
      <c r="AG193">
        <v>0</v>
      </c>
      <c r="AH193" s="86">
        <f>AVERAGEIFS($C$2:C193, $B$2:B193, B193)</f>
        <v>15.714285714285714</v>
      </c>
      <c r="AI193" s="86">
        <f>AVERAGEIFS($I$2:I193, $B$2:B193, B193)</f>
        <v>0.35714285714285715</v>
      </c>
      <c r="AJ193" s="86">
        <f>AVERAGEIFS($J$2:J193, $B$2:B193, B193)</f>
        <v>0.44428571428571428</v>
      </c>
      <c r="AK193" s="86">
        <f>AVERAGEIFS($D$2:D193, $B$2:B193, B193)</f>
        <v>0.2857142857142857</v>
      </c>
    </row>
    <row r="194" spans="1:37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1</v>
      </c>
      <c r="AF194">
        <v>0</v>
      </c>
      <c r="AG194">
        <v>0</v>
      </c>
      <c r="AH194" s="86">
        <f>AVERAGEIFS($C$2:C194, $B$2:B194, B194)</f>
        <v>26.166666666666668</v>
      </c>
      <c r="AI194" s="86">
        <f>AVERAGEIFS($I$2:I194, $B$2:B194, B194)</f>
        <v>0.42500000000000004</v>
      </c>
      <c r="AJ194" s="86">
        <f>AVERAGEIFS($J$2:J194, $B$2:B194, B194)</f>
        <v>0.48499999999999993</v>
      </c>
      <c r="AK194" s="86">
        <f>AVERAGEIFS($D$2:D194, $B$2:B194, B194)</f>
        <v>0.66666666666666663</v>
      </c>
    </row>
    <row r="195" spans="1:37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 s="86">
        <f>AVERAGEIFS($C$2:C195, $B$2:B195, B195)</f>
        <v>11.307692307692308</v>
      </c>
      <c r="AI195" s="86">
        <f>AVERAGEIFS($I$2:I195, $B$2:B195, B195)</f>
        <v>0.4407692307692308</v>
      </c>
      <c r="AJ195" s="86">
        <f>AVERAGEIFS($J$2:J195, $B$2:B195, B195)</f>
        <v>0.50230769230769234</v>
      </c>
      <c r="AK195" s="86">
        <f>AVERAGEIFS($D$2:D195, $B$2:B195, B195)</f>
        <v>0.38461538461538464</v>
      </c>
    </row>
    <row r="196" spans="1:37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1</v>
      </c>
      <c r="AF196">
        <v>0</v>
      </c>
      <c r="AG196">
        <v>0</v>
      </c>
      <c r="AH196" s="86">
        <f>AVERAGEIFS($C$2:C196, $B$2:B196, B196)</f>
        <v>15.666666666666666</v>
      </c>
      <c r="AI196" s="86">
        <f>AVERAGEIFS($I$2:I196, $B$2:B196, B196)</f>
        <v>0.46666666666666673</v>
      </c>
      <c r="AJ196" s="86">
        <f>AVERAGEIFS($J$2:J196, $B$2:B196, B196)</f>
        <v>0.47666666666666663</v>
      </c>
      <c r="AK196" s="86">
        <f>AVERAGEIFS($D$2:D196, $B$2:B196, B196)</f>
        <v>0.66666666666666663</v>
      </c>
    </row>
    <row r="197" spans="1:37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1</v>
      </c>
      <c r="AF197">
        <v>0</v>
      </c>
      <c r="AG197">
        <v>0</v>
      </c>
      <c r="AH197" s="86">
        <f>AVERAGEIFS($C$2:C197, $B$2:B197, B197)</f>
        <v>9</v>
      </c>
      <c r="AI197" s="86">
        <f>AVERAGEIFS($I$2:I197, $B$2:B197, B197)</f>
        <v>0.6</v>
      </c>
      <c r="AJ197" s="86">
        <f>AVERAGEIFS($J$2:J197, $B$2:B197, B197)</f>
        <v>0.56999999999999995</v>
      </c>
      <c r="AK197" s="86">
        <f>AVERAGEIFS($D$2:D197, $B$2:B197, B197)</f>
        <v>1</v>
      </c>
    </row>
    <row r="198" spans="1:37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 s="86">
        <f>AVERAGEIFS($C$2:C198, $B$2:B198, B198)</f>
        <v>2.6666666666666665</v>
      </c>
      <c r="AI198" s="86">
        <f>AVERAGEIFS($I$2:I198, $B$2:B198, B198)</f>
        <v>0.3833333333333333</v>
      </c>
      <c r="AJ198" s="86">
        <f>AVERAGEIFS($J$2:J198, $B$2:B198, B198)</f>
        <v>0.40333333333333332</v>
      </c>
      <c r="AK198" s="86">
        <f>AVERAGEIFS($D$2:D198, $B$2:B198, B198)</f>
        <v>0.33333333333333331</v>
      </c>
    </row>
    <row r="199" spans="1:37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 s="86">
        <f>AVERAGEIFS($C$2:C199, $B$2:B199, B199)</f>
        <v>24.785714285714285</v>
      </c>
      <c r="AI199" s="86">
        <f>AVERAGEIFS($I$2:I199, $B$2:B199, B199)</f>
        <v>0.505</v>
      </c>
      <c r="AJ199" s="86">
        <f>AVERAGEIFS($J$2:J199, $B$2:B199, B199)</f>
        <v>0.47428571428571425</v>
      </c>
      <c r="AK199" s="86">
        <f>AVERAGEIFS($D$2:D199, $B$2:B199, B199)</f>
        <v>0.5</v>
      </c>
    </row>
    <row r="200" spans="1:37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 s="86">
        <f>AVERAGEIFS($C$2:C200, $B$2:B200, B200)</f>
        <v>24.272727272727273</v>
      </c>
      <c r="AI200" s="86">
        <f>AVERAGEIFS($I$2:I200, $B$2:B200, B200)</f>
        <v>0.49818181818181823</v>
      </c>
      <c r="AJ200" s="86">
        <f>AVERAGEIFS($J$2:J200, $B$2:B200, B200)</f>
        <v>0.53727272727272724</v>
      </c>
      <c r="AK200" s="86">
        <f>AVERAGEIFS($D$2:D200, $B$2:B200, B200)</f>
        <v>0.45454545454545453</v>
      </c>
    </row>
    <row r="201" spans="1:37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 s="86">
        <f>AVERAGEIFS($C$2:C201, $B$2:B201, B201)</f>
        <v>22</v>
      </c>
      <c r="AI201" s="86">
        <f>AVERAGEIFS($I$2:I201, $B$2:B201, B201)</f>
        <v>0.26250000000000001</v>
      </c>
      <c r="AJ201" s="86">
        <f>AVERAGEIFS($J$2:J201, $B$2:B201, B201)</f>
        <v>0.375</v>
      </c>
      <c r="AK201" s="86">
        <f>AVERAGEIFS($D$2:D201, $B$2:B201, B201)</f>
        <v>0</v>
      </c>
    </row>
    <row r="202" spans="1:37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 s="86">
        <f>AVERAGEIFS($C$2:C202, $B$2:B202, B202)</f>
        <v>13.6</v>
      </c>
      <c r="AI202" s="86">
        <f>AVERAGEIFS($I$2:I202, $B$2:B202, B202)</f>
        <v>0.59</v>
      </c>
      <c r="AJ202" s="86">
        <f>AVERAGEIFS($J$2:J202, $B$2:B202, B202)</f>
        <v>0.53600000000000003</v>
      </c>
      <c r="AK202" s="86">
        <f>AVERAGEIFS($D$2:D202, $B$2:B202, B202)</f>
        <v>0.4</v>
      </c>
    </row>
    <row r="203" spans="1:37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 s="86">
        <f>AVERAGEIFS($C$2:C203, $B$2:B203, B203)</f>
        <v>15.375</v>
      </c>
      <c r="AI203" s="86">
        <f>AVERAGEIFS($I$2:I203, $B$2:B203, B203)</f>
        <v>0.47875000000000001</v>
      </c>
      <c r="AJ203" s="86">
        <f>AVERAGEIFS($J$2:J203, $B$2:B203, B203)</f>
        <v>0.51374999999999993</v>
      </c>
      <c r="AK203" s="86">
        <f>AVERAGEIFS($D$2:D203, $B$2:B203, B203)</f>
        <v>0.375</v>
      </c>
    </row>
    <row r="204" spans="1:37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</v>
      </c>
      <c r="AI204" s="86">
        <f>AVERAGEIFS($I$2:I204, $B$2:B204, B204)</f>
        <v>0.4</v>
      </c>
      <c r="AJ204" s="86">
        <f>AVERAGEIFS($J$2:J204, $B$2:B204, B204)</f>
        <v>0.43</v>
      </c>
      <c r="AK204" s="86">
        <f>AVERAGEIFS($D$2:D204, $B$2:B204, B204)</f>
        <v>0</v>
      </c>
    </row>
    <row r="205" spans="1:37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 s="86">
        <f>AVERAGEIFS($C$2:C205, $B$2:B205, B205)</f>
        <v>14.857142857142858</v>
      </c>
      <c r="AI205" s="86">
        <f>AVERAGEIFS($I$2:I205, $B$2:B205, B205)</f>
        <v>0.50714285714285723</v>
      </c>
      <c r="AJ205" s="86">
        <f>AVERAGEIFS($J$2:J205, $B$2:B205, B205)</f>
        <v>0.49571428571428566</v>
      </c>
      <c r="AK205" s="86">
        <f>AVERAGEIFS($D$2:D205, $B$2:B205, B205)</f>
        <v>0.7142857142857143</v>
      </c>
    </row>
    <row r="206" spans="1:37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1</v>
      </c>
      <c r="AH206" s="86">
        <f>AVERAGEIFS($C$2:C206, $B$2:B206, B206)</f>
        <v>24.533333333333335</v>
      </c>
      <c r="AI206" s="86">
        <f>AVERAGEIFS($I$2:I206, $B$2:B206, B206)</f>
        <v>0.52133333333333332</v>
      </c>
      <c r="AJ206" s="86">
        <f>AVERAGEIFS($J$2:J206, $B$2:B206, B206)</f>
        <v>0.48333333333333334</v>
      </c>
      <c r="AK206" s="86">
        <f>AVERAGEIFS($D$2:D206, $B$2:B206, B206)</f>
        <v>0.53333333333333333</v>
      </c>
    </row>
    <row r="207" spans="1:37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1</v>
      </c>
      <c r="AH207" s="86">
        <f>AVERAGEIFS($C$2:C207, $B$2:B207, B207)</f>
        <v>22.066666666666666</v>
      </c>
      <c r="AI207" s="86">
        <f>AVERAGEIFS($I$2:I207, $B$2:B207, B207)</f>
        <v>0.66200000000000003</v>
      </c>
      <c r="AJ207" s="86">
        <f>AVERAGEIFS($J$2:J207, $B$2:B207, B207)</f>
        <v>0.57266666666666666</v>
      </c>
      <c r="AK207" s="86">
        <f>AVERAGEIFS($D$2:D207, $B$2:B207, B207)</f>
        <v>0.73333333333333328</v>
      </c>
    </row>
    <row r="208" spans="1:37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1</v>
      </c>
      <c r="AH208" s="86">
        <f>AVERAGEIFS($C$2:C208, $B$2:B208, B208)</f>
        <v>13.5</v>
      </c>
      <c r="AI208" s="86">
        <f>AVERAGEIFS($I$2:I208, $B$2:B208, B208)</f>
        <v>0.61666666666666659</v>
      </c>
      <c r="AJ208" s="86">
        <f>AVERAGEIFS($J$2:J208, $B$2:B208, B208)</f>
        <v>0.54833333333333334</v>
      </c>
      <c r="AK208" s="86">
        <f>AVERAGEIFS($D$2:D208, $B$2:B208, B208)</f>
        <v>0.5</v>
      </c>
    </row>
    <row r="209" spans="1:37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1</v>
      </c>
      <c r="AH209" s="86">
        <f>AVERAGEIFS($C$2:C209, $B$2:B209, B209)</f>
        <v>12.5</v>
      </c>
      <c r="AI209" s="86">
        <f>AVERAGEIFS($I$2:I209, $B$2:B209, B209)</f>
        <v>0.67500000000000004</v>
      </c>
      <c r="AJ209" s="86">
        <f>AVERAGEIFS($J$2:J209, $B$2:B209, B209)</f>
        <v>0.59</v>
      </c>
      <c r="AK209" s="86">
        <f>AVERAGEIFS($D$2:D209, $B$2:B209, B209)</f>
        <v>1</v>
      </c>
    </row>
    <row r="210" spans="1:37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 s="86">
        <f>AVERAGEIFS($C$2:C210, $B$2:B210, B210)</f>
        <v>16</v>
      </c>
      <c r="AI210" s="86">
        <f>AVERAGEIFS($I$2:I210, $B$2:B210, B210)</f>
        <v>0.34375</v>
      </c>
      <c r="AJ210" s="86">
        <f>AVERAGEIFS($J$2:J210, $B$2:B210, B210)</f>
        <v>0.4375</v>
      </c>
      <c r="AK210" s="86">
        <f>AVERAGEIFS($D$2:D210, $B$2:B210, B210)</f>
        <v>0.25</v>
      </c>
    </row>
    <row r="211" spans="1:37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 s="86">
        <f>AVERAGEIFS($C$2:C211, $B$2:B211, B211)</f>
        <v>24.083333333333332</v>
      </c>
      <c r="AI211" s="86">
        <f>AVERAGEIFS($I$2:I211, $B$2:B211, B211)</f>
        <v>0.47750000000000004</v>
      </c>
      <c r="AJ211" s="86">
        <f>AVERAGEIFS($J$2:J211, $B$2:B211, B211)</f>
        <v>0.52499999999999991</v>
      </c>
      <c r="AK211" s="86">
        <f>AVERAGEIFS($D$2:D211, $B$2:B211, B211)</f>
        <v>0.41666666666666669</v>
      </c>
    </row>
    <row r="212" spans="1:37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 s="86">
        <f>AVERAGEIFS($C$2:C212, $B$2:B212, B212)</f>
        <v>20.1875</v>
      </c>
      <c r="AI212" s="86">
        <f>AVERAGEIFS($I$2:I212, $B$2:B212, B212)</f>
        <v>0.53312500000000007</v>
      </c>
      <c r="AJ212" s="86">
        <f>AVERAGEIFS($J$2:J212, $B$2:B212, B212)</f>
        <v>0.53499999999999992</v>
      </c>
      <c r="AK212" s="86">
        <f>AVERAGEIFS($D$2:D212, $B$2:B212, B212)</f>
        <v>0.5625</v>
      </c>
    </row>
    <row r="213" spans="1:37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 s="86">
        <f>AVERAGEIFS($C$2:C213, $B$2:B213, B213)</f>
        <v>16.8</v>
      </c>
      <c r="AI213" s="86">
        <f>AVERAGEIFS($I$2:I213, $B$2:B213, B213)</f>
        <v>0.44000000000000006</v>
      </c>
      <c r="AJ213" s="86">
        <f>AVERAGEIFS($J$2:J213, $B$2:B213, B213)</f>
        <v>0.47400000000000003</v>
      </c>
      <c r="AK213" s="86">
        <f>AVERAGEIFS($D$2:D213, $B$2:B213, B213)</f>
        <v>0.6</v>
      </c>
    </row>
    <row r="214" spans="1:37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 s="86">
        <f>AVERAGEIFS($C$2:C214, $B$2:B214, B214)</f>
        <v>8</v>
      </c>
      <c r="AI214" s="86">
        <f>AVERAGEIFS($I$2:I214, $B$2:B214, B214)</f>
        <v>0.58333333333333337</v>
      </c>
      <c r="AJ214" s="86">
        <f>AVERAGEIFS($J$2:J214, $B$2:B214, B214)</f>
        <v>0.6066666666666668</v>
      </c>
      <c r="AK214" s="86">
        <f>AVERAGEIFS($D$2:D214, $B$2:B214, B214)</f>
        <v>0.66666666666666663</v>
      </c>
    </row>
    <row r="215" spans="1:37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20.733333333333334</v>
      </c>
      <c r="AI215" s="86">
        <f>AVERAGEIFS($I$2:I215, $B$2:B215, B215)</f>
        <v>0.48466666666666669</v>
      </c>
      <c r="AJ215" s="86">
        <f>AVERAGEIFS($J$2:J215, $B$2:B215, B215)</f>
        <v>0.48133333333333339</v>
      </c>
      <c r="AK215" s="86">
        <f>AVERAGEIFS($D$2:D215, $B$2:B215, B215)</f>
        <v>0.4</v>
      </c>
    </row>
    <row r="216" spans="1:37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1</v>
      </c>
      <c r="AD216">
        <v>0</v>
      </c>
      <c r="AE216">
        <v>1</v>
      </c>
      <c r="AF216">
        <v>0</v>
      </c>
      <c r="AG216">
        <v>0</v>
      </c>
      <c r="AH216" s="86">
        <f>AVERAGEIFS($C$2:C216, $B$2:B216, B216)</f>
        <v>23</v>
      </c>
      <c r="AI216" s="86">
        <f>AVERAGEIFS($I$2:I216, $B$2:B216, B216)</f>
        <v>0.5</v>
      </c>
      <c r="AJ216" s="86">
        <f>AVERAGEIFS($J$2:J216, $B$2:B216, B216)</f>
        <v>0.47499999999999998</v>
      </c>
      <c r="AK216" s="86">
        <f>AVERAGEIFS($D$2:D216, $B$2:B216, B216)</f>
        <v>0.5</v>
      </c>
    </row>
    <row r="217" spans="1:37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1</v>
      </c>
      <c r="AD217">
        <v>0</v>
      </c>
      <c r="AE217">
        <v>1</v>
      </c>
      <c r="AF217">
        <v>0</v>
      </c>
      <c r="AG217">
        <v>0</v>
      </c>
      <c r="AH217" s="86">
        <f>AVERAGEIFS($C$2:C217, $B$2:B217, B217)</f>
        <v>24.5625</v>
      </c>
      <c r="AI217" s="86">
        <f>AVERAGEIFS($I$2:I217, $B$2:B217, B217)</f>
        <v>0.52625</v>
      </c>
      <c r="AJ217" s="86">
        <f>AVERAGEIFS($J$2:J217, $B$2:B217, B217)</f>
        <v>0.48562499999999997</v>
      </c>
      <c r="AK217" s="86">
        <f>AVERAGEIFS($D$2:D217, $B$2:B217, B217)</f>
        <v>0.5625</v>
      </c>
    </row>
    <row r="218" spans="1:37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1</v>
      </c>
      <c r="AD218">
        <v>0</v>
      </c>
      <c r="AE218">
        <v>1</v>
      </c>
      <c r="AF218">
        <v>0</v>
      </c>
      <c r="AG218">
        <v>0</v>
      </c>
      <c r="AH218" s="86">
        <f>AVERAGEIFS($C$2:C218, $B$2:B218, B218)</f>
        <v>22.1875</v>
      </c>
      <c r="AI218" s="86">
        <f>AVERAGEIFS($I$2:I218, $B$2:B218, B218)</f>
        <v>0.65812499999999996</v>
      </c>
      <c r="AJ218" s="86">
        <f>AVERAGEIFS($J$2:J218, $B$2:B218, B218)</f>
        <v>0.56937499999999996</v>
      </c>
      <c r="AK218" s="86">
        <f>AVERAGEIFS($D$2:D218, $B$2:B218, B218)</f>
        <v>0.75</v>
      </c>
    </row>
    <row r="219" spans="1:37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1</v>
      </c>
      <c r="AF219">
        <v>0</v>
      </c>
      <c r="AG219">
        <v>0</v>
      </c>
      <c r="AH219" s="86">
        <f>AVERAGEIFS($C$2:C219, $B$2:B219, B219)</f>
        <v>20.294117647058822</v>
      </c>
      <c r="AI219" s="86">
        <f>AVERAGEIFS($I$2:I219, $B$2:B219, B219)</f>
        <v>0.53705882352941181</v>
      </c>
      <c r="AJ219" s="86">
        <f>AVERAGEIFS($J$2:J219, $B$2:B219, B219)</f>
        <v>0.53411764705882347</v>
      </c>
      <c r="AK219" s="86">
        <f>AVERAGEIFS($D$2:D219, $B$2:B219, B219)</f>
        <v>0.58823529411764708</v>
      </c>
    </row>
    <row r="220" spans="1:37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1</v>
      </c>
      <c r="AD220">
        <v>0</v>
      </c>
      <c r="AE220">
        <v>1</v>
      </c>
      <c r="AF220">
        <v>0</v>
      </c>
      <c r="AG220">
        <v>0</v>
      </c>
      <c r="AH220" s="86">
        <f>AVERAGEIFS($C$2:C220, $B$2:B220, B220)</f>
        <v>16.111111111111111</v>
      </c>
      <c r="AI220" s="86">
        <f>AVERAGEIFS($I$2:I220, $B$2:B220, B220)</f>
        <v>0.49222222222222217</v>
      </c>
      <c r="AJ220" s="86">
        <f>AVERAGEIFS($J$2:J220, $B$2:B220, B220)</f>
        <v>0.51444444444444437</v>
      </c>
      <c r="AK220" s="86">
        <f>AVERAGEIFS($D$2:D220, $B$2:B220, B220)</f>
        <v>0.44444444444444442</v>
      </c>
    </row>
    <row r="221" spans="1:37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1</v>
      </c>
      <c r="AD221">
        <v>0</v>
      </c>
      <c r="AE221">
        <v>1</v>
      </c>
      <c r="AF221">
        <v>0</v>
      </c>
      <c r="AG221">
        <v>0</v>
      </c>
      <c r="AH221" s="86">
        <f>AVERAGEIFS($C$2:C221, $B$2:B221, B221)</f>
        <v>16.222222222222221</v>
      </c>
      <c r="AI221" s="86">
        <f>AVERAGEIFS($I$2:I221, $B$2:B221, B221)</f>
        <v>0.37222222222222223</v>
      </c>
      <c r="AJ221" s="86">
        <f>AVERAGEIFS($J$2:J221, $B$2:B221, B221)</f>
        <v>0.4466666666666666</v>
      </c>
      <c r="AK221" s="86">
        <f>AVERAGEIFS($D$2:D221, $B$2:B221, B221)</f>
        <v>0.33333333333333331</v>
      </c>
    </row>
    <row r="222" spans="1:37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1</v>
      </c>
      <c r="AD222">
        <v>0</v>
      </c>
      <c r="AE222">
        <v>1</v>
      </c>
      <c r="AF222">
        <v>0</v>
      </c>
      <c r="AG222">
        <v>0</v>
      </c>
      <c r="AH222" s="86">
        <f>AVERAGEIFS($C$2:C222, $B$2:B222, B222)</f>
        <v>3</v>
      </c>
      <c r="AI222" s="86">
        <f>AVERAGEIFS($I$2:I222, $B$2:B222, B222)</f>
        <v>0.4375</v>
      </c>
      <c r="AJ222" s="86">
        <f>AVERAGEIFS($J$2:J222, $B$2:B222, B222)</f>
        <v>0.4325</v>
      </c>
      <c r="AK222" s="86">
        <f>AVERAGEIFS($D$2:D222, $B$2:B222, B222)</f>
        <v>0.5</v>
      </c>
    </row>
    <row r="223" spans="1:37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1</v>
      </c>
      <c r="AE223">
        <v>0</v>
      </c>
      <c r="AF223">
        <v>0</v>
      </c>
      <c r="AG223">
        <v>0</v>
      </c>
      <c r="AH223" s="86">
        <f>AVERAGEIFS($C$2:C223, $B$2:B223, B223)</f>
        <v>25.8</v>
      </c>
      <c r="AI223" s="86">
        <f>AVERAGEIFS($I$2:I223, $B$2:B223, B223)</f>
        <v>0.29000000000000004</v>
      </c>
      <c r="AJ223" s="86">
        <f>AVERAGEIFS($J$2:J223, $B$2:B223, B223)</f>
        <v>0.39600000000000002</v>
      </c>
      <c r="AK223" s="86">
        <f>AVERAGEIFS($D$2:D223, $B$2:B223, B223)</f>
        <v>0</v>
      </c>
    </row>
    <row r="224" spans="1:37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D224">
        <v>1</v>
      </c>
      <c r="AE224">
        <v>0</v>
      </c>
      <c r="AF224">
        <v>0</v>
      </c>
      <c r="AG224">
        <v>0</v>
      </c>
      <c r="AH224" s="86">
        <f>AVERAGEIFS($C$2:C224, $B$2:B224, B224)</f>
        <v>27.857142857142858</v>
      </c>
      <c r="AI224" s="86">
        <f>AVERAGEIFS($I$2:I224, $B$2:B224, B224)</f>
        <v>0.42142857142857143</v>
      </c>
      <c r="AJ224" s="86">
        <f>AVERAGEIFS($J$2:J224, $B$2:B224, B224)</f>
        <v>0.48428571428571426</v>
      </c>
      <c r="AK224" s="86">
        <f>AVERAGEIFS($D$2:D224, $B$2:B224, B224)</f>
        <v>0.5714285714285714</v>
      </c>
    </row>
    <row r="225" spans="1:37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D225">
        <v>1</v>
      </c>
      <c r="AE225">
        <v>0</v>
      </c>
      <c r="AF225">
        <v>0</v>
      </c>
      <c r="AG225">
        <v>0</v>
      </c>
      <c r="AH225" s="86">
        <f>AVERAGEIFS($C$2:C225, $B$2:B225, B225)</f>
        <v>18.5</v>
      </c>
      <c r="AI225" s="86">
        <f>AVERAGEIFS($I$2:I225, $B$2:B225, B225)</f>
        <v>0.43333333333333335</v>
      </c>
      <c r="AJ225" s="86">
        <f>AVERAGEIFS($J$2:J225, $B$2:B225, B225)</f>
        <v>0.47500000000000003</v>
      </c>
      <c r="AK225" s="86">
        <f>AVERAGEIFS($D$2:D225, $B$2:B225, B225)</f>
        <v>0.5</v>
      </c>
    </row>
    <row r="226" spans="1:37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1</v>
      </c>
      <c r="AE226">
        <v>0</v>
      </c>
      <c r="AF226">
        <v>0</v>
      </c>
      <c r="AG226">
        <v>0</v>
      </c>
      <c r="AH226" s="86">
        <f>AVERAGEIFS($C$2:C226, $B$2:B226, B226)</f>
        <v>13.571428571428571</v>
      </c>
      <c r="AI226" s="86">
        <f>AVERAGEIFS($I$2:I226, $B$2:B226, B226)</f>
        <v>0.58571428571428563</v>
      </c>
      <c r="AJ226" s="86">
        <f>AVERAGEIFS($J$2:J226, $B$2:B226, B226)</f>
        <v>0.53857142857142859</v>
      </c>
      <c r="AK226" s="86">
        <f>AVERAGEIFS($D$2:D226, $B$2:B226, B226)</f>
        <v>0.42857142857142855</v>
      </c>
    </row>
    <row r="227" spans="1:37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0</v>
      </c>
      <c r="AD227">
        <v>1</v>
      </c>
      <c r="AE227">
        <v>0</v>
      </c>
      <c r="AF227">
        <v>0</v>
      </c>
      <c r="AG227">
        <v>0</v>
      </c>
      <c r="AH227" s="86">
        <f>AVERAGEIFS($C$2:C227, $B$2:B227, B227)</f>
        <v>13</v>
      </c>
      <c r="AI227" s="86">
        <f>AVERAGEIFS($I$2:I227, $B$2:B227, B227)</f>
        <v>0.58333333333333337</v>
      </c>
      <c r="AJ227" s="86">
        <f>AVERAGEIFS($J$2:J227, $B$2:B227, B227)</f>
        <v>0.55333333333333334</v>
      </c>
      <c r="AK227" s="86">
        <f>AVERAGEIFS($D$2:D227, $B$2:B227, B227)</f>
        <v>0.66666666666666663</v>
      </c>
    </row>
    <row r="228" spans="1:37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0</v>
      </c>
      <c r="AD228">
        <v>1</v>
      </c>
      <c r="AE228">
        <v>0</v>
      </c>
      <c r="AF228">
        <v>0</v>
      </c>
      <c r="AG228">
        <v>0</v>
      </c>
      <c r="AH228" s="86">
        <f>AVERAGEIFS($C$2:C228, $B$2:B228, B228)</f>
        <v>9.3333333333333339</v>
      </c>
      <c r="AI228" s="86">
        <f>AVERAGEIFS($I$2:I228, $B$2:B228, B228)</f>
        <v>0.46666666666666662</v>
      </c>
      <c r="AJ228" s="86">
        <f>AVERAGEIFS($J$2:J228, $B$2:B228, B228)</f>
        <v>0.43</v>
      </c>
      <c r="AK228" s="86">
        <f>AVERAGEIFS($D$2:D228, $B$2:B228, B228)</f>
        <v>0.33333333333333331</v>
      </c>
    </row>
    <row r="229" spans="1:37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0</v>
      </c>
      <c r="AD229">
        <v>1</v>
      </c>
      <c r="AE229">
        <v>0</v>
      </c>
      <c r="AF229">
        <v>0</v>
      </c>
      <c r="AG229">
        <v>0</v>
      </c>
      <c r="AH229" s="86">
        <f>AVERAGEIFS($C$2:C229, $B$2:B229, B229)</f>
        <v>17.5</v>
      </c>
      <c r="AI229" s="86">
        <f>AVERAGEIFS($I$2:I229, $B$2:B229, B229)</f>
        <v>0.437</v>
      </c>
      <c r="AJ229" s="86">
        <f>AVERAGEIFS($J$2:J229, $B$2:B229, B229)</f>
        <v>0.46699999999999997</v>
      </c>
      <c r="AK229" s="86">
        <f>AVERAGEIFS($D$2:D229, $B$2:B229, B229)</f>
        <v>0.5</v>
      </c>
    </row>
    <row r="230" spans="1:37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1</v>
      </c>
      <c r="AE230">
        <v>0</v>
      </c>
      <c r="AF230">
        <v>0</v>
      </c>
      <c r="AG230">
        <v>0</v>
      </c>
      <c r="AH230" s="86">
        <f>AVERAGEIFS($C$2:C230, $B$2:B230, B230)</f>
        <v>11.142857142857142</v>
      </c>
      <c r="AI230" s="86">
        <f>AVERAGEIFS($I$2:I230, $B$2:B230, B230)</f>
        <v>0.43785714285714289</v>
      </c>
      <c r="AJ230" s="86">
        <f>AVERAGEIFS($J$2:J230, $B$2:B230, B230)</f>
        <v>0.50071428571428578</v>
      </c>
      <c r="AK230" s="86">
        <f>AVERAGEIFS($D$2:D230, $B$2:B230, B230)</f>
        <v>0.35714285714285715</v>
      </c>
    </row>
    <row r="231" spans="1:37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20.277777777777779</v>
      </c>
      <c r="AI231" s="86">
        <f>AVERAGEIFS($I$2:I231, $B$2:B231, B231)</f>
        <v>0.5294444444444445</v>
      </c>
      <c r="AJ231" s="86">
        <f>AVERAGEIFS($J$2:J231, $B$2:B231, B231)</f>
        <v>0.53111111111111109</v>
      </c>
      <c r="AK231" s="86">
        <f>AVERAGEIFS($D$2:D231, $B$2:B231, B231)</f>
        <v>0.55555555555555558</v>
      </c>
    </row>
    <row r="232" spans="1:37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24.294117647058822</v>
      </c>
      <c r="AI232" s="86">
        <f>AVERAGEIFS($I$2:I232, $B$2:B232, B232)</f>
        <v>0.51882352941176468</v>
      </c>
      <c r="AJ232" s="86">
        <f>AVERAGEIFS($J$2:J232, $B$2:B232, B232)</f>
        <v>0.48529411764705882</v>
      </c>
      <c r="AK232" s="86">
        <f>AVERAGEIFS($D$2:D232, $B$2:B232, B232)</f>
        <v>0.52941176470588236</v>
      </c>
    </row>
    <row r="233" spans="1:37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19</v>
      </c>
      <c r="AI233" s="86">
        <f>AVERAGEIFS($I$2:I233, $B$2:B233, B233)</f>
        <v>0.42857142857142855</v>
      </c>
      <c r="AJ233" s="86">
        <f>AVERAGEIFS($J$2:J233, $B$2:B233, B233)</f>
        <v>0.4757142857142857</v>
      </c>
      <c r="AK233" s="86">
        <f>AVERAGEIFS($D$2:D233, $B$2:B233, B233)</f>
        <v>0.42857142857142855</v>
      </c>
    </row>
    <row r="234" spans="1:37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13.75</v>
      </c>
      <c r="AI234" s="86">
        <f>AVERAGEIFS($I$2:I234, $B$2:B234, B234)</f>
        <v>0.53749999999999998</v>
      </c>
      <c r="AJ234" s="86">
        <f>AVERAGEIFS($J$2:J234, $B$2:B234, B234)</f>
        <v>0.53499999999999992</v>
      </c>
      <c r="AK234" s="86">
        <f>AVERAGEIFS($D$2:D234, $B$2:B234, B234)</f>
        <v>0.5</v>
      </c>
    </row>
    <row r="235" spans="1:37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7</v>
      </c>
      <c r="AI235" s="86">
        <f>AVERAGEIFS($I$2:I235, $B$2:B235, B235)</f>
        <v>0.60666666666666658</v>
      </c>
      <c r="AJ235" s="86">
        <f>AVERAGEIFS($J$2:J235, $B$2:B235, B235)</f>
        <v>0.53666666666666663</v>
      </c>
      <c r="AK235" s="86">
        <f>AVERAGEIFS($D$2:D235, $B$2:B235, B235)</f>
        <v>0.66666666666666663</v>
      </c>
    </row>
    <row r="236" spans="1:37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1</v>
      </c>
      <c r="AH236" s="86">
        <f>AVERAGEIFS($C$2:C236, $B$2:B236, B236)</f>
        <v>22.058823529411764</v>
      </c>
      <c r="AI236" s="86">
        <f>AVERAGEIFS($I$2:I236, $B$2:B236, B236)</f>
        <v>0.65470588235294114</v>
      </c>
      <c r="AJ236" s="86">
        <f>AVERAGEIFS($J$2:J236, $B$2:B236, B236)</f>
        <v>0.56647058823529406</v>
      </c>
      <c r="AK236" s="86">
        <f>AVERAGEIFS($D$2:D236, $B$2:B236, B236)</f>
        <v>0.76470588235294112</v>
      </c>
    </row>
    <row r="237" spans="1:37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1</v>
      </c>
      <c r="AH237" s="86">
        <f>AVERAGEIFS($C$2:C237, $B$2:B237, B237)</f>
        <v>19.818181818181817</v>
      </c>
      <c r="AI237" s="86">
        <f>AVERAGEIFS($I$2:I237, $B$2:B237, B237)</f>
        <v>0.48181818181818181</v>
      </c>
      <c r="AJ237" s="86">
        <f>AVERAGEIFS($J$2:J237, $B$2:B237, B237)</f>
        <v>0.48818181818181811</v>
      </c>
      <c r="AK237" s="86">
        <f>AVERAGEIFS($D$2:D237, $B$2:B237, B237)</f>
        <v>0.36363636363636365</v>
      </c>
    </row>
    <row r="238" spans="1:37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1</v>
      </c>
      <c r="AH238" s="86">
        <f>AVERAGEIFS($C$2:C238, $B$2:B238, B238)</f>
        <v>11</v>
      </c>
      <c r="AI238" s="86">
        <f>AVERAGEIFS($I$2:I238, $B$2:B238, B238)</f>
        <v>0.73333333333333339</v>
      </c>
      <c r="AJ238" s="86">
        <f>AVERAGEIFS($J$2:J238, $B$2:B238, B238)</f>
        <v>0.56333333333333335</v>
      </c>
      <c r="AK238" s="86">
        <f>AVERAGEIFS($D$2:D238, $B$2:B238, B238)</f>
        <v>1</v>
      </c>
    </row>
    <row r="239" spans="1:37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1</v>
      </c>
      <c r="AH239" s="86">
        <f>AVERAGEIFS($C$2:C239, $B$2:B239, B239)</f>
        <v>17</v>
      </c>
      <c r="AI239" s="86">
        <f>AVERAGEIFS($I$2:I239, $B$2:B239, B239)</f>
        <v>0.39500000000000002</v>
      </c>
      <c r="AJ239" s="86">
        <f>AVERAGEIFS($J$2:J239, $B$2:B239, B239)</f>
        <v>0.4539999999999999</v>
      </c>
      <c r="AK239" s="86">
        <f>AVERAGEIFS($D$2:D239, $B$2:B239, B239)</f>
        <v>0.4</v>
      </c>
    </row>
    <row r="240" spans="1:37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1</v>
      </c>
      <c r="AH240" s="86">
        <f>AVERAGEIFS($C$2:C240, $B$2:B240, B240)</f>
        <v>11.466666666666667</v>
      </c>
      <c r="AI240" s="86">
        <f>AVERAGEIFS($I$2:I240, $B$2:B240, B240)</f>
        <v>0.44866666666666671</v>
      </c>
      <c r="AJ240" s="86">
        <f>AVERAGEIFS($J$2:J240, $B$2:B240, B240)</f>
        <v>0.50200000000000011</v>
      </c>
      <c r="AK240" s="86">
        <f>AVERAGEIFS($D$2:D240, $B$2:B240, B240)</f>
        <v>0.4</v>
      </c>
    </row>
    <row r="241" spans="1:37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26.333333333333332</v>
      </c>
      <c r="AI241" s="86">
        <f>AVERAGEIFS($I$2:I241, $B$2:B241, B241)</f>
        <v>0.3666666666666667</v>
      </c>
      <c r="AJ241" s="86">
        <f>AVERAGEIFS($J$2:J241, $B$2:B241, B241)</f>
        <v>0.42666666666666669</v>
      </c>
      <c r="AK241" s="86">
        <f>AVERAGEIFS($D$2:D241, $B$2:B241, B241)</f>
        <v>0.16666666666666666</v>
      </c>
    </row>
    <row r="242" spans="1:37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 s="86">
        <f>AVERAGEIFS($C$2:C242, $B$2:B242, B242)</f>
        <v>24.76923076923077</v>
      </c>
      <c r="AI242" s="86">
        <f>AVERAGEIFS($I$2:I242, $B$2:B242, B242)</f>
        <v>0.49846153846153851</v>
      </c>
      <c r="AJ242" s="86">
        <f>AVERAGEIFS($J$2:J242, $B$2:B242, B242)</f>
        <v>0.52923076923076917</v>
      </c>
      <c r="AK242" s="86">
        <f>AVERAGEIFS($D$2:D242, $B$2:B242, B242)</f>
        <v>0.46153846153846156</v>
      </c>
    </row>
    <row r="243" spans="1:37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 s="86">
        <f>AVERAGEIFS($C$2:C243, $B$2:B243, B243)</f>
        <v>18.09090909090909</v>
      </c>
      <c r="AI243" s="86">
        <f>AVERAGEIFS($I$2:I243, $B$2:B243, B243)</f>
        <v>0.4272727272727273</v>
      </c>
      <c r="AJ243" s="86">
        <f>AVERAGEIFS($J$2:J243, $B$2:B243, B243)</f>
        <v>0.4654545454545454</v>
      </c>
      <c r="AK243" s="86">
        <f>AVERAGEIFS($D$2:D243, $B$2:B243, B243)</f>
        <v>0.45454545454545453</v>
      </c>
    </row>
    <row r="244" spans="1:37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 s="86">
        <f>AVERAGEIFS($C$2:C244, $B$2:B244, B244)</f>
        <v>19.25</v>
      </c>
      <c r="AI244" s="86">
        <f>AVERAGEIFS($I$2:I244, $B$2:B244, B244)</f>
        <v>0.4375</v>
      </c>
      <c r="AJ244" s="86">
        <f>AVERAGEIFS($J$2:J244, $B$2:B244, B244)</f>
        <v>0.51</v>
      </c>
      <c r="AK244" s="86">
        <f>AVERAGEIFS($D$2:D244, $B$2:B244, B244)</f>
        <v>0.5</v>
      </c>
    </row>
    <row r="245" spans="1:37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 s="86">
        <f>AVERAGEIFS($C$2:C245, $B$2:B245, B245)</f>
        <v>15.8</v>
      </c>
      <c r="AI245" s="86">
        <f>AVERAGEIFS($I$2:I245, $B$2:B245, B245)</f>
        <v>0.57999999999999996</v>
      </c>
      <c r="AJ245" s="86">
        <f>AVERAGEIFS($J$2:J245, $B$2:B245, B245)</f>
        <v>0.54399999999999993</v>
      </c>
      <c r="AK245" s="86">
        <f>AVERAGEIFS($D$2:D245, $B$2:B245, B245)</f>
        <v>0.6</v>
      </c>
    </row>
    <row r="246" spans="1:37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 s="86">
        <f>AVERAGEIFS($C$2:C246, $B$2:B246, B246)</f>
        <v>15.25</v>
      </c>
      <c r="AI246" s="86">
        <f>AVERAGEIFS($I$2:I246, $B$2:B246, B246)</f>
        <v>0.53749999999999998</v>
      </c>
      <c r="AJ246" s="86">
        <f>AVERAGEIFS($J$2:J246, $B$2:B246, B246)</f>
        <v>0.47499999999999998</v>
      </c>
      <c r="AK246" s="86">
        <f>AVERAGEIFS($D$2:D246, $B$2:B246, B246)</f>
        <v>0.5</v>
      </c>
    </row>
    <row r="247" spans="1:37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 s="86">
        <f>AVERAGEIFS($C$2:C247, $B$2:B247, B247)</f>
        <v>8.5</v>
      </c>
      <c r="AI247" s="86">
        <f>AVERAGEIFS($I$2:I247, $B$2:B247, B247)</f>
        <v>0.64249999999999996</v>
      </c>
      <c r="AJ247" s="86">
        <f>AVERAGEIFS($J$2:J247, $B$2:B247, B247)</f>
        <v>0.54749999999999999</v>
      </c>
      <c r="AK247" s="86">
        <f>AVERAGEIFS($D$2:D247, $B$2:B247, B247)</f>
        <v>0.75</v>
      </c>
    </row>
    <row r="248" spans="1:37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 s="86">
        <f>AVERAGEIFS($C$2:C248, $B$2:B248, B248)</f>
        <v>21.333333333333332</v>
      </c>
      <c r="AI248" s="86">
        <f>AVERAGEIFS($I$2:I248, $B$2:B248, B248)</f>
        <v>0.58333333333333337</v>
      </c>
      <c r="AJ248" s="86">
        <f>AVERAGEIFS($J$2:J248, $B$2:B248, B248)</f>
        <v>0.5099999999999999</v>
      </c>
      <c r="AK248" s="86">
        <f>AVERAGEIFS($D$2:D248, $B$2:B248, B248)</f>
        <v>0.66666666666666663</v>
      </c>
    </row>
    <row r="249" spans="1:37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 s="86">
        <f>AVERAGEIFS($C$2:C249, $B$2:B249, B249)</f>
        <v>29.875</v>
      </c>
      <c r="AI249" s="86">
        <f>AVERAGEIFS($I$2:I249, $B$2:B249, B249)</f>
        <v>0.4</v>
      </c>
      <c r="AJ249" s="86">
        <f>AVERAGEIFS($J$2:J249, $B$2:B249, B249)</f>
        <v>0.47624999999999995</v>
      </c>
      <c r="AK249" s="86">
        <f>AVERAGEIFS($D$2:D249, $B$2:B249, B249)</f>
        <v>0.5</v>
      </c>
    </row>
    <row r="250" spans="1:37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24.944444444444443</v>
      </c>
      <c r="AI250" s="86">
        <f>AVERAGEIFS($I$2:I250, $B$2:B250, B250)</f>
        <v>0.50388888888888894</v>
      </c>
      <c r="AJ250" s="86">
        <f>AVERAGEIFS($J$2:J250, $B$2:B250, B250)</f>
        <v>0.48166666666666669</v>
      </c>
      <c r="AK250" s="86">
        <f>AVERAGEIFS($D$2:D250, $B$2:B250, B250)</f>
        <v>0.5</v>
      </c>
    </row>
    <row r="251" spans="1:37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20.684210526315791</v>
      </c>
      <c r="AI251" s="86">
        <f>AVERAGEIFS($I$2:I251, $B$2:B251, B251)</f>
        <v>0.51473684210526327</v>
      </c>
      <c r="AJ251" s="86">
        <f>AVERAGEIFS($J$2:J251, $B$2:B251, B251)</f>
        <v>0.52526315789473677</v>
      </c>
      <c r="AK251" s="86">
        <f>AVERAGEIFS($D$2:D251, $B$2:B251, B251)</f>
        <v>0.52631578947368418</v>
      </c>
    </row>
    <row r="252" spans="1:37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16.600000000000001</v>
      </c>
      <c r="AI252" s="86">
        <f>AVERAGEIFS($I$2:I252, $B$2:B252, B252)</f>
        <v>0.46799999999999997</v>
      </c>
      <c r="AJ252" s="86">
        <f>AVERAGEIFS($J$2:J252, $B$2:B252, B252)</f>
        <v>0.50499999999999989</v>
      </c>
      <c r="AK252" s="86">
        <f>AVERAGEIFS($D$2:D252, $B$2:B252, B252)</f>
        <v>0.4</v>
      </c>
    </row>
    <row r="253" spans="1:37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6</v>
      </c>
      <c r="AI253" s="86">
        <f>AVERAGEIFS($I$2:I253, $B$2:B253, B253)</f>
        <v>0.25</v>
      </c>
      <c r="AJ253" s="86">
        <f>AVERAGEIFS($J$2:J253, $B$2:B253, B253)</f>
        <v>0.42</v>
      </c>
      <c r="AK253" s="86">
        <f>AVERAGEIFS($D$2:D253, $B$2:B253, B253)</f>
        <v>0</v>
      </c>
    </row>
    <row r="254" spans="1:37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11.5</v>
      </c>
      <c r="AI254" s="86">
        <f>AVERAGEIFS($I$2:I254, $B$2:B254, B254)</f>
        <v>0.43625000000000003</v>
      </c>
      <c r="AJ254" s="86">
        <f>AVERAGEIFS($J$2:J254, $B$2:B254, B254)</f>
        <v>0.49687500000000007</v>
      </c>
      <c r="AK254" s="86">
        <f>AVERAGEIFS($D$2:D254, $B$2:B254, B254)</f>
        <v>0.375</v>
      </c>
    </row>
    <row r="255" spans="1:37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14</v>
      </c>
      <c r="AI255" s="86">
        <f>AVERAGEIFS($I$2:I255, $B$2:B255, B255)</f>
        <v>0.25</v>
      </c>
      <c r="AJ255" s="86">
        <f>AVERAGEIFS($J$2:J255, $B$2:B255, B255)</f>
        <v>0.42</v>
      </c>
      <c r="AK255" s="86">
        <f>AVERAGEIFS($D$2:D255, $B$2:B255, B255)</f>
        <v>0</v>
      </c>
    </row>
    <row r="256" spans="1:37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20.166666666666668</v>
      </c>
      <c r="AI256" s="86">
        <f>AVERAGEIFS($I$2:I256, $B$2:B256, B256)</f>
        <v>0.46249999999999997</v>
      </c>
      <c r="AJ256" s="86">
        <f>AVERAGEIFS($J$2:J256, $B$2:B256, B256)</f>
        <v>0.48249999999999993</v>
      </c>
      <c r="AK256" s="86">
        <f>AVERAGEIFS($D$2:D256, $B$2:B256, B256)</f>
        <v>0.33333333333333331</v>
      </c>
    </row>
    <row r="257" spans="1:37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 s="86">
        <f>AVERAGEIFS($C$2:C257, $B$2:B257, B257)</f>
        <v>28.142857142857142</v>
      </c>
      <c r="AI257" s="86">
        <f>AVERAGEIFS($I$2:I257, $B$2:B257, B257)</f>
        <v>0.4</v>
      </c>
      <c r="AJ257" s="86">
        <f>AVERAGEIFS($J$2:J257, $B$2:B257, B257)</f>
        <v>0.44857142857142857</v>
      </c>
      <c r="AK257" s="86">
        <f>AVERAGEIFS($D$2:D257, $B$2:B257, B257)</f>
        <v>0.2857142857142857</v>
      </c>
    </row>
    <row r="258" spans="1:37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1</v>
      </c>
      <c r="AE258">
        <v>0</v>
      </c>
      <c r="AF258">
        <v>0</v>
      </c>
      <c r="AG258">
        <v>0</v>
      </c>
      <c r="AH258" s="86">
        <f>AVERAGEIFS($C$2:C258, $B$2:B258, B258)</f>
        <v>25.421052631578949</v>
      </c>
      <c r="AI258" s="86">
        <f>AVERAGEIFS($I$2:I258, $B$2:B258, B258)</f>
        <v>0.50894736842105259</v>
      </c>
      <c r="AJ258" s="86">
        <f>AVERAGEIFS($J$2:J258, $B$2:B258, B258)</f>
        <v>0.48684210526315791</v>
      </c>
      <c r="AK258" s="86">
        <f>AVERAGEIFS($D$2:D258, $B$2:B258, B258)</f>
        <v>0.52631578947368418</v>
      </c>
    </row>
    <row r="259" spans="1:37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1</v>
      </c>
      <c r="AE259">
        <v>0</v>
      </c>
      <c r="AF259">
        <v>0</v>
      </c>
      <c r="AG259">
        <v>0</v>
      </c>
      <c r="AH259" s="86">
        <f>AVERAGEIFS($C$2:C259, $B$2:B259, B259)</f>
        <v>7.9230769230769234</v>
      </c>
      <c r="AI259" s="86">
        <f>AVERAGEIFS($I$2:I259, $B$2:B259, B259)</f>
        <v>0.60615384615384615</v>
      </c>
      <c r="AJ259" s="86">
        <f>AVERAGEIFS($J$2:J259, $B$2:B259, B259)</f>
        <v>0.57846153846153836</v>
      </c>
      <c r="AK259" s="86">
        <f>AVERAGEIFS($D$2:D259, $B$2:B259, B259)</f>
        <v>0.69230769230769229</v>
      </c>
    </row>
    <row r="260" spans="1:37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1</v>
      </c>
      <c r="AE260">
        <v>0</v>
      </c>
      <c r="AF260">
        <v>0</v>
      </c>
      <c r="AG260">
        <v>0</v>
      </c>
      <c r="AH260" s="86">
        <f>AVERAGEIFS($C$2:C260, $B$2:B260, B260)</f>
        <v>21.75</v>
      </c>
      <c r="AI260" s="86">
        <f>AVERAGEIFS($I$2:I260, $B$2:B260, B260)</f>
        <v>0.58750000000000002</v>
      </c>
      <c r="AJ260" s="86">
        <f>AVERAGEIFS($J$2:J260, $B$2:B260, B260)</f>
        <v>0.52749999999999997</v>
      </c>
      <c r="AK260" s="86">
        <f>AVERAGEIFS($D$2:D260, $B$2:B260, B260)</f>
        <v>0.75</v>
      </c>
    </row>
    <row r="261" spans="1:37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1</v>
      </c>
      <c r="AE261">
        <v>0</v>
      </c>
      <c r="AF261">
        <v>0</v>
      </c>
      <c r="AG261">
        <v>0</v>
      </c>
      <c r="AH261" s="86">
        <f>AVERAGEIFS($C$2:C261, $B$2:B261, B261)</f>
        <v>11.5</v>
      </c>
      <c r="AI261" s="86">
        <f>AVERAGEIFS($I$2:I261, $B$2:B261, B261)</f>
        <v>0.42499999999999999</v>
      </c>
      <c r="AJ261" s="86">
        <f>AVERAGEIFS($J$2:J261, $B$2:B261, B261)</f>
        <v>0.5</v>
      </c>
      <c r="AK261" s="86">
        <f>AVERAGEIFS($D$2:D261, $B$2:B261, B261)</f>
        <v>0.5</v>
      </c>
    </row>
    <row r="262" spans="1:37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1</v>
      </c>
      <c r="AE262">
        <v>0</v>
      </c>
      <c r="AF262">
        <v>0</v>
      </c>
      <c r="AG262">
        <v>0</v>
      </c>
      <c r="AH262" s="86">
        <f>AVERAGEIFS($C$2:C262, $B$2:B262, B262)</f>
        <v>21.1875</v>
      </c>
      <c r="AI262" s="86">
        <f>AVERAGEIFS($I$2:I262, $B$2:B262, B262)</f>
        <v>0.49187500000000001</v>
      </c>
      <c r="AJ262" s="86">
        <f>AVERAGEIFS($J$2:J262, $B$2:B262, B262)</f>
        <v>0.48750000000000004</v>
      </c>
      <c r="AK262" s="86">
        <f>AVERAGEIFS($D$2:D262, $B$2:B262, B262)</f>
        <v>0.4375</v>
      </c>
    </row>
    <row r="263" spans="1:37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 s="86">
        <f>AVERAGEIFS($C$2:C263, $B$2:B263, B263)</f>
        <v>12</v>
      </c>
      <c r="AI263" s="86">
        <f>AVERAGEIFS($I$2:I263, $B$2:B263, B263)</f>
        <v>0.43411764705882355</v>
      </c>
      <c r="AJ263" s="86">
        <f>AVERAGEIFS($J$2:J263, $B$2:B263, B263)</f>
        <v>0.49235294117647066</v>
      </c>
      <c r="AK263" s="86">
        <f>AVERAGEIFS($D$2:D263, $B$2:B263, B263)</f>
        <v>0.35294117647058826</v>
      </c>
    </row>
    <row r="264" spans="1:37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1</v>
      </c>
      <c r="AF264">
        <v>0</v>
      </c>
      <c r="AG264">
        <v>0</v>
      </c>
      <c r="AH264" s="86">
        <f>AVERAGEIFS($C$2:C264, $B$2:B264, B264)</f>
        <v>22.888888888888889</v>
      </c>
      <c r="AI264" s="86">
        <f>AVERAGEIFS($I$2:I264, $B$2:B264, B264)</f>
        <v>0.64055555555555554</v>
      </c>
      <c r="AJ264" s="86">
        <f>AVERAGEIFS($J$2:J264, $B$2:B264, B264)</f>
        <v>0.55833333333333324</v>
      </c>
      <c r="AK264" s="86">
        <f>AVERAGEIFS($D$2:D264, $B$2:B264, B264)</f>
        <v>0.72222222222222221</v>
      </c>
    </row>
    <row r="265" spans="1:37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 s="86">
        <f>AVERAGEIFS($C$2:C265, $B$2:B265, B265)</f>
        <v>24.714285714285715</v>
      </c>
      <c r="AI265" s="86">
        <f>AVERAGEIFS($I$2:I265, $B$2:B265, B265)</f>
        <v>0.49142857142857149</v>
      </c>
      <c r="AJ265" s="86">
        <f>AVERAGEIFS($J$2:J265, $B$2:B265, B265)</f>
        <v>0.52142857142857135</v>
      </c>
      <c r="AK265" s="86">
        <f>AVERAGEIFS($D$2:D265, $B$2:B265, B265)</f>
        <v>0.42857142857142855</v>
      </c>
    </row>
    <row r="266" spans="1:37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 s="86">
        <f>AVERAGEIFS($C$2:C266, $B$2:B266, B266)</f>
        <v>19.625</v>
      </c>
      <c r="AI266" s="86">
        <f>AVERAGEIFS($I$2:I266, $B$2:B266, B266)</f>
        <v>0.42499999999999999</v>
      </c>
      <c r="AJ266" s="86">
        <f>AVERAGEIFS($J$2:J266, $B$2:B266, B266)</f>
        <v>0.46875</v>
      </c>
      <c r="AK266" s="86">
        <f>AVERAGEIFS($D$2:D266, $B$2:B266, B266)</f>
        <v>0.375</v>
      </c>
    </row>
    <row r="267" spans="1:37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 s="86">
        <f>AVERAGEIFS($C$2:C267, $B$2:B267, B267)</f>
        <v>5.5</v>
      </c>
      <c r="AI267" s="86">
        <f>AVERAGEIFS($I$2:I267, $B$2:B267, B267)</f>
        <v>0.4</v>
      </c>
      <c r="AJ267" s="86">
        <f>AVERAGEIFS($J$2:J267, $B$2:B267, B267)</f>
        <v>0.375</v>
      </c>
      <c r="AK267" s="86">
        <f>AVERAGEIFS($D$2:D267, $B$2:B267, B267)</f>
        <v>0</v>
      </c>
    </row>
    <row r="268" spans="1:37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1</v>
      </c>
      <c r="AF268">
        <v>0</v>
      </c>
      <c r="AG268">
        <v>0</v>
      </c>
      <c r="AH268" s="86">
        <f>AVERAGEIFS($C$2:C268, $B$2:B268, B268)</f>
        <v>18.583333333333332</v>
      </c>
      <c r="AI268" s="86">
        <f>AVERAGEIFS($I$2:I268, $B$2:B268, B268)</f>
        <v>0.42500000000000004</v>
      </c>
      <c r="AJ268" s="86">
        <f>AVERAGEIFS($J$2:J268, $B$2:B268, B268)</f>
        <v>0.46166666666666661</v>
      </c>
      <c r="AK268" s="86">
        <f>AVERAGEIFS($D$2:D268, $B$2:B268, B268)</f>
        <v>0.41666666666666669</v>
      </c>
    </row>
    <row r="269" spans="1:37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26.75</v>
      </c>
      <c r="AI269" s="86">
        <f>AVERAGEIFS($I$2:I269, $B$2:B269, B269)</f>
        <v>0.38125000000000003</v>
      </c>
      <c r="AJ269" s="86">
        <f>AVERAGEIFS($J$2:J269, $B$2:B269, B269)</f>
        <v>0.4375</v>
      </c>
      <c r="AK269" s="86">
        <f>AVERAGEIFS($D$2:D269, $B$2:B269, B269)</f>
        <v>0.25</v>
      </c>
    </row>
    <row r="270" spans="1:37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24.85</v>
      </c>
      <c r="AI270" s="86">
        <f>AVERAGEIFS($I$2:I270, $B$2:B270, B270)</f>
        <v>0.496</v>
      </c>
      <c r="AJ270" s="86">
        <f>AVERAGEIFS($J$2:J270, $B$2:B270, B270)</f>
        <v>0.48049999999999998</v>
      </c>
      <c r="AK270" s="86">
        <f>AVERAGEIFS($D$2:D270, $B$2:B270, B270)</f>
        <v>0.5</v>
      </c>
    </row>
    <row r="271" spans="1:37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15</v>
      </c>
      <c r="AI271" s="86">
        <f>AVERAGEIFS($I$2:I271, $B$2:B271, B271)</f>
        <v>0.47500000000000003</v>
      </c>
      <c r="AJ271" s="86">
        <f>AVERAGEIFS($J$2:J271, $B$2:B271, B271)</f>
        <v>0.47874999999999995</v>
      </c>
      <c r="AK271" s="86">
        <f>AVERAGEIFS($D$2:D271, $B$2:B271, B271)</f>
        <v>0.625</v>
      </c>
    </row>
    <row r="272" spans="1:37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9.5</v>
      </c>
      <c r="AI272" s="86">
        <f>AVERAGEIFS($I$2:I272, $B$2:B272, B272)</f>
        <v>0.42499999999999999</v>
      </c>
      <c r="AJ272" s="86">
        <f>AVERAGEIFS($J$2:J272, $B$2:B272, B272)</f>
        <v>0.42</v>
      </c>
      <c r="AK272" s="86">
        <f>AVERAGEIFS($D$2:D272, $B$2:B272, B272)</f>
        <v>0.5</v>
      </c>
    </row>
    <row r="273" spans="1:37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10.333333333333334</v>
      </c>
      <c r="AI273" s="86">
        <f>AVERAGEIFS($I$2:I273, $B$2:B273, B273)</f>
        <v>0.3666666666666667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4.666666666666667</v>
      </c>
      <c r="AI274" s="86">
        <f>AVERAGEIFS($I$2:I274, $B$2:B274, B274)</f>
        <v>0.35000000000000003</v>
      </c>
      <c r="AJ274" s="86">
        <f>AVERAGEIFS($J$2:J274, $B$2:B274, B274)</f>
        <v>0.36999999999999994</v>
      </c>
      <c r="AK274" s="86">
        <f>AVERAGEIFS($D$2:D274, $B$2:B274, B274)</f>
        <v>0</v>
      </c>
    </row>
    <row r="275" spans="1:37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1</v>
      </c>
      <c r="AE275">
        <v>0</v>
      </c>
      <c r="AF275">
        <v>0</v>
      </c>
      <c r="AG275">
        <v>0</v>
      </c>
      <c r="AH275" s="86">
        <f>AVERAGEIFS($C$2:C275, $B$2:B275, B275)</f>
        <v>12.055555555555555</v>
      </c>
      <c r="AI275" s="86">
        <f>AVERAGEIFS($I$2:I275, $B$2:B275, B275)</f>
        <v>0.45166666666666672</v>
      </c>
      <c r="AJ275" s="86">
        <f>AVERAGEIFS($J$2:J275, $B$2:B275, B275)</f>
        <v>0.50055555555555564</v>
      </c>
      <c r="AK275" s="86">
        <f>AVERAGEIFS($D$2:D275, $B$2:B275, B275)</f>
        <v>0.3888888888888889</v>
      </c>
    </row>
    <row r="276" spans="1:37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1</v>
      </c>
      <c r="AE276">
        <v>0</v>
      </c>
      <c r="AF276">
        <v>0</v>
      </c>
      <c r="AG276">
        <v>0</v>
      </c>
      <c r="AH276" s="86">
        <f>AVERAGEIFS($C$2:C276, $B$2:B276, B276)</f>
        <v>17.8</v>
      </c>
      <c r="AI276" s="86">
        <f>AVERAGEIFS($I$2:I276, $B$2:B276, B276)</f>
        <v>0.5</v>
      </c>
      <c r="AJ276" s="86">
        <f>AVERAGEIFS($J$2:J276, $B$2:B276, B276)</f>
        <v>0.53600000000000003</v>
      </c>
      <c r="AK276" s="86">
        <f>AVERAGEIFS($D$2:D276, $B$2:B276, B276)</f>
        <v>0.6</v>
      </c>
    </row>
    <row r="277" spans="1:37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 s="86">
        <f>AVERAGEIFS($C$2:C277, $B$2:B277, B277)</f>
        <v>24.6</v>
      </c>
      <c r="AI277" s="86">
        <f>AVERAGEIFS($I$2:I277, $B$2:B277, B277)</f>
        <v>0.50866666666666671</v>
      </c>
      <c r="AJ277" s="86">
        <f>AVERAGEIFS($J$2:J277, $B$2:B277, B277)</f>
        <v>0.52933333333333321</v>
      </c>
      <c r="AK277" s="86">
        <f>AVERAGEIFS($D$2:D277, $B$2:B277, B277)</f>
        <v>0.46666666666666667</v>
      </c>
    </row>
    <row r="278" spans="1:37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1</v>
      </c>
      <c r="AE278">
        <v>0</v>
      </c>
      <c r="AF278">
        <v>0</v>
      </c>
      <c r="AG278">
        <v>0</v>
      </c>
      <c r="AH278" s="86">
        <f>AVERAGEIFS($C$2:C278, $B$2:B278, B278)</f>
        <v>17.692307692307693</v>
      </c>
      <c r="AI278" s="86">
        <f>AVERAGEIFS($I$2:I278, $B$2:B278, B278)</f>
        <v>0.45000000000000007</v>
      </c>
      <c r="AJ278" s="86">
        <f>AVERAGEIFS($J$2:J278, $B$2:B278, B278)</f>
        <v>0.47538461538461529</v>
      </c>
      <c r="AK278" s="86">
        <f>AVERAGEIFS($D$2:D278, $B$2:B278, B278)</f>
        <v>0.46153846153846156</v>
      </c>
    </row>
    <row r="279" spans="1:37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1</v>
      </c>
      <c r="AE279">
        <v>0</v>
      </c>
      <c r="AF279">
        <v>0</v>
      </c>
      <c r="AG279">
        <v>0</v>
      </c>
      <c r="AH279" s="86">
        <f>AVERAGEIFS($C$2:C279, $B$2:B279, B279)</f>
        <v>22.894736842105264</v>
      </c>
      <c r="AI279" s="86">
        <f>AVERAGEIFS($I$2:I279, $B$2:B279, B279)</f>
        <v>0.64631578947368418</v>
      </c>
      <c r="AJ279" s="86">
        <f>AVERAGEIFS($J$2:J279, $B$2:B279, B279)</f>
        <v>0.56263157894736837</v>
      </c>
      <c r="AK279" s="86">
        <f>AVERAGEIFS($D$2:D279, $B$2:B279, B279)</f>
        <v>0.73684210526315785</v>
      </c>
    </row>
    <row r="280" spans="1:37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0</v>
      </c>
      <c r="AD280">
        <v>1</v>
      </c>
      <c r="AE280">
        <v>0</v>
      </c>
      <c r="AF280">
        <v>0</v>
      </c>
      <c r="AG280">
        <v>0</v>
      </c>
      <c r="AH280" s="86">
        <f>AVERAGEIFS($C$2:C280, $B$2:B280, B280)</f>
        <v>10</v>
      </c>
      <c r="AI280" s="86">
        <f>AVERAGEIFS($I$2:I280, $B$2:B280, B280)</f>
        <v>0.75</v>
      </c>
      <c r="AJ280" s="86">
        <f>AVERAGEIFS($J$2:J280, $B$2:B280, B280)</f>
        <v>0.64</v>
      </c>
      <c r="AK280" s="86">
        <f>AVERAGEIFS($D$2:D280, $B$2:B280, B280)</f>
        <v>1</v>
      </c>
    </row>
    <row r="281" spans="1:37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15.888888888888889</v>
      </c>
      <c r="AI281" s="86">
        <f>AVERAGEIFS($I$2:I281, $B$2:B281, B281)</f>
        <v>0.46666666666666667</v>
      </c>
      <c r="AJ281" s="86">
        <f>AVERAGEIFS($J$2:J281, $B$2:B281, B281)</f>
        <v>0.46888888888888886</v>
      </c>
      <c r="AK281" s="86">
        <f>AVERAGEIFS($D$2:D281, $B$2:B281, B281)</f>
        <v>0.55555555555555558</v>
      </c>
    </row>
    <row r="282" spans="1:37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26.444444444444443</v>
      </c>
      <c r="AI282" s="86">
        <f>AVERAGEIFS($I$2:I282, $B$2:B282, B282)</f>
        <v>0.38333333333333336</v>
      </c>
      <c r="AJ282" s="86">
        <f>AVERAGEIFS($J$2:J282, $B$2:B282, B282)</f>
        <v>0.43222222222222223</v>
      </c>
      <c r="AK282" s="86">
        <f>AVERAGEIFS($D$2:D282, $B$2:B282, B282)</f>
        <v>0.22222222222222221</v>
      </c>
    </row>
    <row r="283" spans="1:37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25</v>
      </c>
      <c r="AI283" s="86">
        <f>AVERAGEIFS($I$2:I283, $B$2:B283, B283)</f>
        <v>0.49142857142857144</v>
      </c>
      <c r="AJ283" s="86">
        <f>AVERAGEIFS($J$2:J283, $B$2:B283, B283)</f>
        <v>0.47619047619047616</v>
      </c>
      <c r="AK283" s="86">
        <f>AVERAGEIFS($D$2:D283, $B$2:B283, B283)</f>
        <v>0.47619047619047616</v>
      </c>
    </row>
    <row r="284" spans="1:37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17.857142857142858</v>
      </c>
      <c r="AI284" s="86">
        <f>AVERAGEIFS($I$2:I284, $B$2:B284, B284)</f>
        <v>0.44642857142857151</v>
      </c>
      <c r="AJ284" s="86">
        <f>AVERAGEIFS($J$2:J284, $B$2:B284, B284)</f>
        <v>0.46928571428571419</v>
      </c>
      <c r="AK284" s="86">
        <f>AVERAGEIFS($D$2:D284, $B$2:B284, B284)</f>
        <v>0.42857142857142855</v>
      </c>
    </row>
    <row r="285" spans="1:37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11</v>
      </c>
      <c r="AI285" s="86">
        <f>AVERAGEIFS($I$2:I285, $B$2:B285, B285)</f>
        <v>0.375</v>
      </c>
      <c r="AJ285" s="86">
        <f>AVERAGEIFS($J$2:J285, $B$2:B285, B285)</f>
        <v>0.4375</v>
      </c>
      <c r="AK285" s="86">
        <f>AVERAGEIFS($D$2:D285, $B$2:B285, B285)</f>
        <v>0.25</v>
      </c>
    </row>
    <row r="286" spans="1:37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 s="86">
        <f>AVERAGEIFS($C$2:C286, $B$2:B286, B286)</f>
        <v>20</v>
      </c>
      <c r="AI286" s="86">
        <f>AVERAGEIFS($I$2:I286, $B$2:B286, B286)</f>
        <v>0.55000000000000004</v>
      </c>
      <c r="AJ286" s="86">
        <f>AVERAGEIFS($J$2:J286, $B$2:B286, B286)</f>
        <v>0.5</v>
      </c>
      <c r="AK286" s="86">
        <f>AVERAGEIFS($D$2:D286, $B$2:B286, B286)</f>
        <v>0.6</v>
      </c>
    </row>
    <row r="287" spans="1:37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1</v>
      </c>
      <c r="AH287" s="86">
        <f>AVERAGEIFS($C$2:C287, $B$2:B287, B287)</f>
        <v>23.55</v>
      </c>
      <c r="AI287" s="86">
        <f>AVERAGEIFS($I$2:I287, $B$2:B287, B287)</f>
        <v>0.64399999999999991</v>
      </c>
      <c r="AJ287" s="86">
        <f>AVERAGEIFS($J$2:J287, $B$2:B287, B287)</f>
        <v>0.56499999999999995</v>
      </c>
      <c r="AK287" s="86">
        <f>AVERAGEIFS($D$2:D287, $B$2:B287, B287)</f>
        <v>0.75</v>
      </c>
    </row>
    <row r="288" spans="1:37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1</v>
      </c>
      <c r="AH288" s="86">
        <f>AVERAGEIFS($C$2:C288, $B$2:B288, B288)</f>
        <v>24.5625</v>
      </c>
      <c r="AI288" s="86">
        <f>AVERAGEIFS($I$2:I288, $B$2:B288, B288)</f>
        <v>0.51437500000000003</v>
      </c>
      <c r="AJ288" s="86">
        <f>AVERAGEIFS($J$2:J288, $B$2:B288, B288)</f>
        <v>0.53437499999999993</v>
      </c>
      <c r="AK288" s="86">
        <f>AVERAGEIFS($D$2:D288, $B$2:B288, B288)</f>
        <v>0.5</v>
      </c>
    </row>
    <row r="289" spans="1:37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1</v>
      </c>
      <c r="AH289" s="86">
        <f>AVERAGEIFS($C$2:C289, $B$2:B289, B289)</f>
        <v>18.5</v>
      </c>
      <c r="AI289" s="86">
        <f>AVERAGEIFS($I$2:I289, $B$2:B289, B289)</f>
        <v>0.51666666666666672</v>
      </c>
      <c r="AJ289" s="86">
        <f>AVERAGEIFS($J$2:J289, $B$2:B289, B289)</f>
        <v>0.54833333333333334</v>
      </c>
      <c r="AK289" s="86">
        <f>AVERAGEIFS($D$2:D289, $B$2:B289, B289)</f>
        <v>0.66666666666666663</v>
      </c>
    </row>
    <row r="290" spans="1:37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1</v>
      </c>
      <c r="AH290" s="86">
        <f>AVERAGEIFS($C$2:C290, $B$2:B290, B290)</f>
        <v>20</v>
      </c>
      <c r="AI290" s="86">
        <f>AVERAGEIFS($I$2:I290, $B$2:B290, B290)</f>
        <v>0.47307692307692306</v>
      </c>
      <c r="AJ290" s="86">
        <f>AVERAGEIFS($J$2:J290, $B$2:B290, B290)</f>
        <v>0.49230769230769228</v>
      </c>
      <c r="AK290" s="86">
        <f>AVERAGEIFS($D$2:D290, $B$2:B290, B290)</f>
        <v>0.38461538461538464</v>
      </c>
    </row>
    <row r="291" spans="1:37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1</v>
      </c>
      <c r="AH291" s="86">
        <f>AVERAGEIFS($C$2:C291, $B$2:B291, B291)</f>
        <v>5.25</v>
      </c>
      <c r="AI291" s="86">
        <f>AVERAGEIFS($I$2:I291, $B$2:B291, B291)</f>
        <v>0.41249999999999998</v>
      </c>
      <c r="AJ291" s="86">
        <f>AVERAGEIFS($J$2:J291, $B$2:B291, B291)</f>
        <v>0.42999999999999994</v>
      </c>
      <c r="AK291" s="86">
        <f>AVERAGEIFS($D$2:D291, $B$2:B291, B291)</f>
        <v>0.25</v>
      </c>
    </row>
    <row r="292" spans="1:37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1</v>
      </c>
      <c r="AH292" s="86">
        <f>AVERAGEIFS($C$2:C292, $B$2:B292, B292)</f>
        <v>11</v>
      </c>
      <c r="AI292" s="86">
        <f>AVERAGEIFS($I$2:I292, $B$2:B292, B292)</f>
        <v>0.70000000000000007</v>
      </c>
      <c r="AJ292" s="86">
        <f>AVERAGEIFS($J$2:J292, $B$2:B292, B292)</f>
        <v>0.57499999999999996</v>
      </c>
      <c r="AK292" s="86">
        <f>AVERAGEIFS($D$2:D292, $B$2:B292, B292)</f>
        <v>1</v>
      </c>
    </row>
    <row r="293" spans="1:37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 s="86">
        <f>AVERAGEIFS($C$2:C293, $B$2:B293, B293)</f>
        <v>21.411764705882351</v>
      </c>
      <c r="AI293" s="86">
        <f>AVERAGEIFS($I$2:I293, $B$2:B293, B293)</f>
        <v>0.4864705882352941</v>
      </c>
      <c r="AJ293" s="86">
        <f>AVERAGEIFS($J$2:J293, $B$2:B293, B293)</f>
        <v>0.48235294117647065</v>
      </c>
      <c r="AK293" s="86">
        <f>AVERAGEIFS($D$2:D293, $B$2:B293, B293)</f>
        <v>0.41176470588235292</v>
      </c>
    </row>
    <row r="294" spans="1:37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0</v>
      </c>
      <c r="AD294">
        <v>1</v>
      </c>
      <c r="AE294">
        <v>0</v>
      </c>
      <c r="AF294">
        <v>0</v>
      </c>
      <c r="AG294">
        <v>0</v>
      </c>
      <c r="AH294" s="86">
        <f>AVERAGEIFS($C$2:C294, $B$2:B294, B294)</f>
        <v>24.954545454545453</v>
      </c>
      <c r="AI294" s="86">
        <f>AVERAGEIFS($I$2:I294, $B$2:B294, B294)</f>
        <v>0.4872727272727273</v>
      </c>
      <c r="AJ294" s="86">
        <f>AVERAGEIFS($J$2:J294, $B$2:B294, B294)</f>
        <v>0.47272727272727272</v>
      </c>
      <c r="AK294" s="86">
        <f>AVERAGEIFS($D$2:D294, $B$2:B294, B294)</f>
        <v>0.45454545454545453</v>
      </c>
    </row>
    <row r="295" spans="1:37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0</v>
      </c>
      <c r="AD295">
        <v>1</v>
      </c>
      <c r="AE295">
        <v>0</v>
      </c>
      <c r="AF295">
        <v>0</v>
      </c>
      <c r="AG295">
        <v>0</v>
      </c>
      <c r="AH295" s="86">
        <f>AVERAGEIFS($C$2:C295, $B$2:B295, B295)</f>
        <v>13.4</v>
      </c>
      <c r="AI295" s="86">
        <f>AVERAGEIFS($I$2:I295, $B$2:B295, B295)</f>
        <v>0.38</v>
      </c>
      <c r="AJ295" s="86">
        <f>AVERAGEIFS($J$2:J295, $B$2:B295, B295)</f>
        <v>0.43</v>
      </c>
      <c r="AK295" s="86">
        <f>AVERAGEIFS($D$2:D295, $B$2:B295, B295)</f>
        <v>0.2</v>
      </c>
    </row>
    <row r="296" spans="1:37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0</v>
      </c>
      <c r="AD296">
        <v>1</v>
      </c>
      <c r="AE296">
        <v>0</v>
      </c>
      <c r="AF296">
        <v>0</v>
      </c>
      <c r="AG296">
        <v>0</v>
      </c>
      <c r="AH296" s="86">
        <f>AVERAGEIFS($C$2:C296, $B$2:B296, B296)</f>
        <v>15.833333333333334</v>
      </c>
      <c r="AI296" s="86">
        <f>AVERAGEIFS($I$2:I296, $B$2:B296, B296)</f>
        <v>0.54999999999999993</v>
      </c>
      <c r="AJ296" s="86">
        <f>AVERAGEIFS($J$2:J296, $B$2:B296, B296)</f>
        <v>0.51999999999999991</v>
      </c>
      <c r="AK296" s="86">
        <f>AVERAGEIFS($D$2:D296, $B$2:B296, B296)</f>
        <v>0.5</v>
      </c>
    </row>
    <row r="297" spans="1:37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1</v>
      </c>
      <c r="AE297">
        <v>0</v>
      </c>
      <c r="AF297">
        <v>0</v>
      </c>
      <c r="AG297">
        <v>0</v>
      </c>
      <c r="AH297" s="86">
        <f>AVERAGEIFS($C$2:C297, $B$2:B297, B297)</f>
        <v>14</v>
      </c>
      <c r="AI297" s="86">
        <f>AVERAGEIFS($I$2:I297, $B$2:B297, B297)</f>
        <v>0.35833333333333334</v>
      </c>
      <c r="AJ297" s="86">
        <f>AVERAGEIFS($J$2:J297, $B$2:B297, B297)</f>
        <v>0.38333333333333336</v>
      </c>
      <c r="AK297" s="86">
        <f>AVERAGEIFS($D$2:D297, $B$2:B297, B297)</f>
        <v>0.16666666666666666</v>
      </c>
    </row>
    <row r="298" spans="1:37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0</v>
      </c>
      <c r="AD298">
        <v>1</v>
      </c>
      <c r="AE298">
        <v>0</v>
      </c>
      <c r="AF298">
        <v>0</v>
      </c>
      <c r="AG298">
        <v>0</v>
      </c>
      <c r="AH298" s="86">
        <f>AVERAGEIFS($C$2:C298, $B$2:B298, B298)</f>
        <v>17.666666666666668</v>
      </c>
      <c r="AI298" s="86">
        <f>AVERAGEIFS($I$2:I298, $B$2:B298, B298)</f>
        <v>0.44333333333333341</v>
      </c>
      <c r="AJ298" s="86">
        <f>AVERAGEIFS($J$2:J298, $B$2:B298, B298)</f>
        <v>0.46466666666666662</v>
      </c>
      <c r="AK298" s="86">
        <f>AVERAGEIFS($D$2:D298, $B$2:B298, B298)</f>
        <v>0.4</v>
      </c>
    </row>
    <row r="299" spans="1:37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0</v>
      </c>
      <c r="AD299">
        <v>1</v>
      </c>
      <c r="AE299">
        <v>0</v>
      </c>
      <c r="AF299">
        <v>0</v>
      </c>
      <c r="AG299">
        <v>0</v>
      </c>
      <c r="AH299" s="86">
        <f>AVERAGEIFS($C$2:C299, $B$2:B299, B299)</f>
        <v>11.842105263157896</v>
      </c>
      <c r="AI299" s="86">
        <f>AVERAGEIFS($I$2:I299, $B$2:B299, B299)</f>
        <v>0.44894736842105271</v>
      </c>
      <c r="AJ299" s="86">
        <f>AVERAGEIFS($J$2:J299, $B$2:B299, B299)</f>
        <v>0.49526315789473696</v>
      </c>
      <c r="AK299" s="86">
        <f>AVERAGEIFS($D$2:D299, $B$2:B299, B299)</f>
        <v>0.36842105263157893</v>
      </c>
    </row>
    <row r="300" spans="1:37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0</v>
      </c>
      <c r="AH300" s="86">
        <f>AVERAGEIFS($C$2:C300, $B$2:B300, B300)</f>
        <v>20.149999999999999</v>
      </c>
      <c r="AI300" s="86">
        <f>AVERAGEIFS($I$2:I300, $B$2:B300, B300)</f>
        <v>0.50150000000000006</v>
      </c>
      <c r="AJ300" s="86">
        <f>AVERAGEIFS($J$2:J300, $B$2:B300, B300)</f>
        <v>0.51349999999999985</v>
      </c>
      <c r="AK300" s="86">
        <f>AVERAGEIFS($D$2:D300, $B$2:B300, B300)</f>
        <v>0.5</v>
      </c>
    </row>
    <row r="301" spans="1:37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 s="86">
        <f>AVERAGEIFS($C$2:C301, $B$2:B301, B301)</f>
        <v>24.176470588235293</v>
      </c>
      <c r="AI301" s="86">
        <f>AVERAGEIFS($I$2:I301, $B$2:B301, B301)</f>
        <v>0.49882352941176472</v>
      </c>
      <c r="AJ301" s="86">
        <f>AVERAGEIFS($J$2:J301, $B$2:B301, B301)</f>
        <v>0.51999999999999991</v>
      </c>
      <c r="AK301" s="86">
        <f>AVERAGEIFS($D$2:D301, $B$2:B301, B301)</f>
        <v>0.47058823529411764</v>
      </c>
    </row>
    <row r="302" spans="1:37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 s="86">
        <f>AVERAGEIFS($C$2:C302, $B$2:B302, B302)</f>
        <v>29.111111111111111</v>
      </c>
      <c r="AI302" s="86">
        <f>AVERAGEIFS($I$2:I302, $B$2:B302, B302)</f>
        <v>0.38333333333333336</v>
      </c>
      <c r="AJ302" s="86">
        <f>AVERAGEIFS($J$2:J302, $B$2:B302, B302)</f>
        <v>0.45555555555555549</v>
      </c>
      <c r="AK302" s="86">
        <f>AVERAGEIFS($D$2:D302, $B$2:B302, B302)</f>
        <v>0.44444444444444442</v>
      </c>
    </row>
    <row r="303" spans="1:37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 s="86">
        <f>AVERAGEIFS($C$2:C303, $B$2:B303, B303)</f>
        <v>18.875</v>
      </c>
      <c r="AI303" s="86">
        <f>AVERAGEIFS($I$2:I303, $B$2:B303, B303)</f>
        <v>0.48749999999999999</v>
      </c>
      <c r="AJ303" s="86">
        <f>AVERAGEIFS($J$2:J303, $B$2:B303, B303)</f>
        <v>0.47375</v>
      </c>
      <c r="AK303" s="86">
        <f>AVERAGEIFS($D$2:D303, $B$2:B303, B303)</f>
        <v>0.375</v>
      </c>
    </row>
    <row r="304" spans="1:37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0</v>
      </c>
      <c r="AH304" s="86">
        <f>AVERAGEIFS($C$2:C304, $B$2:B304, B304)</f>
        <v>17.428571428571427</v>
      </c>
      <c r="AI304" s="86">
        <f>AVERAGEIFS($I$2:I304, $B$2:B304, B304)</f>
        <v>0.47857142857142859</v>
      </c>
      <c r="AJ304" s="86">
        <f>AVERAGEIFS($J$2:J304, $B$2:B304, B304)</f>
        <v>0.51142857142857145</v>
      </c>
      <c r="AK304" s="86">
        <f>AVERAGEIFS($D$2:D304, $B$2:B304, B304)</f>
        <v>0.5714285714285714</v>
      </c>
    </row>
    <row r="305" spans="1:37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0</v>
      </c>
      <c r="AH305" s="86">
        <f>AVERAGEIFS($C$2:C305, $B$2:B305, B305)</f>
        <v>14.2</v>
      </c>
      <c r="AI305" s="86">
        <f>AVERAGEIFS($I$2:I305, $B$2:B305, B305)</f>
        <v>0.48</v>
      </c>
      <c r="AJ305" s="86">
        <f>AVERAGEIFS($J$2:J305, $B$2:B305, B305)</f>
        <v>0.438</v>
      </c>
      <c r="AK305" s="86">
        <f>AVERAGEIFS($D$2:D305, $B$2:B305, B305)</f>
        <v>0.4</v>
      </c>
    </row>
    <row r="306" spans="1:37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 s="86">
        <f>AVERAGEIFS($C$2:C306, $B$2:B306, B306)</f>
        <v>23.19047619047619</v>
      </c>
      <c r="AI306" s="86">
        <f>AVERAGEIFS($I$2:I306, $B$2:B306, B306)</f>
        <v>0.64904761904761898</v>
      </c>
      <c r="AJ306" s="86">
        <f>AVERAGEIFS($J$2:J306, $B$2:B306, B306)</f>
        <v>0.5719047619047618</v>
      </c>
      <c r="AK306" s="86">
        <f>AVERAGEIFS($D$2:D306, $B$2:B306, B306)</f>
        <v>0.76190476190476186</v>
      </c>
    </row>
    <row r="307" spans="1:37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 s="86">
        <f>AVERAGEIFS($C$2:C307, $B$2:B307, B307)</f>
        <v>25.6</v>
      </c>
      <c r="AI307" s="86">
        <f>AVERAGEIFS($I$2:I307, $B$2:B307, B307)</f>
        <v>0.42000000000000004</v>
      </c>
      <c r="AJ307" s="86">
        <f>AVERAGEIFS($J$2:J307, $B$2:B307, B307)</f>
        <v>0.45999999999999996</v>
      </c>
      <c r="AK307" s="86">
        <f>AVERAGEIFS($D$2:D307, $B$2:B307, B307)</f>
        <v>0.3</v>
      </c>
    </row>
    <row r="308" spans="1:37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1</v>
      </c>
      <c r="AF308">
        <v>0</v>
      </c>
      <c r="AG308">
        <v>0</v>
      </c>
      <c r="AH308" s="86">
        <f>AVERAGEIFS($C$2:C308, $B$2:B308, B308)</f>
        <v>13.857142857142858</v>
      </c>
      <c r="AI308" s="86">
        <f>AVERAGEIFS($I$2:I308, $B$2:B308, B308)</f>
        <v>0.41428571428571426</v>
      </c>
      <c r="AJ308" s="86">
        <f>AVERAGEIFS($J$2:J308, $B$2:B308, B308)</f>
        <v>0.43000000000000005</v>
      </c>
      <c r="AK308" s="86">
        <f>AVERAGEIFS($D$2:D308, $B$2:B308, B308)</f>
        <v>0.2857142857142857</v>
      </c>
    </row>
    <row r="309" spans="1:37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 s="86">
        <f>AVERAGEIFS($C$2:C309, $B$2:B309, B309)</f>
        <v>17.6875</v>
      </c>
      <c r="AI309" s="86">
        <f>AVERAGEIFS($I$2:I309, $B$2:B309, B309)</f>
        <v>0.46250000000000008</v>
      </c>
      <c r="AJ309" s="86">
        <f>AVERAGEIFS($J$2:J309, $B$2:B309, B309)</f>
        <v>0.47999999999999993</v>
      </c>
      <c r="AK309" s="86">
        <f>AVERAGEIFS($D$2:D309, $B$2:B309, B309)</f>
        <v>0.4375</v>
      </c>
    </row>
    <row r="310" spans="1:37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1</v>
      </c>
      <c r="AF310">
        <v>0</v>
      </c>
      <c r="AG310">
        <v>0</v>
      </c>
      <c r="AH310" s="86">
        <f>AVERAGEIFS($C$2:C310, $B$2:B310, B310)</f>
        <v>17.100000000000001</v>
      </c>
      <c r="AI310" s="86">
        <f>AVERAGEIFS($I$2:I310, $B$2:B310, B310)</f>
        <v>0.495</v>
      </c>
      <c r="AJ310" s="86">
        <f>AVERAGEIFS($J$2:J310, $B$2:B310, B310)</f>
        <v>0.49299999999999999</v>
      </c>
      <c r="AK310" s="86">
        <f>AVERAGEIFS($D$2:D310, $B$2:B310, B310)</f>
        <v>0.6</v>
      </c>
    </row>
    <row r="311" spans="1:37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1</v>
      </c>
      <c r="AF311">
        <v>0</v>
      </c>
      <c r="AG311">
        <v>0</v>
      </c>
      <c r="AH311" s="86">
        <f>AVERAGEIFS($C$2:C311, $B$2:B311, B311)</f>
        <v>17</v>
      </c>
      <c r="AI311" s="86">
        <f>AVERAGEIFS($I$2:I311, $B$2:B311, B311)</f>
        <v>0.4936363636363636</v>
      </c>
      <c r="AJ311" s="86">
        <f>AVERAGEIFS($J$2:J311, $B$2:B311, B311)</f>
        <v>0.52363636363636357</v>
      </c>
      <c r="AK311" s="86">
        <f>AVERAGEIFS($D$2:D311, $B$2:B311, B311)</f>
        <v>0.45454545454545453</v>
      </c>
    </row>
    <row r="312" spans="1:37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17.875</v>
      </c>
      <c r="AI312" s="86">
        <f>AVERAGEIFS($I$2:I312, $B$2:B312, B312)</f>
        <v>0.54374999999999996</v>
      </c>
      <c r="AJ312" s="86">
        <f>AVERAGEIFS($J$2:J312, $B$2:B312, B312)</f>
        <v>0.56000000000000005</v>
      </c>
      <c r="AK312" s="86">
        <f>AVERAGEIFS($D$2:D312, $B$2:B312, B312)</f>
        <v>0.625</v>
      </c>
    </row>
    <row r="313" spans="1:37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23</v>
      </c>
      <c r="AI313" s="86">
        <f>AVERAGEIFS($I$2:I313, $B$2:B313, B313)</f>
        <v>0.66499999999999992</v>
      </c>
      <c r="AJ313" s="86">
        <f>AVERAGEIFS($J$2:J313, $B$2:B313, B313)</f>
        <v>0.58681818181818179</v>
      </c>
      <c r="AK313" s="86">
        <f>AVERAGEIFS($D$2:D313, $B$2:B313, B313)</f>
        <v>0.77272727272727271</v>
      </c>
    </row>
    <row r="314" spans="1:37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16.90909090909091</v>
      </c>
      <c r="AI314" s="86">
        <f>AVERAGEIFS($I$2:I314, $B$2:B314, B314)</f>
        <v>0.48818181818181822</v>
      </c>
      <c r="AJ314" s="86">
        <f>AVERAGEIFS($J$2:J314, $B$2:B314, B314)</f>
        <v>0.50636363636363635</v>
      </c>
      <c r="AK314" s="86">
        <f>AVERAGEIFS($D$2:D314, $B$2:B314, B314)</f>
        <v>0.54545454545454541</v>
      </c>
    </row>
    <row r="315" spans="1:37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8.5</v>
      </c>
      <c r="AI315" s="86">
        <f>AVERAGEIFS($I$2:I315, $B$2:B315, B315)</f>
        <v>0.6875</v>
      </c>
      <c r="AJ315" s="86">
        <f>AVERAGEIFS($J$2:J315, $B$2:B315, B315)</f>
        <v>0.68</v>
      </c>
      <c r="AK315" s="86">
        <f>AVERAGEIFS($D$2:D315, $B$2:B315, B315)</f>
        <v>0.75</v>
      </c>
    </row>
    <row r="316" spans="1:37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19.666666666666668</v>
      </c>
      <c r="AI316" s="86">
        <f>AVERAGEIFS($I$2:I316, $B$2:B316, B316)</f>
        <v>0.52523809523809528</v>
      </c>
      <c r="AJ316" s="86">
        <f>AVERAGEIFS($J$2:J316, $B$2:B316, B316)</f>
        <v>0.53190476190476177</v>
      </c>
      <c r="AK316" s="86">
        <f>AVERAGEIFS($D$2:D316, $B$2:B316, B316)</f>
        <v>0.52380952380952384</v>
      </c>
    </row>
    <row r="317" spans="1:37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17.888888888888889</v>
      </c>
      <c r="AI317" s="86">
        <f>AVERAGEIFS($I$2:I317, $B$2:B317, B317)</f>
        <v>0.54444444444444451</v>
      </c>
      <c r="AJ317" s="86">
        <f>AVERAGEIFS($J$2:J317, $B$2:B317, B317)</f>
        <v>0.52111111111111119</v>
      </c>
      <c r="AK317" s="86">
        <f>AVERAGEIFS($D$2:D317, $B$2:B317, B317)</f>
        <v>0.44444444444444442</v>
      </c>
    </row>
    <row r="318" spans="1:37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8.5</v>
      </c>
      <c r="AI318" s="86">
        <f>AVERAGEIFS($I$2:I318, $B$2:B318, B318)</f>
        <v>0.6</v>
      </c>
      <c r="AJ318" s="86">
        <f>AVERAGEIFS($J$2:J318, $B$2:B318, B318)</f>
        <v>0.54749999999999999</v>
      </c>
      <c r="AK318" s="86">
        <f>AVERAGEIFS($D$2:D318, $B$2:B318, B318)</f>
        <v>0.5</v>
      </c>
    </row>
    <row r="319" spans="1:37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21.055555555555557</v>
      </c>
      <c r="AI319" s="86">
        <f>AVERAGEIFS($I$2:I319, $B$2:B319, B319)</f>
        <v>0.45944444444444443</v>
      </c>
      <c r="AJ319" s="86">
        <f>AVERAGEIFS($J$2:J319, $B$2:B319, B319)</f>
        <v>0.46111111111111114</v>
      </c>
      <c r="AK319" s="86">
        <f>AVERAGEIFS($D$2:D319, $B$2:B319, B319)</f>
        <v>0.3888888888888889</v>
      </c>
    </row>
    <row r="320" spans="1:37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 s="86">
        <f>AVERAGEIFS($C$2:C320, $B$2:B320, B320)</f>
        <v>27.5</v>
      </c>
      <c r="AI320" s="86">
        <f>AVERAGEIFS($I$2:I320, $B$2:B320, B320)</f>
        <v>0.34500000000000003</v>
      </c>
      <c r="AJ320" s="86">
        <f>AVERAGEIFS($J$2:J320, $B$2:B320, B320)</f>
        <v>0.41999999999999993</v>
      </c>
      <c r="AK320" s="86">
        <f>AVERAGEIFS($D$2:D320, $B$2:B320, B320)</f>
        <v>0.4</v>
      </c>
    </row>
    <row r="321" spans="1:37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 s="86">
        <f>AVERAGEIFS($C$2:C321, $B$2:B321, B321)</f>
        <v>16.416666666666668</v>
      </c>
      <c r="AI321" s="86">
        <f>AVERAGEIFS($I$2:I321, $B$2:B321, B321)</f>
        <v>0.45249999999999996</v>
      </c>
      <c r="AJ321" s="86">
        <f>AVERAGEIFS($J$2:J321, $B$2:B321, B321)</f>
        <v>0.48833333333333323</v>
      </c>
      <c r="AK321" s="86">
        <f>AVERAGEIFS($D$2:D321, $B$2:B321, B321)</f>
        <v>0.41666666666666669</v>
      </c>
    </row>
    <row r="322" spans="1:37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 s="86">
        <f>AVERAGEIFS($C$2:C322, $B$2:B322, B322)</f>
        <v>17.176470588235293</v>
      </c>
      <c r="AI322" s="86">
        <f>AVERAGEIFS($I$2:I322, $B$2:B322, B322)</f>
        <v>0.43529411764705889</v>
      </c>
      <c r="AJ322" s="86">
        <f>AVERAGEIFS($J$2:J322, $B$2:B322, B322)</f>
        <v>0.4576470588235293</v>
      </c>
      <c r="AK322" s="86">
        <f>AVERAGEIFS($D$2:D322, $B$2:B322, B322)</f>
        <v>0.41176470588235292</v>
      </c>
    </row>
    <row r="323" spans="1:37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 s="86">
        <f>AVERAGEIFS($C$2:C323, $B$2:B323, B323)</f>
        <v>11.65</v>
      </c>
      <c r="AI323" s="86">
        <f>AVERAGEIFS($I$2:I323, $B$2:B323, B323)</f>
        <v>0.42650000000000005</v>
      </c>
      <c r="AJ323" s="86">
        <f>AVERAGEIFS($J$2:J323, $B$2:B323, B323)</f>
        <v>0.47550000000000009</v>
      </c>
      <c r="AK323" s="86">
        <f>AVERAGEIFS($D$2:D323, $B$2:B323, B323)</f>
        <v>0.35</v>
      </c>
    </row>
    <row r="324" spans="1:37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 s="86">
        <f>AVERAGEIFS($C$2:C324, $B$2:B324, B324)</f>
        <v>16.09090909090909</v>
      </c>
      <c r="AI324" s="86">
        <f>AVERAGEIFS($I$2:I324, $B$2:B324, B324)</f>
        <v>0.45</v>
      </c>
      <c r="AJ324" s="86">
        <f>AVERAGEIFS($J$2:J324, $B$2:B324, B324)</f>
        <v>0.45727272727272722</v>
      </c>
      <c r="AK324" s="86">
        <f>AVERAGEIFS($D$2:D324, $B$2:B324, B324)</f>
        <v>0.54545454545454541</v>
      </c>
    </row>
    <row r="325" spans="1:37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 s="86">
        <f>AVERAGEIFS($C$2:C325, $B$2:B325, B325)</f>
        <v>4</v>
      </c>
      <c r="AI325" s="86">
        <f>AVERAGEIFS($I$2:I325, $B$2:B325, B325)</f>
        <v>0</v>
      </c>
      <c r="AJ325" s="86">
        <f>AVERAGEIFS($J$2:J325, $B$2:B325, B325)</f>
        <v>0.1</v>
      </c>
      <c r="AK325" s="86">
        <f>AVERAGEIFS($D$2:D325, $B$2:B325, B325)</f>
        <v>0</v>
      </c>
    </row>
    <row r="326" spans="1:37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 s="86">
        <f>AVERAGEIFS($C$2:C326, $B$2:B326, B326)</f>
        <v>22.913043478260871</v>
      </c>
      <c r="AI326" s="86">
        <f>AVERAGEIFS($I$2:I326, $B$2:B326, B326)</f>
        <v>0.66869565217391302</v>
      </c>
      <c r="AJ326" s="86">
        <f>AVERAGEIFS($J$2:J326, $B$2:B326, B326)</f>
        <v>0.58739130434782605</v>
      </c>
      <c r="AK326" s="86">
        <f>AVERAGEIFS($D$2:D326, $B$2:B326, B326)</f>
        <v>0.78260869565217395</v>
      </c>
    </row>
    <row r="327" spans="1:37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1</v>
      </c>
      <c r="AF327">
        <v>0</v>
      </c>
      <c r="AG327">
        <v>0</v>
      </c>
      <c r="AH327" s="86">
        <f>AVERAGEIFS($C$2:C327, $B$2:B327, B327)</f>
        <v>19.681818181818183</v>
      </c>
      <c r="AI327" s="86">
        <f>AVERAGEIFS($I$2:I327, $B$2:B327, B327)</f>
        <v>0.53545454545454552</v>
      </c>
      <c r="AJ327" s="86">
        <f>AVERAGEIFS($J$2:J327, $B$2:B327, B327)</f>
        <v>0.53499999999999992</v>
      </c>
      <c r="AK327" s="86">
        <f>AVERAGEIFS($D$2:D327, $B$2:B327, B327)</f>
        <v>0.54545454545454541</v>
      </c>
    </row>
    <row r="328" spans="1:37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 s="86">
        <f>AVERAGEIFS($C$2:C328, $B$2:B328, B328)</f>
        <v>17.277777777777779</v>
      </c>
      <c r="AI328" s="86">
        <f>AVERAGEIFS($I$2:I328, $B$2:B328, B328)</f>
        <v>0.45277777777777789</v>
      </c>
      <c r="AJ328" s="86">
        <f>AVERAGEIFS($J$2:J328, $B$2:B328, B328)</f>
        <v>0.4655555555555555</v>
      </c>
      <c r="AK328" s="86">
        <f>AVERAGEIFS($D$2:D328, $B$2:B328, B328)</f>
        <v>0.44444444444444442</v>
      </c>
    </row>
    <row r="329" spans="1:37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1</v>
      </c>
      <c r="AF329">
        <v>0</v>
      </c>
      <c r="AG329">
        <v>0</v>
      </c>
      <c r="AH329" s="86">
        <f>AVERAGEIFS($C$2:C329, $B$2:B329, B329)</f>
        <v>12.6</v>
      </c>
      <c r="AI329" s="86">
        <f>AVERAGEIFS($I$2:I329, $B$2:B329, B329)</f>
        <v>0.71000000000000008</v>
      </c>
      <c r="AJ329" s="86">
        <f>AVERAGEIFS($J$2:J329, $B$2:B329, B329)</f>
        <v>0.57999999999999996</v>
      </c>
      <c r="AK329" s="86">
        <f>AVERAGEIFS($D$2:D329, $B$2:B329, B329)</f>
        <v>1</v>
      </c>
    </row>
    <row r="330" spans="1:37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 s="86">
        <f>AVERAGEIFS($C$2:C330, $B$2:B330, B330)</f>
        <v>16.142857142857142</v>
      </c>
      <c r="AI330" s="86">
        <f>AVERAGEIFS($I$2:I330, $B$2:B330, B330)</f>
        <v>0.57857142857142851</v>
      </c>
      <c r="AJ330" s="86">
        <f>AVERAGEIFS($J$2:J330, $B$2:B330, B330)</f>
        <v>0.53142857142857136</v>
      </c>
      <c r="AK330" s="86">
        <f>AVERAGEIFS($D$2:D330, $B$2:B330, B330)</f>
        <v>0.5714285714285714</v>
      </c>
    </row>
    <row r="331" spans="1:37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 s="86">
        <f>AVERAGEIFS($C$2:C331, $B$2:B331, B331)</f>
        <v>17.8</v>
      </c>
      <c r="AI331" s="86">
        <f>AVERAGEIFS($I$2:I331, $B$2:B331, B331)</f>
        <v>0.56500000000000006</v>
      </c>
      <c r="AJ331" s="86">
        <f>AVERAGEIFS($J$2:J331, $B$2:B331, B331)</f>
        <v>0.52900000000000003</v>
      </c>
      <c r="AK331" s="86">
        <f>AVERAGEIFS($D$2:D331, $B$2:B331, B331)</f>
        <v>0.5</v>
      </c>
    </row>
    <row r="332" spans="1:37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25.727272727272727</v>
      </c>
      <c r="AI332" s="86">
        <f>AVERAGEIFS($I$2:I332, $B$2:B332, B332)</f>
        <v>0.40454545454545454</v>
      </c>
      <c r="AJ332" s="86">
        <f>AVERAGEIFS($J$2:J332, $B$2:B332, B332)</f>
        <v>0.45454545454545453</v>
      </c>
      <c r="AK332" s="86">
        <f>AVERAGEIFS($D$2:D332, $B$2:B332, B332)</f>
        <v>0.27272727272727271</v>
      </c>
    </row>
    <row r="333" spans="1:37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18.333333333333332</v>
      </c>
      <c r="AI333" s="86">
        <f>AVERAGEIFS($I$2:I333, $B$2:B333, B333)</f>
        <v>0.6166666666666667</v>
      </c>
      <c r="AJ333" s="86">
        <f>AVERAGEIFS($J$2:J333, $B$2:B333, B333)</f>
        <v>0.53666666666666663</v>
      </c>
      <c r="AK333" s="86">
        <f>AVERAGEIFS($D$2:D333, $B$2:B333, B333)</f>
        <v>0.66666666666666663</v>
      </c>
    </row>
    <row r="334" spans="1:37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16.46153846153846</v>
      </c>
      <c r="AI334" s="86">
        <f>AVERAGEIFS($I$2:I334, $B$2:B334, B334)</f>
        <v>0.43692307692307691</v>
      </c>
      <c r="AJ334" s="86">
        <f>AVERAGEIFS($J$2:J334, $B$2:B334, B334)</f>
        <v>0.48153846153846147</v>
      </c>
      <c r="AK334" s="86">
        <f>AVERAGEIFS($D$2:D334, $B$2:B334, B334)</f>
        <v>0.38461538461538464</v>
      </c>
    </row>
    <row r="335" spans="1:37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16.083333333333332</v>
      </c>
      <c r="AI335" s="86">
        <f>AVERAGEIFS($I$2:I335, $B$2:B335, B335)</f>
        <v>0.43333333333333335</v>
      </c>
      <c r="AJ335" s="86">
        <f>AVERAGEIFS($J$2:J335, $B$2:B335, B335)</f>
        <v>0.45249999999999996</v>
      </c>
      <c r="AK335" s="86">
        <f>AVERAGEIFS($D$2:D335, $B$2:B335, B335)</f>
        <v>0.5</v>
      </c>
    </row>
    <row r="336" spans="1:37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16.666666666666668</v>
      </c>
      <c r="AI336" s="86">
        <f>AVERAGEIFS($I$2:I336, $B$2:B336, B336)</f>
        <v>0.46833333333333332</v>
      </c>
      <c r="AJ336" s="86">
        <f>AVERAGEIFS($J$2:J336, $B$2:B336, B336)</f>
        <v>0.49750000000000005</v>
      </c>
      <c r="AK336" s="86">
        <f>AVERAGEIFS($D$2:D336, $B$2:B336, B336)</f>
        <v>0.5</v>
      </c>
    </row>
    <row r="337" spans="1:37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13</v>
      </c>
      <c r="AI337" s="86">
        <f>AVERAGEIFS($I$2:I337, $B$2:B337, B337)</f>
        <v>0.35833333333333334</v>
      </c>
      <c r="AJ337" s="86">
        <f>AVERAGEIFS($J$2:J337, $B$2:B337, B337)</f>
        <v>0.42499999999999999</v>
      </c>
      <c r="AK337" s="86">
        <f>AVERAGEIFS($D$2:D337, $B$2:B337, B337)</f>
        <v>0.16666666666666666</v>
      </c>
    </row>
    <row r="338" spans="1:37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1</v>
      </c>
      <c r="AF338">
        <v>1</v>
      </c>
      <c r="AG338">
        <v>0</v>
      </c>
      <c r="AH338" s="86">
        <f>AVERAGEIFS($C$2:C338, $B$2:B338, B338)</f>
        <v>29.545454545454547</v>
      </c>
      <c r="AI338" s="86">
        <f>AVERAGEIFS($I$2:I338, $B$2:B338, B338)</f>
        <v>0.38181818181818183</v>
      </c>
      <c r="AJ338" s="86">
        <f>AVERAGEIFS($J$2:J338, $B$2:B338, B338)</f>
        <v>0.43454545454545451</v>
      </c>
      <c r="AK338" s="86">
        <f>AVERAGEIFS($D$2:D338, $B$2:B338, B338)</f>
        <v>0.45454545454545453</v>
      </c>
    </row>
    <row r="339" spans="1:37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1</v>
      </c>
      <c r="AF339">
        <v>1</v>
      </c>
      <c r="AG339">
        <v>0</v>
      </c>
      <c r="AH339" s="86">
        <f>AVERAGEIFS($C$2:C339, $B$2:B339, B339)</f>
        <v>24.869565217391305</v>
      </c>
      <c r="AI339" s="86">
        <f>AVERAGEIFS($I$2:I339, $B$2:B339, B339)</f>
        <v>0.4986956521739131</v>
      </c>
      <c r="AJ339" s="86">
        <f>AVERAGEIFS($J$2:J339, $B$2:B339, B339)</f>
        <v>0.47739130434782612</v>
      </c>
      <c r="AK339" s="86">
        <f>AVERAGEIFS($D$2:D339, $B$2:B339, B339)</f>
        <v>0.47826086956521741</v>
      </c>
    </row>
    <row r="340" spans="1:37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1</v>
      </c>
      <c r="AG340">
        <v>0</v>
      </c>
      <c r="AH340" s="86">
        <f>AVERAGEIFS($C$2:C340, $B$2:B340, B340)</f>
        <v>12.333333333333334</v>
      </c>
      <c r="AI340" s="86">
        <f>AVERAGEIFS($I$2:I340, $B$2:B340, B340)</f>
        <v>0.53333333333333333</v>
      </c>
      <c r="AJ340" s="86">
        <f>AVERAGEIFS($J$2:J340, $B$2:B340, B340)</f>
        <v>0.47333333333333333</v>
      </c>
      <c r="AK340" s="86">
        <f>AVERAGEIFS($D$2:D340, $B$2:B340, B340)</f>
        <v>0.66666666666666663</v>
      </c>
    </row>
    <row r="341" spans="1:37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1</v>
      </c>
      <c r="AG341">
        <v>0</v>
      </c>
      <c r="AH341" s="86">
        <f>AVERAGEIFS($C$2:C341, $B$2:B341, B341)</f>
        <v>19.857142857142858</v>
      </c>
      <c r="AI341" s="86">
        <f>AVERAGEIFS($I$2:I341, $B$2:B341, B341)</f>
        <v>0.49285714285714283</v>
      </c>
      <c r="AJ341" s="86">
        <f>AVERAGEIFS($J$2:J341, $B$2:B341, B341)</f>
        <v>0.49857142857142855</v>
      </c>
      <c r="AK341" s="86">
        <f>AVERAGEIFS($D$2:D341, $B$2:B341, B341)</f>
        <v>0.42857142857142855</v>
      </c>
    </row>
    <row r="342" spans="1:37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1</v>
      </c>
      <c r="AF342">
        <v>1</v>
      </c>
      <c r="AG342">
        <v>0</v>
      </c>
      <c r="AH342" s="86">
        <f>AVERAGEIFS($C$2:C342, $B$2:B342, B342)</f>
        <v>19.608695652173914</v>
      </c>
      <c r="AI342" s="86">
        <f>AVERAGEIFS($I$2:I342, $B$2:B342, B342)</f>
        <v>0.5447826086956522</v>
      </c>
      <c r="AJ342" s="86">
        <f>AVERAGEIFS($J$2:J342, $B$2:B342, B342)</f>
        <v>0.53695652173913033</v>
      </c>
      <c r="AK342" s="86">
        <f>AVERAGEIFS($D$2:D342, $B$2:B342, B342)</f>
        <v>0.56521739130434778</v>
      </c>
    </row>
    <row r="343" spans="1:37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1</v>
      </c>
      <c r="AF343">
        <v>1</v>
      </c>
      <c r="AG343">
        <v>0</v>
      </c>
      <c r="AH343" s="86">
        <f>AVERAGEIFS($C$2:C343, $B$2:B343, B343)</f>
        <v>17.555555555555557</v>
      </c>
      <c r="AI343" s="86">
        <f>AVERAGEIFS($I$2:I343, $B$2:B343, B343)</f>
        <v>0.56666666666666665</v>
      </c>
      <c r="AJ343" s="86">
        <f>AVERAGEIFS($J$2:J343, $B$2:B343, B343)</f>
        <v>0.56222222222222229</v>
      </c>
      <c r="AK343" s="86">
        <f>AVERAGEIFS($D$2:D343, $B$2:B343, B343)</f>
        <v>0.66666666666666663</v>
      </c>
    </row>
    <row r="344" spans="1:37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24.388888888888889</v>
      </c>
      <c r="AI344" s="86">
        <f>AVERAGEIFS($I$2:I344, $B$2:B344, B344)</f>
        <v>0.48500000000000004</v>
      </c>
      <c r="AJ344" s="86">
        <f>AVERAGEIFS($J$2:J344, $B$2:B344, B344)</f>
        <v>0.51444444444444437</v>
      </c>
      <c r="AK344" s="86">
        <f>AVERAGEIFS($D$2:D344, $B$2:B344, B344)</f>
        <v>0.44444444444444442</v>
      </c>
    </row>
    <row r="345" spans="1:37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17.684210526315791</v>
      </c>
      <c r="AI345" s="86">
        <f>AVERAGEIFS($I$2:I345, $B$2:B345, B345)</f>
        <v>0.44210526315789483</v>
      </c>
      <c r="AJ345" s="86">
        <f>AVERAGEIFS($J$2:J345, $B$2:B345, B345)</f>
        <v>0.46315789473684205</v>
      </c>
      <c r="AK345" s="86">
        <f>AVERAGEIFS($D$2:D345, $B$2:B345, B345)</f>
        <v>0.42105263157894735</v>
      </c>
    </row>
    <row r="346" spans="1:37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22.875</v>
      </c>
      <c r="AI346" s="86">
        <f>AVERAGEIFS($I$2:I346, $B$2:B346, B346)</f>
        <v>0.65125</v>
      </c>
      <c r="AJ346" s="86">
        <f>AVERAGEIFS($J$2:J346, $B$2:B346, B346)</f>
        <v>0.58041666666666658</v>
      </c>
      <c r="AK346" s="86">
        <f>AVERAGEIFS($D$2:D346, $B$2:B346, B346)</f>
        <v>0.75</v>
      </c>
    </row>
    <row r="347" spans="1:37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 s="86">
        <f>AVERAGEIFS($C$2:C347, $B$2:B347, B347)</f>
        <v>16.46153846153846</v>
      </c>
      <c r="AI347" s="86">
        <f>AVERAGEIFS($I$2:I347, $B$2:B347, B347)</f>
        <v>0.41923076923076924</v>
      </c>
      <c r="AJ347" s="86">
        <f>AVERAGEIFS($J$2:J347, $B$2:B347, B347)</f>
        <v>0.44999999999999996</v>
      </c>
      <c r="AK347" s="86">
        <f>AVERAGEIFS($D$2:D347, $B$2:B347, B347)</f>
        <v>0.46153846153846156</v>
      </c>
    </row>
    <row r="348" spans="1:37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 s="86">
        <f>AVERAGEIFS($C$2:C348, $B$2:B348, B348)</f>
        <v>16.428571428571427</v>
      </c>
      <c r="AI348" s="86">
        <f>AVERAGEIFS($I$2:I348, $B$2:B348, B348)</f>
        <v>0.42357142857142854</v>
      </c>
      <c r="AJ348" s="86">
        <f>AVERAGEIFS($J$2:J348, $B$2:B348, B348)</f>
        <v>0.47714285714285704</v>
      </c>
      <c r="AK348" s="86">
        <f>AVERAGEIFS($D$2:D348, $B$2:B348, B348)</f>
        <v>0.35714285714285715</v>
      </c>
    </row>
    <row r="349" spans="1:37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 s="86">
        <f>AVERAGEIFS($C$2:C349, $B$2:B349, B349)</f>
        <v>13.5</v>
      </c>
      <c r="AI349" s="86">
        <f>AVERAGEIFS($I$2:I349, $B$2:B349, B349)</f>
        <v>0.39374999999999999</v>
      </c>
      <c r="AJ349" s="86">
        <f>AVERAGEIFS($J$2:J349, $B$2:B349, B349)</f>
        <v>0.42875000000000002</v>
      </c>
      <c r="AK349" s="86">
        <f>AVERAGEIFS($D$2:D349, $B$2:B349, B349)</f>
        <v>0.25</v>
      </c>
    </row>
    <row r="350" spans="1:37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1</v>
      </c>
      <c r="AH350" s="86">
        <f>AVERAGEIFS($C$2:C350, $B$2:B350, B350)</f>
        <v>23</v>
      </c>
      <c r="AI350" s="86">
        <f>AVERAGEIFS($I$2:I350, $B$2:B350, B350)</f>
        <v>0.6552</v>
      </c>
      <c r="AJ350" s="86">
        <f>AVERAGEIFS($J$2:J350, $B$2:B350, B350)</f>
        <v>0.58639999999999992</v>
      </c>
      <c r="AK350" s="86">
        <f>AVERAGEIFS($D$2:D350, $B$2:B350, B350)</f>
        <v>0.76</v>
      </c>
    </row>
    <row r="351" spans="1:37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1</v>
      </c>
      <c r="AH351" s="86">
        <f>AVERAGEIFS($C$2:C351, $B$2:B351, B351)</f>
        <v>17.850000000000001</v>
      </c>
      <c r="AI351" s="86">
        <f>AVERAGEIFS($I$2:I351, $B$2:B351, B351)</f>
        <v>0.45750000000000013</v>
      </c>
      <c r="AJ351" s="86">
        <f>AVERAGEIFS($J$2:J351, $B$2:B351, B351)</f>
        <v>0.47649999999999998</v>
      </c>
      <c r="AK351" s="86">
        <f>AVERAGEIFS($D$2:D351, $B$2:B351, B351)</f>
        <v>0.45</v>
      </c>
    </row>
    <row r="352" spans="1:37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1</v>
      </c>
      <c r="AH352" s="86">
        <f>AVERAGEIFS($C$2:C352, $B$2:B352, B352)</f>
        <v>20.625</v>
      </c>
      <c r="AI352" s="86">
        <f>AVERAGEIFS($I$2:I352, $B$2:B352, B352)</f>
        <v>0.59624999999999995</v>
      </c>
      <c r="AJ352" s="86">
        <f>AVERAGEIFS($J$2:J352, $B$2:B352, B352)</f>
        <v>0.54250000000000009</v>
      </c>
      <c r="AK352" s="86">
        <f>AVERAGEIFS($D$2:D352, $B$2:B352, B352)</f>
        <v>0.75</v>
      </c>
    </row>
    <row r="353" spans="1:37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 s="86">
        <f>AVERAGEIFS($C$2:C353, $B$2:B353, B353)</f>
        <v>17.5</v>
      </c>
      <c r="AI353" s="86">
        <f>AVERAGEIFS($I$2:I353, $B$2:B353, B353)</f>
        <v>0.58499999999999996</v>
      </c>
      <c r="AJ353" s="86">
        <f>AVERAGEIFS($J$2:J353, $B$2:B353, B353)</f>
        <v>0.57900000000000007</v>
      </c>
      <c r="AK353" s="86">
        <f>AVERAGEIFS($D$2:D353, $B$2:B353, B353)</f>
        <v>0.7</v>
      </c>
    </row>
    <row r="354" spans="1:37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1</v>
      </c>
      <c r="AH354" s="86">
        <f>AVERAGEIFS($C$2:C354, $B$2:B354, B354)</f>
        <v>12.571428571428571</v>
      </c>
      <c r="AI354" s="86">
        <f>AVERAGEIFS($I$2:I354, $B$2:B354, B354)</f>
        <v>0.41428571428571426</v>
      </c>
      <c r="AJ354" s="86">
        <f>AVERAGEIFS($J$2:J354, $B$2:B354, B354)</f>
        <v>0.46857142857142853</v>
      </c>
      <c r="AK354" s="86">
        <f>AVERAGEIFS($D$2:D354, $B$2:B354, B354)</f>
        <v>0.2857142857142857</v>
      </c>
    </row>
    <row r="355" spans="1:37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16.642857142857142</v>
      </c>
      <c r="AI355" s="86">
        <f>AVERAGEIFS($I$2:I355, $B$2:B355, B355)</f>
        <v>0.40714285714285714</v>
      </c>
      <c r="AJ355" s="86">
        <f>AVERAGEIFS($J$2:J355, $B$2:B355, B355)</f>
        <v>0.43714285714285711</v>
      </c>
      <c r="AK355" s="86">
        <f>AVERAGEIFS($D$2:D355, $B$2:B355, B355)</f>
        <v>0.42857142857142855</v>
      </c>
    </row>
    <row r="356" spans="1:37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19.8</v>
      </c>
      <c r="AI356" s="86">
        <f>AVERAGEIFS($I$2:I356, $B$2:B356, B356)</f>
        <v>0.47666666666666663</v>
      </c>
      <c r="AJ356" s="86">
        <f>AVERAGEIFS($J$2:J356, $B$2:B356, B356)</f>
        <v>0.48333333333333334</v>
      </c>
      <c r="AK356" s="86">
        <f>AVERAGEIFS($D$2:D356, $B$2:B356, B356)</f>
        <v>0.4</v>
      </c>
    </row>
    <row r="357" spans="1:37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24.416666666666668</v>
      </c>
      <c r="AI357" s="86">
        <f>AVERAGEIFS($I$2:I357, $B$2:B357, B357)</f>
        <v>0.48833333333333334</v>
      </c>
      <c r="AJ357" s="86">
        <f>AVERAGEIFS($J$2:J357, $B$2:B357, B357)</f>
        <v>0.46875</v>
      </c>
      <c r="AK357" s="86">
        <f>AVERAGEIFS($D$2:D357, $B$2:B357, B357)</f>
        <v>0.45833333333333331</v>
      </c>
    </row>
    <row r="358" spans="1:37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11.571428571428571</v>
      </c>
      <c r="AI358" s="86">
        <f>AVERAGEIFS($I$2:I358, $B$2:B358, B358)</f>
        <v>0.41809523809523813</v>
      </c>
      <c r="AJ358" s="86">
        <f>AVERAGEIFS($J$2:J358, $B$2:B358, B358)</f>
        <v>0.46571428571428575</v>
      </c>
      <c r="AK358" s="86">
        <f>AVERAGEIFS($D$2:D358, $B$2:B358, B358)</f>
        <v>0.33333333333333331</v>
      </c>
    </row>
    <row r="359" spans="1:37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8.5</v>
      </c>
      <c r="AI359" s="86">
        <f>AVERAGEIFS($I$2:I359, $B$2:B359, B359)</f>
        <v>0.32500000000000001</v>
      </c>
      <c r="AJ359" s="86">
        <f>AVERAGEIFS($J$2:J359, $B$2:B359, B359)</f>
        <v>0.38500000000000001</v>
      </c>
      <c r="AK359" s="86">
        <f>AVERAGEIFS($D$2:D359, $B$2:B359, B359)</f>
        <v>0</v>
      </c>
    </row>
    <row r="360" spans="1:37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 s="86">
        <f>AVERAGEIFS($C$2:C360, $B$2:B360, B360)</f>
        <v>24.84</v>
      </c>
      <c r="AI360" s="86">
        <f>AVERAGEIFS($I$2:I360, $B$2:B360, B360)</f>
        <v>0.49880000000000002</v>
      </c>
      <c r="AJ360" s="86">
        <f>AVERAGEIFS($J$2:J360, $B$2:B360, B360)</f>
        <v>0.47360000000000002</v>
      </c>
      <c r="AK360" s="86">
        <f>AVERAGEIFS($D$2:D360, $B$2:B360, B360)</f>
        <v>0.48</v>
      </c>
    </row>
    <row r="361" spans="1:37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1</v>
      </c>
      <c r="AF361">
        <v>0</v>
      </c>
      <c r="AG361">
        <v>0</v>
      </c>
      <c r="AH361" s="86">
        <f>AVERAGEIFS($C$2:C361, $B$2:B361, B361)</f>
        <v>18.363636363636363</v>
      </c>
      <c r="AI361" s="86">
        <f>AVERAGEIFS($I$2:I361, $B$2:B361, B361)</f>
        <v>0.6</v>
      </c>
      <c r="AJ361" s="86">
        <f>AVERAGEIFS($J$2:J361, $B$2:B361, B361)</f>
        <v>0.58000000000000007</v>
      </c>
      <c r="AK361" s="86">
        <f>AVERAGEIFS($D$2:D361, $B$2:B361, B361)</f>
        <v>0.72727272727272729</v>
      </c>
    </row>
    <row r="362" spans="1:37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1</v>
      </c>
      <c r="AF362">
        <v>0</v>
      </c>
      <c r="AG362">
        <v>0</v>
      </c>
      <c r="AH362" s="86">
        <f>AVERAGEIFS($C$2:C362, $B$2:B362, B362)</f>
        <v>23.115384615384617</v>
      </c>
      <c r="AI362" s="86">
        <f>AVERAGEIFS($I$2:I362, $B$2:B362, B362)</f>
        <v>0.65884615384615386</v>
      </c>
      <c r="AJ362" s="86">
        <f>AVERAGEIFS($J$2:J362, $B$2:B362, B362)</f>
        <v>0.58653846153846145</v>
      </c>
      <c r="AK362" s="86">
        <f>AVERAGEIFS($D$2:D362, $B$2:B362, B362)</f>
        <v>0.76923076923076927</v>
      </c>
    </row>
    <row r="363" spans="1:37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1</v>
      </c>
      <c r="AF363">
        <v>0</v>
      </c>
      <c r="AG363">
        <v>0</v>
      </c>
      <c r="AH363" s="86">
        <f>AVERAGEIFS($C$2:C363, $B$2:B363, B363)</f>
        <v>20.888888888888889</v>
      </c>
      <c r="AI363" s="86">
        <f>AVERAGEIFS($I$2:I363, $B$2:B363, B363)</f>
        <v>0.61333333333333329</v>
      </c>
      <c r="AJ363" s="86">
        <f>AVERAGEIFS($J$2:J363, $B$2:B363, B363)</f>
        <v>0.54777777777777781</v>
      </c>
      <c r="AK363" s="86">
        <f>AVERAGEIFS($D$2:D363, $B$2:B363, B363)</f>
        <v>0.77777777777777779</v>
      </c>
    </row>
    <row r="364" spans="1:37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1</v>
      </c>
      <c r="AF364">
        <v>0</v>
      </c>
      <c r="AG364">
        <v>0</v>
      </c>
      <c r="AH364" s="86">
        <f>AVERAGEIFS($C$2:C364, $B$2:B364, B364)</f>
        <v>13.625</v>
      </c>
      <c r="AI364" s="86">
        <f>AVERAGEIFS($I$2:I364, $B$2:B364, B364)</f>
        <v>0.45624999999999999</v>
      </c>
      <c r="AJ364" s="86">
        <f>AVERAGEIFS($J$2:J364, $B$2:B364, B364)</f>
        <v>0.48374999999999996</v>
      </c>
      <c r="AK364" s="86">
        <f>AVERAGEIFS($D$2:D364, $B$2:B364, B364)</f>
        <v>0.375</v>
      </c>
    </row>
    <row r="365" spans="1:37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1</v>
      </c>
      <c r="AF365">
        <v>0</v>
      </c>
      <c r="AG365">
        <v>0</v>
      </c>
      <c r="AH365" s="86">
        <f>AVERAGEIFS($C$2:C365, $B$2:B365, B365)</f>
        <v>19.8125</v>
      </c>
      <c r="AI365" s="86">
        <f>AVERAGEIFS($I$2:I365, $B$2:B365, B365)</f>
        <v>0.49374999999999997</v>
      </c>
      <c r="AJ365" s="86">
        <f>AVERAGEIFS($J$2:J365, $B$2:B365, B365)</f>
        <v>0.49</v>
      </c>
      <c r="AK365" s="86">
        <f>AVERAGEIFS($D$2:D365, $B$2:B365, B365)</f>
        <v>0.4375</v>
      </c>
    </row>
    <row r="366" spans="1:37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1</v>
      </c>
      <c r="AF366">
        <v>0</v>
      </c>
      <c r="AG366">
        <v>0</v>
      </c>
      <c r="AH366" s="86">
        <f>AVERAGEIFS($C$2:C366, $B$2:B366, B366)</f>
        <v>14</v>
      </c>
      <c r="AI366" s="86">
        <f>AVERAGEIFS($I$2:I366, $B$2:B366, B366)</f>
        <v>0.58750000000000002</v>
      </c>
      <c r="AJ366" s="86">
        <f>AVERAGEIFS($J$2:J366, $B$2:B366, B366)</f>
        <v>0.50249999999999995</v>
      </c>
      <c r="AK366" s="86">
        <f>AVERAGEIFS($D$2:D366, $B$2:B366, B366)</f>
        <v>0.75</v>
      </c>
    </row>
    <row r="367" spans="1:37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 s="86">
        <f>AVERAGEIFS($C$2:C367, $B$2:B367, B367)</f>
        <v>11.772727272727273</v>
      </c>
      <c r="AI367" s="86">
        <f>AVERAGEIFS($I$2:I367, $B$2:B367, B367)</f>
        <v>0.43318181818181822</v>
      </c>
      <c r="AJ367" s="86">
        <f>AVERAGEIFS($J$2:J367, $B$2:B367, B367)</f>
        <v>0.47136363636363643</v>
      </c>
      <c r="AK367" s="86">
        <f>AVERAGEIFS($D$2:D367, $B$2:B367, B367)</f>
        <v>0.36363636363636365</v>
      </c>
    </row>
    <row r="368" spans="1:37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17.8</v>
      </c>
      <c r="AI368" s="86">
        <f>AVERAGEIFS($I$2:I368, $B$2:B368, B368)</f>
        <v>0.39666666666666667</v>
      </c>
      <c r="AJ368" s="86">
        <f>AVERAGEIFS($J$2:J368, $B$2:B368, B368)</f>
        <v>0.43533333333333329</v>
      </c>
      <c r="AK368" s="86">
        <f>AVERAGEIFS($D$2:D368, $B$2:B368, B368)</f>
        <v>0.4</v>
      </c>
    </row>
    <row r="369" spans="1:37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24.631578947368421</v>
      </c>
      <c r="AI369" s="86">
        <f>AVERAGEIFS($I$2:I369, $B$2:B369, B369)</f>
        <v>0.47263157894736846</v>
      </c>
      <c r="AJ369" s="86">
        <f>AVERAGEIFS($J$2:J369, $B$2:B369, B369)</f>
        <v>0.50894736842105248</v>
      </c>
      <c r="AK369" s="86">
        <f>AVERAGEIFS($D$2:D369, $B$2:B369, B369)</f>
        <v>0.42105263157894735</v>
      </c>
    </row>
    <row r="370" spans="1:37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25.666666666666668</v>
      </c>
      <c r="AI370" s="86">
        <f>AVERAGEIFS($I$2:I370, $B$2:B370, B370)</f>
        <v>0.39166666666666666</v>
      </c>
      <c r="AJ370" s="86">
        <f>AVERAGEIFS($J$2:J370, $B$2:B370, B370)</f>
        <v>0.45083333333333336</v>
      </c>
      <c r="AK370" s="86">
        <f>AVERAGEIFS($D$2:D370, $B$2:B370, B370)</f>
        <v>0.25</v>
      </c>
    </row>
    <row r="371" spans="1:37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21.157894736842106</v>
      </c>
      <c r="AI371" s="86">
        <f>AVERAGEIFS($I$2:I371, $B$2:B371, B371)</f>
        <v>0.44842105263157894</v>
      </c>
      <c r="AJ371" s="86">
        <f>AVERAGEIFS($J$2:J371, $B$2:B371, B371)</f>
        <v>0.45842105263157901</v>
      </c>
      <c r="AK371" s="86">
        <f>AVERAGEIFS($D$2:D371, $B$2:B371, B371)</f>
        <v>0.36842105263157893</v>
      </c>
    </row>
    <row r="372" spans="1:37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16.5</v>
      </c>
      <c r="AI372" s="86">
        <f>AVERAGEIFS($I$2:I372, $B$2:B372, B372)</f>
        <v>0.53749999999999998</v>
      </c>
      <c r="AJ372" s="86">
        <f>AVERAGEIFS($J$2:J372, $B$2:B372, B372)</f>
        <v>0.51624999999999999</v>
      </c>
      <c r="AK372" s="86">
        <f>AVERAGEIFS($D$2:D372, $B$2:B372, B372)</f>
        <v>0.5</v>
      </c>
    </row>
    <row r="373" spans="1:37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16.533333333333335</v>
      </c>
      <c r="AI373" s="86">
        <f>AVERAGEIFS($I$2:I373, $B$2:B373, B373)</f>
        <v>0.41199999999999998</v>
      </c>
      <c r="AJ373" s="86">
        <f>AVERAGEIFS($J$2:J373, $B$2:B373, B373)</f>
        <v>0.47266666666666662</v>
      </c>
      <c r="AK373" s="86">
        <f>AVERAGEIFS($D$2:D373, $B$2:B373, B373)</f>
        <v>0.33333333333333331</v>
      </c>
    </row>
    <row r="374" spans="1:37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17.857142857142858</v>
      </c>
      <c r="AI374" s="86">
        <f>AVERAGEIFS($I$2:I374, $B$2:B374, B374)</f>
        <v>0.44761904761904769</v>
      </c>
      <c r="AJ374" s="86">
        <f>AVERAGEIFS($J$2:J374, $B$2:B374, B374)</f>
        <v>0.47333333333333333</v>
      </c>
      <c r="AK374" s="86">
        <f>AVERAGEIFS($D$2:D374, $B$2:B374, B374)</f>
        <v>0.42857142857142855</v>
      </c>
    </row>
    <row r="375" spans="1:37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</v>
      </c>
      <c r="AI375" s="86">
        <f>AVERAGEIFS($I$2:I375, $B$2:B375, B375)</f>
        <v>0.25</v>
      </c>
      <c r="AJ375" s="86">
        <f>AVERAGEIFS($J$2:J375, $B$2:B375, B375)</f>
        <v>0.41</v>
      </c>
      <c r="AK375" s="86">
        <f>AVERAGEIFS($D$2:D375, $B$2:B375, B375)</f>
        <v>0</v>
      </c>
    </row>
    <row r="376" spans="1:37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1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11.913043478260869</v>
      </c>
      <c r="AI376" s="86">
        <f>AVERAGEIFS($I$2:I376, $B$2:B376, B376)</f>
        <v>0.43173913043478268</v>
      </c>
      <c r="AJ376" s="86">
        <f>AVERAGEIFS($J$2:J376, $B$2:B376, B376)</f>
        <v>0.47043478260869565</v>
      </c>
      <c r="AK376" s="86">
        <f>AVERAGEIFS($D$2:D376, $B$2:B376, B376)</f>
        <v>0.34782608695652173</v>
      </c>
    </row>
    <row r="377" spans="1:37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1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24.807692307692307</v>
      </c>
      <c r="AI377" s="86">
        <f>AVERAGEIFS($I$2:I377, $B$2:B377, B377)</f>
        <v>0.49500000000000005</v>
      </c>
      <c r="AJ377" s="86">
        <f>AVERAGEIFS($J$2:J377, $B$2:B377, B377)</f>
        <v>0.47269230769230763</v>
      </c>
      <c r="AK377" s="86">
        <f>AVERAGEIFS($D$2:D377, $B$2:B377, B377)</f>
        <v>0.46153846153846156</v>
      </c>
    </row>
    <row r="378" spans="1:37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1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20.7</v>
      </c>
      <c r="AI378" s="86">
        <f>AVERAGEIFS($I$2:I378, $B$2:B378, B378)</f>
        <v>0.59199999999999997</v>
      </c>
      <c r="AJ378" s="86">
        <f>AVERAGEIFS($J$2:J378, $B$2:B378, B378)</f>
        <v>0.53800000000000003</v>
      </c>
      <c r="AK378" s="86">
        <f>AVERAGEIFS($D$2:D378, $B$2:B378, B378)</f>
        <v>0.7</v>
      </c>
    </row>
    <row r="379" spans="1:37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1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19.470588235294116</v>
      </c>
      <c r="AI379" s="86">
        <f>AVERAGEIFS($I$2:I379, $B$2:B379, B379)</f>
        <v>0.48823529411764699</v>
      </c>
      <c r="AJ379" s="86">
        <f>AVERAGEIFS($J$2:J379, $B$2:B379, B379)</f>
        <v>0.48764705882352938</v>
      </c>
      <c r="AK379" s="86">
        <f>AVERAGEIFS($D$2:D379, $B$2:B379, B379)</f>
        <v>0.41176470588235292</v>
      </c>
    </row>
    <row r="380" spans="1:37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1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9</v>
      </c>
      <c r="AI380" s="86">
        <f>AVERAGEIFS($I$2:I380, $B$2:B380, B380)</f>
        <v>0.59399999999999997</v>
      </c>
      <c r="AJ380" s="86">
        <f>AVERAGEIFS($J$2:J380, $B$2:B380, B380)</f>
        <v>0.52800000000000002</v>
      </c>
      <c r="AK380" s="86">
        <f>AVERAGEIFS($D$2:D380, $B$2:B380, B380)</f>
        <v>0.6</v>
      </c>
    </row>
    <row r="381" spans="1:37" x14ac:dyDescent="0.25">
      <c r="A381" s="85">
        <v>46090</v>
      </c>
      <c r="B381" t="s">
        <v>167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1</v>
      </c>
      <c r="AC381">
        <v>1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10</v>
      </c>
      <c r="AI381" s="86">
        <f>AVERAGEIFS($I$2:I381, $B$2:B381, B381)</f>
        <v>0.4</v>
      </c>
      <c r="AJ381" s="86">
        <f>AVERAGEIFS($J$2:J381, $B$2:B381, B381)</f>
        <v>0.45</v>
      </c>
      <c r="AK381" s="86">
        <f>AVERAGEIFS($D$2:D381, $B$2:B381, B381)</f>
        <v>0</v>
      </c>
    </row>
    <row r="382" spans="1:37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1</v>
      </c>
      <c r="AH382" s="86">
        <f>AVERAGEIFS($C$2:C382, $B$2:B382, B382)</f>
        <v>15</v>
      </c>
      <c r="AI382" s="86">
        <f>AVERAGEIFS($I$2:I382, $B$2:B382, B382)</f>
        <v>0.59000000000000008</v>
      </c>
      <c r="AJ382" s="86">
        <f>AVERAGEIFS($J$2:J382, $B$2:B382, B382)</f>
        <v>0.5119999999999999</v>
      </c>
      <c r="AK382" s="86">
        <f>AVERAGEIFS($D$2:D382, $B$2:B382, B382)</f>
        <v>0.8</v>
      </c>
    </row>
    <row r="383" spans="1:37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1</v>
      </c>
      <c r="AH383" s="86">
        <f>AVERAGEIFS($C$2:C383, $B$2:B383, B383)</f>
        <v>18.333333333333332</v>
      </c>
      <c r="AI383" s="86">
        <f>AVERAGEIFS($I$2:I383, $B$2:B383, B383)</f>
        <v>0.6</v>
      </c>
      <c r="AJ383" s="86">
        <f>AVERAGEIFS($J$2:J383, $B$2:B383, B383)</f>
        <v>0.57750000000000001</v>
      </c>
      <c r="AK383" s="86">
        <f>AVERAGEIFS($D$2:D383, $B$2:B383, B383)</f>
        <v>0.75</v>
      </c>
    </row>
    <row r="384" spans="1:37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</v>
      </c>
      <c r="AH384" s="86">
        <f>AVERAGEIFS($C$2:C384, $B$2:B384, B384)</f>
        <v>24.5</v>
      </c>
      <c r="AI384" s="86">
        <f>AVERAGEIFS($I$2:I384, $B$2:B384, B384)</f>
        <v>0.47899999999999998</v>
      </c>
      <c r="AJ384" s="86">
        <f>AVERAGEIFS($J$2:J384, $B$2:B384, B384)</f>
        <v>0.5109999999999999</v>
      </c>
      <c r="AK384" s="86">
        <f>AVERAGEIFS($D$2:D384, $B$2:B384, B384)</f>
        <v>0.45</v>
      </c>
    </row>
    <row r="385" spans="1:37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1</v>
      </c>
      <c r="AH385" s="86">
        <f>AVERAGEIFS($C$2:C385, $B$2:B385, B385)</f>
        <v>22.814814814814813</v>
      </c>
      <c r="AI385" s="86">
        <f>AVERAGEIFS($I$2:I385, $B$2:B385, B385)</f>
        <v>0.65666666666666673</v>
      </c>
      <c r="AJ385" s="86">
        <f>AVERAGEIFS($J$2:J385, $B$2:B385, B385)</f>
        <v>0.58518518518518514</v>
      </c>
      <c r="AK385" s="86">
        <f>AVERAGEIFS($D$2:D385, $B$2:B385, B385)</f>
        <v>0.77777777777777779</v>
      </c>
    </row>
    <row r="386" spans="1:37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 s="86">
        <f>AVERAGEIFS($C$2:C386, $B$2:B386, B386)</f>
        <v>16.444444444444443</v>
      </c>
      <c r="AI386" s="86">
        <f>AVERAGEIFS($I$2:I386, $B$2:B386, B386)</f>
        <v>0.5444444444444444</v>
      </c>
      <c r="AJ386" s="86">
        <f>AVERAGEIFS($J$2:J386, $B$2:B386, B386)</f>
        <v>0.52</v>
      </c>
      <c r="AK386" s="86">
        <f>AVERAGEIFS($D$2:D386, $B$2:B386, B386)</f>
        <v>0.55555555555555558</v>
      </c>
    </row>
    <row r="387" spans="1:37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1</v>
      </c>
      <c r="AH387" s="86">
        <f>AVERAGEIFS($C$2:C387, $B$2:B387, B387)</f>
        <v>10</v>
      </c>
      <c r="AI387" s="86">
        <f>AVERAGEIFS($I$2:I387, $B$2:B387, B387)</f>
        <v>0.42499999999999999</v>
      </c>
      <c r="AJ387" s="86">
        <f>AVERAGEIFS($J$2:J387, $B$2:B387, B387)</f>
        <v>0.48</v>
      </c>
      <c r="AK387" s="86">
        <f>AVERAGEIFS($D$2:D387, $B$2:B387, B387)</f>
        <v>0.5</v>
      </c>
    </row>
    <row r="388" spans="1:37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22</v>
      </c>
      <c r="AI388" s="86">
        <f>AVERAGEIFS($I$2:I388, $B$2:B388, B388)</f>
        <v>0.60636363636363633</v>
      </c>
      <c r="AJ388" s="86">
        <f>AVERAGEIFS($J$2:J388, $B$2:B388, B388)</f>
        <v>0.55181818181818187</v>
      </c>
      <c r="AK388" s="86">
        <f>AVERAGEIFS($D$2:D388, $B$2:B388, B388)</f>
        <v>0.72727272727272729</v>
      </c>
    </row>
    <row r="389" spans="1:37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18.318181818181817</v>
      </c>
      <c r="AI389" s="86">
        <f>AVERAGEIFS($I$2:I389, $B$2:B389, B389)</f>
        <v>0.46136363636363648</v>
      </c>
      <c r="AJ389" s="86">
        <f>AVERAGEIFS($J$2:J389, $B$2:B389, B389)</f>
        <v>0.48318181818181816</v>
      </c>
      <c r="AK389" s="86">
        <f>AVERAGEIFS($D$2:D389, $B$2:B389, B389)</f>
        <v>0.45454545454545453</v>
      </c>
    </row>
    <row r="390" spans="1:37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22.964285714285715</v>
      </c>
      <c r="AI390" s="86">
        <f>AVERAGEIFS($I$2:I390, $B$2:B390, B390)</f>
        <v>0.66</v>
      </c>
      <c r="AJ390" s="86">
        <f>AVERAGEIFS($J$2:J390, $B$2:B390, B390)</f>
        <v>0.58892857142857136</v>
      </c>
      <c r="AK390" s="86">
        <f>AVERAGEIFS($D$2:D390, $B$2:B390, B390)</f>
        <v>0.7857142857142857</v>
      </c>
    </row>
    <row r="391" spans="1:37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18.181818181818183</v>
      </c>
      <c r="AI391" s="86">
        <f>AVERAGEIFS($I$2:I391, $B$2:B391, B391)</f>
        <v>0.5818181818181819</v>
      </c>
      <c r="AJ391" s="86">
        <f>AVERAGEIFS($J$2:J391, $B$2:B391, B391)</f>
        <v>0.5436363636363637</v>
      </c>
      <c r="AK391" s="86">
        <f>AVERAGEIFS($D$2:D391, $B$2:B391, B391)</f>
        <v>0.54545454545454541</v>
      </c>
    </row>
    <row r="392" spans="1:37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24.38095238095238</v>
      </c>
      <c r="AI392" s="86">
        <f>AVERAGEIFS($I$2:I392, $B$2:B392, B392)</f>
        <v>0.4919047619047619</v>
      </c>
      <c r="AJ392" s="86">
        <f>AVERAGEIFS($J$2:J392, $B$2:B392, B392)</f>
        <v>0.5195238095238095</v>
      </c>
      <c r="AK392" s="86">
        <f>AVERAGEIFS($D$2:D392, $B$2:B392, B392)</f>
        <v>0.47619047619047616</v>
      </c>
    </row>
    <row r="393" spans="1:37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16.100000000000001</v>
      </c>
      <c r="AI393" s="86">
        <f>AVERAGEIFS($I$2:I393, $B$2:B393, B393)</f>
        <v>0.56499999999999995</v>
      </c>
      <c r="AJ393" s="86">
        <f>AVERAGEIFS($J$2:J393, $B$2:B393, B393)</f>
        <v>0.53699999999999992</v>
      </c>
      <c r="AK393" s="86">
        <f>AVERAGEIFS($D$2:D393, $B$2:B393, B393)</f>
        <v>0.6</v>
      </c>
    </row>
    <row r="394" spans="1:37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1</v>
      </c>
      <c r="AE394">
        <v>0</v>
      </c>
      <c r="AF394">
        <v>0</v>
      </c>
      <c r="AG394">
        <v>0</v>
      </c>
      <c r="AH394" s="86">
        <f>AVERAGEIFS($C$2:C394, $B$2:B394, B394)</f>
        <v>26</v>
      </c>
      <c r="AI394" s="86">
        <f>AVERAGEIFS($I$2:I394, $B$2:B394, B394)</f>
        <v>0.3807692307692308</v>
      </c>
      <c r="AJ394" s="86">
        <f>AVERAGEIFS($J$2:J394, $B$2:B394, B394)</f>
        <v>0.44</v>
      </c>
      <c r="AK394" s="86">
        <f>AVERAGEIFS($D$2:D394, $B$2:B394, B394)</f>
        <v>0.23076923076923078</v>
      </c>
    </row>
    <row r="395" spans="1:37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1</v>
      </c>
      <c r="AE395">
        <v>0</v>
      </c>
      <c r="AF395">
        <v>0</v>
      </c>
      <c r="AG395">
        <v>0</v>
      </c>
      <c r="AH395" s="86">
        <f>AVERAGEIFS($C$2:C395, $B$2:B395, B395)</f>
        <v>29.166666666666668</v>
      </c>
      <c r="AI395" s="86">
        <f>AVERAGEIFS($I$2:I395, $B$2:B395, B395)</f>
        <v>0.37083333333333335</v>
      </c>
      <c r="AJ395" s="86">
        <f>AVERAGEIFS($J$2:J395, $B$2:B395, B395)</f>
        <v>0.42416666666666658</v>
      </c>
      <c r="AK395" s="86">
        <f>AVERAGEIFS($D$2:D395, $B$2:B395, B395)</f>
        <v>0.41666666666666669</v>
      </c>
    </row>
    <row r="396" spans="1:37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  <c r="AH396" s="86">
        <f>AVERAGEIFS($C$2:C396, $B$2:B396, B396)</f>
        <v>18.46153846153846</v>
      </c>
      <c r="AI396" s="86">
        <f>AVERAGEIFS($I$2:I396, $B$2:B396, B396)</f>
        <v>0.57307692307692304</v>
      </c>
      <c r="AJ396" s="86">
        <f>AVERAGEIFS($J$2:J396, $B$2:B396, B396)</f>
        <v>0.55692307692307697</v>
      </c>
      <c r="AK396" s="86">
        <f>AVERAGEIFS($D$2:D396, $B$2:B396, B396)</f>
        <v>0.69230769230769229</v>
      </c>
    </row>
    <row r="397" spans="1:37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1</v>
      </c>
      <c r="AE397">
        <v>0</v>
      </c>
      <c r="AF397">
        <v>0</v>
      </c>
      <c r="AG397">
        <v>0</v>
      </c>
      <c r="AH397" s="86">
        <f>AVERAGEIFS($C$2:C397, $B$2:B397, B397)</f>
        <v>21</v>
      </c>
      <c r="AI397" s="86">
        <f>AVERAGEIFS($I$2:I397, $B$2:B397, B397)</f>
        <v>0.4385</v>
      </c>
      <c r="AJ397" s="86">
        <f>AVERAGEIFS($J$2:J397, $B$2:B397, B397)</f>
        <v>0.45100000000000007</v>
      </c>
      <c r="AK397" s="86">
        <f>AVERAGEIFS($D$2:D397, $B$2:B397, B397)</f>
        <v>0.35</v>
      </c>
    </row>
    <row r="398" spans="1:37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1</v>
      </c>
      <c r="AE398">
        <v>0</v>
      </c>
      <c r="AF398">
        <v>0</v>
      </c>
      <c r="AG398">
        <v>0</v>
      </c>
      <c r="AH398" s="86">
        <f>AVERAGEIFS($C$2:C398, $B$2:B398, B398)</f>
        <v>19.166666666666668</v>
      </c>
      <c r="AI398" s="86">
        <f>AVERAGEIFS($I$2:I398, $B$2:B398, B398)</f>
        <v>0.5</v>
      </c>
      <c r="AJ398" s="86">
        <f>AVERAGEIFS($J$2:J398, $B$2:B398, B398)</f>
        <v>0.46833333333333332</v>
      </c>
      <c r="AK398" s="86">
        <f>AVERAGEIFS($D$2:D398, $B$2:B398, B398)</f>
        <v>0.5</v>
      </c>
    </row>
    <row r="399" spans="1:37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1</v>
      </c>
      <c r="AE399">
        <v>0</v>
      </c>
      <c r="AF399">
        <v>0</v>
      </c>
      <c r="AG399">
        <v>0</v>
      </c>
      <c r="AH399" s="86">
        <f>AVERAGEIFS($C$2:C399, $B$2:B399, B399)</f>
        <v>17.5</v>
      </c>
      <c r="AI399" s="86">
        <f>AVERAGEIFS($I$2:I399, $B$2:B399, B399)</f>
        <v>0.38750000000000001</v>
      </c>
      <c r="AJ399" s="86">
        <f>AVERAGEIFS($J$2:J399, $B$2:B399, B399)</f>
        <v>0.42749999999999994</v>
      </c>
      <c r="AK399" s="86">
        <f>AVERAGEIFS($D$2:D399, $B$2:B399, B399)</f>
        <v>0.375</v>
      </c>
    </row>
    <row r="400" spans="1:37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0</v>
      </c>
      <c r="AC400">
        <v>1</v>
      </c>
      <c r="AD400">
        <v>0</v>
      </c>
      <c r="AE400">
        <v>0</v>
      </c>
      <c r="AF400">
        <v>0</v>
      </c>
      <c r="AG400">
        <v>0</v>
      </c>
      <c r="AH400" s="86">
        <f>AVERAGEIFS($C$2:C400, $B$2:B400, B400)</f>
        <v>18.347826086956523</v>
      </c>
      <c r="AI400" s="86">
        <f>AVERAGEIFS($I$2:I400, $B$2:B400, B400)</f>
        <v>0.48478260869565226</v>
      </c>
      <c r="AJ400" s="86">
        <f>AVERAGEIFS($J$2:J400, $B$2:B400, B400)</f>
        <v>0.4978260869565217</v>
      </c>
      <c r="AK400" s="86">
        <f>AVERAGEIFS($D$2:D400, $B$2:B400, B400)</f>
        <v>0.47826086956521741</v>
      </c>
    </row>
    <row r="401" spans="1:37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0</v>
      </c>
      <c r="AC401">
        <v>1</v>
      </c>
      <c r="AD401">
        <v>0</v>
      </c>
      <c r="AE401">
        <v>0</v>
      </c>
      <c r="AF401">
        <v>0</v>
      </c>
      <c r="AG401">
        <v>0</v>
      </c>
      <c r="AH401" s="86">
        <f>AVERAGEIFS($C$2:C401, $B$2:B401, B401)</f>
        <v>24.777777777777779</v>
      </c>
      <c r="AI401" s="86">
        <f>AVERAGEIFS($I$2:I401, $B$2:B401, B401)</f>
        <v>0.51370370370370377</v>
      </c>
      <c r="AJ401" s="86">
        <f>AVERAGEIFS($J$2:J401, $B$2:B401, B401)</f>
        <v>0.48555555555555552</v>
      </c>
      <c r="AK401" s="86">
        <f>AVERAGEIFS($D$2:D401, $B$2:B401, B401)</f>
        <v>0.48148148148148145</v>
      </c>
    </row>
    <row r="402" spans="1:37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0</v>
      </c>
      <c r="AC402">
        <v>1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24.045454545454547</v>
      </c>
      <c r="AI402" s="86">
        <f>AVERAGEIFS($I$2:I402, $B$2:B402, B402)</f>
        <v>0.51500000000000001</v>
      </c>
      <c r="AJ402" s="86">
        <f>AVERAGEIFS($J$2:J402, $B$2:B402, B402)</f>
        <v>0.53318181818181809</v>
      </c>
      <c r="AK402" s="86">
        <f>AVERAGEIFS($D$2:D402, $B$2:B402, B402)</f>
        <v>0.5</v>
      </c>
    </row>
    <row r="403" spans="1:37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1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18.714285714285715</v>
      </c>
      <c r="AI403" s="86">
        <f>AVERAGEIFS($I$2:I403, $B$2:B403, B403)</f>
        <v>0.5714285714285714</v>
      </c>
      <c r="AJ403" s="86">
        <f>AVERAGEIFS($J$2:J403, $B$2:B403, B403)</f>
        <v>0.51857142857142857</v>
      </c>
      <c r="AK403" s="86">
        <f>AVERAGEIFS($D$2:D403, $B$2:B403, B403)</f>
        <v>0.5714285714285714</v>
      </c>
    </row>
    <row r="404" spans="1:37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1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11.791666666666666</v>
      </c>
      <c r="AI404" s="86">
        <f>AVERAGEIFS($I$2:I404, $B$2:B404, B404)</f>
        <v>0.45541666666666675</v>
      </c>
      <c r="AJ404" s="86">
        <f>AVERAGEIFS($J$2:J404, $B$2:B404, B404)</f>
        <v>0.48500000000000004</v>
      </c>
      <c r="AK404" s="86">
        <f>AVERAGEIFS($D$2:D404, $B$2:B404, B404)</f>
        <v>0.375</v>
      </c>
    </row>
    <row r="405" spans="1:37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0</v>
      </c>
      <c r="AC405">
        <v>1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7.666666666666667</v>
      </c>
      <c r="AI405" s="86">
        <f>AVERAGEIFS($I$2:I405, $B$2:B405, B405)</f>
        <v>0.6166666666666667</v>
      </c>
      <c r="AJ405" s="86">
        <f>AVERAGEIFS($J$2:J405, $B$2:B405, B405)</f>
        <v>0.59333333333333327</v>
      </c>
      <c r="AK405" s="86">
        <f>AVERAGEIFS($D$2:D405, $B$2:B405, B405)</f>
        <v>0.66666666666666663</v>
      </c>
    </row>
    <row r="406" spans="1:37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17.857142857142858</v>
      </c>
      <c r="AI406" s="86">
        <f>AVERAGEIFS($I$2:I406, $B$2:B406, B406)</f>
        <v>0.53214285714285714</v>
      </c>
      <c r="AJ406" s="86">
        <f>AVERAGEIFS($J$2:J406, $B$2:B406, B406)</f>
        <v>0.53</v>
      </c>
      <c r="AK406" s="86">
        <f>AVERAGEIFS($D$2:D406, $B$2:B406, B406)</f>
        <v>0.6428571428571429</v>
      </c>
    </row>
    <row r="407" spans="1:37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22.758620689655171</v>
      </c>
      <c r="AI407" s="86">
        <f>AVERAGEIFS($I$2:I407, $B$2:B407, B407)</f>
        <v>0.63724137931034486</v>
      </c>
      <c r="AJ407" s="86">
        <f>AVERAGEIFS($J$2:J407, $B$2:B407, B407)</f>
        <v>0.57482758620689645</v>
      </c>
      <c r="AK407" s="86">
        <f>AVERAGEIFS($D$2:D407, $B$2:B407, B407)</f>
        <v>0.75862068965517238</v>
      </c>
    </row>
    <row r="408" spans="1:37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14.666666666666666</v>
      </c>
      <c r="AI408" s="86">
        <f>AVERAGEIFS($I$2:I408, $B$2:B408, B408)</f>
        <v>0.4916666666666667</v>
      </c>
      <c r="AJ408" s="86">
        <f>AVERAGEIFS($J$2:J408, $B$2:B408, B408)</f>
        <v>0.45666666666666661</v>
      </c>
      <c r="AK408" s="86">
        <f>AVERAGEIFS($D$2:D408, $B$2:B408, B408)</f>
        <v>0.66666666666666663</v>
      </c>
    </row>
    <row r="409" spans="1:37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17.5</v>
      </c>
      <c r="AI409" s="86">
        <f>AVERAGEIFS($I$2:I409, $B$2:B409, B409)</f>
        <v>0.53333333333333333</v>
      </c>
      <c r="AJ409" s="86">
        <f>AVERAGEIFS($J$2:J409, $B$2:B409, B409)</f>
        <v>0.51333333333333331</v>
      </c>
      <c r="AK409" s="86">
        <f>AVERAGEIFS($D$2:D409, $B$2:B409, B409)</f>
        <v>0.5</v>
      </c>
    </row>
    <row r="410" spans="1:37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15.8125</v>
      </c>
      <c r="AI410" s="86">
        <f>AVERAGEIFS($I$2:I410, $B$2:B410, B410)</f>
        <v>0.38624999999999998</v>
      </c>
      <c r="AJ410" s="86">
        <f>AVERAGEIFS($J$2:J410, $B$2:B410, B410)</f>
        <v>0.45437499999999992</v>
      </c>
      <c r="AK410" s="86">
        <f>AVERAGEIFS($D$2:D410, $B$2:B410, B410)</f>
        <v>0.3125</v>
      </c>
    </row>
    <row r="411" spans="1:37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13.5</v>
      </c>
      <c r="AI411" s="86">
        <f>AVERAGEIFS($I$2:I411, $B$2:B411, B411)</f>
        <v>0.39999999999999997</v>
      </c>
      <c r="AJ411" s="86">
        <f>AVERAGEIFS($J$2:J411, $B$2:B411, B411)</f>
        <v>0.39500000000000002</v>
      </c>
      <c r="AK411" s="86">
        <f>AVERAGEIFS($D$2:D411, $B$2:B411, B411)</f>
        <v>0.33333333333333331</v>
      </c>
    </row>
    <row r="412" spans="1:37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1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4</v>
      </c>
      <c r="AI412" s="86">
        <f>AVERAGEIFS($I$2:I412, $B$2:B412, B412)</f>
        <v>0.75</v>
      </c>
      <c r="AJ412" s="86">
        <f>AVERAGEIFS($J$2:J412, $B$2:B412, B412)</f>
        <v>0.64</v>
      </c>
      <c r="AK412" s="86">
        <f>AVERAGEIFS($D$2:D412, $B$2:B412, B412)</f>
        <v>1</v>
      </c>
    </row>
    <row r="413" spans="1:37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1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28.692307692307693</v>
      </c>
      <c r="AI413" s="86">
        <f>AVERAGEIFS($I$2:I413, $B$2:B413, B413)</f>
        <v>0.4</v>
      </c>
      <c r="AJ413" s="86">
        <f>AVERAGEIFS($J$2:J413, $B$2:B413, B413)</f>
        <v>0.44076923076923069</v>
      </c>
      <c r="AK413" s="86">
        <f>AVERAGEIFS($D$2:D413, $B$2:B413, B413)</f>
        <v>0.46153846153846156</v>
      </c>
    </row>
    <row r="414" spans="1:37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0</v>
      </c>
      <c r="AH414" s="86">
        <f>AVERAGEIFS($C$2:C414, $B$2:B414, B414)</f>
        <v>24.75</v>
      </c>
      <c r="AI414" s="86">
        <f>AVERAGEIFS($I$2:I414, $B$2:B414, B414)</f>
        <v>0.52214285714285713</v>
      </c>
      <c r="AJ414" s="86">
        <f>AVERAGEIFS($J$2:J414, $B$2:B414, B414)</f>
        <v>0.49107142857142855</v>
      </c>
      <c r="AK414" s="86">
        <f>AVERAGEIFS($D$2:D414, $B$2:B414, B414)</f>
        <v>0.5</v>
      </c>
    </row>
    <row r="415" spans="1:37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0</v>
      </c>
      <c r="AH415" s="86">
        <f>AVERAGEIFS($C$2:C415, $B$2:B415, B415)</f>
        <v>9</v>
      </c>
      <c r="AI415" s="86">
        <f>AVERAGEIFS($I$2:I415, $B$2:B415, B415)</f>
        <v>0.75</v>
      </c>
      <c r="AJ415" s="86">
        <f>AVERAGEIFS($J$2:J415, $B$2:B415, B415)</f>
        <v>0.64</v>
      </c>
      <c r="AK415" s="86">
        <f>AVERAGEIFS($D$2:D415, $B$2:B415, B415)</f>
        <v>1</v>
      </c>
    </row>
    <row r="416" spans="1:37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0</v>
      </c>
      <c r="AH416" s="86">
        <f>AVERAGEIFS($C$2:C416, $B$2:B416, B416)</f>
        <v>6.5</v>
      </c>
      <c r="AI416" s="86">
        <f>AVERAGEIFS($I$2:I416, $B$2:B416, B416)</f>
        <v>0.65</v>
      </c>
      <c r="AJ416" s="86">
        <f>AVERAGEIFS($J$2:J416, $B$2:B416, B416)</f>
        <v>0.60499999999999998</v>
      </c>
      <c r="AK416" s="86">
        <f>AVERAGEIFS($D$2:D416, $B$2:B416, B416)</f>
        <v>0.75</v>
      </c>
    </row>
    <row r="417" spans="1:37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0</v>
      </c>
      <c r="AH417" s="86">
        <f>AVERAGEIFS($C$2:C417, $B$2:B417, B417)</f>
        <v>19.416666666666668</v>
      </c>
      <c r="AI417" s="86">
        <f>AVERAGEIFS($I$2:I417, $B$2:B417, B417)</f>
        <v>0.55333333333333334</v>
      </c>
      <c r="AJ417" s="86">
        <f>AVERAGEIFS($J$2:J417, $B$2:B417, B417)</f>
        <v>0.5412499999999999</v>
      </c>
      <c r="AK417" s="86">
        <f>AVERAGEIFS($D$2:D417, $B$2:B417, B417)</f>
        <v>0.58333333333333337</v>
      </c>
    </row>
    <row r="418" spans="1:37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0</v>
      </c>
      <c r="AH418" s="86">
        <f>AVERAGEIFS($C$2:C418, $B$2:B418, B418)</f>
        <v>12.714285714285714</v>
      </c>
      <c r="AI418" s="86">
        <f>AVERAGEIFS($I$2:I418, $B$2:B418, B418)</f>
        <v>0.52857142857142858</v>
      </c>
      <c r="AJ418" s="86">
        <f>AVERAGEIFS($J$2:J418, $B$2:B418, B418)</f>
        <v>0.48285714285714282</v>
      </c>
      <c r="AK418" s="86">
        <f>AVERAGEIFS($D$2:D418, $B$2:B418, B418)</f>
        <v>0.7142857142857143</v>
      </c>
    </row>
    <row r="419" spans="1:37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 s="86">
        <f>AVERAGEIFS($C$2:C419, $B$2:B419, B419)</f>
        <v>12</v>
      </c>
      <c r="AI419" s="86">
        <f>AVERAGEIFS($I$2:I419, $B$2:B419, B419)</f>
        <v>0.25</v>
      </c>
      <c r="AJ419" s="86">
        <f>AVERAGEIFS($J$2:J419, $B$2:B419, B419)</f>
        <v>0.36</v>
      </c>
      <c r="AK419" s="86">
        <f>AVERAGEIFS($D$2:D419, $B$2:B419, B419)</f>
        <v>0</v>
      </c>
    </row>
    <row r="420" spans="1:37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 s="86">
        <f>AVERAGEIFS($C$2:C420, $B$2:B420, B420)</f>
        <v>18.25</v>
      </c>
      <c r="AI420" s="86">
        <f>AVERAGEIFS($I$2:I420, $B$2:B420, B420)</f>
        <v>0.53125</v>
      </c>
      <c r="AJ420" s="86">
        <f>AVERAGEIFS($J$2:J420, $B$2:B420, B420)</f>
        <v>0.49874999999999997</v>
      </c>
      <c r="AK420" s="86">
        <f>AVERAGEIFS($D$2:D420, $B$2:B420, B420)</f>
        <v>0.5</v>
      </c>
    </row>
    <row r="421" spans="1:37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 s="86">
        <f>AVERAGEIFS($C$2:C421, $B$2:B421, B421)</f>
        <v>13.888888888888889</v>
      </c>
      <c r="AI421" s="86">
        <f>AVERAGEIFS($I$2:I421, $B$2:B421, B421)</f>
        <v>0.37777777777777777</v>
      </c>
      <c r="AJ421" s="86">
        <f>AVERAGEIFS($J$2:J421, $B$2:B421, B421)</f>
        <v>0.4211111111111111</v>
      </c>
      <c r="AK421" s="86">
        <f>AVERAGEIFS($D$2:D421, $B$2:B421, B421)</f>
        <v>0.22222222222222221</v>
      </c>
    </row>
    <row r="422" spans="1:37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 s="86">
        <f>AVERAGEIFS($C$2:C422, $B$2:B422, B422)</f>
        <v>17.958333333333332</v>
      </c>
      <c r="AI422" s="86">
        <f>AVERAGEIFS($I$2:I422, $B$2:B422, B422)</f>
        <v>0.47500000000000009</v>
      </c>
      <c r="AJ422" s="86">
        <f>AVERAGEIFS($J$2:J422, $B$2:B422, B422)</f>
        <v>0.49208333333333326</v>
      </c>
      <c r="AK422" s="86">
        <f>AVERAGEIFS($D$2:D422, $B$2:B422, B422)</f>
        <v>0.45833333333333331</v>
      </c>
    </row>
    <row r="423" spans="1:37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 s="86">
        <f>AVERAGEIFS($C$2:C423, $B$2:B423, B423)</f>
        <v>25.285714285714285</v>
      </c>
      <c r="AI423" s="86">
        <f>AVERAGEIFS($I$2:I423, $B$2:B423, B423)</f>
        <v>0.37142857142857144</v>
      </c>
      <c r="AJ423" s="86">
        <f>AVERAGEIFS($J$2:J423, $B$2:B423, B423)</f>
        <v>0.43428571428571427</v>
      </c>
      <c r="AK423" s="86">
        <f>AVERAGEIFS($D$2:D423, $B$2:B423, B423)</f>
        <v>0.21428571428571427</v>
      </c>
    </row>
    <row r="424" spans="1:37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 s="86">
        <f>AVERAGEIFS($C$2:C424, $B$2:B424, B424)</f>
        <v>15.090909090909092</v>
      </c>
      <c r="AI424" s="86">
        <f>AVERAGEIFS($I$2:I424, $B$2:B424, B424)</f>
        <v>0.53636363636363626</v>
      </c>
      <c r="AJ424" s="86">
        <f>AVERAGEIFS($J$2:J424, $B$2:B424, B424)</f>
        <v>0.52090909090909088</v>
      </c>
      <c r="AK424" s="86">
        <f>AVERAGEIFS($D$2:D424, $B$2:B424, B424)</f>
        <v>0.54545454545454541</v>
      </c>
    </row>
    <row r="425" spans="1:37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0</v>
      </c>
      <c r="AG425">
        <v>0</v>
      </c>
      <c r="AH425" s="86">
        <f>AVERAGEIFS($C$2:C425, $B$2:B425, B425)</f>
        <v>24.827586206896552</v>
      </c>
      <c r="AI425" s="86">
        <f>AVERAGEIFS($I$2:I425, $B$2:B425, B425)</f>
        <v>0.53</v>
      </c>
      <c r="AJ425" s="86">
        <f>AVERAGEIFS($J$2:J425, $B$2:B425, B425)</f>
        <v>0.49586206896551727</v>
      </c>
      <c r="AK425" s="86">
        <f>AVERAGEIFS($D$2:D425, $B$2:B425, B425)</f>
        <v>0.51724137931034486</v>
      </c>
    </row>
    <row r="426" spans="1:37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0</v>
      </c>
      <c r="AG426">
        <v>0</v>
      </c>
      <c r="AH426" s="86">
        <f>AVERAGEIFS($C$2:C426, $B$2:B426, B426)</f>
        <v>23.826086956521738</v>
      </c>
      <c r="AI426" s="86">
        <f>AVERAGEIFS($I$2:I426, $B$2:B426, B426)</f>
        <v>0.52521739130434786</v>
      </c>
      <c r="AJ426" s="86">
        <f>AVERAGEIFS($J$2:J426, $B$2:B426, B426)</f>
        <v>0.53739130434782612</v>
      </c>
      <c r="AK426" s="86">
        <f>AVERAGEIFS($D$2:D426, $B$2:B426, B426)</f>
        <v>0.52173913043478259</v>
      </c>
    </row>
    <row r="427" spans="1:37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0</v>
      </c>
      <c r="AG427">
        <v>0</v>
      </c>
      <c r="AH427" s="86">
        <f>AVERAGEIFS($C$2:C427, $B$2:B427, B427)</f>
        <v>17.444444444444443</v>
      </c>
      <c r="AI427" s="86">
        <f>AVERAGEIFS($I$2:I427, $B$2:B427, B427)</f>
        <v>0.55555555555555558</v>
      </c>
      <c r="AJ427" s="86">
        <f>AVERAGEIFS($J$2:J427, $B$2:B427, B427)</f>
        <v>0.51333333333333331</v>
      </c>
      <c r="AK427" s="86">
        <f>AVERAGEIFS($D$2:D427, $B$2:B427, B427)</f>
        <v>0.55555555555555558</v>
      </c>
    </row>
    <row r="428" spans="1:37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0</v>
      </c>
      <c r="AG428">
        <v>0</v>
      </c>
      <c r="AH428" s="86">
        <f>AVERAGEIFS($C$2:C428, $B$2:B428, B428)</f>
        <v>17.53846153846154</v>
      </c>
      <c r="AI428" s="86">
        <f>AVERAGEIFS($I$2:I428, $B$2:B428, B428)</f>
        <v>0.55000000000000004</v>
      </c>
      <c r="AJ428" s="86">
        <f>AVERAGEIFS($J$2:J428, $B$2:B428, B428)</f>
        <v>0.52230769230769236</v>
      </c>
      <c r="AK428" s="86">
        <f>AVERAGEIFS($D$2:D428, $B$2:B428, B428)</f>
        <v>0.53846153846153844</v>
      </c>
    </row>
    <row r="429" spans="1:37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0</v>
      </c>
      <c r="AG429">
        <v>0</v>
      </c>
      <c r="AH429" s="86">
        <f>AVERAGEIFS($C$2:C429, $B$2:B429, B429)</f>
        <v>11.56</v>
      </c>
      <c r="AI429" s="86">
        <f>AVERAGEIFS($I$2:I429, $B$2:B429, B429)</f>
        <v>0.46720000000000006</v>
      </c>
      <c r="AJ429" s="86">
        <f>AVERAGEIFS($J$2:J429, $B$2:B429, B429)</f>
        <v>0.49080000000000007</v>
      </c>
      <c r="AK429" s="86">
        <f>AVERAGEIFS($D$2:D429, $B$2:B429, B429)</f>
        <v>0.4</v>
      </c>
    </row>
    <row r="430" spans="1:37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0</v>
      </c>
      <c r="AG430">
        <v>0</v>
      </c>
      <c r="AH430" s="86">
        <f>AVERAGEIFS($C$2:C430, $B$2:B430, B430)</f>
        <v>6.4</v>
      </c>
      <c r="AI430" s="86">
        <f>AVERAGEIFS($I$2:I430, $B$2:B430, B430)</f>
        <v>0.67</v>
      </c>
      <c r="AJ430" s="86">
        <f>AVERAGEIFS($J$2:J430, $B$2:B430, B430)</f>
        <v>0.61</v>
      </c>
      <c r="AK430" s="86">
        <f>AVERAGEIFS($D$2:D430, $B$2:B430, B430)</f>
        <v>0.8</v>
      </c>
    </row>
    <row r="431" spans="1:37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1</v>
      </c>
      <c r="AF431">
        <v>0</v>
      </c>
      <c r="AG431">
        <v>0</v>
      </c>
      <c r="AH431" s="86">
        <f>AVERAGEIFS($C$2:C431, $B$2:B431, B431)</f>
        <v>28.357142857142858</v>
      </c>
      <c r="AI431" s="86">
        <f>AVERAGEIFS($I$2:I431, $B$2:B431, B431)</f>
        <v>0.38928571428571429</v>
      </c>
      <c r="AJ431" s="86">
        <f>AVERAGEIFS($J$2:J431, $B$2:B431, B431)</f>
        <v>0.43642857142857133</v>
      </c>
      <c r="AK431" s="86">
        <f>AVERAGEIFS($D$2:D431, $B$2:B431, B431)</f>
        <v>0.42857142857142855</v>
      </c>
    </row>
    <row r="432" spans="1:37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1</v>
      </c>
      <c r="AF432">
        <v>0</v>
      </c>
      <c r="AG432">
        <v>0</v>
      </c>
      <c r="AH432" s="86">
        <f>AVERAGEIFS($C$2:C432, $B$2:B432, B432)</f>
        <v>24.466666666666665</v>
      </c>
      <c r="AI432" s="86">
        <f>AVERAGEIFS($I$2:I432, $B$2:B432, B432)</f>
        <v>0.36333333333333334</v>
      </c>
      <c r="AJ432" s="86">
        <f>AVERAGEIFS($J$2:J432, $B$2:B432, B432)</f>
        <v>0.43066666666666664</v>
      </c>
      <c r="AK432" s="86">
        <f>AVERAGEIFS($D$2:D432, $B$2:B432, B432)</f>
        <v>0.2</v>
      </c>
    </row>
    <row r="433" spans="1:37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17.559999999999999</v>
      </c>
      <c r="AI433" s="86">
        <f>AVERAGEIFS($I$2:I433, $B$2:B433, B433)</f>
        <v>0.46600000000000008</v>
      </c>
      <c r="AJ433" s="86">
        <f>AVERAGEIFS($J$2:J433, $B$2:B433, B433)</f>
        <v>0.48759999999999998</v>
      </c>
      <c r="AK433" s="86">
        <f>AVERAGEIFS($D$2:D433, $B$2:B433, B433)</f>
        <v>0.44</v>
      </c>
    </row>
    <row r="434" spans="1:37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8</v>
      </c>
      <c r="AI434" s="86">
        <f>AVERAGEIFS($I$2:I434, $B$2:B434, B434)</f>
        <v>0.25</v>
      </c>
      <c r="AJ434" s="86">
        <f>AVERAGEIFS($J$2:J434, $B$2:B434, B434)</f>
        <v>0.38</v>
      </c>
      <c r="AK434" s="86">
        <f>AVERAGEIFS($D$2:D434, $B$2:B434, B434)</f>
        <v>0</v>
      </c>
    </row>
    <row r="435" spans="1:37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15.470588235294118</v>
      </c>
      <c r="AI435" s="86">
        <f>AVERAGEIFS($I$2:I435, $B$2:B435, B435)</f>
        <v>0.37823529411764706</v>
      </c>
      <c r="AJ435" s="86">
        <f>AVERAGEIFS($J$2:J435, $B$2:B435, B435)</f>
        <v>0.4499999999999999</v>
      </c>
      <c r="AK435" s="86">
        <f>AVERAGEIFS($D$2:D435, $B$2:B435, B435)</f>
        <v>0.29411764705882354</v>
      </c>
    </row>
    <row r="436" spans="1:37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15</v>
      </c>
      <c r="AI436" s="86">
        <f>AVERAGEIFS($I$2:I436, $B$2:B436, B436)</f>
        <v>0.5</v>
      </c>
      <c r="AJ436" s="86">
        <f>AVERAGEIFS($J$2:J436, $B$2:B436, B436)</f>
        <v>0.51</v>
      </c>
      <c r="AK436" s="86">
        <f>AVERAGEIFS($D$2:D436, $B$2:B436, B436)</f>
        <v>0.5</v>
      </c>
    </row>
    <row r="437" spans="1:37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1</v>
      </c>
      <c r="AH437" s="86">
        <f>AVERAGEIFS($C$2:C437, $B$2:B437, B437)</f>
        <v>24.5</v>
      </c>
      <c r="AI437" s="86">
        <f>AVERAGEIFS($I$2:I437, $B$2:B437, B437)</f>
        <v>0.54566666666666674</v>
      </c>
      <c r="AJ437" s="86">
        <f>AVERAGEIFS($J$2:J437, $B$2:B437, B437)</f>
        <v>0.50933333333333342</v>
      </c>
      <c r="AK437" s="86">
        <f>AVERAGEIFS($D$2:D437, $B$2:B437, B437)</f>
        <v>0.53333333333333333</v>
      </c>
    </row>
    <row r="438" spans="1:37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1</v>
      </c>
      <c r="AH438" s="86">
        <f>AVERAGEIFS($C$2:C438, $B$2:B438, B438)</f>
        <v>23.291666666666668</v>
      </c>
      <c r="AI438" s="86">
        <f>AVERAGEIFS($I$2:I438, $B$2:B438, B438)</f>
        <v>0.54500000000000004</v>
      </c>
      <c r="AJ438" s="86">
        <f>AVERAGEIFS($J$2:J438, $B$2:B438, B438)</f>
        <v>0.55249999999999999</v>
      </c>
      <c r="AK438" s="86">
        <f>AVERAGEIFS($D$2:D438, $B$2:B438, B438)</f>
        <v>0.54166666666666663</v>
      </c>
    </row>
    <row r="439" spans="1:37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1</v>
      </c>
      <c r="AH439" s="86">
        <f>AVERAGEIFS($C$2:C439, $B$2:B439, B439)</f>
        <v>14.25</v>
      </c>
      <c r="AI439" s="86">
        <f>AVERAGEIFS($I$2:I439, $B$2:B439, B439)</f>
        <v>0.57499999999999996</v>
      </c>
      <c r="AJ439" s="86">
        <f>AVERAGEIFS($J$2:J439, $B$2:B439, B439)</f>
        <v>0.55249999999999999</v>
      </c>
      <c r="AK439" s="86">
        <f>AVERAGEIFS($D$2:D439, $B$2:B439, B439)</f>
        <v>0.58333333333333337</v>
      </c>
    </row>
    <row r="440" spans="1:37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1</v>
      </c>
      <c r="AH440" s="86">
        <f>AVERAGEIFS($C$2:C440, $B$2:B440, B440)</f>
        <v>17.384615384615383</v>
      </c>
      <c r="AI440" s="86">
        <f>AVERAGEIFS($I$2:I440, $B$2:B440, B440)</f>
        <v>0.48653846153846164</v>
      </c>
      <c r="AJ440" s="86">
        <f>AVERAGEIFS($J$2:J440, $B$2:B440, B440)</f>
        <v>0.5034615384615384</v>
      </c>
      <c r="AK440" s="86">
        <f>AVERAGEIFS($D$2:D440, $B$2:B440, B440)</f>
        <v>0.46153846153846156</v>
      </c>
    </row>
    <row r="441" spans="1:37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1</v>
      </c>
      <c r="AH441" s="86">
        <f>AVERAGEIFS($C$2:C441, $B$2:B441, B441)</f>
        <v>6.166666666666667</v>
      </c>
      <c r="AI441" s="86">
        <f>AVERAGEIFS($I$2:I441, $B$2:B441, B441)</f>
        <v>0.72499999999999998</v>
      </c>
      <c r="AJ441" s="86">
        <f>AVERAGEIFS($J$2:J441, $B$2:B441, B441)</f>
        <v>0.65833333333333333</v>
      </c>
      <c r="AK441" s="86">
        <f>AVERAGEIFS($D$2:D441, $B$2:B441, B441)</f>
        <v>0.83333333333333337</v>
      </c>
    </row>
    <row r="442" spans="1:37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1</v>
      </c>
      <c r="AH442" s="86">
        <f>AVERAGEIFS($C$2:C442, $B$2:B442, B442)</f>
        <v>15.055555555555555</v>
      </c>
      <c r="AI442" s="86">
        <f>AVERAGEIFS($I$2:I442, $B$2:B442, B442)</f>
        <v>0.41277777777777774</v>
      </c>
      <c r="AJ442" s="86">
        <f>AVERAGEIFS($J$2:J442, $B$2:B442, B442)</f>
        <v>0.47499999999999992</v>
      </c>
      <c r="AK442" s="86">
        <f>AVERAGEIFS($D$2:D442, $B$2:B442, B442)</f>
        <v>0.33333333333333331</v>
      </c>
    </row>
    <row r="443" spans="1:37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26.733333333333334</v>
      </c>
      <c r="AI443" s="86">
        <f>AVERAGEIFS($I$2:I443, $B$2:B443, B443)</f>
        <v>0.36333333333333334</v>
      </c>
      <c r="AJ443" s="86">
        <f>AVERAGEIFS($J$2:J443, $B$2:B443, B443)</f>
        <v>0.41399999999999987</v>
      </c>
      <c r="AK443" s="86">
        <f>AVERAGEIFS($D$2:D443, $B$2:B443, B443)</f>
        <v>0.4</v>
      </c>
    </row>
    <row r="444" spans="1:37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23.25</v>
      </c>
      <c r="AI444" s="86">
        <f>AVERAGEIFS($I$2:I444, $B$2:B444, B444)</f>
        <v>0.34062500000000001</v>
      </c>
      <c r="AJ444" s="86">
        <f>AVERAGEIFS($J$2:J444, $B$2:B444, B444)</f>
        <v>0.41</v>
      </c>
      <c r="AK444" s="86">
        <f>AVERAGEIFS($D$2:D444, $B$2:B444, B444)</f>
        <v>0.1875</v>
      </c>
    </row>
    <row r="445" spans="1:37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16.5</v>
      </c>
      <c r="AI445" s="86">
        <f>AVERAGEIFS($I$2:I445, $B$2:B445, B445)</f>
        <v>0.51071428571428579</v>
      </c>
      <c r="AJ445" s="86">
        <f>AVERAGEIFS($J$2:J445, $B$2:B445, B445)</f>
        <v>0.4921428571428571</v>
      </c>
      <c r="AK445" s="86">
        <f>AVERAGEIFS($D$2:D445, $B$2:B445, B445)</f>
        <v>0.5</v>
      </c>
    </row>
    <row r="446" spans="1:37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15.9</v>
      </c>
      <c r="AI446" s="86">
        <f>AVERAGEIFS($I$2:I446, $B$2:B446, B446)</f>
        <v>0.5</v>
      </c>
      <c r="AJ446" s="86">
        <f>AVERAGEIFS($J$2:J446, $B$2:B446, B446)</f>
        <v>0.47199999999999998</v>
      </c>
      <c r="AK446" s="86">
        <f>AVERAGEIFS($D$2:D446, $B$2:B446, B446)</f>
        <v>0.5</v>
      </c>
    </row>
    <row r="447" spans="1:37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6</v>
      </c>
      <c r="AI447" s="86">
        <f>AVERAGEIFS($I$2:I447, $B$2:B447, B447)</f>
        <v>0</v>
      </c>
      <c r="AJ447" s="86">
        <f>AVERAGEIFS($J$2:J447, $B$2:B447, B447)</f>
        <v>0.1</v>
      </c>
      <c r="AK447" s="86">
        <f>AVERAGEIFS($D$2:D447, $B$2:B447, B447)</f>
        <v>0</v>
      </c>
    </row>
    <row r="448" spans="1:37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11.23076923076923</v>
      </c>
      <c r="AI448" s="86">
        <f>AVERAGEIFS($I$2:I448, $B$2:B448, B448)</f>
        <v>0.44923076923076927</v>
      </c>
      <c r="AJ448" s="86">
        <f>AVERAGEIFS($J$2:J448, $B$2:B448, B448)</f>
        <v>0.47576923076923083</v>
      </c>
      <c r="AK448" s="86">
        <f>AVERAGEIFS($D$2:D448, $B$2:B448, B448)</f>
        <v>0.38461538461538464</v>
      </c>
    </row>
    <row r="449" spans="1:37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 s="86">
        <f>AVERAGEIFS($C$2:C449, $B$2:B449, B449)</f>
        <v>22.7</v>
      </c>
      <c r="AI449" s="86">
        <f>AVERAGEIFS($I$2:I449, $B$2:B449, B449)</f>
        <v>0.61599999999999999</v>
      </c>
      <c r="AJ449" s="86">
        <f>AVERAGEIFS($J$2:J449, $B$2:B449, B449)</f>
        <v>0.56599999999999995</v>
      </c>
      <c r="AK449" s="86">
        <f>AVERAGEIFS($D$2:D449, $B$2:B449, B449)</f>
        <v>0.73333333333333328</v>
      </c>
    </row>
    <row r="450" spans="1:37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 s="86">
        <f>AVERAGEIFS($C$2:C450, $B$2:B450, B450)</f>
        <v>12.375</v>
      </c>
      <c r="AI450" s="86">
        <f>AVERAGEIFS($I$2:I450, $B$2:B450, B450)</f>
        <v>0.46250000000000002</v>
      </c>
      <c r="AJ450" s="86">
        <f>AVERAGEIFS($J$2:J450, $B$2:B450, B450)</f>
        <v>0.46124999999999999</v>
      </c>
      <c r="AK450" s="86">
        <f>AVERAGEIFS($D$2:D450, $B$2:B450, B450)</f>
        <v>0.625</v>
      </c>
    </row>
    <row r="451" spans="1:37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 s="86">
        <f>AVERAGEIFS($C$2:C451, $B$2:B451, B451)</f>
        <v>11.111111111111111</v>
      </c>
      <c r="AI451" s="86">
        <f>AVERAGEIFS($I$2:I451, $B$2:B451, B451)</f>
        <v>0.43259259259259264</v>
      </c>
      <c r="AJ451" s="86">
        <f>AVERAGEIFS($J$2:J451, $B$2:B451, B451)</f>
        <v>0.46962962962962967</v>
      </c>
      <c r="AK451" s="86">
        <f>AVERAGEIFS($D$2:D451, $B$2:B451, B451)</f>
        <v>0.37037037037037035</v>
      </c>
    </row>
    <row r="452" spans="1:37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 s="86">
        <f>AVERAGEIFS($C$2:C452, $B$2:B452, B452)</f>
        <v>5.7142857142857144</v>
      </c>
      <c r="AI452" s="86">
        <f>AVERAGEIFS($I$2:I452, $B$2:B452, B452)</f>
        <v>0.62142857142857133</v>
      </c>
      <c r="AJ452" s="86">
        <f>AVERAGEIFS($J$2:J452, $B$2:B452, B452)</f>
        <v>0.60857142857142854</v>
      </c>
      <c r="AK452" s="86">
        <f>AVERAGEIFS($D$2:D452, $B$2:B452, B452)</f>
        <v>0.7142857142857143</v>
      </c>
    </row>
    <row r="453" spans="1:37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 s="86">
        <f>AVERAGEIFS($C$2:C453, $B$2:B453, B453)</f>
        <v>8.5</v>
      </c>
      <c r="AI453" s="86">
        <f>AVERAGEIFS($I$2:I453, $B$2:B453, B453)</f>
        <v>0.125</v>
      </c>
      <c r="AJ453" s="86">
        <f>AVERAGEIFS($J$2:J453, $B$2:B453, B453)</f>
        <v>0.34499999999999997</v>
      </c>
      <c r="AK453" s="86">
        <f>AVERAGEIFS($D$2:D453, $B$2:B453, B453)</f>
        <v>0</v>
      </c>
    </row>
    <row r="454" spans="1:37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 s="86">
        <f>AVERAGEIFS($C$2:C454, $B$2:B454, B454)</f>
        <v>24.35483870967742</v>
      </c>
      <c r="AI454" s="86">
        <f>AVERAGEIFS($I$2:I454, $B$2:B454, B454)</f>
        <v>0.52806451612903227</v>
      </c>
      <c r="AJ454" s="86">
        <f>AVERAGEIFS($J$2:J454, $B$2:B454, B454)</f>
        <v>0.50290322580645164</v>
      </c>
      <c r="AK454" s="86">
        <f>AVERAGEIFS($D$2:D454, $B$2:B454, B454)</f>
        <v>0.5161290322580645</v>
      </c>
    </row>
    <row r="455" spans="1:37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1</v>
      </c>
      <c r="AE455">
        <v>0</v>
      </c>
      <c r="AF455">
        <v>0</v>
      </c>
      <c r="AG455">
        <v>0</v>
      </c>
      <c r="AH455" s="86">
        <f>AVERAGEIFS($C$2:C455, $B$2:B455, B455)</f>
        <v>14.894736842105264</v>
      </c>
      <c r="AI455" s="86">
        <f>AVERAGEIFS($I$2:I455, $B$2:B455, B455)</f>
        <v>0.44368421052631579</v>
      </c>
      <c r="AJ455" s="86">
        <f>AVERAGEIFS($J$2:J455, $B$2:B455, B455)</f>
        <v>0.48631578947368415</v>
      </c>
      <c r="AK455" s="86">
        <f>AVERAGEIFS($D$2:D455, $B$2:B455, B455)</f>
        <v>0.36842105263157893</v>
      </c>
    </row>
    <row r="456" spans="1:37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1</v>
      </c>
      <c r="AE456">
        <v>0</v>
      </c>
      <c r="AF456">
        <v>0</v>
      </c>
      <c r="AG456">
        <v>0</v>
      </c>
      <c r="AH456" s="86">
        <f>AVERAGEIFS($C$2:C456, $B$2:B456, B456)</f>
        <v>26.4375</v>
      </c>
      <c r="AI456" s="86">
        <f>AVERAGEIFS($I$2:I456, $B$2:B456, B456)</f>
        <v>0.40312500000000001</v>
      </c>
      <c r="AJ456" s="86">
        <f>AVERAGEIFS($J$2:J456, $B$2:B456, B456)</f>
        <v>0.43124999999999991</v>
      </c>
      <c r="AK456" s="86">
        <f>AVERAGEIFS($D$2:D456, $B$2:B456, B456)</f>
        <v>0.4375</v>
      </c>
    </row>
    <row r="457" spans="1:37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1</v>
      </c>
      <c r="AE457">
        <v>0</v>
      </c>
      <c r="AF457">
        <v>0</v>
      </c>
      <c r="AG457">
        <v>0</v>
      </c>
      <c r="AH457" s="86">
        <f>AVERAGEIFS($C$2:C457, $B$2:B457, B457)</f>
        <v>7.5</v>
      </c>
      <c r="AI457" s="86">
        <f>AVERAGEIFS($I$2:I457, $B$2:B457, B457)</f>
        <v>0.5</v>
      </c>
      <c r="AJ457" s="86">
        <f>AVERAGEIFS($J$2:J457, $B$2:B457, B457)</f>
        <v>0.39499999999999996</v>
      </c>
      <c r="AK457" s="86">
        <f>AVERAGEIFS($D$2:D457, $B$2:B457, B457)</f>
        <v>0.5</v>
      </c>
    </row>
    <row r="458" spans="1:37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1</v>
      </c>
      <c r="AE458">
        <v>0</v>
      </c>
      <c r="AF458">
        <v>0</v>
      </c>
      <c r="AG458">
        <v>0</v>
      </c>
      <c r="AH458" s="86">
        <f>AVERAGEIFS($C$2:C458, $B$2:B458, B458)</f>
        <v>15.818181818181818</v>
      </c>
      <c r="AI458" s="86">
        <f>AVERAGEIFS($I$2:I458, $B$2:B458, B458)</f>
        <v>0.54545454545454541</v>
      </c>
      <c r="AJ458" s="86">
        <f>AVERAGEIFS($J$2:J458, $B$2:B458, B458)</f>
        <v>0.49181818181818182</v>
      </c>
      <c r="AK458" s="86">
        <f>AVERAGEIFS($D$2:D458, $B$2:B458, B458)</f>
        <v>0.54545454545454541</v>
      </c>
    </row>
    <row r="459" spans="1:37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1</v>
      </c>
      <c r="AE459">
        <v>0</v>
      </c>
      <c r="AF459">
        <v>0</v>
      </c>
      <c r="AG459">
        <v>0</v>
      </c>
      <c r="AH459" s="86">
        <f>AVERAGEIFS($C$2:C459, $B$2:B459, B459)</f>
        <v>14.076923076923077</v>
      </c>
      <c r="AI459" s="86">
        <f>AVERAGEIFS($I$2:I459, $B$2:B459, B459)</f>
        <v>0.60769230769230764</v>
      </c>
      <c r="AJ459" s="86">
        <f>AVERAGEIFS($J$2:J459, $B$2:B459, B459)</f>
        <v>0.56307692307692314</v>
      </c>
      <c r="AK459" s="86">
        <f>AVERAGEIFS($D$2:D459, $B$2:B459, B459)</f>
        <v>0.61538461538461542</v>
      </c>
    </row>
    <row r="460" spans="1:37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1</v>
      </c>
      <c r="AE460">
        <v>0</v>
      </c>
      <c r="AF460">
        <v>0</v>
      </c>
      <c r="AG460">
        <v>0</v>
      </c>
      <c r="AH460" s="86">
        <f>AVERAGEIFS($C$2:C460, $B$2:B460, B460)</f>
        <v>17.333333333333332</v>
      </c>
      <c r="AI460" s="86">
        <f>AVERAGEIFS($I$2:I460, $B$2:B460, B460)</f>
        <v>0.50555555555555565</v>
      </c>
      <c r="AJ460" s="86">
        <f>AVERAGEIFS($J$2:J460, $B$2:B460, B460)</f>
        <v>0.51037037037037036</v>
      </c>
      <c r="AK460" s="86">
        <f>AVERAGEIFS($D$2:D460, $B$2:B460, B460)</f>
        <v>0.48148148148148145</v>
      </c>
    </row>
    <row r="461" spans="1:37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24.15625</v>
      </c>
      <c r="AI461" s="86">
        <f>AVERAGEIFS($I$2:I461, $B$2:B461, B461)</f>
        <v>0.53500000000000003</v>
      </c>
      <c r="AJ461" s="86">
        <f>AVERAGEIFS($J$2:J461, $B$2:B461, B461)</f>
        <v>0.50937500000000002</v>
      </c>
      <c r="AK461" s="86">
        <f>AVERAGEIFS($D$2:D461, $B$2:B461, B461)</f>
        <v>0.53125</v>
      </c>
    </row>
    <row r="462" spans="1:37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14.4</v>
      </c>
      <c r="AI462" s="86">
        <f>AVERAGEIFS($I$2:I462, $B$2:B462, B462)</f>
        <v>0.45899999999999996</v>
      </c>
      <c r="AJ462" s="86">
        <f>AVERAGEIFS($J$2:J462, $B$2:B462, B462)</f>
        <v>0.49749999999999994</v>
      </c>
      <c r="AK462" s="86">
        <f>AVERAGEIFS($D$2:D462, $B$2:B462, B462)</f>
        <v>0.4</v>
      </c>
    </row>
    <row r="463" spans="1:37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13.714285714285714</v>
      </c>
      <c r="AI463" s="86">
        <f>AVERAGEIFS($I$2:I463, $B$2:B463, B463)</f>
        <v>0.61785714285714277</v>
      </c>
      <c r="AJ463" s="86">
        <f>AVERAGEIFS($J$2:J463, $B$2:B463, B463)</f>
        <v>0.57357142857142862</v>
      </c>
      <c r="AK463" s="86">
        <f>AVERAGEIFS($D$2:D463, $B$2:B463, B463)</f>
        <v>0.6428571428571429</v>
      </c>
    </row>
    <row r="464" spans="1:37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12.555555555555555</v>
      </c>
      <c r="AI464" s="86">
        <f>AVERAGEIFS($I$2:I464, $B$2:B464, B464)</f>
        <v>0.49444444444444446</v>
      </c>
      <c r="AJ464" s="86">
        <f>AVERAGEIFS($J$2:J464, $B$2:B464, B464)</f>
        <v>0.48888888888888893</v>
      </c>
      <c r="AK464" s="86">
        <f>AVERAGEIFS($D$2:D464, $B$2:B464, B464)</f>
        <v>0.66666666666666663</v>
      </c>
    </row>
    <row r="465" spans="1:37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11.285714285714286</v>
      </c>
      <c r="AI465" s="86">
        <f>AVERAGEIFS($I$2:I465, $B$2:B465, B465)</f>
        <v>0.44392857142857151</v>
      </c>
      <c r="AJ465" s="86">
        <f>AVERAGEIFS($J$2:J465, $B$2:B465, B465)</f>
        <v>0.47821428571428576</v>
      </c>
      <c r="AK465" s="86">
        <f>AVERAGEIFS($D$2:D465, $B$2:B465, B465)</f>
        <v>0.39285714285714285</v>
      </c>
    </row>
    <row r="466" spans="1:37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1</v>
      </c>
      <c r="AF466">
        <v>0</v>
      </c>
      <c r="AG466">
        <v>0</v>
      </c>
      <c r="AH466" s="86">
        <f>AVERAGEIFS($C$2:C466, $B$2:B466, B466)</f>
        <v>5.666666666666667</v>
      </c>
      <c r="AI466" s="86">
        <f>AVERAGEIFS($I$2:I466, $B$2:B466, B466)</f>
        <v>0.41666666666666669</v>
      </c>
      <c r="AJ466" s="86">
        <f>AVERAGEIFS($J$2:J466, $B$2:B466, B466)</f>
        <v>0.35999999999999993</v>
      </c>
      <c r="AK466" s="86">
        <f>AVERAGEIFS($D$2:D466, $B$2:B466, B466)</f>
        <v>0.33333333333333331</v>
      </c>
    </row>
    <row r="467" spans="1:37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1</v>
      </c>
      <c r="AF467">
        <v>0</v>
      </c>
      <c r="AG467">
        <v>0</v>
      </c>
      <c r="AH467" s="86">
        <f>AVERAGEIFS($C$2:C467, $B$2:B467, B467)</f>
        <v>8.3333333333333339</v>
      </c>
      <c r="AI467" s="86">
        <f>AVERAGEIFS($I$2:I467, $B$2:B467, B467)</f>
        <v>0.16666666666666666</v>
      </c>
      <c r="AJ467" s="86">
        <f>AVERAGEIFS($J$2:J467, $B$2:B467, B467)</f>
        <v>0.32666666666666666</v>
      </c>
      <c r="AK467" s="86">
        <f>AVERAGEIFS($D$2:D467, $B$2:B467, B467)</f>
        <v>0</v>
      </c>
    </row>
    <row r="468" spans="1:37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1</v>
      </c>
      <c r="AF468">
        <v>0</v>
      </c>
      <c r="AG468">
        <v>0</v>
      </c>
      <c r="AH468" s="86">
        <f>AVERAGEIFS($C$2:C468, $B$2:B468, B468)</f>
        <v>16.964285714285715</v>
      </c>
      <c r="AI468" s="86">
        <f>AVERAGEIFS($I$2:I468, $B$2:B468, B468)</f>
        <v>0.4964285714285715</v>
      </c>
      <c r="AJ468" s="86">
        <f>AVERAGEIFS($J$2:J468, $B$2:B468, B468)</f>
        <v>0.50249999999999995</v>
      </c>
      <c r="AK468" s="86">
        <f>AVERAGEIFS($D$2:D468, $B$2:B468, B468)</f>
        <v>0.4642857142857143</v>
      </c>
    </row>
    <row r="469" spans="1:37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1</v>
      </c>
      <c r="AF469">
        <v>0</v>
      </c>
      <c r="AG469">
        <v>0</v>
      </c>
      <c r="AH469" s="86">
        <f>AVERAGEIFS($C$2:C469, $B$2:B469, B469)</f>
        <v>22.483870967741936</v>
      </c>
      <c r="AI469" s="86">
        <f>AVERAGEIFS($I$2:I469, $B$2:B469, B469)</f>
        <v>0.60419354838709682</v>
      </c>
      <c r="AJ469" s="86">
        <f>AVERAGEIFS($J$2:J469, $B$2:B469, B469)</f>
        <v>0.55709677419354831</v>
      </c>
      <c r="AK469" s="86">
        <f>AVERAGEIFS($D$2:D469, $B$2:B469, B469)</f>
        <v>0.70967741935483875</v>
      </c>
    </row>
    <row r="470" spans="1:37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1</v>
      </c>
      <c r="AF470">
        <v>0</v>
      </c>
      <c r="AG470">
        <v>0</v>
      </c>
      <c r="AH470" s="86">
        <f>AVERAGEIFS($C$2:C470, $B$2:B470, B470)</f>
        <v>15.833333333333334</v>
      </c>
      <c r="AI470" s="86">
        <f>AVERAGEIFS($I$2:I470, $B$2:B470, B470)</f>
        <v>0.52083333333333337</v>
      </c>
      <c r="AJ470" s="86">
        <f>AVERAGEIFS($J$2:J470, $B$2:B470, B470)</f>
        <v>0.47500000000000003</v>
      </c>
      <c r="AK470" s="86">
        <f>AVERAGEIFS($D$2:D470, $B$2:B470, B470)</f>
        <v>0.5</v>
      </c>
    </row>
    <row r="471" spans="1:37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19.12</v>
      </c>
      <c r="AI471" s="86">
        <f>AVERAGEIFS($I$2:I471, $B$2:B471, B471)</f>
        <v>0.54120000000000001</v>
      </c>
      <c r="AJ471" s="86">
        <f>AVERAGEIFS($J$2:J471, $B$2:B471, B471)</f>
        <v>0.5371999999999999</v>
      </c>
      <c r="AK471" s="86">
        <f>AVERAGEIFS($D$2:D471, $B$2:B471, B471)</f>
        <v>0.56000000000000005</v>
      </c>
    </row>
    <row r="472" spans="1:37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24.212121212121211</v>
      </c>
      <c r="AI472" s="86">
        <f>AVERAGEIFS($I$2:I472, $B$2:B472, B472)</f>
        <v>0.52636363636363637</v>
      </c>
      <c r="AJ472" s="86">
        <f>AVERAGEIFS($J$2:J472, $B$2:B472, B472)</f>
        <v>0.50727272727272732</v>
      </c>
      <c r="AK472" s="86">
        <f>AVERAGEIFS($D$2:D472, $B$2:B472, B472)</f>
        <v>0.51515151515151514</v>
      </c>
    </row>
    <row r="473" spans="1:37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12.6</v>
      </c>
      <c r="AI473" s="86">
        <f>AVERAGEIFS($I$2:I473, $B$2:B473, B473)</f>
        <v>0.47000000000000003</v>
      </c>
      <c r="AJ473" s="86">
        <f>AVERAGEIFS($J$2:J473, $B$2:B473, B473)</f>
        <v>0.4840000000000001</v>
      </c>
      <c r="AK473" s="86">
        <f>AVERAGEIFS($D$2:D473, $B$2:B473, B473)</f>
        <v>0.6</v>
      </c>
    </row>
    <row r="474" spans="1:37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15.846153846153847</v>
      </c>
      <c r="AI474" s="86">
        <f>AVERAGEIFS($I$2:I474, $B$2:B474, B474)</f>
        <v>0.5</v>
      </c>
      <c r="AJ474" s="86">
        <f>AVERAGEIFS($J$2:J474, $B$2:B474, B474)</f>
        <v>0.47230769230769237</v>
      </c>
      <c r="AK474" s="86">
        <f>AVERAGEIFS($D$2:D474, $B$2:B474, B474)</f>
        <v>0.46153846153846156</v>
      </c>
    </row>
    <row r="475" spans="1:37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11.206896551724139</v>
      </c>
      <c r="AI475" s="86">
        <f>AVERAGEIFS($I$2:I475, $B$2:B475, B475)</f>
        <v>0.4372413793103449</v>
      </c>
      <c r="AJ475" s="86">
        <f>AVERAGEIFS($J$2:J475, $B$2:B475, B475)</f>
        <v>0.47689655172413792</v>
      </c>
      <c r="AK475" s="86">
        <f>AVERAGEIFS($D$2:D475, $B$2:B475, B475)</f>
        <v>0.37931034482758619</v>
      </c>
    </row>
    <row r="476" spans="1:37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4</v>
      </c>
      <c r="AI476" s="86">
        <f>AVERAGEIFS($I$2:I476, $B$2:B476, B476)</f>
        <v>0.25</v>
      </c>
      <c r="AJ476" s="86">
        <f>AVERAGEIFS($J$2:J476, $B$2:B476, B476)</f>
        <v>0.44</v>
      </c>
      <c r="AK476" s="86">
        <f>AVERAGEIFS($D$2:D476, $B$2:B476, B476)</f>
        <v>0</v>
      </c>
    </row>
    <row r="477" spans="1:37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1</v>
      </c>
      <c r="AF477">
        <v>0</v>
      </c>
      <c r="AG477">
        <v>0</v>
      </c>
      <c r="AH477" s="86">
        <f>AVERAGEIFS($C$2:C477, $B$2:B477, B477)</f>
        <v>23.24</v>
      </c>
      <c r="AI477" s="86">
        <f>AVERAGEIFS($I$2:I477, $B$2:B477, B477)</f>
        <v>0.55320000000000003</v>
      </c>
      <c r="AJ477" s="86">
        <f>AVERAGEIFS($J$2:J477, $B$2:B477, B477)</f>
        <v>0.55279999999999996</v>
      </c>
      <c r="AK477" s="86">
        <f>AVERAGEIFS($D$2:D477, $B$2:B477, B477)</f>
        <v>0.56000000000000005</v>
      </c>
    </row>
    <row r="478" spans="1:37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1</v>
      </c>
      <c r="AF478">
        <v>0</v>
      </c>
      <c r="AG478">
        <v>0</v>
      </c>
      <c r="AH478" s="86">
        <f>AVERAGEIFS($C$2:C478, $B$2:B478, B478)</f>
        <v>14.266666666666667</v>
      </c>
      <c r="AI478" s="86">
        <f>AVERAGEIFS($I$2:I478, $B$2:B478, B478)</f>
        <v>0.62666666666666659</v>
      </c>
      <c r="AJ478" s="86">
        <f>AVERAGEIFS($J$2:J478, $B$2:B478, B478)</f>
        <v>0.57266666666666677</v>
      </c>
      <c r="AK478" s="86">
        <f>AVERAGEIFS($D$2:D478, $B$2:B478, B478)</f>
        <v>0.66666666666666663</v>
      </c>
    </row>
    <row r="479" spans="1:37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1</v>
      </c>
      <c r="AF479">
        <v>0</v>
      </c>
      <c r="AG479">
        <v>0</v>
      </c>
      <c r="AH479" s="86">
        <f>AVERAGEIFS($C$2:C479, $B$2:B479, B479)</f>
        <v>16.896551724137932</v>
      </c>
      <c r="AI479" s="86">
        <f>AVERAGEIFS($I$2:I479, $B$2:B479, B479)</f>
        <v>0.50517241379310351</v>
      </c>
      <c r="AJ479" s="86">
        <f>AVERAGEIFS($J$2:J479, $B$2:B479, B479)</f>
        <v>0.50448275862068959</v>
      </c>
      <c r="AK479" s="86">
        <f>AVERAGEIFS($D$2:D479, $B$2:B479, B479)</f>
        <v>0.48275862068965519</v>
      </c>
    </row>
    <row r="480" spans="1:37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1</v>
      </c>
      <c r="AF480">
        <v>0</v>
      </c>
      <c r="AG480">
        <v>0</v>
      </c>
      <c r="AH480" s="86">
        <f>AVERAGEIFS($C$2:C480, $B$2:B480, B480)</f>
        <v>17.352941176470587</v>
      </c>
      <c r="AI480" s="86">
        <f>AVERAGEIFS($I$2:I480, $B$2:B480, B480)</f>
        <v>0.4088235294117647</v>
      </c>
      <c r="AJ480" s="86">
        <f>AVERAGEIFS($J$2:J480, $B$2:B480, B480)</f>
        <v>0.43529411764705872</v>
      </c>
      <c r="AK480" s="86">
        <f>AVERAGEIFS($D$2:D480, $B$2:B480, B480)</f>
        <v>0.41176470588235292</v>
      </c>
    </row>
    <row r="481" spans="1:37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1</v>
      </c>
      <c r="AF481">
        <v>0</v>
      </c>
      <c r="AG481">
        <v>0</v>
      </c>
      <c r="AH481" s="86">
        <f>AVERAGEIFS($C$2:C481, $B$2:B481, B481)</f>
        <v>10</v>
      </c>
      <c r="AI481" s="86">
        <f>AVERAGEIFS($I$2:I481, $B$2:B481, B481)</f>
        <v>0.46666666666666662</v>
      </c>
      <c r="AJ481" s="86">
        <f>AVERAGEIFS($J$2:J481, $B$2:B481, B481)</f>
        <v>0.44333333333333336</v>
      </c>
      <c r="AK481" s="86">
        <f>AVERAGEIFS($D$2:D481, $B$2:B481, B481)</f>
        <v>0.33333333333333331</v>
      </c>
    </row>
    <row r="482" spans="1:37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1</v>
      </c>
      <c r="AF482">
        <v>0</v>
      </c>
      <c r="AG482">
        <v>0</v>
      </c>
      <c r="AH482" s="86">
        <f>AVERAGEIFS($C$2:C482, $B$2:B482, B482)</f>
        <v>11</v>
      </c>
      <c r="AI482" s="86">
        <f>AVERAGEIFS($I$2:I482, $B$2:B482, B482)</f>
        <v>0.5</v>
      </c>
      <c r="AJ482" s="86">
        <f>AVERAGEIFS($J$2:J482, $B$2:B482, B482)</f>
        <v>0.46</v>
      </c>
      <c r="AK482" s="86">
        <f>AVERAGEIFS($D$2:D482, $B$2:B482, B482)</f>
        <v>0.5</v>
      </c>
    </row>
    <row r="483" spans="1:37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17.133333333333333</v>
      </c>
      <c r="AI483" s="86">
        <f>AVERAGEIFS($I$2:I483, $B$2:B483, B483)</f>
        <v>0.52166666666666672</v>
      </c>
      <c r="AJ483" s="86">
        <f>AVERAGEIFS($J$2:J483, $B$2:B483, B483)</f>
        <v>0.5106666666666666</v>
      </c>
      <c r="AK483" s="86">
        <f>AVERAGEIFS($D$2:D483, $B$2:B483, B483)</f>
        <v>0.5</v>
      </c>
    </row>
    <row r="484" spans="1:37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22.4375</v>
      </c>
      <c r="AI484" s="86">
        <f>AVERAGEIFS($I$2:I484, $B$2:B484, B484)</f>
        <v>0.61656250000000001</v>
      </c>
      <c r="AJ484" s="86">
        <f>AVERAGEIFS($J$2:J484, $B$2:B484, B484)</f>
        <v>0.56124999999999992</v>
      </c>
      <c r="AK484" s="86">
        <f>AVERAGEIFS($D$2:D484, $B$2:B484, B484)</f>
        <v>0.71875</v>
      </c>
    </row>
    <row r="485" spans="1:37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14.375</v>
      </c>
      <c r="AI485" s="86">
        <f>AVERAGEIFS($I$2:I485, $B$2:B485, B485)</f>
        <v>0.64999999999999991</v>
      </c>
      <c r="AJ485" s="86">
        <f>AVERAGEIFS($J$2:J485, $B$2:B485, B485)</f>
        <v>0.58000000000000007</v>
      </c>
      <c r="AK485" s="86">
        <f>AVERAGEIFS($D$2:D485, $B$2:B485, B485)</f>
        <v>0.6875</v>
      </c>
    </row>
    <row r="486" spans="1:37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13.5</v>
      </c>
      <c r="AI486" s="86">
        <f>AVERAGEIFS($I$2:I486, $B$2:B486, B486)</f>
        <v>0.44000000000000006</v>
      </c>
      <c r="AJ486" s="86">
        <f>AVERAGEIFS($J$2:J486, $B$2:B486, B486)</f>
        <v>0.44800000000000006</v>
      </c>
      <c r="AK486" s="86">
        <f>AVERAGEIFS($D$2:D486, $B$2:B486, B486)</f>
        <v>0.3</v>
      </c>
    </row>
    <row r="487" spans="1:37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8.6</v>
      </c>
      <c r="AI487" s="86">
        <f>AVERAGEIFS($I$2:I487, $B$2:B487, B487)</f>
        <v>0.75</v>
      </c>
      <c r="AJ487" s="86">
        <f>AVERAGEIFS($J$2:J487, $B$2:B487, B487)</f>
        <v>0.68200000000000005</v>
      </c>
      <c r="AK487" s="86">
        <f>AVERAGEIFS($D$2:D487, $B$2:B487, B487)</f>
        <v>0.8</v>
      </c>
    </row>
    <row r="488" spans="1:37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19.611111111111111</v>
      </c>
      <c r="AI488" s="86">
        <f>AVERAGEIFS($I$2:I488, $B$2:B488, B488)</f>
        <v>0.46111111111111103</v>
      </c>
      <c r="AJ488" s="86">
        <f>AVERAGEIFS($J$2:J488, $B$2:B488, B488)</f>
        <v>0.47777777777777775</v>
      </c>
      <c r="AK488" s="86">
        <f>AVERAGEIFS($D$2:D488, $B$2:B488, B488)</f>
        <v>0.3888888888888889</v>
      </c>
    </row>
    <row r="489" spans="1:37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 s="86">
        <f>AVERAGEIFS($C$2:C489, $B$2:B489, B489)</f>
        <v>24.058823529411764</v>
      </c>
      <c r="AI489" s="86">
        <f>AVERAGEIFS($I$2:I489, $B$2:B489, B489)</f>
        <v>0.51088235294117645</v>
      </c>
      <c r="AJ489" s="86">
        <f>AVERAGEIFS($J$2:J489, $B$2:B489, B489)</f>
        <v>0.50147058823529411</v>
      </c>
      <c r="AK489" s="86">
        <f>AVERAGEIFS($D$2:D489, $B$2:B489, B489)</f>
        <v>0.5</v>
      </c>
    </row>
    <row r="490" spans="1:37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 s="86">
        <f>AVERAGEIFS($C$2:C490, $B$2:B490, B490)</f>
        <v>20.714285714285715</v>
      </c>
      <c r="AI490" s="86">
        <f>AVERAGEIFS($I$2:I490, $B$2:B490, B490)</f>
        <v>0.41761904761904761</v>
      </c>
      <c r="AJ490" s="86">
        <f>AVERAGEIFS($J$2:J490, $B$2:B490, B490)</f>
        <v>0.44428571428571439</v>
      </c>
      <c r="AK490" s="86">
        <f>AVERAGEIFS($D$2:D490, $B$2:B490, B490)</f>
        <v>0.33333333333333331</v>
      </c>
    </row>
    <row r="491" spans="1:37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 s="86">
        <f>AVERAGEIFS($C$2:C491, $B$2:B491, B491)</f>
        <v>8.6666666666666661</v>
      </c>
      <c r="AI491" s="86">
        <f>AVERAGEIFS($I$2:I491, $B$2:B491, B491)</f>
        <v>0.49499999999999994</v>
      </c>
      <c r="AJ491" s="86">
        <f>AVERAGEIFS($J$2:J491, $B$2:B491, B491)</f>
        <v>0.4916666666666667</v>
      </c>
      <c r="AK491" s="86">
        <f>AVERAGEIFS($D$2:D491, $B$2:B491, B491)</f>
        <v>0.5</v>
      </c>
    </row>
    <row r="492" spans="1:37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 s="86">
        <f>AVERAGEIFS($C$2:C492, $B$2:B492, B492)</f>
        <v>17</v>
      </c>
      <c r="AI492" s="86">
        <f>AVERAGEIFS($I$2:I492, $B$2:B492, B492)</f>
        <v>0.49666666666666665</v>
      </c>
      <c r="AJ492" s="86">
        <f>AVERAGEIFS($J$2:J492, $B$2:B492, B492)</f>
        <v>0.51533333333333331</v>
      </c>
      <c r="AK492" s="86">
        <f>AVERAGEIFS($D$2:D492, $B$2:B492, B492)</f>
        <v>0.6</v>
      </c>
    </row>
    <row r="493" spans="1:37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 s="86">
        <f>AVERAGEIFS($C$2:C493, $B$2:B493, B493)</f>
        <v>18.25</v>
      </c>
      <c r="AI493" s="86">
        <f>AVERAGEIFS($I$2:I493, $B$2:B493, B493)</f>
        <v>0.71250000000000002</v>
      </c>
      <c r="AJ493" s="86">
        <f>AVERAGEIFS($J$2:J493, $B$2:B493, B493)</f>
        <v>0.62749999999999995</v>
      </c>
      <c r="AK493" s="86">
        <f>AVERAGEIFS($D$2:D493, $B$2:B493, B493)</f>
        <v>0.75</v>
      </c>
    </row>
    <row r="494" spans="1:37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19.076923076923077</v>
      </c>
      <c r="AI494" s="86">
        <f>AVERAGEIFS($I$2:I494, $B$2:B494, B494)</f>
        <v>0.55884615384615388</v>
      </c>
      <c r="AJ494" s="86">
        <f>AVERAGEIFS($J$2:J494, $B$2:B494, B494)</f>
        <v>0.55115384615384611</v>
      </c>
      <c r="AK494" s="86">
        <f>AVERAGEIFS($D$2:D494, $B$2:B494, B494)</f>
        <v>0.57692307692307687</v>
      </c>
    </row>
    <row r="495" spans="1:37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21.416666666666668</v>
      </c>
      <c r="AI495" s="86">
        <f>AVERAGEIFS($I$2:I495, $B$2:B495, B495)</f>
        <v>0.63916666666666666</v>
      </c>
      <c r="AJ495" s="86">
        <f>AVERAGEIFS($J$2:J495, $B$2:B495, B495)</f>
        <v>0.58083333333333342</v>
      </c>
      <c r="AK495" s="86">
        <f>AVERAGEIFS($D$2:D495, $B$2:B495, B495)</f>
        <v>0.75</v>
      </c>
    </row>
    <row r="496" spans="1:37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16.46153846153846</v>
      </c>
      <c r="AI496" s="86">
        <f>AVERAGEIFS($I$2:I496, $B$2:B496, B496)</f>
        <v>0.50923076923076926</v>
      </c>
      <c r="AJ496" s="86">
        <f>AVERAGEIFS($J$2:J496, $B$2:B496, B496)</f>
        <v>0.52846153846153854</v>
      </c>
      <c r="AK496" s="86">
        <f>AVERAGEIFS($D$2:D496, $B$2:B496, B496)</f>
        <v>0.53846153846153844</v>
      </c>
    </row>
    <row r="497" spans="1:37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16.066666666666666</v>
      </c>
      <c r="AI497" s="86">
        <f>AVERAGEIFS($I$2:I497, $B$2:B497, B497)</f>
        <v>0.54333333333333333</v>
      </c>
      <c r="AJ497" s="86">
        <f>AVERAGEIFS($J$2:J497, $B$2:B497, B497)</f>
        <v>0.51933333333333331</v>
      </c>
      <c r="AK497" s="86">
        <f>AVERAGEIFS($D$2:D497, $B$2:B497, B497)</f>
        <v>0.53333333333333333</v>
      </c>
    </row>
    <row r="498" spans="1:37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15.857142857142858</v>
      </c>
      <c r="AI498" s="86">
        <f>AVERAGEIFS($I$2:I498, $B$2:B498, B498)</f>
        <v>0.4642857142857143</v>
      </c>
      <c r="AJ498" s="86">
        <f>AVERAGEIFS($J$2:J498, $B$2:B498, B498)</f>
        <v>0.44571428571428573</v>
      </c>
      <c r="AK498" s="86">
        <f>AVERAGEIFS($D$2:D498, $B$2:B498, B498)</f>
        <v>0.42857142857142855</v>
      </c>
    </row>
    <row r="499" spans="1:37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 s="86">
        <f>AVERAGEIFS($C$2:C499, $B$2:B499, B499)</f>
        <v>22.764705882352942</v>
      </c>
      <c r="AI499" s="86">
        <f>AVERAGEIFS($I$2:I499, $B$2:B499, B499)</f>
        <v>0.32058823529411767</v>
      </c>
      <c r="AJ499" s="86">
        <f>AVERAGEIFS($J$2:J499, $B$2:B499, B499)</f>
        <v>0.3917647058823529</v>
      </c>
      <c r="AK499" s="86">
        <f>AVERAGEIFS($D$2:D499, $B$2:B499, B499)</f>
        <v>0.17647058823529413</v>
      </c>
    </row>
    <row r="500" spans="1:37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 s="86">
        <f>AVERAGEIFS($C$2:C500, $B$2:B500, B500)</f>
        <v>16.888888888888889</v>
      </c>
      <c r="AI500" s="86">
        <f>AVERAGEIFS($I$2:I500, $B$2:B500, B500)</f>
        <v>0.38611111111111113</v>
      </c>
      <c r="AJ500" s="86">
        <f>AVERAGEIFS($J$2:J500, $B$2:B500, B500)</f>
        <v>0.41666666666666657</v>
      </c>
      <c r="AK500" s="86">
        <f>AVERAGEIFS($D$2:D500, $B$2:B500, B500)</f>
        <v>0.3888888888888889</v>
      </c>
    </row>
    <row r="501" spans="1:37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 s="86">
        <f>AVERAGEIFS($C$2:C501, $B$2:B501, B501)</f>
        <v>6</v>
      </c>
      <c r="AI501" s="86">
        <f>AVERAGEIFS($I$2:I501, $B$2:B501, B501)</f>
        <v>0.54374999999999996</v>
      </c>
      <c r="AJ501" s="86">
        <f>AVERAGEIFS($J$2:J501, $B$2:B501, B501)</f>
        <v>0.54499999999999993</v>
      </c>
      <c r="AK501" s="86">
        <f>AVERAGEIFS($D$2:D501, $B$2:B501, B501)</f>
        <v>0.625</v>
      </c>
    </row>
    <row r="502" spans="1:37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 s="86">
        <f>AVERAGEIFS($C$2:C502, $B$2:B502, B502)</f>
        <v>12.625</v>
      </c>
      <c r="AI502" s="86">
        <f>AVERAGEIFS($I$2:I502, $B$2:B502, B502)</f>
        <v>0.51249999999999996</v>
      </c>
      <c r="AJ502" s="86">
        <f>AVERAGEIFS($J$2:J502, $B$2:B502, B502)</f>
        <v>0.48375000000000001</v>
      </c>
      <c r="AK502" s="86">
        <f>AVERAGEIFS($D$2:D502, $B$2:B502, B502)</f>
        <v>0.375</v>
      </c>
    </row>
    <row r="503" spans="1:37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1</v>
      </c>
      <c r="AC503">
        <v>0</v>
      </c>
      <c r="AD503">
        <v>0</v>
      </c>
      <c r="AE503">
        <v>1</v>
      </c>
      <c r="AF503">
        <v>0</v>
      </c>
      <c r="AG503">
        <v>0</v>
      </c>
      <c r="AH503" s="86">
        <f>AVERAGEIFS($C$2:C503, $B$2:B503, B503)</f>
        <v>24.285714285714285</v>
      </c>
      <c r="AI503" s="86">
        <f>AVERAGEIFS($I$2:I503, $B$2:B503, B503)</f>
        <v>0.51771428571428579</v>
      </c>
      <c r="AJ503" s="86">
        <f>AVERAGEIFS($J$2:J503, $B$2:B503, B503)</f>
        <v>0.50371428571428567</v>
      </c>
      <c r="AK503" s="86">
        <f>AVERAGEIFS($D$2:D503, $B$2:B503, B503)</f>
        <v>0.51428571428571423</v>
      </c>
    </row>
    <row r="504" spans="1:37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1</v>
      </c>
      <c r="AC504">
        <v>0</v>
      </c>
      <c r="AD504">
        <v>0</v>
      </c>
      <c r="AE504">
        <v>1</v>
      </c>
      <c r="AF504">
        <v>0</v>
      </c>
      <c r="AG504">
        <v>0</v>
      </c>
      <c r="AH504" s="86">
        <f>AVERAGEIFS($C$2:C504, $B$2:B504, B504)</f>
        <v>21.136363636363637</v>
      </c>
      <c r="AI504" s="86">
        <f>AVERAGEIFS($I$2:I504, $B$2:B504, B504)</f>
        <v>0.43272727272727268</v>
      </c>
      <c r="AJ504" s="86">
        <f>AVERAGEIFS($J$2:J504, $B$2:B504, B504)</f>
        <v>0.45045454545454555</v>
      </c>
      <c r="AK504" s="86">
        <f>AVERAGEIFS($D$2:D504, $B$2:B504, B504)</f>
        <v>0.36363636363636365</v>
      </c>
    </row>
    <row r="505" spans="1:37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1</v>
      </c>
      <c r="AC505">
        <v>0</v>
      </c>
      <c r="AD505">
        <v>0</v>
      </c>
      <c r="AE505">
        <v>1</v>
      </c>
      <c r="AF505">
        <v>0</v>
      </c>
      <c r="AG505">
        <v>0</v>
      </c>
      <c r="AH505" s="86">
        <f>AVERAGEIFS($C$2:C505, $B$2:B505, B505)</f>
        <v>21.23076923076923</v>
      </c>
      <c r="AI505" s="86">
        <f>AVERAGEIFS($I$2:I505, $B$2:B505, B505)</f>
        <v>0.64769230769230768</v>
      </c>
      <c r="AJ505" s="86">
        <f>AVERAGEIFS($J$2:J505, $B$2:B505, B505)</f>
        <v>0.58076923076923082</v>
      </c>
      <c r="AK505" s="86">
        <f>AVERAGEIFS($D$2:D505, $B$2:B505, B505)</f>
        <v>0.76923076923076927</v>
      </c>
    </row>
    <row r="506" spans="1:37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1</v>
      </c>
      <c r="AC506">
        <v>0</v>
      </c>
      <c r="AD506">
        <v>0</v>
      </c>
      <c r="AE506">
        <v>1</v>
      </c>
      <c r="AF506">
        <v>0</v>
      </c>
      <c r="AG506">
        <v>0</v>
      </c>
      <c r="AH506" s="86">
        <f>AVERAGEIFS($C$2:C506, $B$2:B506, B506)</f>
        <v>14.647058823529411</v>
      </c>
      <c r="AI506" s="86">
        <f>AVERAGEIFS($I$2:I506, $B$2:B506, B506)</f>
        <v>0.65588235294117636</v>
      </c>
      <c r="AJ506" s="86">
        <f>AVERAGEIFS($J$2:J506, $B$2:B506, B506)</f>
        <v>0.58000000000000007</v>
      </c>
      <c r="AK506" s="86">
        <f>AVERAGEIFS($D$2:D506, $B$2:B506, B506)</f>
        <v>0.70588235294117652</v>
      </c>
    </row>
    <row r="507" spans="1:37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1</v>
      </c>
      <c r="AC507">
        <v>0</v>
      </c>
      <c r="AD507">
        <v>0</v>
      </c>
      <c r="AE507">
        <v>1</v>
      </c>
      <c r="AF507">
        <v>0</v>
      </c>
      <c r="AG507">
        <v>0</v>
      </c>
      <c r="AH507" s="86">
        <f>AVERAGEIFS($C$2:C507, $B$2:B507, B507)</f>
        <v>17.096774193548388</v>
      </c>
      <c r="AI507" s="86">
        <f>AVERAGEIFS($I$2:I507, $B$2:B507, B507)</f>
        <v>0.52903225806451615</v>
      </c>
      <c r="AJ507" s="86">
        <f>AVERAGEIFS($J$2:J507, $B$2:B507, B507)</f>
        <v>0.51290322580645153</v>
      </c>
      <c r="AK507" s="86">
        <f>AVERAGEIFS($D$2:D507, $B$2:B507, B507)</f>
        <v>0.5161290322580645</v>
      </c>
    </row>
    <row r="508" spans="1:37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1</v>
      </c>
      <c r="AC508">
        <v>0</v>
      </c>
      <c r="AD508">
        <v>0</v>
      </c>
      <c r="AE508">
        <v>1</v>
      </c>
      <c r="AF508">
        <v>0</v>
      </c>
      <c r="AG508">
        <v>0</v>
      </c>
      <c r="AH508" s="86">
        <f>AVERAGEIFS($C$2:C508, $B$2:B508, B508)</f>
        <v>16.600000000000001</v>
      </c>
      <c r="AI508" s="86">
        <f>AVERAGEIFS($I$2:I508, $B$2:B508, B508)</f>
        <v>0.72</v>
      </c>
      <c r="AJ508" s="86">
        <f>AVERAGEIFS($J$2:J508, $B$2:B508, B508)</f>
        <v>0.61799999999999999</v>
      </c>
      <c r="AK508" s="86">
        <f>AVERAGEIFS($D$2:D508, $B$2:B508, B508)</f>
        <v>0.8</v>
      </c>
    </row>
    <row r="509" spans="1:37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1</v>
      </c>
      <c r="AC509">
        <v>0</v>
      </c>
      <c r="AD509">
        <v>0</v>
      </c>
      <c r="AE509">
        <v>1</v>
      </c>
      <c r="AF509">
        <v>0</v>
      </c>
      <c r="AG509">
        <v>0</v>
      </c>
      <c r="AH509" s="86">
        <f>AVERAGEIFS($C$2:C509, $B$2:B509, B509)</f>
        <v>11.133333333333333</v>
      </c>
      <c r="AI509" s="86">
        <f>AVERAGEIFS($I$2:I509, $B$2:B509, B509)</f>
        <v>0.44766666666666671</v>
      </c>
      <c r="AJ509" s="86">
        <f>AVERAGEIFS($J$2:J509, $B$2:B509, B509)</f>
        <v>0.48033333333333333</v>
      </c>
      <c r="AK509" s="86">
        <f>AVERAGEIFS($D$2:D509, $B$2:B509, B509)</f>
        <v>0.4</v>
      </c>
    </row>
    <row r="510" spans="1:37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1</v>
      </c>
      <c r="AC510">
        <v>0</v>
      </c>
      <c r="AD510">
        <v>0</v>
      </c>
      <c r="AE510">
        <v>1</v>
      </c>
      <c r="AF510">
        <v>0</v>
      </c>
      <c r="AG510">
        <v>0</v>
      </c>
      <c r="AH510" s="86">
        <f>AVERAGEIFS($C$2:C510, $B$2:B510, B510)</f>
        <v>14</v>
      </c>
      <c r="AI510" s="86">
        <f>AVERAGEIFS($I$2:I510, $B$2:B510, B510)</f>
        <v>0.47285714285714286</v>
      </c>
      <c r="AJ510" s="86">
        <f>AVERAGEIFS($J$2:J510, $B$2:B510, B510)</f>
        <v>0.50142857142857145</v>
      </c>
      <c r="AK510" s="86">
        <f>AVERAGEIFS($D$2:D510, $B$2:B510, B510)</f>
        <v>0.42857142857142855</v>
      </c>
    </row>
    <row r="511" spans="1:37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22.575757575757574</v>
      </c>
      <c r="AI511" s="86">
        <f>AVERAGEIFS($I$2:I511, $B$2:B511, B511)</f>
        <v>0.60545454545454547</v>
      </c>
      <c r="AJ511" s="86">
        <f>AVERAGEIFS($J$2:J511, $B$2:B511, B511)</f>
        <v>0.55696969696969689</v>
      </c>
      <c r="AK511" s="86">
        <f>AVERAGEIFS($D$2:D511, $B$2:B511, B511)</f>
        <v>0.69696969696969702</v>
      </c>
    </row>
    <row r="512" spans="1:37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17.315789473684209</v>
      </c>
      <c r="AI512" s="86">
        <f>AVERAGEIFS($I$2:I512, $B$2:B512, B512)</f>
        <v>0.37894736842105264</v>
      </c>
      <c r="AJ512" s="86">
        <f>AVERAGEIFS($J$2:J512, $B$2:B512, B512)</f>
        <v>0.41684210526315779</v>
      </c>
      <c r="AK512" s="86">
        <f>AVERAGEIFS($D$2:D512, $B$2:B512, B512)</f>
        <v>0.36842105263157893</v>
      </c>
    </row>
    <row r="513" spans="1:37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8.75</v>
      </c>
      <c r="AI513" s="86">
        <f>AVERAGEIFS($I$2:I513, $B$2:B513, B513)</f>
        <v>0.375</v>
      </c>
      <c r="AJ513" s="86">
        <f>AVERAGEIFS($J$2:J513, $B$2:B513, B513)</f>
        <v>0.37499999999999994</v>
      </c>
      <c r="AK513" s="86">
        <f>AVERAGEIFS($D$2:D513, $B$2:B513, B513)</f>
        <v>0.25</v>
      </c>
    </row>
    <row r="514" spans="1:37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16.9375</v>
      </c>
      <c r="AI514" s="86">
        <f>AVERAGEIFS($I$2:I514, $B$2:B514, B514)</f>
        <v>0.48124999999999996</v>
      </c>
      <c r="AJ514" s="86">
        <f>AVERAGEIFS($J$2:J514, $B$2:B514, B514)</f>
        <v>0.50937500000000002</v>
      </c>
      <c r="AK514" s="86">
        <f>AVERAGEIFS($D$2:D514, $B$2:B514, B514)</f>
        <v>0.5625</v>
      </c>
    </row>
    <row r="515" spans="1:37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9.6666666666666661</v>
      </c>
      <c r="AI515" s="86">
        <f>AVERAGEIFS($I$2:I515, $B$2:B515, B515)</f>
        <v>0.66666666666666663</v>
      </c>
      <c r="AJ515" s="86">
        <f>AVERAGEIFS($J$2:J515, $B$2:B515, B515)</f>
        <v>0.63833333333333331</v>
      </c>
      <c r="AK515" s="86">
        <f>AVERAGEIFS($D$2:D515, $B$2:B515, B515)</f>
        <v>0.66666666666666663</v>
      </c>
    </row>
    <row r="516" spans="1:37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9.4285714285714288</v>
      </c>
      <c r="AI516" s="86">
        <f>AVERAGEIFS($I$2:I516, $B$2:B516, B516)</f>
        <v>0.45999999999999996</v>
      </c>
      <c r="AJ516" s="86">
        <f>AVERAGEIFS($J$2:J516, $B$2:B516, B516)</f>
        <v>0.48142857142857143</v>
      </c>
      <c r="AK516" s="86">
        <f>AVERAGEIFS($D$2:D516, $B$2:B516, B516)</f>
        <v>0.42857142857142855</v>
      </c>
    </row>
    <row r="517" spans="1:37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11.5</v>
      </c>
      <c r="AI517" s="86">
        <f>AVERAGEIFS($I$2:I517, $B$2:B517, B517)</f>
        <v>0.5</v>
      </c>
      <c r="AJ517" s="86">
        <f>AVERAGEIFS($J$2:J517, $B$2:B517, B517)</f>
        <v>0.53</v>
      </c>
      <c r="AK517" s="86">
        <f>AVERAGEIFS($D$2:D517, $B$2:B517, B517)</f>
        <v>0.5</v>
      </c>
    </row>
    <row r="518" spans="1:37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18.777777777777779</v>
      </c>
      <c r="AI518" s="86">
        <f>AVERAGEIFS($I$2:I518, $B$2:B518, B518)</f>
        <v>0.54740740740740745</v>
      </c>
      <c r="AJ518" s="86">
        <f>AVERAGEIFS($J$2:J518, $B$2:B518, B518)</f>
        <v>0.54629629629629628</v>
      </c>
      <c r="AK518" s="86">
        <f>AVERAGEIFS($D$2:D518, $B$2:B518, B518)</f>
        <v>0.55555555555555558</v>
      </c>
    </row>
    <row r="519" spans="1:37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24.361111111111111</v>
      </c>
      <c r="AI519" s="86">
        <f>AVERAGEIFS($I$2:I519, $B$2:B519, B519)</f>
        <v>0.52</v>
      </c>
      <c r="AJ519" s="86">
        <f>AVERAGEIFS($J$2:J519, $B$2:B519, B519)</f>
        <v>0.505</v>
      </c>
      <c r="AK519" s="86">
        <f>AVERAGEIFS($D$2:D519, $B$2:B519, B519)</f>
        <v>0.52777777777777779</v>
      </c>
    </row>
    <row r="520" spans="1:37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22.470588235294116</v>
      </c>
      <c r="AI520" s="86">
        <f>AVERAGEIFS($I$2:I520, $B$2:B520, B520)</f>
        <v>0.60529411764705887</v>
      </c>
      <c r="AJ520" s="86">
        <f>AVERAGEIFS($J$2:J520, $B$2:B520, B520)</f>
        <v>0.55676470588235294</v>
      </c>
      <c r="AK520" s="86">
        <f>AVERAGEIFS($D$2:D520, $B$2:B520, B520)</f>
        <v>0.70588235294117652</v>
      </c>
    </row>
    <row r="521" spans="1:37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15</v>
      </c>
      <c r="AI521" s="86">
        <f>AVERAGEIFS($I$2:I521, $B$2:B521, B521)</f>
        <v>0.65277777777777768</v>
      </c>
      <c r="AJ521" s="86">
        <f>AVERAGEIFS($J$2:J521, $B$2:B521, B521)</f>
        <v>0.57833333333333348</v>
      </c>
      <c r="AK521" s="86">
        <f>AVERAGEIFS($D$2:D521, $B$2:B521, B521)</f>
        <v>0.72222222222222221</v>
      </c>
    </row>
    <row r="522" spans="1:37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17.399999999999999</v>
      </c>
      <c r="AI522" s="86">
        <f>AVERAGEIFS($I$2:I522, $B$2:B522, B522)</f>
        <v>0.39</v>
      </c>
      <c r="AJ522" s="86">
        <f>AVERAGEIFS($J$2:J522, $B$2:B522, B522)</f>
        <v>0.42349999999999993</v>
      </c>
      <c r="AK522" s="86">
        <f>AVERAGEIFS($D$2:D522, $B$2:B522, B522)</f>
        <v>0.4</v>
      </c>
    </row>
    <row r="523" spans="1:37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0</v>
      </c>
      <c r="AG523">
        <v>0</v>
      </c>
      <c r="AH523" s="86">
        <f>AVERAGEIFS($C$2:C523, $B$2:B523, B523)</f>
        <v>13.333333333333334</v>
      </c>
      <c r="AI523" s="86">
        <f>AVERAGEIFS($I$2:I523, $B$2:B523, B523)</f>
        <v>0.53333333333333333</v>
      </c>
      <c r="AJ523" s="86">
        <f>AVERAGEIFS($J$2:J523, $B$2:B523, B523)</f>
        <v>0.49000000000000005</v>
      </c>
      <c r="AK523" s="86">
        <f>AVERAGEIFS($D$2:D523, $B$2:B523, B523)</f>
        <v>0.66666666666666663</v>
      </c>
    </row>
    <row r="524" spans="1:37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0</v>
      </c>
      <c r="AG524">
        <v>0</v>
      </c>
      <c r="AH524" s="86">
        <f>AVERAGEIFS($C$2:C524, $B$2:B524, B524)</f>
        <v>7.2222222222222223</v>
      </c>
      <c r="AI524" s="86">
        <f>AVERAGEIFS($I$2:I524, $B$2:B524, B524)</f>
        <v>0.54999999999999993</v>
      </c>
      <c r="AJ524" s="86">
        <f>AVERAGEIFS($J$2:J524, $B$2:B524, B524)</f>
        <v>0.54555555555555546</v>
      </c>
      <c r="AK524" s="86">
        <f>AVERAGEIFS($D$2:D524, $B$2:B524, B524)</f>
        <v>0.66666666666666663</v>
      </c>
    </row>
    <row r="525" spans="1:37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 s="86">
        <f>AVERAGEIFS($C$2:C525, $B$2:B525, B525)</f>
        <v>26.411764705882351</v>
      </c>
      <c r="AI525" s="86">
        <f>AVERAGEIFS($I$2:I525, $B$2:B525, B525)</f>
        <v>0.40294117647058825</v>
      </c>
      <c r="AJ525" s="86">
        <f>AVERAGEIFS($J$2:J525, $B$2:B525, B525)</f>
        <v>0.4323529411764705</v>
      </c>
      <c r="AK525" s="86">
        <f>AVERAGEIFS($D$2:D525, $B$2:B525, B525)</f>
        <v>0.41176470588235292</v>
      </c>
    </row>
    <row r="526" spans="1:37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 s="86">
        <f>AVERAGEIFS($C$2:C526, $B$2:B526, B526)</f>
        <v>14.909090909090908</v>
      </c>
      <c r="AI526" s="86">
        <f>AVERAGEIFS($I$2:I526, $B$2:B526, B526)</f>
        <v>0.43636363636363645</v>
      </c>
      <c r="AJ526" s="86">
        <f>AVERAGEIFS($J$2:J526, $B$2:B526, B526)</f>
        <v>0.44818181818181824</v>
      </c>
      <c r="AK526" s="86">
        <f>AVERAGEIFS($D$2:D526, $B$2:B526, B526)</f>
        <v>0.27272727272727271</v>
      </c>
    </row>
    <row r="527" spans="1:37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 s="86">
        <f>AVERAGEIFS($C$2:C527, $B$2:B527, B527)</f>
        <v>4.5999999999999996</v>
      </c>
      <c r="AI527" s="86">
        <f>AVERAGEIFS($I$2:I527, $B$2:B527, B527)</f>
        <v>0.43</v>
      </c>
      <c r="AJ527" s="86">
        <f>AVERAGEIFS($J$2:J527, $B$2:B527, B527)</f>
        <v>0.43600000000000005</v>
      </c>
      <c r="AK527" s="86">
        <f>AVERAGEIFS($D$2:D527, $B$2:B527, B527)</f>
        <v>0.4</v>
      </c>
    </row>
    <row r="528" spans="1:37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 s="86">
        <f>AVERAGEIFS($C$2:C528, $B$2:B528, B528)</f>
        <v>14.090909090909092</v>
      </c>
      <c r="AI528" s="86">
        <f>AVERAGEIFS($I$2:I528, $B$2:B528, B528)</f>
        <v>0.46954545454545454</v>
      </c>
      <c r="AJ528" s="86">
        <f>AVERAGEIFS($J$2:J528, $B$2:B528, B528)</f>
        <v>0.49909090909090903</v>
      </c>
      <c r="AK528" s="86">
        <f>AVERAGEIFS($D$2:D528, $B$2:B528, B528)</f>
        <v>0.40909090909090912</v>
      </c>
    </row>
    <row r="529" spans="1:37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 s="86">
        <f>AVERAGEIFS($C$2:C529, $B$2:B529, B529)</f>
        <v>23.222222222222221</v>
      </c>
      <c r="AI529" s="86">
        <f>AVERAGEIFS($I$2:I529, $B$2:B529, B529)</f>
        <v>0.32500000000000001</v>
      </c>
      <c r="AJ529" s="86">
        <f>AVERAGEIFS($J$2:J529, $B$2:B529, B529)</f>
        <v>0.39499999999999996</v>
      </c>
      <c r="AK529" s="86">
        <f>AVERAGEIFS($D$2:D529, $B$2:B529, B529)</f>
        <v>0.16666666666666666</v>
      </c>
    </row>
    <row r="530" spans="1:37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17.0625</v>
      </c>
      <c r="AI530" s="86">
        <f>AVERAGEIFS($I$2:I530, $B$2:B530, B530)</f>
        <v>0.52500000000000002</v>
      </c>
      <c r="AJ530" s="86">
        <f>AVERAGEIFS($J$2:J530, $B$2:B530, B530)</f>
        <v>0.51093749999999993</v>
      </c>
      <c r="AK530" s="86">
        <f>AVERAGEIFS($D$2:D530, $B$2:B530, B530)</f>
        <v>0.5</v>
      </c>
    </row>
    <row r="531" spans="1:37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1</v>
      </c>
      <c r="AF531">
        <v>0</v>
      </c>
      <c r="AG531">
        <v>0</v>
      </c>
      <c r="AH531" s="86">
        <f>AVERAGEIFS($C$2:C531, $B$2:B531, B531)</f>
        <v>17.272727272727273</v>
      </c>
      <c r="AI531" s="86">
        <f>AVERAGEIFS($I$2:I531, $B$2:B531, B531)</f>
        <v>0.52121212121212124</v>
      </c>
      <c r="AJ531" s="86">
        <f>AVERAGEIFS($J$2:J531, $B$2:B531, B531)</f>
        <v>0.50606060606060599</v>
      </c>
      <c r="AK531" s="86">
        <f>AVERAGEIFS($D$2:D531, $B$2:B531, B531)</f>
        <v>0.48484848484848486</v>
      </c>
    </row>
    <row r="532" spans="1:37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1</v>
      </c>
      <c r="AF532">
        <v>0</v>
      </c>
      <c r="AG532">
        <v>0</v>
      </c>
      <c r="AH532" s="86">
        <f>AVERAGEIFS($C$2:C532, $B$2:B532, B532)</f>
        <v>24.378378378378379</v>
      </c>
      <c r="AI532" s="86">
        <f>AVERAGEIFS($I$2:I532, $B$2:B532, B532)</f>
        <v>0.51675675675675681</v>
      </c>
      <c r="AJ532" s="86">
        <f>AVERAGEIFS($J$2:J532, $B$2:B532, B532)</f>
        <v>0.5008108108108108</v>
      </c>
      <c r="AK532" s="86">
        <f>AVERAGEIFS($D$2:D532, $B$2:B532, B532)</f>
        <v>0.51351351351351349</v>
      </c>
    </row>
    <row r="533" spans="1:37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1</v>
      </c>
      <c r="AF533">
        <v>0</v>
      </c>
      <c r="AG533">
        <v>0</v>
      </c>
      <c r="AH533" s="86">
        <f>AVERAGEIFS($C$2:C533, $B$2:B533, B533)</f>
        <v>17.571428571428573</v>
      </c>
      <c r="AI533" s="86">
        <f>AVERAGEIFS($I$2:I533, $B$2:B533, B533)</f>
        <v>0.39047619047619042</v>
      </c>
      <c r="AJ533" s="86">
        <f>AVERAGEIFS($J$2:J533, $B$2:B533, B533)</f>
        <v>0.41999999999999993</v>
      </c>
      <c r="AK533" s="86">
        <f>AVERAGEIFS($D$2:D533, $B$2:B533, B533)</f>
        <v>0.38095238095238093</v>
      </c>
    </row>
    <row r="534" spans="1:37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1</v>
      </c>
      <c r="AF534">
        <v>0</v>
      </c>
      <c r="AG534">
        <v>0</v>
      </c>
      <c r="AH534" s="86">
        <f>AVERAGEIFS($C$2:C534, $B$2:B534, B534)</f>
        <v>12.818181818181818</v>
      </c>
      <c r="AI534" s="86">
        <f>AVERAGEIFS($I$2:I534, $B$2:B534, B534)</f>
        <v>0.46363636363636368</v>
      </c>
      <c r="AJ534" s="86">
        <f>AVERAGEIFS($J$2:J534, $B$2:B534, B534)</f>
        <v>0.47181818181818186</v>
      </c>
      <c r="AK534" s="86">
        <f>AVERAGEIFS($D$2:D534, $B$2:B534, B534)</f>
        <v>0.54545454545454541</v>
      </c>
    </row>
    <row r="535" spans="1:37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1</v>
      </c>
      <c r="AF535">
        <v>0</v>
      </c>
      <c r="AG535">
        <v>0</v>
      </c>
      <c r="AH535" s="86">
        <f>AVERAGEIFS($C$2:C535, $B$2:B535, B535)</f>
        <v>11.666666666666666</v>
      </c>
      <c r="AI535" s="86">
        <f>AVERAGEIFS($I$2:I535, $B$2:B535, B535)</f>
        <v>0.46666666666666662</v>
      </c>
      <c r="AJ535" s="86">
        <f>AVERAGEIFS($J$2:J535, $B$2:B535, B535)</f>
        <v>0.47000000000000003</v>
      </c>
      <c r="AK535" s="86">
        <f>AVERAGEIFS($D$2:D535, $B$2:B535, B535)</f>
        <v>0.33333333333333331</v>
      </c>
    </row>
    <row r="536" spans="1:37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1</v>
      </c>
      <c r="AF536">
        <v>0</v>
      </c>
      <c r="AG536">
        <v>0</v>
      </c>
      <c r="AH536" s="86">
        <f>AVERAGEIFS($C$2:C536, $B$2:B536, B536)</f>
        <v>7.9</v>
      </c>
      <c r="AI536" s="86">
        <f>AVERAGEIFS($I$2:I536, $B$2:B536, B536)</f>
        <v>0.53499999999999992</v>
      </c>
      <c r="AJ536" s="86">
        <f>AVERAGEIFS($J$2:J536, $B$2:B536, B536)</f>
        <v>0.52599999999999991</v>
      </c>
      <c r="AK536" s="86">
        <f>AVERAGEIFS($D$2:D536, $B$2:B536, B536)</f>
        <v>0.6</v>
      </c>
    </row>
    <row r="537" spans="1:37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26.111111111111111</v>
      </c>
      <c r="AI537" s="86">
        <f>AVERAGEIFS($I$2:I537, $B$2:B537, B537)</f>
        <v>0.41388888888888892</v>
      </c>
      <c r="AJ537" s="86">
        <f>AVERAGEIFS($J$2:J537, $B$2:B537, B537)</f>
        <v>0.44444444444444442</v>
      </c>
      <c r="AK537" s="86">
        <f>AVERAGEIFS($D$2:D537, $B$2:B537, B537)</f>
        <v>0.44444444444444442</v>
      </c>
    </row>
    <row r="538" spans="1:37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22.714285714285715</v>
      </c>
      <c r="AI538" s="86">
        <f>AVERAGEIFS($I$2:I538, $B$2:B538, B538)</f>
        <v>0.6051428571428572</v>
      </c>
      <c r="AJ538" s="86">
        <f>AVERAGEIFS($J$2:J538, $B$2:B538, B538)</f>
        <v>0.55942857142857139</v>
      </c>
      <c r="AK538" s="86">
        <f>AVERAGEIFS($D$2:D538, $B$2:B538, B538)</f>
        <v>0.7142857142857143</v>
      </c>
    </row>
    <row r="539" spans="1:37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19.789473684210527</v>
      </c>
      <c r="AI539" s="86">
        <f>AVERAGEIFS($I$2:I539, $B$2:B539, B539)</f>
        <v>0.46842105263157885</v>
      </c>
      <c r="AJ539" s="86">
        <f>AVERAGEIFS($J$2:J539, $B$2:B539, B539)</f>
        <v>0.48684210526315791</v>
      </c>
      <c r="AK539" s="86">
        <f>AVERAGEIFS($D$2:D539, $B$2:B539, B539)</f>
        <v>0.42105263157894735</v>
      </c>
    </row>
    <row r="540" spans="1:37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15.75</v>
      </c>
      <c r="AI540" s="86">
        <f>AVERAGEIFS($I$2:I540, $B$2:B540, B540)</f>
        <v>0.55000000000000004</v>
      </c>
      <c r="AJ540" s="86">
        <f>AVERAGEIFS($J$2:J540, $B$2:B540, B540)</f>
        <v>0.53</v>
      </c>
      <c r="AK540" s="86">
        <f>AVERAGEIFS($D$2:D540, $B$2:B540, B540)</f>
        <v>0.75</v>
      </c>
    </row>
    <row r="541" spans="1:37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16.470588235294116</v>
      </c>
      <c r="AI541" s="86">
        <f>AVERAGEIFS($I$2:I541, $B$2:B541, B541)</f>
        <v>0.48823529411764699</v>
      </c>
      <c r="AJ541" s="86">
        <f>AVERAGEIFS($J$2:J541, $B$2:B541, B541)</f>
        <v>0.51764705882352946</v>
      </c>
      <c r="AK541" s="86">
        <f>AVERAGEIFS($D$2:D541, $B$2:B541, B541)</f>
        <v>0.58823529411764708</v>
      </c>
    </row>
    <row r="542" spans="1:37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15.052631578947368</v>
      </c>
      <c r="AI542" s="86">
        <f>AVERAGEIFS($I$2:I542, $B$2:B542, B542)</f>
        <v>0.64999999999999991</v>
      </c>
      <c r="AJ542" s="86">
        <f>AVERAGEIFS($J$2:J542, $B$2:B542, B542)</f>
        <v>0.5821052631578949</v>
      </c>
      <c r="AK542" s="86">
        <f>AVERAGEIFS($D$2:D542, $B$2:B542, B542)</f>
        <v>0.73684210526315785</v>
      </c>
    </row>
    <row r="543" spans="1:37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1</v>
      </c>
      <c r="AF543">
        <v>0</v>
      </c>
      <c r="AG543">
        <v>0</v>
      </c>
      <c r="AH543" s="86">
        <f>AVERAGEIFS($C$2:C543, $B$2:B543, B543)</f>
        <v>18.09090909090909</v>
      </c>
      <c r="AI543" s="86">
        <f>AVERAGEIFS($I$2:I543, $B$2:B543, B543)</f>
        <v>0.39999999999999997</v>
      </c>
      <c r="AJ543" s="86">
        <f>AVERAGEIFS($J$2:J543, $B$2:B543, B543)</f>
        <v>0.42545454545454542</v>
      </c>
      <c r="AK543" s="86">
        <f>AVERAGEIFS($D$2:D543, $B$2:B543, B543)</f>
        <v>0.40909090909090912</v>
      </c>
    </row>
    <row r="544" spans="1:37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1</v>
      </c>
      <c r="AF544">
        <v>0</v>
      </c>
      <c r="AG544">
        <v>0</v>
      </c>
      <c r="AH544" s="86">
        <f>AVERAGEIFS($C$2:C544, $B$2:B544, B544)</f>
        <v>21.571428571428573</v>
      </c>
      <c r="AI544" s="86">
        <f>AVERAGEIFS($I$2:I544, $B$2:B544, B544)</f>
        <v>0.64428571428571424</v>
      </c>
      <c r="AJ544" s="86">
        <f>AVERAGEIFS($J$2:J544, $B$2:B544, B544)</f>
        <v>0.57785714285714285</v>
      </c>
      <c r="AK544" s="86">
        <f>AVERAGEIFS($D$2:D544, $B$2:B544, B544)</f>
        <v>0.7857142857142857</v>
      </c>
    </row>
    <row r="545" spans="1:37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1</v>
      </c>
      <c r="AF545">
        <v>0</v>
      </c>
      <c r="AG545">
        <v>0</v>
      </c>
      <c r="AH545" s="86">
        <f>AVERAGEIFS($C$2:C545, $B$2:B545, B545)</f>
        <v>24.342105263157894</v>
      </c>
      <c r="AI545" s="86">
        <f>AVERAGEIFS($I$2:I545, $B$2:B545, B545)</f>
        <v>0.51894736842105271</v>
      </c>
      <c r="AJ545" s="86">
        <f>AVERAGEIFS($J$2:J545, $B$2:B545, B545)</f>
        <v>0.50184210526315787</v>
      </c>
      <c r="AK545" s="86">
        <f>AVERAGEIFS($D$2:D545, $B$2:B545, B545)</f>
        <v>0.52631578947368418</v>
      </c>
    </row>
    <row r="546" spans="1:37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1</v>
      </c>
      <c r="AF546">
        <v>0</v>
      </c>
      <c r="AG546">
        <v>0</v>
      </c>
      <c r="AH546" s="86">
        <f>AVERAGEIFS($C$2:C546, $B$2:B546, B546)</f>
        <v>21.043478260869566</v>
      </c>
      <c r="AI546" s="86">
        <f>AVERAGEIFS($I$2:I546, $B$2:B546, B546)</f>
        <v>0.43999999999999995</v>
      </c>
      <c r="AJ546" s="86">
        <f>AVERAGEIFS($J$2:J546, $B$2:B546, B546)</f>
        <v>0.45434782608695662</v>
      </c>
      <c r="AK546" s="86">
        <f>AVERAGEIFS($D$2:D546, $B$2:B546, B546)</f>
        <v>0.39130434782608697</v>
      </c>
    </row>
    <row r="547" spans="1:37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0</v>
      </c>
      <c r="AG547">
        <v>0</v>
      </c>
      <c r="AH547" s="86">
        <f>AVERAGEIFS($C$2:C547, $B$2:B547, B547)</f>
        <v>9</v>
      </c>
      <c r="AI547" s="86">
        <f>AVERAGEIFS($I$2:I547, $B$2:B547, B547)</f>
        <v>0.67500000000000004</v>
      </c>
      <c r="AJ547" s="86">
        <f>AVERAGEIFS($J$2:J547, $B$2:B547, B547)</f>
        <v>0.59000000000000008</v>
      </c>
      <c r="AK547" s="86">
        <f>AVERAGEIFS($D$2:D547, $B$2:B547, B547)</f>
        <v>1</v>
      </c>
    </row>
    <row r="548" spans="1:37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1</v>
      </c>
      <c r="AF548">
        <v>0</v>
      </c>
      <c r="AG548">
        <v>0</v>
      </c>
      <c r="AH548" s="86">
        <f>AVERAGEIFS($C$2:C548, $B$2:B548, B548)</f>
        <v>16.166666666666668</v>
      </c>
      <c r="AI548" s="86">
        <f>AVERAGEIFS($I$2:I548, $B$2:B548, B548)</f>
        <v>0.49444444444444435</v>
      </c>
      <c r="AJ548" s="86">
        <f>AVERAGEIFS($J$2:J548, $B$2:B548, B548)</f>
        <v>0.51888888888888884</v>
      </c>
      <c r="AK548" s="86">
        <f>AVERAGEIFS($D$2:D548, $B$2:B548, B548)</f>
        <v>0.61111111111111116</v>
      </c>
    </row>
    <row r="549" spans="1:37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1</v>
      </c>
      <c r="AF549">
        <v>0</v>
      </c>
      <c r="AG549">
        <v>0</v>
      </c>
      <c r="AH549" s="86">
        <f>AVERAGEIFS($C$2:C549, $B$2:B549, B549)</f>
        <v>10.806451612903226</v>
      </c>
      <c r="AI549" s="86">
        <f>AVERAGEIFS($I$2:I549, $B$2:B549, B549)</f>
        <v>0.45258064516129037</v>
      </c>
      <c r="AJ549" s="86">
        <f>AVERAGEIFS($J$2:J549, $B$2:B549, B549)</f>
        <v>0.48225806451612901</v>
      </c>
      <c r="AK549" s="86">
        <f>AVERAGEIFS($D$2:D549, $B$2:B549, B549)</f>
        <v>0.41935483870967744</v>
      </c>
    </row>
    <row r="550" spans="1:37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23.631578947368421</v>
      </c>
      <c r="AI550" s="86">
        <f>AVERAGEIFS($I$2:I550, $B$2:B550, B550)</f>
        <v>0.32894736842105265</v>
      </c>
      <c r="AJ550" s="86">
        <f>AVERAGEIFS($J$2:J550, $B$2:B550, B550)</f>
        <v>0.3984210526315789</v>
      </c>
      <c r="AK550" s="86">
        <f>AVERAGEIFS($D$2:D550, $B$2:B550, B550)</f>
        <v>0.15789473684210525</v>
      </c>
    </row>
    <row r="551" spans="1:37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11</v>
      </c>
      <c r="AI551" s="86">
        <f>AVERAGEIFS($I$2:I551, $B$2:B551, B551)</f>
        <v>0.55999999999999994</v>
      </c>
      <c r="AJ551" s="86">
        <f>AVERAGEIFS($J$2:J551, $B$2:B551, B551)</f>
        <v>0.53</v>
      </c>
      <c r="AK551" s="86">
        <f>AVERAGEIFS($D$2:D551, $B$2:B551, B551)</f>
        <v>0.4</v>
      </c>
    </row>
    <row r="552" spans="1:37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16.785714285714285</v>
      </c>
      <c r="AI552" s="86">
        <f>AVERAGEIFS($I$2:I552, $B$2:B552, B552)</f>
        <v>0.50142857142857145</v>
      </c>
      <c r="AJ552" s="86">
        <f>AVERAGEIFS($J$2:J552, $B$2:B552, B552)</f>
        <v>0.52357142857142869</v>
      </c>
      <c r="AK552" s="86">
        <f>AVERAGEIFS($D$2:D552, $B$2:B552, B552)</f>
        <v>0.5</v>
      </c>
    </row>
    <row r="553" spans="1:37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17.352941176470587</v>
      </c>
      <c r="AI553" s="86">
        <f>AVERAGEIFS($I$2:I553, $B$2:B553, B553)</f>
        <v>0.51764705882352935</v>
      </c>
      <c r="AJ553" s="86">
        <f>AVERAGEIFS($J$2:J553, $B$2:B553, B553)</f>
        <v>0.50470588235294123</v>
      </c>
      <c r="AK553" s="86">
        <f>AVERAGEIFS($D$2:D553, $B$2:B553, B553)</f>
        <v>0.47058823529411764</v>
      </c>
    </row>
    <row r="554" spans="1:37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22.527777777777779</v>
      </c>
      <c r="AI554" s="86">
        <f>AVERAGEIFS($I$2:I554, $B$2:B554, B554)</f>
        <v>0.59944444444444445</v>
      </c>
      <c r="AJ554" s="86">
        <f>AVERAGEIFS($J$2:J554, $B$2:B554, B554)</f>
        <v>0.55666666666666664</v>
      </c>
      <c r="AK554" s="86">
        <f>AVERAGEIFS($D$2:D554, $B$2:B554, B554)</f>
        <v>0.69444444444444442</v>
      </c>
    </row>
    <row r="555" spans="1:37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8.2727272727272734</v>
      </c>
      <c r="AI555" s="86">
        <f>AVERAGEIFS($I$2:I555, $B$2:B555, B555)</f>
        <v>0.52272727272727271</v>
      </c>
      <c r="AJ555" s="86">
        <f>AVERAGEIFS($J$2:J555, $B$2:B555, B555)</f>
        <v>0.51999999999999991</v>
      </c>
      <c r="AK555" s="86">
        <f>AVERAGEIFS($D$2:D555, $B$2:B555, B555)</f>
        <v>0.54545454545454541</v>
      </c>
    </row>
    <row r="556" spans="1:37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1</v>
      </c>
      <c r="AD556">
        <v>0</v>
      </c>
      <c r="AE556">
        <v>0</v>
      </c>
      <c r="AF556">
        <v>0</v>
      </c>
      <c r="AG556">
        <v>1</v>
      </c>
      <c r="AH556" s="86">
        <f>AVERAGEIFS($C$2:C556, $B$2:B556, B556)</f>
        <v>17.399999999999999</v>
      </c>
      <c r="AI556" s="86">
        <f>AVERAGEIFS($I$2:I556, $B$2:B556, B556)</f>
        <v>0.53142857142857136</v>
      </c>
      <c r="AJ556" s="86">
        <f>AVERAGEIFS($J$2:J556, $B$2:B556, B556)</f>
        <v>0.51</v>
      </c>
      <c r="AK556" s="86">
        <f>AVERAGEIFS($D$2:D556, $B$2:B556, B556)</f>
        <v>0.48571428571428571</v>
      </c>
    </row>
    <row r="557" spans="1:37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0</v>
      </c>
      <c r="AF557">
        <v>0</v>
      </c>
      <c r="AG557">
        <v>1</v>
      </c>
      <c r="AH557" s="86">
        <f>AVERAGEIFS($C$2:C557, $B$2:B557, B557)</f>
        <v>11.833333333333334</v>
      </c>
      <c r="AI557" s="86">
        <f>AVERAGEIFS($I$2:I557, $B$2:B557, B557)</f>
        <v>0.6333333333333333</v>
      </c>
      <c r="AJ557" s="86">
        <f>AVERAGEIFS($J$2:J557, $B$2:B557, B557)</f>
        <v>0.55666666666666664</v>
      </c>
      <c r="AK557" s="86">
        <f>AVERAGEIFS($D$2:D557, $B$2:B557, B557)</f>
        <v>0.5</v>
      </c>
    </row>
    <row r="558" spans="1:37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0</v>
      </c>
      <c r="AF558">
        <v>0</v>
      </c>
      <c r="AG558">
        <v>1</v>
      </c>
      <c r="AH558" s="86">
        <f>AVERAGEIFS($C$2:C558, $B$2:B558, B558)</f>
        <v>24.128205128205128</v>
      </c>
      <c r="AI558" s="86">
        <f>AVERAGEIFS($I$2:I558, $B$2:B558, B558)</f>
        <v>0.5312820512820513</v>
      </c>
      <c r="AJ558" s="86">
        <f>AVERAGEIFS($J$2:J558, $B$2:B558, B558)</f>
        <v>0.50666666666666671</v>
      </c>
      <c r="AK558" s="86">
        <f>AVERAGEIFS($D$2:D558, $B$2:B558, B558)</f>
        <v>0.53846153846153844</v>
      </c>
    </row>
    <row r="559" spans="1:37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0</v>
      </c>
      <c r="AF559">
        <v>0</v>
      </c>
      <c r="AG559">
        <v>1</v>
      </c>
      <c r="AH559" s="86">
        <f>AVERAGEIFS($C$2:C559, $B$2:B559, B559)</f>
        <v>8.75</v>
      </c>
      <c r="AI559" s="86">
        <f>AVERAGEIFS($I$2:I559, $B$2:B559, B559)</f>
        <v>0.5625</v>
      </c>
      <c r="AJ559" s="86">
        <f>AVERAGEIFS($J$2:J559, $B$2:B559, B559)</f>
        <v>0.53416666666666657</v>
      </c>
      <c r="AK559" s="86">
        <f>AVERAGEIFS($D$2:D559, $B$2:B559, B559)</f>
        <v>0.58333333333333337</v>
      </c>
    </row>
    <row r="560" spans="1:37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0</v>
      </c>
      <c r="AF560">
        <v>0</v>
      </c>
      <c r="AG560">
        <v>1</v>
      </c>
      <c r="AH560" s="86">
        <f>AVERAGEIFS($C$2:C560, $B$2:B560, B560)</f>
        <v>20.666666666666668</v>
      </c>
      <c r="AI560" s="86">
        <f>AVERAGEIFS($I$2:I560, $B$2:B560, B560)</f>
        <v>0.46333333333333332</v>
      </c>
      <c r="AJ560" s="86">
        <f>AVERAGEIFS($J$2:J560, $B$2:B560, B560)</f>
        <v>0.46416666666666678</v>
      </c>
      <c r="AK560" s="86">
        <f>AVERAGEIFS($D$2:D560, $B$2:B560, B560)</f>
        <v>0.41666666666666669</v>
      </c>
    </row>
    <row r="561" spans="1:37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 s="86">
        <f>AVERAGEIFS($C$2:C561, $B$2:B561, B561)</f>
        <v>16.210526315789473</v>
      </c>
      <c r="AI561" s="86">
        <f>AVERAGEIFS($I$2:I561, $B$2:B561, B561)</f>
        <v>0.46842105263157885</v>
      </c>
      <c r="AJ561" s="86">
        <f>AVERAGEIFS($J$2:J561, $B$2:B561, B561)</f>
        <v>0.50789473684210529</v>
      </c>
      <c r="AK561" s="86">
        <f>AVERAGEIFS($D$2:D561, $B$2:B561, B561)</f>
        <v>0.57894736842105265</v>
      </c>
    </row>
    <row r="562" spans="1:37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 s="86">
        <f>AVERAGEIFS($C$2:C562, $B$2:B562, B562)</f>
        <v>15.15</v>
      </c>
      <c r="AI562" s="86">
        <f>AVERAGEIFS($I$2:I562, $B$2:B562, B562)</f>
        <v>0.61749999999999994</v>
      </c>
      <c r="AJ562" s="86">
        <f>AVERAGEIFS($J$2:J562, $B$2:B562, B562)</f>
        <v>0.56850000000000012</v>
      </c>
      <c r="AK562" s="86">
        <f>AVERAGEIFS($D$2:D562, $B$2:B562, B562)</f>
        <v>0.7</v>
      </c>
    </row>
    <row r="563" spans="1:37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 s="86">
        <f>AVERAGEIFS($C$2:C563, $B$2:B563, B563)</f>
        <v>22.243243243243242</v>
      </c>
      <c r="AI563" s="86">
        <f>AVERAGEIFS($I$2:I563, $B$2:B563, B563)</f>
        <v>0.58324324324324328</v>
      </c>
      <c r="AJ563" s="86">
        <f>AVERAGEIFS($J$2:J563, $B$2:B563, B563)</f>
        <v>0.54999999999999993</v>
      </c>
      <c r="AK563" s="86">
        <f>AVERAGEIFS($D$2:D563, $B$2:B563, B563)</f>
        <v>0.67567567567567566</v>
      </c>
    </row>
    <row r="564" spans="1:37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 s="86">
        <f>AVERAGEIFS($C$2:C564, $B$2:B564, B564)</f>
        <v>12.166666666666666</v>
      </c>
      <c r="AI564" s="86">
        <f>AVERAGEIFS($I$2:I564, $B$2:B564, B564)</f>
        <v>0.59166666666666667</v>
      </c>
      <c r="AJ564" s="86">
        <f>AVERAGEIFS($J$2:J564, $B$2:B564, B564)</f>
        <v>0.53500000000000003</v>
      </c>
      <c r="AK564" s="86">
        <f>AVERAGEIFS($D$2:D564, $B$2:B564, B564)</f>
        <v>0.83333333333333337</v>
      </c>
    </row>
    <row r="565" spans="1:37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 s="86">
        <f>AVERAGEIFS($C$2:C565, $B$2:B565, B565)</f>
        <v>8.6</v>
      </c>
      <c r="AI565" s="86">
        <f>AVERAGEIFS($I$2:I565, $B$2:B565, B565)</f>
        <v>0.3</v>
      </c>
      <c r="AJ565" s="86">
        <f>AVERAGEIFS($J$2:J565, $B$2:B565, B565)</f>
        <v>0.36199999999999999</v>
      </c>
      <c r="AK565" s="86">
        <f>AVERAGEIFS($D$2:D565, $B$2:B565, B565)</f>
        <v>0.2</v>
      </c>
    </row>
    <row r="566" spans="1:37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 s="86">
        <f>AVERAGEIFS($C$2:C566, $B$2:B566, B566)</f>
        <v>17.694444444444443</v>
      </c>
      <c r="AI566" s="86">
        <f>AVERAGEIFS($I$2:I566, $B$2:B566, B566)</f>
        <v>0.52222222222222214</v>
      </c>
      <c r="AJ566" s="86">
        <f>AVERAGEIFS($J$2:J566, $B$2:B566, B566)</f>
        <v>0.50305555555555559</v>
      </c>
      <c r="AK566" s="86">
        <f>AVERAGEIFS($D$2:D566, $B$2:B566, B566)</f>
        <v>0.47222222222222221</v>
      </c>
    </row>
    <row r="567" spans="1:37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 s="86">
        <f>AVERAGEIFS($C$2:C567, $B$2:B567, B567)</f>
        <v>14.217391304347826</v>
      </c>
      <c r="AI567" s="86">
        <f>AVERAGEIFS($I$2:I567, $B$2:B567, B567)</f>
        <v>0.45782608695652172</v>
      </c>
      <c r="AJ567" s="86">
        <f>AVERAGEIFS($J$2:J567, $B$2:B567, B567)</f>
        <v>0.48869565217391298</v>
      </c>
      <c r="AK567" s="86">
        <f>AVERAGEIFS($D$2:D567, $B$2:B567, B567)</f>
        <v>0.39130434782608697</v>
      </c>
    </row>
    <row r="568" spans="1:37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 s="86">
        <f>AVERAGEIFS($C$2:C568, $B$2:B568, B568)</f>
        <v>18.535714285714285</v>
      </c>
      <c r="AI568" s="86">
        <f>AVERAGEIFS($I$2:I568, $B$2:B568, B568)</f>
        <v>0.53500000000000003</v>
      </c>
      <c r="AJ568" s="86">
        <f>AVERAGEIFS($J$2:J568, $B$2:B568, B568)</f>
        <v>0.53607142857142853</v>
      </c>
      <c r="AK568" s="86">
        <f>AVERAGEIFS($D$2:D568, $B$2:B568, B568)</f>
        <v>0.5357142857142857</v>
      </c>
    </row>
    <row r="569" spans="1:37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8.8461538461538467</v>
      </c>
      <c r="AI569" s="86">
        <f>AVERAGEIFS($I$2:I569, $B$2:B569, B569)</f>
        <v>0.5346153846153846</v>
      </c>
      <c r="AJ569" s="86">
        <f>AVERAGEIFS($J$2:J569, $B$2:B569, B569)</f>
        <v>0.51307692307692299</v>
      </c>
      <c r="AK569" s="86">
        <f>AVERAGEIFS($D$2:D569, $B$2:B569, B569)</f>
        <v>0.53846153846153844</v>
      </c>
    </row>
    <row r="570" spans="1:37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12.571428571428571</v>
      </c>
      <c r="AI570" s="86">
        <f>AVERAGEIFS($I$2:I570, $B$2:B570, B570)</f>
        <v>0.37142857142857144</v>
      </c>
      <c r="AJ570" s="86">
        <f>AVERAGEIFS($J$2:J570, $B$2:B570, B570)</f>
        <v>0.37571428571428572</v>
      </c>
      <c r="AK570" s="86">
        <f>AVERAGEIFS($D$2:D570, $B$2:B570, B570)</f>
        <v>0.2857142857142857</v>
      </c>
    </row>
    <row r="571" spans="1:37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7</v>
      </c>
      <c r="AI571" s="86">
        <f>AVERAGEIFS($I$2:I571, $B$2:B571, B571)</f>
        <v>0.2</v>
      </c>
      <c r="AJ571" s="86">
        <f>AVERAGEIFS($J$2:J571, $B$2:B571, B571)</f>
        <v>0.26</v>
      </c>
      <c r="AK571" s="86">
        <f>AVERAGEIFS($D$2:D571, $B$2:B571, B571)</f>
        <v>0</v>
      </c>
    </row>
    <row r="572" spans="1:37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1</v>
      </c>
      <c r="AD572">
        <v>1</v>
      </c>
      <c r="AE572">
        <v>0</v>
      </c>
      <c r="AF572">
        <v>0</v>
      </c>
      <c r="AG572">
        <v>0</v>
      </c>
      <c r="AH572" s="86">
        <f>AVERAGEIFS($C$2:C572, $B$2:B572, B572)</f>
        <v>24.024999999999999</v>
      </c>
      <c r="AI572" s="86">
        <f>AVERAGEIFS($I$2:I572, $B$2:B572, B572)</f>
        <v>0.53800000000000003</v>
      </c>
      <c r="AJ572" s="86">
        <f>AVERAGEIFS($J$2:J572, $B$2:B572, B572)</f>
        <v>0.51249999999999996</v>
      </c>
      <c r="AK572" s="86">
        <f>AVERAGEIFS($D$2:D572, $B$2:B572, B572)</f>
        <v>0.55000000000000004</v>
      </c>
    </row>
    <row r="573" spans="1:37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1</v>
      </c>
      <c r="AD573">
        <v>1</v>
      </c>
      <c r="AE573">
        <v>0</v>
      </c>
      <c r="AF573">
        <v>0</v>
      </c>
      <c r="AG573">
        <v>0</v>
      </c>
      <c r="AH573" s="86">
        <f>AVERAGEIFS($C$2:C573, $B$2:B573, B573)</f>
        <v>13.333333333333334</v>
      </c>
      <c r="AI573" s="86">
        <f>AVERAGEIFS($I$2:I573, $B$2:B573, B573)</f>
        <v>0.4916666666666667</v>
      </c>
      <c r="AJ573" s="86">
        <f>AVERAGEIFS($J$2:J573, $B$2:B573, B573)</f>
        <v>0.4941666666666667</v>
      </c>
      <c r="AK573" s="86">
        <f>AVERAGEIFS($D$2:D573, $B$2:B573, B573)</f>
        <v>0.58333333333333337</v>
      </c>
    </row>
    <row r="574" spans="1:37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1</v>
      </c>
      <c r="AD574">
        <v>1</v>
      </c>
      <c r="AE574">
        <v>0</v>
      </c>
      <c r="AF574">
        <v>0</v>
      </c>
      <c r="AG574">
        <v>0</v>
      </c>
      <c r="AH574" s="86">
        <f>AVERAGEIFS($C$2:C574, $B$2:B574, B574)</f>
        <v>16.600000000000001</v>
      </c>
      <c r="AI574" s="86">
        <f>AVERAGEIFS($I$2:I574, $B$2:B574, B574)</f>
        <v>0.48499999999999999</v>
      </c>
      <c r="AJ574" s="86">
        <f>AVERAGEIFS($J$2:J574, $B$2:B574, B574)</f>
        <v>0.51950000000000007</v>
      </c>
      <c r="AK574" s="86">
        <f>AVERAGEIFS($D$2:D574, $B$2:B574, B574)</f>
        <v>0.6</v>
      </c>
    </row>
    <row r="575" spans="1:37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1</v>
      </c>
      <c r="AD575">
        <v>1</v>
      </c>
      <c r="AE575">
        <v>0</v>
      </c>
      <c r="AF575">
        <v>0</v>
      </c>
      <c r="AG575">
        <v>0</v>
      </c>
      <c r="AH575" s="86">
        <f>AVERAGEIFS($C$2:C575, $B$2:B575, B575)</f>
        <v>12</v>
      </c>
      <c r="AI575" s="86">
        <f>AVERAGEIFS($I$2:I575, $B$2:B575, B575)</f>
        <v>0.8</v>
      </c>
      <c r="AJ575" s="86">
        <f>AVERAGEIFS($J$2:J575, $B$2:B575, B575)</f>
        <v>0.74</v>
      </c>
      <c r="AK575" s="86">
        <f>AVERAGEIFS($D$2:D575, $B$2:B575, B575)</f>
        <v>1</v>
      </c>
    </row>
    <row r="576" spans="1:37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1</v>
      </c>
      <c r="AD576">
        <v>1</v>
      </c>
      <c r="AE576">
        <v>0</v>
      </c>
      <c r="AF576">
        <v>0</v>
      </c>
      <c r="AG576">
        <v>0</v>
      </c>
      <c r="AH576" s="86">
        <f>AVERAGEIFS($C$2:C576, $B$2:B576, B576)</f>
        <v>15.933333333333334</v>
      </c>
      <c r="AI576" s="86">
        <f>AVERAGEIFS($I$2:I576, $B$2:B576, B576)</f>
        <v>0.48666666666666664</v>
      </c>
      <c r="AJ576" s="86">
        <f>AVERAGEIFS($J$2:J576, $B$2:B576, B576)</f>
        <v>0.46533333333333338</v>
      </c>
      <c r="AK576" s="86">
        <f>AVERAGEIFS($D$2:D576, $B$2:B576, B576)</f>
        <v>0.46666666666666667</v>
      </c>
    </row>
    <row r="577" spans="1:37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1</v>
      </c>
      <c r="AD577">
        <v>1</v>
      </c>
      <c r="AE577">
        <v>0</v>
      </c>
      <c r="AF577">
        <v>0</v>
      </c>
      <c r="AG577">
        <v>0</v>
      </c>
      <c r="AH577" s="86">
        <f>AVERAGEIFS($C$2:C577, $B$2:B577, B577)</f>
        <v>10.6875</v>
      </c>
      <c r="AI577" s="86">
        <f>AVERAGEIFS($I$2:I577, $B$2:B577, B577)</f>
        <v>0.46343750000000006</v>
      </c>
      <c r="AJ577" s="86">
        <f>AVERAGEIFS($J$2:J577, $B$2:B577, B577)</f>
        <v>0.49031249999999998</v>
      </c>
      <c r="AK577" s="86">
        <f>AVERAGEIFS($D$2:D577, $B$2:B577, B577)</f>
        <v>0.4375</v>
      </c>
    </row>
    <row r="578" spans="1:37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 s="86">
        <f>AVERAGEIFS($C$2:C578, $B$2:B578, B578)</f>
        <v>23.3</v>
      </c>
      <c r="AI578" s="86">
        <f>AVERAGEIFS($I$2:I578, $B$2:B578, B578)</f>
        <v>0.36250000000000004</v>
      </c>
      <c r="AJ578" s="86">
        <f>AVERAGEIFS($J$2:J578, $B$2:B578, B578)</f>
        <v>0.41600000000000004</v>
      </c>
      <c r="AK578" s="86">
        <f>AVERAGEIFS($D$2:D578, $B$2:B578, B578)</f>
        <v>0.2</v>
      </c>
    </row>
    <row r="579" spans="1:37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 s="86">
        <f>AVERAGEIFS($C$2:C579, $B$2:B579, B579)</f>
        <v>22.184210526315791</v>
      </c>
      <c r="AI579" s="86">
        <f>AVERAGEIFS($I$2:I579, $B$2:B579, B579)</f>
        <v>0.59421052631578952</v>
      </c>
      <c r="AJ579" s="86">
        <f>AVERAGEIFS($J$2:J579, $B$2:B579, B579)</f>
        <v>0.55526315789473679</v>
      </c>
      <c r="AK579" s="86">
        <f>AVERAGEIFS($D$2:D579, $B$2:B579, B579)</f>
        <v>0.68421052631578949</v>
      </c>
    </row>
    <row r="580" spans="1:37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 s="86">
        <f>AVERAGEIFS($C$2:C580, $B$2:B580, B580)</f>
        <v>20.8</v>
      </c>
      <c r="AI580" s="86">
        <f>AVERAGEIFS($I$2:I580, $B$2:B580, B580)</f>
        <v>0.66799999999999993</v>
      </c>
      <c r="AJ580" s="86">
        <f>AVERAGEIFS($J$2:J580, $B$2:B580, B580)</f>
        <v>0.58933333333333338</v>
      </c>
      <c r="AK580" s="86">
        <f>AVERAGEIFS($D$2:D580, $B$2:B580, B580)</f>
        <v>0.8</v>
      </c>
    </row>
    <row r="581" spans="1:37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18.086956521739129</v>
      </c>
      <c r="AI581" s="86">
        <f>AVERAGEIFS($I$2:I581, $B$2:B581, B581)</f>
        <v>0.42608695652173906</v>
      </c>
      <c r="AJ581" s="86">
        <f>AVERAGEIFS($J$2:J581, $B$2:B581, B581)</f>
        <v>0.43956521739130433</v>
      </c>
      <c r="AK581" s="86">
        <f>AVERAGEIFS($D$2:D581, $B$2:B581, B581)</f>
        <v>0.43478260869565216</v>
      </c>
    </row>
    <row r="582" spans="1:37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12.923076923076923</v>
      </c>
      <c r="AI582" s="86">
        <f>AVERAGEIFS($I$2:I582, $B$2:B582, B582)</f>
        <v>0.53076923076923077</v>
      </c>
      <c r="AJ582" s="86">
        <f>AVERAGEIFS($J$2:J582, $B$2:B582, B582)</f>
        <v>0.51384615384615384</v>
      </c>
      <c r="AK582" s="86">
        <f>AVERAGEIFS($D$2:D582, $B$2:B582, B582)</f>
        <v>0.61538461538461542</v>
      </c>
    </row>
    <row r="583" spans="1:37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16.3125</v>
      </c>
      <c r="AI583" s="86">
        <f>AVERAGEIFS($I$2:I583, $B$2:B583, B583)</f>
        <v>0.51875000000000004</v>
      </c>
      <c r="AJ583" s="86">
        <f>AVERAGEIFS($J$2:J583, $B$2:B583, B583)</f>
        <v>0.48312500000000003</v>
      </c>
      <c r="AK583" s="86">
        <f>AVERAGEIFS($D$2:D583, $B$2:B583, B583)</f>
        <v>0.5</v>
      </c>
    </row>
    <row r="584" spans="1:37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16.571428571428573</v>
      </c>
      <c r="AI584" s="86">
        <f>AVERAGEIFS($I$2:I584, $B$2:B584, B584)</f>
        <v>0.50952380952380949</v>
      </c>
      <c r="AJ584" s="86">
        <f>AVERAGEIFS($J$2:J584, $B$2:B584, B584)</f>
        <v>0.53047619047619055</v>
      </c>
      <c r="AK584" s="86">
        <f>AVERAGEIFS($D$2:D584, $B$2:B584, B584)</f>
        <v>0.61904761904761907</v>
      </c>
    </row>
    <row r="585" spans="1:37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14.166666666666666</v>
      </c>
      <c r="AI585" s="86">
        <f>AVERAGEIFS($I$2:I585, $B$2:B585, B585)</f>
        <v>0.48041666666666666</v>
      </c>
      <c r="AJ585" s="86">
        <f>AVERAGEIFS($J$2:J585, $B$2:B585, B585)</f>
        <v>0.49958333333333327</v>
      </c>
      <c r="AK585" s="86">
        <f>AVERAGEIFS($D$2:D585, $B$2:B585, B585)</f>
        <v>0.41666666666666669</v>
      </c>
    </row>
    <row r="586" spans="1:37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0.53192307692307694</v>
      </c>
      <c r="AJ586" s="86">
        <f>AVERAGEIFS($J$2:J586, $B$2:B586, B586)</f>
        <v>0.54115384615384621</v>
      </c>
      <c r="AK586" s="86">
        <f>AVERAGEIFS($D$2:D586, $B$2:B586, B586)</f>
        <v>0.53846153846153844</v>
      </c>
    </row>
    <row r="587" spans="1:37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 s="86">
        <f>AVERAGEIFS($C$2:C587, $B$2:B587, B587)</f>
        <v>23.853658536585368</v>
      </c>
      <c r="AI587" s="86">
        <f>AVERAGEIFS($I$2:I587, $B$2:B587, B587)</f>
        <v>0.52487804878048783</v>
      </c>
      <c r="AJ587" s="86">
        <f>AVERAGEIFS($J$2:J587, $B$2:B587, B587)</f>
        <v>0.50609756097560976</v>
      </c>
      <c r="AK587" s="86">
        <f>AVERAGEIFS($D$2:D587, $B$2:B587, B587)</f>
        <v>0.53658536585365857</v>
      </c>
    </row>
    <row r="588" spans="1:37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 s="86">
        <f>AVERAGEIFS($C$2:C588, $B$2:B588, B588)</f>
        <v>17.594594594594593</v>
      </c>
      <c r="AI588" s="86">
        <f>AVERAGEIFS($I$2:I588, $B$2:B588, B588)</f>
        <v>0.50810810810810803</v>
      </c>
      <c r="AJ588" s="86">
        <f>AVERAGEIFS($J$2:J588, $B$2:B588, B588)</f>
        <v>0.49621621621621631</v>
      </c>
      <c r="AK588" s="86">
        <f>AVERAGEIFS($D$2:D588, $B$2:B588, B588)</f>
        <v>0.45945945945945948</v>
      </c>
    </row>
    <row r="589" spans="1:37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 s="86">
        <f>AVERAGEIFS($C$2:C589, $B$2:B589, B589)</f>
        <v>19.45</v>
      </c>
      <c r="AI589" s="86">
        <f>AVERAGEIFS($I$2:I589, $B$2:B589, B589)</f>
        <v>0.44499999999999995</v>
      </c>
      <c r="AJ589" s="86">
        <f>AVERAGEIFS($J$2:J589, $B$2:B589, B589)</f>
        <v>0.47499999999999998</v>
      </c>
      <c r="AK589" s="86">
        <f>AVERAGEIFS($D$2:D589, $B$2:B589, B589)</f>
        <v>0.4</v>
      </c>
    </row>
    <row r="590" spans="1:37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 s="86">
        <f>AVERAGEIFS($C$2:C590, $B$2:B590, B590)</f>
        <v>15.238095238095237</v>
      </c>
      <c r="AI590" s="86">
        <f>AVERAGEIFS($I$2:I590, $B$2:B590, B590)</f>
        <v>0.588095238095238</v>
      </c>
      <c r="AJ590" s="86">
        <f>AVERAGEIFS($J$2:J590, $B$2:B590, B590)</f>
        <v>0.55333333333333345</v>
      </c>
      <c r="AK590" s="86">
        <f>AVERAGEIFS($D$2:D590, $B$2:B590, B590)</f>
        <v>0.66666666666666663</v>
      </c>
    </row>
    <row r="591" spans="1:37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 s="86">
        <f>AVERAGEIFS($C$2:C591, $B$2:B591, B591)</f>
        <v>10.857142857142858</v>
      </c>
      <c r="AI591" s="86">
        <f>AVERAGEIFS($I$2:I591, $B$2:B591, B591)</f>
        <v>0.54285714285714282</v>
      </c>
      <c r="AJ591" s="86">
        <f>AVERAGEIFS($J$2:J591, $B$2:B591, B591)</f>
        <v>0.51285714285714279</v>
      </c>
      <c r="AK591" s="86">
        <f>AVERAGEIFS($D$2:D591, $B$2:B591, B591)</f>
        <v>0.42857142857142855</v>
      </c>
    </row>
    <row r="592" spans="1:37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 s="86">
        <f>AVERAGEIFS($C$2:C592, $B$2:B592, B592)</f>
        <v>14.8</v>
      </c>
      <c r="AI592" s="86">
        <f>AVERAGEIFS($I$2:I592, $B$2:B592, B592)</f>
        <v>0.44000000000000006</v>
      </c>
      <c r="AJ592" s="86">
        <f>AVERAGEIFS($J$2:J592, $B$2:B592, B592)</f>
        <v>0.47400000000000003</v>
      </c>
      <c r="AK592" s="86">
        <f>AVERAGEIFS($D$2:D592, $B$2:B592, B592)</f>
        <v>0.6</v>
      </c>
    </row>
    <row r="593" spans="1:37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 s="86">
        <f>AVERAGEIFS($C$2:C593, $B$2:B593, B593)</f>
        <v>11.625</v>
      </c>
      <c r="AI593" s="86">
        <f>AVERAGEIFS($I$2:I593, $B$2:B593, B593)</f>
        <v>0.32500000000000001</v>
      </c>
      <c r="AJ593" s="86">
        <f>AVERAGEIFS($J$2:J593, $B$2:B593, B593)</f>
        <v>0.36</v>
      </c>
      <c r="AK593" s="86">
        <f>AVERAGEIFS($D$2:D593, $B$2:B593, B593)</f>
        <v>0.25</v>
      </c>
    </row>
    <row r="594" spans="1:37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0</v>
      </c>
      <c r="AB594">
        <v>1</v>
      </c>
      <c r="AC594">
        <v>0</v>
      </c>
      <c r="AD594">
        <v>1</v>
      </c>
      <c r="AE594">
        <v>0</v>
      </c>
      <c r="AF594">
        <v>0</v>
      </c>
      <c r="AG594">
        <v>0</v>
      </c>
      <c r="AH594" s="86">
        <f>AVERAGEIFS($C$2:C594, $B$2:B594, B594)</f>
        <v>21.0625</v>
      </c>
      <c r="AI594" s="86">
        <f>AVERAGEIFS($I$2:I594, $B$2:B594, B594)</f>
        <v>0.66374999999999995</v>
      </c>
      <c r="AJ594" s="86">
        <f>AVERAGEIFS($J$2:J594, $B$2:B594, B594)</f>
        <v>0.57937499999999997</v>
      </c>
      <c r="AK594" s="86">
        <f>AVERAGEIFS($D$2:D594, $B$2:B594, B594)</f>
        <v>0.8125</v>
      </c>
    </row>
    <row r="595" spans="1:37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0</v>
      </c>
      <c r="AB595">
        <v>1</v>
      </c>
      <c r="AC595">
        <v>0</v>
      </c>
      <c r="AD595">
        <v>1</v>
      </c>
      <c r="AE595">
        <v>0</v>
      </c>
      <c r="AF595">
        <v>0</v>
      </c>
      <c r="AG595">
        <v>0</v>
      </c>
      <c r="AH595" s="86">
        <f>AVERAGEIFS($C$2:C595, $B$2:B595, B595)</f>
        <v>24.095238095238095</v>
      </c>
      <c r="AI595" s="86">
        <f>AVERAGEIFS($I$2:I595, $B$2:B595, B595)</f>
        <v>0.52666666666666673</v>
      </c>
      <c r="AJ595" s="86">
        <f>AVERAGEIFS($J$2:J595, $B$2:B595, B595)</f>
        <v>0.50428571428571423</v>
      </c>
      <c r="AK595" s="86">
        <f>AVERAGEIFS($D$2:D595, $B$2:B595, B595)</f>
        <v>0.54761904761904767</v>
      </c>
    </row>
    <row r="596" spans="1:37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0</v>
      </c>
      <c r="AB596">
        <v>1</v>
      </c>
      <c r="AC596">
        <v>0</v>
      </c>
      <c r="AD596">
        <v>1</v>
      </c>
      <c r="AE596">
        <v>0</v>
      </c>
      <c r="AF596">
        <v>0</v>
      </c>
      <c r="AG596">
        <v>0</v>
      </c>
      <c r="AH596" s="86">
        <f>AVERAGEIFS($C$2:C596, $B$2:B596, B596)</f>
        <v>18.041666666666668</v>
      </c>
      <c r="AI596" s="86">
        <f>AVERAGEIFS($I$2:I596, $B$2:B596, B596)</f>
        <v>0.43333333333333329</v>
      </c>
      <c r="AJ596" s="86">
        <f>AVERAGEIFS($J$2:J596, $B$2:B596, B596)</f>
        <v>0.43916666666666665</v>
      </c>
      <c r="AK596" s="86">
        <f>AVERAGEIFS($D$2:D596, $B$2:B596, B596)</f>
        <v>0.45833333333333331</v>
      </c>
    </row>
    <row r="597" spans="1:37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1</v>
      </c>
      <c r="AC597">
        <v>0</v>
      </c>
      <c r="AD597">
        <v>1</v>
      </c>
      <c r="AE597">
        <v>0</v>
      </c>
      <c r="AF597">
        <v>0</v>
      </c>
      <c r="AG597">
        <v>0</v>
      </c>
      <c r="AH597" s="86">
        <f>AVERAGEIFS($C$2:C597, $B$2:B597, B597)</f>
        <v>14</v>
      </c>
      <c r="AI597" s="86">
        <f>AVERAGEIFS($I$2:I597, $B$2:B597, B597)</f>
        <v>0.48519999999999996</v>
      </c>
      <c r="AJ597" s="86">
        <f>AVERAGEIFS($J$2:J597, $B$2:B597, B597)</f>
        <v>0.49679999999999991</v>
      </c>
      <c r="AK597" s="86">
        <f>AVERAGEIFS($D$2:D597, $B$2:B597, B597)</f>
        <v>0.44</v>
      </c>
    </row>
    <row r="598" spans="1:37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0</v>
      </c>
      <c r="AB598">
        <v>1</v>
      </c>
      <c r="AC598">
        <v>0</v>
      </c>
      <c r="AD598">
        <v>1</v>
      </c>
      <c r="AE598">
        <v>0</v>
      </c>
      <c r="AF598">
        <v>0</v>
      </c>
      <c r="AG598">
        <v>0</v>
      </c>
      <c r="AH598" s="86">
        <f>AVERAGEIFS($C$2:C598, $B$2:B598, B598)</f>
        <v>15.909090909090908</v>
      </c>
      <c r="AI598" s="86">
        <f>AVERAGEIFS($I$2:I598, $B$2:B598, B598)</f>
        <v>0.51363636363636356</v>
      </c>
      <c r="AJ598" s="86">
        <f>AVERAGEIFS($J$2:J598, $B$2:B598, B598)</f>
        <v>0.52590909090909088</v>
      </c>
      <c r="AK598" s="86">
        <f>AVERAGEIFS($D$2:D598, $B$2:B598, B598)</f>
        <v>0.63636363636363635</v>
      </c>
    </row>
    <row r="599" spans="1:37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0</v>
      </c>
      <c r="AB599">
        <v>1</v>
      </c>
      <c r="AC599">
        <v>0</v>
      </c>
      <c r="AD599">
        <v>1</v>
      </c>
      <c r="AE599">
        <v>0</v>
      </c>
      <c r="AF599">
        <v>0</v>
      </c>
      <c r="AG599">
        <v>0</v>
      </c>
      <c r="AH599" s="86">
        <f>AVERAGEIFS($C$2:C599, $B$2:B599, B599)</f>
        <v>12.857142857142858</v>
      </c>
      <c r="AI599" s="86">
        <f>AVERAGEIFS($I$2:I599, $B$2:B599, B599)</f>
        <v>0.5357142857142857</v>
      </c>
      <c r="AJ599" s="86">
        <f>AVERAGEIFS($J$2:J599, $B$2:B599, B599)</f>
        <v>0.5078571428571429</v>
      </c>
      <c r="AK599" s="86">
        <f>AVERAGEIFS($D$2:D599, $B$2:B599, B599)</f>
        <v>0.6428571428571429</v>
      </c>
    </row>
    <row r="600" spans="1:37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0</v>
      </c>
      <c r="AB600">
        <v>1</v>
      </c>
      <c r="AC600">
        <v>0</v>
      </c>
      <c r="AD600">
        <v>1</v>
      </c>
      <c r="AE600">
        <v>0</v>
      </c>
      <c r="AF600">
        <v>0</v>
      </c>
      <c r="AG600">
        <v>0</v>
      </c>
      <c r="AH600" s="86">
        <f>AVERAGEIFS($C$2:C600, $B$2:B600, B600)</f>
        <v>19.047619047619047</v>
      </c>
      <c r="AI600" s="86">
        <f>AVERAGEIFS($I$2:I600, $B$2:B600, B600)</f>
        <v>0.45238095238095227</v>
      </c>
      <c r="AJ600" s="86">
        <f>AVERAGEIFS($J$2:J600, $B$2:B600, B600)</f>
        <v>0.47285714285714286</v>
      </c>
      <c r="AK600" s="86">
        <f>AVERAGEIFS($D$2:D600, $B$2:B600, B600)</f>
        <v>0.42857142857142855</v>
      </c>
    </row>
    <row r="601" spans="1:37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17.605263157894736</v>
      </c>
      <c r="AI601" s="86">
        <f>AVERAGEIFS($I$2:I601, $B$2:B601, B601)</f>
        <v>0.50526315789473675</v>
      </c>
      <c r="AJ601" s="86">
        <f>AVERAGEIFS($J$2:J601, $B$2:B601, B601)</f>
        <v>0.49815789473684219</v>
      </c>
      <c r="AK601" s="86">
        <f>AVERAGEIFS($D$2:D601, $B$2:B601, B601)</f>
        <v>0.44736842105263158</v>
      </c>
    </row>
    <row r="602" spans="1:37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22.23076923076923</v>
      </c>
      <c r="AI602" s="86">
        <f>AVERAGEIFS($I$2:I602, $B$2:B602, B602)</f>
        <v>0.58923076923076922</v>
      </c>
      <c r="AJ602" s="86">
        <f>AVERAGEIFS($J$2:J602, $B$2:B602, B602)</f>
        <v>0.55564102564102558</v>
      </c>
      <c r="AK602" s="86">
        <f>AVERAGEIFS($D$2:D602, $B$2:B602, B602)</f>
        <v>0.66666666666666663</v>
      </c>
    </row>
    <row r="603" spans="1:37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 s="86">
        <f>AVERAGEIFS($C$2:C603, $B$2:B603, B603)</f>
        <v>16.352941176470587</v>
      </c>
      <c r="AI603" s="86">
        <f>AVERAGEIFS($I$2:I603, $B$2:B603, B603)</f>
        <v>0.51176470588235301</v>
      </c>
      <c r="AJ603" s="86">
        <f>AVERAGEIFS($J$2:J603, $B$2:B603, B603)</f>
        <v>0.4882352941176471</v>
      </c>
      <c r="AK603" s="86">
        <f>AVERAGEIFS($D$2:D603, $B$2:B603, B603)</f>
        <v>0.47058823529411764</v>
      </c>
    </row>
    <row r="604" spans="1:37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 s="86">
        <f>AVERAGEIFS($C$2:C604, $B$2:B604, B604)</f>
        <v>15.454545454545455</v>
      </c>
      <c r="AI604" s="86">
        <f>AVERAGEIFS($I$2:I604, $B$2:B604, B604)</f>
        <v>0.57954545454545447</v>
      </c>
      <c r="AJ604" s="86">
        <f>AVERAGEIFS($J$2:J604, $B$2:B604, B604)</f>
        <v>0.55409090909090919</v>
      </c>
      <c r="AK604" s="86">
        <f>AVERAGEIFS($D$2:D604, $B$2:B604, B604)</f>
        <v>0.63636363636363635</v>
      </c>
    </row>
    <row r="605" spans="1:37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 s="86">
        <f>AVERAGEIFS($C$2:C605, $B$2:B605, B605)</f>
        <v>14.666666666666666</v>
      </c>
      <c r="AI605" s="86">
        <f>AVERAGEIFS($I$2:I605, $B$2:B605, B605)</f>
        <v>0.43333333333333335</v>
      </c>
      <c r="AJ605" s="86">
        <f>AVERAGEIFS($J$2:J605, $B$2:B605, B605)</f>
        <v>0.49</v>
      </c>
      <c r="AK605" s="86">
        <f>AVERAGEIFS($D$2:D605, $B$2:B605, B605)</f>
        <v>0.5</v>
      </c>
    </row>
    <row r="606" spans="1:37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 s="86">
        <f>AVERAGEIFS($C$2:C606, $B$2:B606, B606)</f>
        <v>12</v>
      </c>
      <c r="AI606" s="86">
        <f>AVERAGEIFS($I$2:I606, $B$2:B606, B606)</f>
        <v>0.44999999999999996</v>
      </c>
      <c r="AJ606" s="86">
        <f>AVERAGEIFS($J$2:J606, $B$2:B606, B606)</f>
        <v>0.495</v>
      </c>
      <c r="AK606" s="86">
        <f>AVERAGEIFS($D$2:D606, $B$2:B606, B606)</f>
        <v>0.25</v>
      </c>
    </row>
    <row r="607" spans="1:37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0</v>
      </c>
      <c r="AG607">
        <v>0</v>
      </c>
      <c r="AH607" s="86">
        <f>AVERAGEIFS($C$2:C607, $B$2:B607, B607)</f>
        <v>16.25</v>
      </c>
      <c r="AI607" s="86">
        <f>AVERAGEIFS($I$2:I607, $B$2:B607, B607)</f>
        <v>0.45</v>
      </c>
      <c r="AJ607" s="86">
        <f>AVERAGEIFS($J$2:J607, $B$2:B607, B607)</f>
        <v>0.45833333333333343</v>
      </c>
      <c r="AK607" s="86">
        <f>AVERAGEIFS($D$2:D607, $B$2:B607, B607)</f>
        <v>0.33333333333333331</v>
      </c>
    </row>
    <row r="608" spans="1:37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0</v>
      </c>
      <c r="AG608">
        <v>0</v>
      </c>
      <c r="AH608" s="86">
        <f>AVERAGEIFS($C$2:C608, $B$2:B608, B608)</f>
        <v>16.043478260869566</v>
      </c>
      <c r="AI608" s="86">
        <f>AVERAGEIFS($I$2:I608, $B$2:B608, B608)</f>
        <v>0.58043478260869552</v>
      </c>
      <c r="AJ608" s="86">
        <f>AVERAGEIFS($J$2:J608, $B$2:B608, B608)</f>
        <v>0.55478260869565232</v>
      </c>
      <c r="AK608" s="86">
        <f>AVERAGEIFS($D$2:D608, $B$2:B608, B608)</f>
        <v>0.65217391304347827</v>
      </c>
    </row>
    <row r="609" spans="1:37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22.35</v>
      </c>
      <c r="AI609" s="86">
        <f>AVERAGEIFS($I$2:I609, $B$2:B609, B609)</f>
        <v>0.58950000000000002</v>
      </c>
      <c r="AJ609" s="86">
        <f>AVERAGEIFS($J$2:J609, $B$2:B609, B609)</f>
        <v>0.55599999999999994</v>
      </c>
      <c r="AK609" s="86">
        <f>AVERAGEIFS($D$2:D609, $B$2:B609, B609)</f>
        <v>0.67500000000000004</v>
      </c>
    </row>
    <row r="610" spans="1:37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12.6</v>
      </c>
      <c r="AI610" s="86">
        <f>AVERAGEIFS($I$2:I610, $B$2:B610, B610)</f>
        <v>0.48</v>
      </c>
      <c r="AJ610" s="86">
        <f>AVERAGEIFS($J$2:J610, $B$2:B610, B610)</f>
        <v>0.51</v>
      </c>
      <c r="AK610" s="86">
        <f>AVERAGEIFS($D$2:D610, $B$2:B610, B610)</f>
        <v>0.4</v>
      </c>
    </row>
    <row r="611" spans="1:37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12.866666666666667</v>
      </c>
      <c r="AI611" s="86">
        <f>AVERAGEIFS($I$2:I611, $B$2:B611, B611)</f>
        <v>0.53999999999999992</v>
      </c>
      <c r="AJ611" s="86">
        <f>AVERAGEIFS($J$2:J611, $B$2:B611, B611)</f>
        <v>0.51200000000000001</v>
      </c>
      <c r="AK611" s="86">
        <f>AVERAGEIFS($D$2:D611, $B$2:B611, B611)</f>
        <v>0.66666666666666663</v>
      </c>
    </row>
    <row r="612" spans="1:37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8</v>
      </c>
      <c r="AI612" s="86">
        <f>AVERAGEIFS($I$2:I612, $B$2:B612, B612)</f>
        <v>0.6</v>
      </c>
      <c r="AJ612" s="86">
        <f>AVERAGEIFS($J$2:J612, $B$2:B612, B612)</f>
        <v>0.56999999999999995</v>
      </c>
      <c r="AK612" s="86">
        <f>AVERAGEIFS($D$2:D612, $B$2:B612, B612)</f>
        <v>1</v>
      </c>
    </row>
    <row r="613" spans="1:37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1</v>
      </c>
      <c r="AF613">
        <v>0</v>
      </c>
      <c r="AG613">
        <v>1</v>
      </c>
      <c r="AH613" s="86">
        <f>AVERAGEIFS($C$2:C613, $B$2:B613, B613)</f>
        <v>27.157894736842106</v>
      </c>
      <c r="AI613" s="86">
        <f>AVERAGEIFS($I$2:I613, $B$2:B613, B613)</f>
        <v>0.41315789473684211</v>
      </c>
      <c r="AJ613" s="86">
        <f>AVERAGEIFS($J$2:J613, $B$2:B613, B613)</f>
        <v>0.44368421052631579</v>
      </c>
      <c r="AK613" s="86">
        <f>AVERAGEIFS($D$2:D613, $B$2:B613, B613)</f>
        <v>0.42105263157894735</v>
      </c>
    </row>
    <row r="614" spans="1:37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1</v>
      </c>
      <c r="AF614">
        <v>0</v>
      </c>
      <c r="AG614">
        <v>1</v>
      </c>
      <c r="AH614" s="86">
        <f>AVERAGEIFS($C$2:C614, $B$2:B614, B614)</f>
        <v>11.875</v>
      </c>
      <c r="AI614" s="86">
        <f>AVERAGEIFS($I$2:I614, $B$2:B614, B614)</f>
        <v>0.52500000000000002</v>
      </c>
      <c r="AJ614" s="86">
        <f>AVERAGEIFS($J$2:J614, $B$2:B614, B614)</f>
        <v>0.50249999999999995</v>
      </c>
      <c r="AK614" s="86">
        <f>AVERAGEIFS($D$2:D614, $B$2:B614, B614)</f>
        <v>0.375</v>
      </c>
    </row>
    <row r="615" spans="1:37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1</v>
      </c>
      <c r="AF615">
        <v>0</v>
      </c>
      <c r="AG615">
        <v>1</v>
      </c>
      <c r="AH615" s="86">
        <f>AVERAGEIFS($C$2:C615, $B$2:B615, B615)</f>
        <v>18.448275862068964</v>
      </c>
      <c r="AI615" s="86">
        <f>AVERAGEIFS($I$2:I615, $B$2:B615, B615)</f>
        <v>0.53034482758620693</v>
      </c>
      <c r="AJ615" s="86">
        <f>AVERAGEIFS($J$2:J615, $B$2:B615, B615)</f>
        <v>0.53241379310344816</v>
      </c>
      <c r="AK615" s="86">
        <f>AVERAGEIFS($D$2:D615, $B$2:B615, B615)</f>
        <v>0.51724137931034486</v>
      </c>
    </row>
    <row r="616" spans="1:37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1</v>
      </c>
      <c r="AF616">
        <v>0</v>
      </c>
      <c r="AG616">
        <v>1</v>
      </c>
      <c r="AH616" s="86">
        <f>AVERAGEIFS($C$2:C616, $B$2:B616, B616)</f>
        <v>14.571428571428571</v>
      </c>
      <c r="AI616" s="86">
        <f>AVERAGEIFS($I$2:I616, $B$2:B616, B616)</f>
        <v>0.42857142857142855</v>
      </c>
      <c r="AJ616" s="86">
        <f>AVERAGEIFS($J$2:J616, $B$2:B616, B616)</f>
        <v>0.48142857142857143</v>
      </c>
      <c r="AK616" s="86">
        <f>AVERAGEIFS($D$2:D616, $B$2:B616, B616)</f>
        <v>0.42857142857142855</v>
      </c>
    </row>
    <row r="617" spans="1:37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1</v>
      </c>
      <c r="AF617">
        <v>0</v>
      </c>
      <c r="AG617">
        <v>1</v>
      </c>
      <c r="AH617" s="86">
        <f>AVERAGEIFS($C$2:C617, $B$2:B617, B617)</f>
        <v>17.46153846153846</v>
      </c>
      <c r="AI617" s="86">
        <f>AVERAGEIFS($I$2:I617, $B$2:B617, B617)</f>
        <v>0.50256410256410244</v>
      </c>
      <c r="AJ617" s="86">
        <f>AVERAGEIFS($J$2:J617, $B$2:B617, B617)</f>
        <v>0.49641025641025649</v>
      </c>
      <c r="AK617" s="86">
        <f>AVERAGEIFS($D$2:D617, $B$2:B617, B617)</f>
        <v>0.4358974358974359</v>
      </c>
    </row>
    <row r="618" spans="1:37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1</v>
      </c>
      <c r="AF618">
        <v>0</v>
      </c>
      <c r="AG618">
        <v>1</v>
      </c>
      <c r="AH618" s="86">
        <f>AVERAGEIFS($C$2:C618, $B$2:B618, B618)</f>
        <v>10.515151515151516</v>
      </c>
      <c r="AI618" s="86">
        <f>AVERAGEIFS($I$2:I618, $B$2:B618, B618)</f>
        <v>0.4615151515151516</v>
      </c>
      <c r="AJ618" s="86">
        <f>AVERAGEIFS($J$2:J618, $B$2:B618, B618)</f>
        <v>0.48848484848484852</v>
      </c>
      <c r="AK618" s="86">
        <f>AVERAGEIFS($D$2:D618, $B$2:B618, B618)</f>
        <v>0.42424242424242425</v>
      </c>
    </row>
    <row r="619" spans="1:37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1</v>
      </c>
      <c r="AD619">
        <v>0</v>
      </c>
      <c r="AE619">
        <v>0</v>
      </c>
      <c r="AF619">
        <v>0</v>
      </c>
      <c r="AG619">
        <v>0</v>
      </c>
      <c r="AH619" s="86">
        <f>AVERAGEIFS($C$2:C619, $B$2:B619, B619)</f>
        <v>26.8</v>
      </c>
      <c r="AI619" s="86">
        <f>AVERAGEIFS($I$2:I619, $B$2:B619, B619)</f>
        <v>0.44250000000000006</v>
      </c>
      <c r="AJ619" s="86">
        <f>AVERAGEIFS($J$2:J619, $B$2:B619, B619)</f>
        <v>0.46650000000000003</v>
      </c>
      <c r="AK619" s="86">
        <f>AVERAGEIFS($D$2:D619, $B$2:B619, B619)</f>
        <v>0.45</v>
      </c>
    </row>
    <row r="620" spans="1:37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1</v>
      </c>
      <c r="AD620">
        <v>0</v>
      </c>
      <c r="AE620">
        <v>0</v>
      </c>
      <c r="AF620">
        <v>0</v>
      </c>
      <c r="AG620">
        <v>0</v>
      </c>
      <c r="AH620" s="86">
        <f>AVERAGEIFS($C$2:C620, $B$2:B620, B620)</f>
        <v>18.466666666666665</v>
      </c>
      <c r="AI620" s="86">
        <f>AVERAGEIFS($I$2:I620, $B$2:B620, B620)</f>
        <v>0.54600000000000004</v>
      </c>
      <c r="AJ620" s="86">
        <f>AVERAGEIFS($J$2:J620, $B$2:B620, B620)</f>
        <v>0.54466666666666652</v>
      </c>
      <c r="AK620" s="86">
        <f>AVERAGEIFS($D$2:D620, $B$2:B620, B620)</f>
        <v>0.53333333333333333</v>
      </c>
    </row>
    <row r="621" spans="1:37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1</v>
      </c>
      <c r="AD621">
        <v>0</v>
      </c>
      <c r="AE621">
        <v>0</v>
      </c>
      <c r="AF621">
        <v>0</v>
      </c>
      <c r="AG621">
        <v>0</v>
      </c>
      <c r="AH621" s="86">
        <f>AVERAGEIFS($C$2:C621, $B$2:B621, B621)</f>
        <v>16</v>
      </c>
      <c r="AI621" s="86">
        <f>AVERAGEIFS($I$2:I621, $B$2:B621, B621)</f>
        <v>0.49230769230769234</v>
      </c>
      <c r="AJ621" s="86">
        <f>AVERAGEIFS($J$2:J621, $B$2:B621, B621)</f>
        <v>0.49230769230769239</v>
      </c>
      <c r="AK621" s="86">
        <f>AVERAGEIFS($D$2:D621, $B$2:B621, B621)</f>
        <v>0.38461538461538464</v>
      </c>
    </row>
    <row r="622" spans="1:37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1</v>
      </c>
      <c r="AD622">
        <v>0</v>
      </c>
      <c r="AE622">
        <v>0</v>
      </c>
      <c r="AF622">
        <v>0</v>
      </c>
      <c r="AG622">
        <v>0</v>
      </c>
      <c r="AH622" s="86">
        <f>AVERAGEIFS($C$2:C622, $B$2:B622, B622)</f>
        <v>16.277777777777779</v>
      </c>
      <c r="AI622" s="86">
        <f>AVERAGEIFS($I$2:I622, $B$2:B622, B622)</f>
        <v>0.53888888888888897</v>
      </c>
      <c r="AJ622" s="86">
        <f>AVERAGEIFS($J$2:J622, $B$2:B622, B622)</f>
        <v>0.51111111111111118</v>
      </c>
      <c r="AK622" s="86">
        <f>AVERAGEIFS($D$2:D622, $B$2:B622, B622)</f>
        <v>0.5</v>
      </c>
    </row>
    <row r="623" spans="1:37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1</v>
      </c>
      <c r="AD623">
        <v>0</v>
      </c>
      <c r="AE623">
        <v>0</v>
      </c>
      <c r="AF623">
        <v>0</v>
      </c>
      <c r="AG623">
        <v>0</v>
      </c>
      <c r="AH623" s="86">
        <f>AVERAGEIFS($C$2:C623, $B$2:B623, B623)</f>
        <v>11.777777777777779</v>
      </c>
      <c r="AI623" s="86">
        <f>AVERAGEIFS($I$2:I623, $B$2:B623, B623)</f>
        <v>0.57777777777777783</v>
      </c>
      <c r="AJ623" s="86">
        <f>AVERAGEIFS($J$2:J623, $B$2:B623, B623)</f>
        <v>0.54666666666666663</v>
      </c>
      <c r="AK623" s="86">
        <f>AVERAGEIFS($D$2:D623, $B$2:B623, B623)</f>
        <v>0.44444444444444442</v>
      </c>
    </row>
    <row r="624" spans="1:37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1</v>
      </c>
      <c r="AD624">
        <v>0</v>
      </c>
      <c r="AE624">
        <v>0</v>
      </c>
      <c r="AF624">
        <v>0</v>
      </c>
      <c r="AG624">
        <v>0</v>
      </c>
      <c r="AH624" s="86">
        <f>AVERAGEIFS($C$2:C624, $B$2:B624, B624)</f>
        <v>11.333333333333334</v>
      </c>
      <c r="AI624" s="86">
        <f>AVERAGEIFS($I$2:I624, $B$2:B624, B624)</f>
        <v>0.78333333333333333</v>
      </c>
      <c r="AJ624" s="86">
        <f>AVERAGEIFS($J$2:J624, $B$2:B624, B624)</f>
        <v>0.69333333333333336</v>
      </c>
      <c r="AK624" s="86">
        <f>AVERAGEIFS($D$2:D624, $B$2:B624, B624)</f>
        <v>1</v>
      </c>
    </row>
    <row r="625" spans="1:37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1</v>
      </c>
      <c r="AD625">
        <v>0</v>
      </c>
      <c r="AE625">
        <v>0</v>
      </c>
      <c r="AF625">
        <v>0</v>
      </c>
      <c r="AG625">
        <v>0</v>
      </c>
      <c r="AH625" s="86">
        <f>AVERAGEIFS($C$2:C625, $B$2:B625, B625)</f>
        <v>6.4</v>
      </c>
      <c r="AI625" s="86">
        <f>AVERAGEIFS($I$2:I625, $B$2:B625, B625)</f>
        <v>0.53</v>
      </c>
      <c r="AJ625" s="86">
        <f>AVERAGEIFS($J$2:J625, $B$2:B625, B625)</f>
        <v>0.52399999999999991</v>
      </c>
      <c r="AK625" s="86">
        <f>AVERAGEIFS($D$2:D625, $B$2:B625, B625)</f>
        <v>0.4</v>
      </c>
    </row>
    <row r="626" spans="1:37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 s="86">
        <f>AVERAGEIFS($C$2:C626, $B$2:B626, B626)</f>
        <v>22.195121951219512</v>
      </c>
      <c r="AI626" s="86">
        <f>AVERAGEIFS($I$2:I626, $B$2:B626, B626)</f>
        <v>0.57512195121951226</v>
      </c>
      <c r="AJ626" s="86">
        <f>AVERAGEIFS($J$2:J626, $B$2:B626, B626)</f>
        <v>0.54487804878048784</v>
      </c>
      <c r="AK626" s="86">
        <f>AVERAGEIFS($D$2:D626, $B$2:B626, B626)</f>
        <v>0.65853658536585369</v>
      </c>
    </row>
    <row r="627" spans="1:37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 s="86">
        <f>AVERAGEIFS($C$2:C627, $B$2:B627, B627)</f>
        <v>12.8125</v>
      </c>
      <c r="AI627" s="86">
        <f>AVERAGEIFS($I$2:I627, $B$2:B627, B627)</f>
        <v>0.50624999999999998</v>
      </c>
      <c r="AJ627" s="86">
        <f>AVERAGEIFS($J$2:J627, $B$2:B627, B627)</f>
        <v>0.48625000000000002</v>
      </c>
      <c r="AK627" s="86">
        <f>AVERAGEIFS($D$2:D627, $B$2:B627, B627)</f>
        <v>0.625</v>
      </c>
    </row>
    <row r="628" spans="1:37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 s="86">
        <f>AVERAGEIFS($C$2:C628, $B$2:B628, B628)</f>
        <v>15.958333333333334</v>
      </c>
      <c r="AI628" s="86">
        <f>AVERAGEIFS($I$2:I628, $B$2:B628, B628)</f>
        <v>0.55624999999999991</v>
      </c>
      <c r="AJ628" s="86">
        <f>AVERAGEIFS($J$2:J628, $B$2:B628, B628)</f>
        <v>0.53583333333333349</v>
      </c>
      <c r="AK628" s="86">
        <f>AVERAGEIFS($D$2:D628, $B$2:B628, B628)</f>
        <v>0.625</v>
      </c>
    </row>
    <row r="629" spans="1:37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13.5</v>
      </c>
      <c r="AI629" s="86">
        <f>AVERAGEIFS($I$2:I629, $B$2:B629, B629)</f>
        <v>0.375</v>
      </c>
      <c r="AJ629" s="86">
        <f>AVERAGEIFS($J$2:J629, $B$2:B629, B629)</f>
        <v>0.43375000000000002</v>
      </c>
      <c r="AK629" s="86">
        <f>AVERAGEIFS($D$2:D629, $B$2:B629, B629)</f>
        <v>0.375</v>
      </c>
    </row>
    <row r="630" spans="1:37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13.73076923076923</v>
      </c>
      <c r="AI630" s="86">
        <f>AVERAGEIFS($I$2:I630, $B$2:B630, B630)</f>
        <v>0.46653846153846151</v>
      </c>
      <c r="AJ630" s="86">
        <f>AVERAGEIFS($J$2:J630, $B$2:B630, B630)</f>
        <v>0.48153846153846147</v>
      </c>
      <c r="AK630" s="86">
        <f>AVERAGEIFS($D$2:D630, $B$2:B630, B630)</f>
        <v>0.42307692307692307</v>
      </c>
    </row>
    <row r="631" spans="1:37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9.5</v>
      </c>
      <c r="AI631" s="86">
        <f>AVERAGEIFS($I$2:I631, $B$2:B631, B631)</f>
        <v>0.3</v>
      </c>
      <c r="AJ631" s="86">
        <f>AVERAGEIFS($J$2:J631, $B$2:B631, B631)</f>
        <v>0.33499999999999996</v>
      </c>
      <c r="AK631" s="86">
        <f>AVERAGEIFS($D$2:D631, $B$2:B631, B631)</f>
        <v>0.5</v>
      </c>
    </row>
    <row r="632" spans="1:37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17.425000000000001</v>
      </c>
      <c r="AI632" s="86">
        <f>AVERAGEIFS($I$2:I632, $B$2:B632, B632)</f>
        <v>0.48999999999999988</v>
      </c>
      <c r="AJ632" s="86">
        <f>AVERAGEIFS($J$2:J632, $B$2:B632, B632)</f>
        <v>0.4865000000000001</v>
      </c>
      <c r="AK632" s="86">
        <f>AVERAGEIFS($D$2:D632, $B$2:B632, B632)</f>
        <v>0.42499999999999999</v>
      </c>
    </row>
    <row r="633" spans="1:37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0</v>
      </c>
      <c r="AC633">
        <v>1</v>
      </c>
      <c r="AD633">
        <v>0</v>
      </c>
      <c r="AE633">
        <v>1</v>
      </c>
      <c r="AF633">
        <v>0</v>
      </c>
      <c r="AG633">
        <v>0</v>
      </c>
      <c r="AH633" s="86">
        <f>AVERAGEIFS($C$2:C633, $B$2:B633, B633)</f>
        <v>23.744186046511629</v>
      </c>
      <c r="AI633" s="86">
        <f>AVERAGEIFS($I$2:I633, $B$2:B633, B633)</f>
        <v>0.53767441860465126</v>
      </c>
      <c r="AJ633" s="86">
        <f>AVERAGEIFS($J$2:J633, $B$2:B633, B633)</f>
        <v>0.51162790697674421</v>
      </c>
      <c r="AK633" s="86">
        <f>AVERAGEIFS($D$2:D633, $B$2:B633, B633)</f>
        <v>0.55813953488372092</v>
      </c>
    </row>
    <row r="634" spans="1:37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0</v>
      </c>
      <c r="AC634">
        <v>1</v>
      </c>
      <c r="AD634">
        <v>0</v>
      </c>
      <c r="AE634">
        <v>1</v>
      </c>
      <c r="AF634">
        <v>0</v>
      </c>
      <c r="AG634">
        <v>0</v>
      </c>
      <c r="AH634" s="86">
        <f>AVERAGEIFS($C$2:C634, $B$2:B634, B634)</f>
        <v>23.25925925925926</v>
      </c>
      <c r="AI634" s="86">
        <f>AVERAGEIFS($I$2:I634, $B$2:B634, B634)</f>
        <v>0.54925925925925922</v>
      </c>
      <c r="AJ634" s="86">
        <f>AVERAGEIFS($J$2:J634, $B$2:B634, B634)</f>
        <v>0.55148148148148146</v>
      </c>
      <c r="AK634" s="86">
        <f>AVERAGEIFS($D$2:D634, $B$2:B634, B634)</f>
        <v>0.55555555555555558</v>
      </c>
    </row>
    <row r="635" spans="1:37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0</v>
      </c>
      <c r="AC635">
        <v>1</v>
      </c>
      <c r="AD635">
        <v>0</v>
      </c>
      <c r="AE635">
        <v>1</v>
      </c>
      <c r="AF635">
        <v>0</v>
      </c>
      <c r="AG635">
        <v>0</v>
      </c>
      <c r="AH635" s="86">
        <f>AVERAGEIFS($C$2:C635, $B$2:B635, B635)</f>
        <v>23.095238095238095</v>
      </c>
      <c r="AI635" s="86">
        <f>AVERAGEIFS($I$2:I635, $B$2:B635, B635)</f>
        <v>0.39285714285714285</v>
      </c>
      <c r="AJ635" s="86">
        <f>AVERAGEIFS($J$2:J635, $B$2:B635, B635)</f>
        <v>0.43523809523809526</v>
      </c>
      <c r="AK635" s="86">
        <f>AVERAGEIFS($D$2:D635, $B$2:B635, B635)</f>
        <v>0.23809523809523808</v>
      </c>
    </row>
    <row r="636" spans="1:37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0</v>
      </c>
      <c r="AC636">
        <v>1</v>
      </c>
      <c r="AD636">
        <v>0</v>
      </c>
      <c r="AE636">
        <v>1</v>
      </c>
      <c r="AF636">
        <v>0</v>
      </c>
      <c r="AG636">
        <v>0</v>
      </c>
      <c r="AH636" s="86">
        <f>AVERAGEIFS($C$2:C636, $B$2:B636, B636)</f>
        <v>15.826086956521738</v>
      </c>
      <c r="AI636" s="86">
        <f>AVERAGEIFS($I$2:I636, $B$2:B636, B636)</f>
        <v>0.53478260869565208</v>
      </c>
      <c r="AJ636" s="86">
        <f>AVERAGEIFS($J$2:J636, $B$2:B636, B636)</f>
        <v>0.53869565217391302</v>
      </c>
      <c r="AK636" s="86">
        <f>AVERAGEIFS($D$2:D636, $B$2:B636, B636)</f>
        <v>0.65217391304347827</v>
      </c>
    </row>
    <row r="637" spans="1:37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0</v>
      </c>
      <c r="AC637">
        <v>1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18.28</v>
      </c>
      <c r="AI637" s="86">
        <f>AVERAGEIFS($I$2:I637, $B$2:B637, B637)</f>
        <v>0.45599999999999996</v>
      </c>
      <c r="AJ637" s="86">
        <f>AVERAGEIFS($J$2:J637, $B$2:B637, B637)</f>
        <v>0.45439999999999997</v>
      </c>
      <c r="AK637" s="86">
        <f>AVERAGEIFS($D$2:D637, $B$2:B637, B637)</f>
        <v>0.48</v>
      </c>
    </row>
    <row r="638" spans="1:37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0</v>
      </c>
      <c r="AC638">
        <v>1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16.079999999999998</v>
      </c>
      <c r="AI638" s="86">
        <f>AVERAGEIFS($I$2:I638, $B$2:B638, B638)</f>
        <v>0.57399999999999995</v>
      </c>
      <c r="AJ638" s="86">
        <f>AVERAGEIFS($J$2:J638, $B$2:B638, B638)</f>
        <v>0.54720000000000013</v>
      </c>
      <c r="AK638" s="86">
        <f>AVERAGEIFS($D$2:D638, $B$2:B638, B638)</f>
        <v>0.64</v>
      </c>
    </row>
    <row r="639" spans="1:37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0</v>
      </c>
      <c r="AC639">
        <v>1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20.28</v>
      </c>
      <c r="AI639" s="86">
        <f>AVERAGEIFS($I$2:I639, $B$2:B639, B639)</f>
        <v>0.48479999999999995</v>
      </c>
      <c r="AJ639" s="86">
        <f>AVERAGEIFS($J$2:J639, $B$2:B639, B639)</f>
        <v>0.4784000000000001</v>
      </c>
      <c r="AK639" s="86">
        <f>AVERAGEIFS($D$2:D639, $B$2:B639, B639)</f>
        <v>0.44</v>
      </c>
    </row>
    <row r="640" spans="1:37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0</v>
      </c>
      <c r="AC640">
        <v>1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8.9285714285714288</v>
      </c>
      <c r="AI640" s="86">
        <f>AVERAGEIFS($I$2:I640, $B$2:B640, B640)</f>
        <v>0.56785714285714284</v>
      </c>
      <c r="AJ640" s="86">
        <f>AVERAGEIFS($J$2:J640, $B$2:B640, B640)</f>
        <v>0.53499999999999992</v>
      </c>
      <c r="AK640" s="86">
        <f>AVERAGEIFS($D$2:D640, $B$2:B640, B640)</f>
        <v>0.5714285714285714</v>
      </c>
    </row>
    <row r="641" spans="1:37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 s="86">
        <f>AVERAGEIFS($C$2:C641, $B$2:B641, B641)</f>
        <v>26.761904761904763</v>
      </c>
      <c r="AI641" s="86">
        <f>AVERAGEIFS($I$2:I641, $B$2:B641, B641)</f>
        <v>0.42142857142857149</v>
      </c>
      <c r="AJ641" s="86">
        <f>AVERAGEIFS($J$2:J641, $B$2:B641, B641)</f>
        <v>0.45285714285714285</v>
      </c>
      <c r="AK641" s="86">
        <f>AVERAGEIFS($D$2:D641, $B$2:B641, B641)</f>
        <v>0.42857142857142855</v>
      </c>
    </row>
    <row r="642" spans="1:37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 s="86">
        <f>AVERAGEIFS($C$2:C642, $B$2:B642, B642)</f>
        <v>21.857142857142858</v>
      </c>
      <c r="AI642" s="86">
        <f>AVERAGEIFS($I$2:I642, $B$2:B642, B642)</f>
        <v>0.5614285714285715</v>
      </c>
      <c r="AJ642" s="86">
        <f>AVERAGEIFS($J$2:J642, $B$2:B642, B642)</f>
        <v>0.53619047619047622</v>
      </c>
      <c r="AK642" s="86">
        <f>AVERAGEIFS($D$2:D642, $B$2:B642, B642)</f>
        <v>0.6428571428571429</v>
      </c>
    </row>
    <row r="643" spans="1:37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 s="86">
        <f>AVERAGEIFS($C$2:C643, $B$2:B643, B643)</f>
        <v>17.463414634146343</v>
      </c>
      <c r="AI643" s="86">
        <f>AVERAGEIFS($I$2:I643, $B$2:B643, B643)</f>
        <v>0.47804878048780475</v>
      </c>
      <c r="AJ643" s="86">
        <f>AVERAGEIFS($J$2:J643, $B$2:B643, B643)</f>
        <v>0.47902439024390253</v>
      </c>
      <c r="AK643" s="86">
        <f>AVERAGEIFS($D$2:D643, $B$2:B643, B643)</f>
        <v>0.41463414634146339</v>
      </c>
    </row>
    <row r="644" spans="1:37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 s="86">
        <f>AVERAGEIFS($C$2:C644, $B$2:B644, B644)</f>
        <v>18.727272727272727</v>
      </c>
      <c r="AI644" s="86">
        <f>AVERAGEIFS($I$2:I644, $B$2:B644, B644)</f>
        <v>0.43181818181818171</v>
      </c>
      <c r="AJ644" s="86">
        <f>AVERAGEIFS($J$2:J644, $B$2:B644, B644)</f>
        <v>0.45954545454545453</v>
      </c>
      <c r="AK644" s="86">
        <f>AVERAGEIFS($D$2:D644, $B$2:B644, B644)</f>
        <v>0.40909090909090912</v>
      </c>
    </row>
    <row r="645" spans="1:37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16.105263157894736</v>
      </c>
      <c r="AI645" s="86">
        <f>AVERAGEIFS($I$2:I645, $B$2:B645, B645)</f>
        <v>0.51052631578947372</v>
      </c>
      <c r="AJ645" s="86">
        <f>AVERAGEIFS($J$2:J645, $B$2:B645, B645)</f>
        <v>0.49368421052631584</v>
      </c>
      <c r="AK645" s="86">
        <f>AVERAGEIFS($D$2:D645, $B$2:B645, B645)</f>
        <v>0.47368421052631576</v>
      </c>
    </row>
    <row r="646" spans="1:37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11.25</v>
      </c>
      <c r="AI646" s="86">
        <f>AVERAGEIFS($I$2:I646, $B$2:B646, B646)</f>
        <v>0.58750000000000002</v>
      </c>
      <c r="AJ646" s="86">
        <f>AVERAGEIFS($J$2:J646, $B$2:B646, B646)</f>
        <v>0.56500000000000006</v>
      </c>
      <c r="AK646" s="86">
        <f>AVERAGEIFS($D$2:D646, $B$2:B646, B646)</f>
        <v>0.75</v>
      </c>
    </row>
    <row r="647" spans="1:37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18.548387096774192</v>
      </c>
      <c r="AI647" s="86">
        <f>AVERAGEIFS($I$2:I647, $B$2:B647, B647)</f>
        <v>0.5283870967741936</v>
      </c>
      <c r="AJ647" s="86">
        <f>AVERAGEIFS($J$2:J647, $B$2:B647, B647)</f>
        <v>0.53290322580645144</v>
      </c>
      <c r="AK647" s="86">
        <f>AVERAGEIFS($D$2:D647, $B$2:B647, B647)</f>
        <v>0.5161290322580645</v>
      </c>
    </row>
    <row r="648" spans="1:37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13.777777777777779</v>
      </c>
      <c r="AI648" s="86">
        <f>AVERAGEIFS($I$2:I648, $B$2:B648, B648)</f>
        <v>0.44925925925925925</v>
      </c>
      <c r="AJ648" s="86">
        <f>AVERAGEIFS($J$2:J648, $B$2:B648, B648)</f>
        <v>0.47037037037037027</v>
      </c>
      <c r="AK648" s="86">
        <f>AVERAGEIFS($D$2:D648, $B$2:B648, B648)</f>
        <v>0.40740740740740738</v>
      </c>
    </row>
    <row r="649" spans="1:37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17.88095238095238</v>
      </c>
      <c r="AI649" s="86">
        <f>AVERAGEIFS($I$2:I649, $B$2:B649, B649)</f>
        <v>0.476190476190476</v>
      </c>
      <c r="AJ649" s="86">
        <f>AVERAGEIFS($J$2:J649, $B$2:B649, B649)</f>
        <v>0.47904761904761917</v>
      </c>
      <c r="AK649" s="86">
        <f>AVERAGEIFS($D$2:D649, $B$2:B649, B649)</f>
        <v>0.40476190476190477</v>
      </c>
    </row>
    <row r="650" spans="1:37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23.931818181818183</v>
      </c>
      <c r="AI650" s="86">
        <f>AVERAGEIFS($I$2:I650, $B$2:B650, B650)</f>
        <v>0.53454545454545466</v>
      </c>
      <c r="AJ650" s="86">
        <f>AVERAGEIFS($J$2:J650, $B$2:B650, B650)</f>
        <v>0.51090909090909087</v>
      </c>
      <c r="AK650" s="86">
        <f>AVERAGEIFS($D$2:D650, $B$2:B650, B650)</f>
        <v>0.54545454545454541</v>
      </c>
    </row>
    <row r="651" spans="1:37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16.307692307692307</v>
      </c>
      <c r="AI651" s="86">
        <f>AVERAGEIFS($I$2:I651, $B$2:B651, B651)</f>
        <v>0.56730769230769229</v>
      </c>
      <c r="AJ651" s="86">
        <f>AVERAGEIFS($J$2:J651, $B$2:B651, B651)</f>
        <v>0.54461538461538472</v>
      </c>
      <c r="AK651" s="86">
        <f>AVERAGEIFS($D$2:D651, $B$2:B651, B651)</f>
        <v>0.61538461538461542</v>
      </c>
    </row>
    <row r="652" spans="1:37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13.333333333333334</v>
      </c>
      <c r="AI652" s="86">
        <f>AVERAGEIFS($I$2:I652, $B$2:B652, B652)</f>
        <v>0.46666666666666662</v>
      </c>
      <c r="AJ652" s="86">
        <f>AVERAGEIFS($J$2:J652, $B$2:B652, B652)</f>
        <v>0.505</v>
      </c>
      <c r="AK652" s="86">
        <f>AVERAGEIFS($D$2:D652, $B$2:B652, B652)</f>
        <v>0.33333333333333331</v>
      </c>
    </row>
    <row r="653" spans="1:37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13.666666666666666</v>
      </c>
      <c r="AI653" s="86">
        <f>AVERAGEIFS($I$2:I653, $B$2:B653, B653)</f>
        <v>0.37777777777777777</v>
      </c>
      <c r="AJ653" s="86">
        <f>AVERAGEIFS($J$2:J653, $B$2:B653, B653)</f>
        <v>0.43888888888888888</v>
      </c>
      <c r="AK653" s="86">
        <f>AVERAGEIFS($D$2:D653, $B$2:B653, B653)</f>
        <v>0.33333333333333331</v>
      </c>
    </row>
    <row r="654" spans="1:37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6.666666666666667</v>
      </c>
      <c r="AI654" s="86">
        <f>AVERAGEIFS($I$2:I654, $B$2:B654, B654)</f>
        <v>0.5083333333333333</v>
      </c>
      <c r="AJ654" s="86">
        <f>AVERAGEIFS($J$2:J654, $B$2:B654, B654)</f>
        <v>0.51666666666666661</v>
      </c>
      <c r="AK654" s="86">
        <f>AVERAGEIFS($D$2:D654, $B$2:B654, B654)</f>
        <v>0.33333333333333331</v>
      </c>
    </row>
    <row r="655" spans="1:37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18.53846153846154</v>
      </c>
      <c r="AI655" s="86">
        <f>AVERAGEIFS($I$2:I655, $B$2:B655, B655)</f>
        <v>0.46153846153846145</v>
      </c>
      <c r="AJ655" s="86">
        <f>AVERAGEIFS($J$2:J655, $B$2:B655, B655)</f>
        <v>0.45692307692307688</v>
      </c>
      <c r="AK655" s="86">
        <f>AVERAGEIFS($D$2:D655, $B$2:B655, B655)</f>
        <v>0.5</v>
      </c>
    </row>
    <row r="656" spans="1:37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26.818181818181817</v>
      </c>
      <c r="AI656" s="86">
        <f>AVERAGEIFS($I$2:I656, $B$2:B656, B656)</f>
        <v>0.42954545454545462</v>
      </c>
      <c r="AJ656" s="86">
        <f>AVERAGEIFS($J$2:J656, $B$2:B656, B656)</f>
        <v>0.45590909090909087</v>
      </c>
      <c r="AK656" s="86">
        <f>AVERAGEIFS($D$2:D656, $B$2:B656, B656)</f>
        <v>0.45454545454545453</v>
      </c>
    </row>
    <row r="657" spans="1:37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21.930232558139537</v>
      </c>
      <c r="AI657" s="86">
        <f>AVERAGEIFS($I$2:I657, $B$2:B657, B657)</f>
        <v>0.56232558139534894</v>
      </c>
      <c r="AJ657" s="86">
        <f>AVERAGEIFS($J$2:J657, $B$2:B657, B657)</f>
        <v>0.53581395348837202</v>
      </c>
      <c r="AK657" s="86">
        <f>AVERAGEIFS($D$2:D657, $B$2:B657, B657)</f>
        <v>0.65116279069767447</v>
      </c>
    </row>
    <row r="658" spans="1:37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16.083333333333332</v>
      </c>
      <c r="AI658" s="86">
        <f>AVERAGEIFS($I$2:I658, $B$2:B658, B658)</f>
        <v>0.53749999999999998</v>
      </c>
      <c r="AJ658" s="86">
        <f>AVERAGEIFS($J$2:J658, $B$2:B658, B658)</f>
        <v>0.53791666666666671</v>
      </c>
      <c r="AK658" s="86">
        <f>AVERAGEIFS($D$2:D658, $B$2:B658, B658)</f>
        <v>0.66666666666666663</v>
      </c>
    </row>
    <row r="659" spans="1:37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10.705882352941176</v>
      </c>
      <c r="AI659" s="86">
        <f>AVERAGEIFS($I$2:I659, $B$2:B659, B659)</f>
        <v>0.46558823529411769</v>
      </c>
      <c r="AJ659" s="86">
        <f>AVERAGEIFS($J$2:J659, $B$2:B659, B659)</f>
        <v>0.48941176470588238</v>
      </c>
      <c r="AK659" s="86">
        <f>AVERAGEIFS($D$2:D659, $B$2:B659, B659)</f>
        <v>0.44117647058823528</v>
      </c>
    </row>
    <row r="660" spans="1:37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10.666666666666666</v>
      </c>
      <c r="AI660" s="86">
        <f>AVERAGEIFS($I$2:I660, $B$2:B660, B660)</f>
        <v>0.39999999999999997</v>
      </c>
      <c r="AJ660" s="86">
        <f>AVERAGEIFS($J$2:J660, $B$2:B660, B660)</f>
        <v>0.39666666666666667</v>
      </c>
      <c r="AK660" s="86">
        <f>AVERAGEIFS($D$2:D660, $B$2:B660, B660)</f>
        <v>0.66666666666666663</v>
      </c>
    </row>
    <row r="661" spans="1:37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23.454545454545453</v>
      </c>
      <c r="AI661" s="86">
        <f>AVERAGEIFS($I$2:I661, $B$2:B661, B661)</f>
        <v>0.38636363636363635</v>
      </c>
      <c r="AJ661" s="86">
        <f>AVERAGEIFS($J$2:J661, $B$2:B661, B661)</f>
        <v>0.43318181818181822</v>
      </c>
      <c r="AK661" s="86">
        <f>AVERAGEIFS($D$2:D661, $B$2:B661, B661)</f>
        <v>0.22727272727272727</v>
      </c>
    </row>
    <row r="662" spans="1:37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18.925925925925927</v>
      </c>
      <c r="AI662" s="86">
        <f>AVERAGEIFS($I$2:I662, $B$2:B662, B662)</f>
        <v>0.45370370370370366</v>
      </c>
      <c r="AJ662" s="86">
        <f>AVERAGEIFS($J$2:J662, $B$2:B662, B662)</f>
        <v>0.45444444444444443</v>
      </c>
      <c r="AK662" s="86">
        <f>AVERAGEIFS($D$2:D662, $B$2:B662, B662)</f>
        <v>0.48148148148148145</v>
      </c>
    </row>
    <row r="663" spans="1:37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 s="86">
        <f>AVERAGEIFS($C$2:C663, $B$2:B663, B663)</f>
        <v>18.093023255813954</v>
      </c>
      <c r="AI663" s="86">
        <f>AVERAGEIFS($I$2:I663, $B$2:B663, B663)</f>
        <v>0.47093023255813937</v>
      </c>
      <c r="AJ663" s="86">
        <f>AVERAGEIFS($J$2:J663, $B$2:B663, B663)</f>
        <v>0.47697674418604663</v>
      </c>
      <c r="AK663" s="86">
        <f>AVERAGEIFS($D$2:D663, $B$2:B663, B663)</f>
        <v>0.39534883720930231</v>
      </c>
    </row>
    <row r="664" spans="1:37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 s="86">
        <f>AVERAGEIFS($C$2:C664, $B$2:B664, B664)</f>
        <v>13.4</v>
      </c>
      <c r="AI664" s="86">
        <f>AVERAGEIFS($I$2:I664, $B$2:B664, B664)</f>
        <v>0.52</v>
      </c>
      <c r="AJ664" s="86">
        <f>AVERAGEIFS($J$2:J664, $B$2:B664, B664)</f>
        <v>0.53</v>
      </c>
      <c r="AK664" s="86">
        <f>AVERAGEIFS($D$2:D664, $B$2:B664, B664)</f>
        <v>0.6</v>
      </c>
    </row>
    <row r="665" spans="1:37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 s="86">
        <f>AVERAGEIFS($C$2:C665, $B$2:B665, B665)</f>
        <v>9.7333333333333325</v>
      </c>
      <c r="AI665" s="86">
        <f>AVERAGEIFS($I$2:I665, $B$2:B665, B665)</f>
        <v>0.54666666666666663</v>
      </c>
      <c r="AJ665" s="86">
        <f>AVERAGEIFS($J$2:J665, $B$2:B665, B665)</f>
        <v>0.52533333333333321</v>
      </c>
      <c r="AK665" s="86">
        <f>AVERAGEIFS($D$2:D665, $B$2:B665, B665)</f>
        <v>0.53333333333333333</v>
      </c>
    </row>
    <row r="666" spans="1:37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 s="86">
        <f>AVERAGEIFS($C$2:C666, $B$2:B666, B666)</f>
        <v>16.3</v>
      </c>
      <c r="AI666" s="86">
        <f>AVERAGEIFS($I$2:I666, $B$2:B666, B666)</f>
        <v>0.49750000000000005</v>
      </c>
      <c r="AJ666" s="86">
        <f>AVERAGEIFS($J$2:J666, $B$2:B666, B666)</f>
        <v>0.48850000000000005</v>
      </c>
      <c r="AK666" s="86">
        <f>AVERAGEIFS($D$2:D666, $B$2:B666, B666)</f>
        <v>0.45</v>
      </c>
    </row>
    <row r="667" spans="1:37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 s="86">
        <f>AVERAGEIFS($C$2:C667, $B$2:B667, B667)</f>
        <v>12.6</v>
      </c>
      <c r="AI667" s="86">
        <f>AVERAGEIFS($I$2:I667, $B$2:B667, B667)</f>
        <v>0.54500000000000004</v>
      </c>
      <c r="AJ667" s="86">
        <f>AVERAGEIFS($J$2:J667, $B$2:B667, B667)</f>
        <v>0.53099999999999992</v>
      </c>
      <c r="AK667" s="86">
        <f>AVERAGEIFS($D$2:D667, $B$2:B667, B667)</f>
        <v>0.4</v>
      </c>
    </row>
    <row r="668" spans="1:37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 s="86">
        <f>AVERAGEIFS($C$2:C668, $B$2:B668, B668)</f>
        <v>18.478260869565219</v>
      </c>
      <c r="AI668" s="86">
        <f>AVERAGEIFS($I$2:I668, $B$2:B668, B668)</f>
        <v>0.42391304347826081</v>
      </c>
      <c r="AJ668" s="86">
        <f>AVERAGEIFS($J$2:J668, $B$2:B668, B668)</f>
        <v>0.45652173913043476</v>
      </c>
      <c r="AK668" s="86">
        <f>AVERAGEIFS($D$2:D668, $B$2:B668, B668)</f>
        <v>0.39130434782608697</v>
      </c>
    </row>
    <row r="669" spans="1:37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1</v>
      </c>
      <c r="AD669">
        <v>0</v>
      </c>
      <c r="AE669">
        <v>0</v>
      </c>
      <c r="AF669">
        <v>0</v>
      </c>
      <c r="AG669">
        <v>0</v>
      </c>
      <c r="AH669" s="86">
        <f>AVERAGEIFS($C$2:C669, $B$2:B669, B669)</f>
        <v>18.375</v>
      </c>
      <c r="AI669" s="86">
        <f>AVERAGEIFS($I$2:I669, $B$2:B669, B669)</f>
        <v>0.53531250000000008</v>
      </c>
      <c r="AJ669" s="86">
        <f>AVERAGEIFS($J$2:J669, $B$2:B669, B669)</f>
        <v>0.53531249999999986</v>
      </c>
      <c r="AK669" s="86">
        <f>AVERAGEIFS($D$2:D669, $B$2:B669, B669)</f>
        <v>0.53125</v>
      </c>
    </row>
    <row r="670" spans="1:37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1</v>
      </c>
      <c r="AD670">
        <v>0</v>
      </c>
      <c r="AE670">
        <v>0</v>
      </c>
      <c r="AF670">
        <v>0</v>
      </c>
      <c r="AG670">
        <v>0</v>
      </c>
      <c r="AH670" s="86">
        <f>AVERAGEIFS($C$2:C670, $B$2:B670, B670)</f>
        <v>22.15909090909091</v>
      </c>
      <c r="AI670" s="86">
        <f>AVERAGEIFS($I$2:I670, $B$2:B670, B670)</f>
        <v>0.56659090909090915</v>
      </c>
      <c r="AJ670" s="86">
        <f>AVERAGEIFS($J$2:J670, $B$2:B670, B670)</f>
        <v>0.53749999999999998</v>
      </c>
      <c r="AK670" s="86">
        <f>AVERAGEIFS($D$2:D670, $B$2:B670, B670)</f>
        <v>0.65909090909090906</v>
      </c>
    </row>
    <row r="671" spans="1:37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1</v>
      </c>
      <c r="AD671">
        <v>0</v>
      </c>
      <c r="AE671">
        <v>0</v>
      </c>
      <c r="AF671">
        <v>0</v>
      </c>
      <c r="AG671">
        <v>0</v>
      </c>
      <c r="AH671" s="86">
        <f>AVERAGEIFS($C$2:C671, $B$2:B671, B671)</f>
        <v>24.088888888888889</v>
      </c>
      <c r="AI671" s="86">
        <f>AVERAGEIFS($I$2:I671, $B$2:B671, B671)</f>
        <v>0.53933333333333344</v>
      </c>
      <c r="AJ671" s="86">
        <f>AVERAGEIFS($J$2:J671, $B$2:B671, B671)</f>
        <v>0.51311111111111107</v>
      </c>
      <c r="AK671" s="86">
        <f>AVERAGEIFS($D$2:D671, $B$2:B671, B671)</f>
        <v>0.55555555555555558</v>
      </c>
    </row>
    <row r="672" spans="1:37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1</v>
      </c>
      <c r="AD672">
        <v>0</v>
      </c>
      <c r="AE672">
        <v>0</v>
      </c>
      <c r="AF672">
        <v>0</v>
      </c>
      <c r="AG672">
        <v>0</v>
      </c>
      <c r="AH672" s="86">
        <f>AVERAGEIFS($C$2:C672, $B$2:B672, B672)</f>
        <v>16.04</v>
      </c>
      <c r="AI672" s="86">
        <f>AVERAGEIFS($I$2:I672, $B$2:B672, B672)</f>
        <v>0.54599999999999993</v>
      </c>
      <c r="AJ672" s="86">
        <f>AVERAGEIFS($J$2:J672, $B$2:B672, B672)</f>
        <v>0.54079999999999995</v>
      </c>
      <c r="AK672" s="86">
        <f>AVERAGEIFS($D$2:D672, $B$2:B672, B672)</f>
        <v>0.68</v>
      </c>
    </row>
    <row r="673" spans="1:37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1</v>
      </c>
      <c r="AD673">
        <v>0</v>
      </c>
      <c r="AE673">
        <v>0</v>
      </c>
      <c r="AF673">
        <v>0</v>
      </c>
      <c r="AG673">
        <v>0</v>
      </c>
      <c r="AH673" s="86">
        <f>AVERAGEIFS($C$2:C673, $B$2:B673, B673)</f>
        <v>17.066666666666666</v>
      </c>
      <c r="AI673" s="86">
        <f>AVERAGEIFS($I$2:I673, $B$2:B673, B673)</f>
        <v>0.51800000000000002</v>
      </c>
      <c r="AJ673" s="86">
        <f>AVERAGEIFS($J$2:J673, $B$2:B673, B673)</f>
        <v>0.52933333333333343</v>
      </c>
      <c r="AK673" s="86">
        <f>AVERAGEIFS($D$2:D673, $B$2:B673, B673)</f>
        <v>0.53333333333333333</v>
      </c>
    </row>
    <row r="674" spans="1:37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1</v>
      </c>
      <c r="AD674">
        <v>0</v>
      </c>
      <c r="AE674">
        <v>0</v>
      </c>
      <c r="AF674">
        <v>0</v>
      </c>
      <c r="AG674">
        <v>0</v>
      </c>
      <c r="AH674" s="86">
        <f>AVERAGEIFS($C$2:C674, $B$2:B674, B674)</f>
        <v>23.964285714285715</v>
      </c>
      <c r="AI674" s="86">
        <f>AVERAGEIFS($I$2:I674, $B$2:B674, B674)</f>
        <v>0.55642857142857138</v>
      </c>
      <c r="AJ674" s="86">
        <f>AVERAGEIFS($J$2:J674, $B$2:B674, B674)</f>
        <v>0.5535714285714286</v>
      </c>
      <c r="AK674" s="86">
        <f>AVERAGEIFS($D$2:D674, $B$2:B674, B674)</f>
        <v>0.5714285714285714</v>
      </c>
    </row>
    <row r="675" spans="1:37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1</v>
      </c>
      <c r="AD675">
        <v>0</v>
      </c>
      <c r="AE675">
        <v>0</v>
      </c>
      <c r="AF675">
        <v>0</v>
      </c>
      <c r="AG675">
        <v>0</v>
      </c>
      <c r="AH675" s="86">
        <f>AVERAGEIFS($C$2:C675, $B$2:B675, B675)</f>
        <v>10.75</v>
      </c>
      <c r="AI675" s="86">
        <f>AVERAGEIFS($I$2:I675, $B$2:B675, B675)</f>
        <v>0.48749999999999999</v>
      </c>
      <c r="AJ675" s="86">
        <f>AVERAGEIFS($J$2:J675, $B$2:B675, B675)</f>
        <v>0.44999999999999996</v>
      </c>
      <c r="AK675" s="86">
        <f>AVERAGEIFS($D$2:D675, $B$2:B675, B675)</f>
        <v>0.75</v>
      </c>
    </row>
    <row r="676" spans="1:37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17.166666666666668</v>
      </c>
      <c r="AI676" s="86">
        <f>AVERAGEIFS($I$2:I676, $B$2:B676, B676)</f>
        <v>0.72499999999999998</v>
      </c>
      <c r="AJ676" s="86">
        <f>AVERAGEIFS($J$2:J676, $B$2:B676, B676)</f>
        <v>0.61666666666666659</v>
      </c>
      <c r="AK676" s="86">
        <f>AVERAGEIFS($D$2:D676, $B$2:B676, B676)</f>
        <v>0.83333333333333337</v>
      </c>
    </row>
    <row r="677" spans="1:37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13.9</v>
      </c>
      <c r="AI677" s="86">
        <f>AVERAGEIFS($I$2:I677, $B$2:B677, B677)</f>
        <v>0.41500000000000004</v>
      </c>
      <c r="AJ677" s="86">
        <f>AVERAGEIFS($J$2:J677, $B$2:B677, B677)</f>
        <v>0.45600000000000007</v>
      </c>
      <c r="AK677" s="86">
        <f>AVERAGEIFS($D$2:D677, $B$2:B677, B677)</f>
        <v>0.4</v>
      </c>
    </row>
    <row r="678" spans="1:37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18.428571428571427</v>
      </c>
      <c r="AI678" s="86">
        <f>AVERAGEIFS($I$2:I678, $B$2:B678, B678)</f>
        <v>0.76428571428571423</v>
      </c>
      <c r="AJ678" s="86">
        <f>AVERAGEIFS($J$2:J678, $B$2:B678, B678)</f>
        <v>0.62</v>
      </c>
      <c r="AK678" s="86">
        <f>AVERAGEIFS($D$2:D678, $B$2:B678, B678)</f>
        <v>0.8571428571428571</v>
      </c>
    </row>
    <row r="679" spans="1:37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24</v>
      </c>
      <c r="AI679" s="86">
        <f>AVERAGEIFS($I$2:I679, $B$2:B679, B679)</f>
        <v>0.57172413793103438</v>
      </c>
      <c r="AJ679" s="86">
        <f>AVERAGEIFS($J$2:J679, $B$2:B679, B679)</f>
        <v>0.55655172413793108</v>
      </c>
      <c r="AK679" s="86">
        <f>AVERAGEIFS($D$2:D679, $B$2:B679, B679)</f>
        <v>0.58620689655172409</v>
      </c>
    </row>
    <row r="680" spans="1:37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18.09090909090909</v>
      </c>
      <c r="AI680" s="86">
        <f>AVERAGEIFS($I$2:I680, $B$2:B680, B680)</f>
        <v>0.4829545454545453</v>
      </c>
      <c r="AJ680" s="86">
        <f>AVERAGEIFS($J$2:J680, $B$2:B680, B680)</f>
        <v>0.48068181818181832</v>
      </c>
      <c r="AK680" s="86">
        <f>AVERAGEIFS($D$2:D680, $B$2:B680, B680)</f>
        <v>0.40909090909090912</v>
      </c>
    </row>
    <row r="681" spans="1:37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10.0625</v>
      </c>
      <c r="AI681" s="86">
        <f>AVERAGEIFS($I$2:I681, $B$2:B681, B681)</f>
        <v>0.57499999999999996</v>
      </c>
      <c r="AJ681" s="86">
        <f>AVERAGEIFS($J$2:J681, $B$2:B681, B681)</f>
        <v>0.53249999999999986</v>
      </c>
      <c r="AK681" s="86">
        <f>AVERAGEIFS($D$2:D681, $B$2:B681, B681)</f>
        <v>0.5625</v>
      </c>
    </row>
    <row r="682" spans="1:37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16.095238095238095</v>
      </c>
      <c r="AI682" s="86">
        <f>AVERAGEIFS($I$2:I682, $B$2:B682, B682)</f>
        <v>0.52142857142857146</v>
      </c>
      <c r="AJ682" s="86">
        <f>AVERAGEIFS($J$2:J682, $B$2:B682, B682)</f>
        <v>0.49571428571428583</v>
      </c>
      <c r="AK682" s="86">
        <f>AVERAGEIFS($D$2:D682, $B$2:B682, B682)</f>
        <v>0.47619047619047616</v>
      </c>
    </row>
    <row r="683" spans="1:37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13.272727272727273</v>
      </c>
      <c r="AI683" s="86">
        <f>AVERAGEIFS($I$2:I683, $B$2:B683, B683)</f>
        <v>0.4681818181818182</v>
      </c>
      <c r="AJ683" s="86">
        <f>AVERAGEIFS($J$2:J683, $B$2:B683, B683)</f>
        <v>0.47272727272727272</v>
      </c>
      <c r="AK683" s="86">
        <f>AVERAGEIFS($D$2:D683, $B$2:B683, B683)</f>
        <v>0.45454545454545453</v>
      </c>
    </row>
    <row r="684" spans="1:37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24</v>
      </c>
      <c r="AI684" s="86">
        <f>AVERAGEIFS($I$2:I684, $B$2:B684, B684)</f>
        <v>0.52760869565217394</v>
      </c>
      <c r="AJ684" s="86">
        <f>AVERAGEIFS($J$2:J684, $B$2:B684, B684)</f>
        <v>0.50978260869565217</v>
      </c>
      <c r="AK684" s="86">
        <f>AVERAGEIFS($D$2:D684, $B$2:B684, B684)</f>
        <v>0.54347826086956519</v>
      </c>
    </row>
    <row r="685" spans="1:37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22.111111111111111</v>
      </c>
      <c r="AI685" s="86">
        <f>AVERAGEIFS($I$2:I685, $B$2:B685, B685)</f>
        <v>0.55400000000000005</v>
      </c>
      <c r="AJ685" s="86">
        <f>AVERAGEIFS($J$2:J685, $B$2:B685, B685)</f>
        <v>0.53355555555555556</v>
      </c>
      <c r="AK685" s="86">
        <f>AVERAGEIFS($D$2:D685, $B$2:B685, B685)</f>
        <v>0.64444444444444449</v>
      </c>
    </row>
    <row r="686" spans="1:37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12.823529411764707</v>
      </c>
      <c r="AI686" s="86">
        <f>AVERAGEIFS($I$2:I686, $B$2:B686, B686)</f>
        <v>0.47647058823529409</v>
      </c>
      <c r="AJ686" s="86">
        <f>AVERAGEIFS($J$2:J686, $B$2:B686, B686)</f>
        <v>0.47882352941176476</v>
      </c>
      <c r="AK686" s="86">
        <f>AVERAGEIFS($D$2:D686, $B$2:B686, B686)</f>
        <v>0.58823529411764708</v>
      </c>
    </row>
    <row r="687" spans="1:37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15.807692307692308</v>
      </c>
      <c r="AI687" s="86">
        <f>AVERAGEIFS($I$2:I687, $B$2:B687, B687)</f>
        <v>0.52499999999999991</v>
      </c>
      <c r="AJ687" s="86">
        <f>AVERAGEIFS($J$2:J687, $B$2:B687, B687)</f>
        <v>0.53384615384615386</v>
      </c>
      <c r="AK687" s="86">
        <f>AVERAGEIFS($D$2:D687, $B$2:B687, B687)</f>
        <v>0.65384615384615385</v>
      </c>
    </row>
    <row r="688" spans="1:37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13.666666666666666</v>
      </c>
      <c r="AI688" s="86">
        <f>AVERAGEIFS($I$2:I688, $B$2:B688, B688)</f>
        <v>0.43333333333333335</v>
      </c>
      <c r="AJ688" s="86">
        <f>AVERAGEIFS($J$2:J688, $B$2:B688, B688)</f>
        <v>0.50166666666666671</v>
      </c>
      <c r="AK688" s="86">
        <f>AVERAGEIFS($D$2:D688, $B$2:B688, B688)</f>
        <v>0.5</v>
      </c>
    </row>
    <row r="689" spans="1:37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 s="86">
        <f>AVERAGEIFS($C$2:C689, $B$2:B689, B689)</f>
        <v>13.272727272727273</v>
      </c>
      <c r="AI689" s="86">
        <f>AVERAGEIFS($I$2:I689, $B$2:B689, B689)</f>
        <v>0.49545454545454548</v>
      </c>
      <c r="AJ689" s="86">
        <f>AVERAGEIFS($J$2:J689, $B$2:B689, B689)</f>
        <v>0.5154545454545455</v>
      </c>
      <c r="AK689" s="86">
        <f>AVERAGEIFS($D$2:D689, $B$2:B689, B689)</f>
        <v>0.36363636363636365</v>
      </c>
    </row>
    <row r="690" spans="1:37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 s="86">
        <f>AVERAGEIFS($C$2:C690, $B$2:B690, B690)</f>
        <v>27.304347826086957</v>
      </c>
      <c r="AI690" s="86">
        <f>AVERAGEIFS($I$2:I690, $B$2:B690, B690)</f>
        <v>0.44347826086956527</v>
      </c>
      <c r="AJ690" s="86">
        <f>AVERAGEIFS($J$2:J690, $B$2:B690, B690)</f>
        <v>0.46043478260869564</v>
      </c>
      <c r="AK690" s="86">
        <f>AVERAGEIFS($D$2:D690, $B$2:B690, B690)</f>
        <v>0.47826086956521741</v>
      </c>
    </row>
    <row r="691" spans="1:37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 s="86">
        <f>AVERAGEIFS($C$2:C691, $B$2:B691, B691)</f>
        <v>11.411764705882353</v>
      </c>
      <c r="AI691" s="86">
        <f>AVERAGEIFS($I$2:I691, $B$2:B691, B691)</f>
        <v>0.58529411764705874</v>
      </c>
      <c r="AJ691" s="86">
        <f>AVERAGEIFS($J$2:J691, $B$2:B691, B691)</f>
        <v>0.53411764705882347</v>
      </c>
      <c r="AK691" s="86">
        <f>AVERAGEIFS($D$2:D691, $B$2:B691, B691)</f>
        <v>0.58823529411764708</v>
      </c>
    </row>
    <row r="692" spans="1:37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 s="86">
        <f>AVERAGEIFS($C$2:C692, $B$2:B692, B692)</f>
        <v>20.73076923076923</v>
      </c>
      <c r="AI692" s="86">
        <f>AVERAGEIFS($I$2:I692, $B$2:B692, B692)</f>
        <v>0.495</v>
      </c>
      <c r="AJ692" s="86">
        <f>AVERAGEIFS($J$2:J692, $B$2:B692, B692)</f>
        <v>0.48153846153846164</v>
      </c>
      <c r="AK692" s="86">
        <f>AVERAGEIFS($D$2:D692, $B$2:B692, B692)</f>
        <v>0.46153846153846156</v>
      </c>
    </row>
    <row r="693" spans="1:37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 s="86">
        <f>AVERAGEIFS($C$2:C693, $B$2:B693, B693)</f>
        <v>24.106382978723403</v>
      </c>
      <c r="AI693" s="86">
        <f>AVERAGEIFS($I$2:I693, $B$2:B693, B693)</f>
        <v>0.53234042553191496</v>
      </c>
      <c r="AJ693" s="86">
        <f>AVERAGEIFS($J$2:J693, $B$2:B693, B693)</f>
        <v>0.51085106382978718</v>
      </c>
      <c r="AK693" s="86">
        <f>AVERAGEIFS($D$2:D693, $B$2:B693, B693)</f>
        <v>0.55319148936170215</v>
      </c>
    </row>
    <row r="694" spans="1:37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 s="86">
        <f>AVERAGEIFS($C$2:C694, $B$2:B694, B694)</f>
        <v>11.085714285714285</v>
      </c>
      <c r="AI694" s="86">
        <f>AVERAGEIFS($I$2:I694, $B$2:B694, B694)</f>
        <v>0.47371428571428575</v>
      </c>
      <c r="AJ694" s="86">
        <f>AVERAGEIFS($J$2:J694, $B$2:B694, B694)</f>
        <v>0.49142857142857138</v>
      </c>
      <c r="AK694" s="86">
        <f>AVERAGEIFS($D$2:D694, $B$2:B694, B694)</f>
        <v>0.45714285714285713</v>
      </c>
    </row>
    <row r="695" spans="1:37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18.545454545454547</v>
      </c>
      <c r="AI695" s="86">
        <f>AVERAGEIFS($I$2:I695, $B$2:B695, B695)</f>
        <v>0.54181818181818187</v>
      </c>
      <c r="AJ695" s="86">
        <f>AVERAGEIFS($J$2:J695, $B$2:B695, B695)</f>
        <v>0.5360606060606059</v>
      </c>
      <c r="AK695" s="86">
        <f>AVERAGEIFS($D$2:D695, $B$2:B695, B695)</f>
        <v>0.54545454545454541</v>
      </c>
    </row>
    <row r="696" spans="1:37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16.40909090909091</v>
      </c>
      <c r="AI696" s="86">
        <f>AVERAGEIFS($I$2:I696, $B$2:B696, B696)</f>
        <v>0.53181818181818186</v>
      </c>
      <c r="AJ696" s="86">
        <f>AVERAGEIFS($J$2:J696, $B$2:B696, B696)</f>
        <v>0.49863636363636377</v>
      </c>
      <c r="AK696" s="86">
        <f>AVERAGEIFS($D$2:D696, $B$2:B696, B696)</f>
        <v>0.5</v>
      </c>
    </row>
    <row r="697" spans="1:37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18.088888888888889</v>
      </c>
      <c r="AI697" s="86">
        <f>AVERAGEIFS($I$2:I697, $B$2:B697, B697)</f>
        <v>0.48888888888888871</v>
      </c>
      <c r="AJ697" s="86">
        <f>AVERAGEIFS($J$2:J697, $B$2:B697, B697)</f>
        <v>0.48244444444444456</v>
      </c>
      <c r="AK697" s="86">
        <f>AVERAGEIFS($D$2:D697, $B$2:B697, B697)</f>
        <v>0.42222222222222222</v>
      </c>
    </row>
    <row r="698" spans="1:37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1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16.555555555555557</v>
      </c>
      <c r="AI698" s="86">
        <f>AVERAGEIFS($I$2:I698, $B$2:B698, B698)</f>
        <v>0.51481481481481473</v>
      </c>
      <c r="AJ698" s="86">
        <f>AVERAGEIFS($J$2:J698, $B$2:B698, B698)</f>
        <v>0.53037037037037027</v>
      </c>
      <c r="AK698" s="86">
        <f>AVERAGEIFS($D$2:D698, $B$2:B698, B698)</f>
        <v>0.62962962962962965</v>
      </c>
    </row>
    <row r="699" spans="1:37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1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17</v>
      </c>
      <c r="AI699" s="86">
        <f>AVERAGEIFS($I$2:I699, $B$2:B699, B699)</f>
        <v>0.55555555555555547</v>
      </c>
      <c r="AJ699" s="86">
        <f>AVERAGEIFS($J$2:J699, $B$2:B699, B699)</f>
        <v>0.54074074074074086</v>
      </c>
      <c r="AK699" s="86">
        <f>AVERAGEIFS($D$2:D699, $B$2:B699, B699)</f>
        <v>0.59259259259259256</v>
      </c>
    </row>
    <row r="700" spans="1:37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1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24.333333333333332</v>
      </c>
      <c r="AI700" s="86">
        <f>AVERAGEIFS($I$2:I700, $B$2:B700, B700)</f>
        <v>0.56099999999999994</v>
      </c>
      <c r="AJ700" s="86">
        <f>AVERAGEIFS($J$2:J700, $B$2:B700, B700)</f>
        <v>0.55266666666666675</v>
      </c>
      <c r="AK700" s="86">
        <f>AVERAGEIFS($D$2:D700, $B$2:B700, B700)</f>
        <v>0.56666666666666665</v>
      </c>
    </row>
    <row r="701" spans="1:37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1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23.782608695652176</v>
      </c>
      <c r="AI701" s="86">
        <f>AVERAGEIFS($I$2:I701, $B$2:B701, B701)</f>
        <v>0.38043478260869568</v>
      </c>
      <c r="AJ701" s="86">
        <f>AVERAGEIFS($J$2:J701, $B$2:B701, B701)</f>
        <v>0.43347826086956526</v>
      </c>
      <c r="AK701" s="86">
        <f>AVERAGEIFS($D$2:D701, $B$2:B701, B701)</f>
        <v>0.21739130434782608</v>
      </c>
    </row>
    <row r="702" spans="1:37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1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17.875</v>
      </c>
      <c r="AI702" s="86">
        <f>AVERAGEIFS($I$2:I702, $B$2:B702, B702)</f>
        <v>0.50124999999999997</v>
      </c>
      <c r="AJ702" s="86">
        <f>AVERAGEIFS($J$2:J702, $B$2:B702, B702)</f>
        <v>0.52375000000000005</v>
      </c>
      <c r="AK702" s="86">
        <f>AVERAGEIFS($D$2:D702, $B$2:B702, B702)</f>
        <v>0.5</v>
      </c>
    </row>
    <row r="703" spans="1:37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1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22.260869565217391</v>
      </c>
      <c r="AI703" s="86">
        <f>AVERAGEIFS($I$2:I703, $B$2:B703, B703)</f>
        <v>0.54739130434782612</v>
      </c>
      <c r="AJ703" s="86">
        <f>AVERAGEIFS($J$2:J703, $B$2:B703, B703)</f>
        <v>0.53152173913043477</v>
      </c>
      <c r="AK703" s="86">
        <f>AVERAGEIFS($D$2:D703, $B$2:B703, B703)</f>
        <v>0.63043478260869568</v>
      </c>
    </row>
    <row r="704" spans="1:37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1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18.928571428571427</v>
      </c>
      <c r="AI704" s="86">
        <f>AVERAGEIFS($I$2:I704, $B$2:B704, B704)</f>
        <v>0.44642857142857134</v>
      </c>
      <c r="AJ704" s="86">
        <f>AVERAGEIFS($J$2:J704, $B$2:B704, B704)</f>
        <v>0.4539285714285714</v>
      </c>
      <c r="AK704" s="86">
        <f>AVERAGEIFS($D$2:D704, $B$2:B704, B704)</f>
        <v>0.4642857142857143</v>
      </c>
    </row>
    <row r="705" spans="1:37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1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11.4</v>
      </c>
      <c r="AI705" s="86">
        <f>AVERAGEIFS($I$2:I705, $B$2:B705, B705)</f>
        <v>0.44000000000000006</v>
      </c>
      <c r="AJ705" s="86">
        <f>AVERAGEIFS($J$2:J705, $B$2:B705, B705)</f>
        <v>0.44799999999999995</v>
      </c>
      <c r="AK705" s="86">
        <f>AVERAGEIFS($D$2:D705, $B$2:B705, B705)</f>
        <v>0.6</v>
      </c>
    </row>
    <row r="706" spans="1:37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27.083333333333332</v>
      </c>
      <c r="AI706" s="86">
        <f>AVERAGEIFS($I$2:I706, $B$2:B706, B706)</f>
        <v>0.42500000000000004</v>
      </c>
      <c r="AJ706" s="86">
        <f>AVERAGEIFS($J$2:J706, $B$2:B706, B706)</f>
        <v>0.45416666666666666</v>
      </c>
      <c r="AK706" s="86">
        <f>AVERAGEIFS($D$2:D706, $B$2:B706, B706)</f>
        <v>0.45833333333333331</v>
      </c>
    </row>
    <row r="707" spans="1:37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 s="86">
        <f>AVERAGEIFS($C$2:C707, $B$2:B707, B707)</f>
        <v>17.916666666666668</v>
      </c>
      <c r="AI707" s="86">
        <f>AVERAGEIFS($I$2:I707, $B$2:B707, B707)</f>
        <v>0.40624999999999994</v>
      </c>
      <c r="AJ707" s="86">
        <f>AVERAGEIFS($J$2:J707, $B$2:B707, B707)</f>
        <v>0.45041666666666669</v>
      </c>
      <c r="AK707" s="86">
        <f>AVERAGEIFS($D$2:D707, $B$2:B707, B707)</f>
        <v>0.375</v>
      </c>
    </row>
    <row r="708" spans="1:37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 s="86">
        <f>AVERAGEIFS($C$2:C708, $B$2:B708, B708)</f>
        <v>16.642857142857142</v>
      </c>
      <c r="AI708" s="86">
        <f>AVERAGEIFS($I$2:I708, $B$2:B708, B708)</f>
        <v>0.5357142857142857</v>
      </c>
      <c r="AJ708" s="86">
        <f>AVERAGEIFS($J$2:J708, $B$2:B708, B708)</f>
        <v>0.53250000000000008</v>
      </c>
      <c r="AK708" s="86">
        <f>AVERAGEIFS($D$2:D708, $B$2:B708, B708)</f>
        <v>0.5714285714285714</v>
      </c>
    </row>
    <row r="709" spans="1:37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 s="86">
        <f>AVERAGEIFS($C$2:C709, $B$2:B709, B709)</f>
        <v>11.857142857142858</v>
      </c>
      <c r="AI709" s="86">
        <f>AVERAGEIFS($I$2:I709, $B$2:B709, B709)</f>
        <v>0.37142857142857144</v>
      </c>
      <c r="AJ709" s="86">
        <f>AVERAGEIFS($J$2:J709, $B$2:B709, B709)</f>
        <v>0.47428571428571431</v>
      </c>
      <c r="AK709" s="86">
        <f>AVERAGEIFS($D$2:D709, $B$2:B709, B709)</f>
        <v>0.42857142857142855</v>
      </c>
    </row>
    <row r="710" spans="1:37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 s="86">
        <f>AVERAGEIFS($C$2:C710, $B$2:B710, B710)</f>
        <v>12.916666666666666</v>
      </c>
      <c r="AI710" s="86">
        <f>AVERAGEIFS($I$2:I710, $B$2:B710, B710)</f>
        <v>0.4291666666666667</v>
      </c>
      <c r="AJ710" s="86">
        <f>AVERAGEIFS($J$2:J710, $B$2:B710, B710)</f>
        <v>0.45916666666666667</v>
      </c>
      <c r="AK710" s="86">
        <f>AVERAGEIFS($D$2:D710, $B$2:B710, B710)</f>
        <v>0.41666666666666669</v>
      </c>
    </row>
    <row r="711" spans="1:37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1</v>
      </c>
      <c r="AE711">
        <v>0</v>
      </c>
      <c r="AF711">
        <v>0</v>
      </c>
      <c r="AG711">
        <v>1</v>
      </c>
      <c r="AH711" s="86">
        <f>AVERAGEIFS($C$2:C711, $B$2:B711, B711)</f>
        <v>23.9375</v>
      </c>
      <c r="AI711" s="86">
        <f>AVERAGEIFS($I$2:I711, $B$2:B711, B711)</f>
        <v>0.54208333333333336</v>
      </c>
      <c r="AJ711" s="86">
        <f>AVERAGEIFS($J$2:J711, $B$2:B711, B711)</f>
        <v>0.51458333333333328</v>
      </c>
      <c r="AK711" s="86">
        <f>AVERAGEIFS($D$2:D711, $B$2:B711, B711)</f>
        <v>0.5625</v>
      </c>
    </row>
    <row r="712" spans="1:37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1</v>
      </c>
      <c r="AE712">
        <v>0</v>
      </c>
      <c r="AF712">
        <v>0</v>
      </c>
      <c r="AG712">
        <v>1</v>
      </c>
      <c r="AH712" s="86">
        <f>AVERAGEIFS($C$2:C712, $B$2:B712, B712)</f>
        <v>23.458333333333332</v>
      </c>
      <c r="AI712" s="86">
        <f>AVERAGEIFS($I$2:I712, $B$2:B712, B712)</f>
        <v>0.40625</v>
      </c>
      <c r="AJ712" s="86">
        <f>AVERAGEIFS($J$2:J712, $B$2:B712, B712)</f>
        <v>0.44416666666666665</v>
      </c>
      <c r="AK712" s="86">
        <f>AVERAGEIFS($D$2:D712, $B$2:B712, B712)</f>
        <v>0.25</v>
      </c>
    </row>
    <row r="713" spans="1:37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1</v>
      </c>
      <c r="AE713">
        <v>0</v>
      </c>
      <c r="AF713">
        <v>0</v>
      </c>
      <c r="AG713">
        <v>1</v>
      </c>
      <c r="AH713" s="86">
        <f>AVERAGEIFS($C$2:C713, $B$2:B713, B713)</f>
        <v>16.173913043478262</v>
      </c>
      <c r="AI713" s="86">
        <f>AVERAGEIFS($I$2:I713, $B$2:B713, B713)</f>
        <v>0.55217391304347829</v>
      </c>
      <c r="AJ713" s="86">
        <f>AVERAGEIFS($J$2:J713, $B$2:B713, B713)</f>
        <v>0.50695652173913053</v>
      </c>
      <c r="AK713" s="86">
        <f>AVERAGEIFS($D$2:D713, $B$2:B713, B713)</f>
        <v>0.52173913043478259</v>
      </c>
    </row>
    <row r="714" spans="1:37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1</v>
      </c>
      <c r="AE714">
        <v>0</v>
      </c>
      <c r="AF714">
        <v>0</v>
      </c>
      <c r="AG714">
        <v>1</v>
      </c>
      <c r="AH714" s="86">
        <f>AVERAGEIFS($C$2:C714, $B$2:B714, B714)</f>
        <v>15.75</v>
      </c>
      <c r="AI714" s="86">
        <f>AVERAGEIFS($I$2:I714, $B$2:B714, B714)</f>
        <v>0.57187500000000002</v>
      </c>
      <c r="AJ714" s="86">
        <f>AVERAGEIFS($J$2:J714, $B$2:B714, B714)</f>
        <v>0.53</v>
      </c>
      <c r="AK714" s="86">
        <f>AVERAGEIFS($D$2:D714, $B$2:B714, B714)</f>
        <v>0.5625</v>
      </c>
    </row>
    <row r="715" spans="1:37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1</v>
      </c>
      <c r="AE715">
        <v>0</v>
      </c>
      <c r="AF715">
        <v>0</v>
      </c>
      <c r="AG715">
        <v>1</v>
      </c>
      <c r="AH715" s="86">
        <f>AVERAGEIFS($C$2:C715, $B$2:B715, B715)</f>
        <v>13.333333333333334</v>
      </c>
      <c r="AI715" s="86">
        <f>AVERAGEIFS($I$2:I715, $B$2:B715, B715)</f>
        <v>0.53749999999999998</v>
      </c>
      <c r="AJ715" s="86">
        <f>AVERAGEIFS($J$2:J715, $B$2:B715, B715)</f>
        <v>0.52999999999999992</v>
      </c>
      <c r="AK715" s="86">
        <f>AVERAGEIFS($D$2:D715, $B$2:B715, B715)</f>
        <v>0.41666666666666669</v>
      </c>
    </row>
    <row r="716" spans="1:37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 s="86">
        <f>AVERAGEIFS($C$2:C716, $B$2:B716, B716)</f>
        <v>18.239130434782609</v>
      </c>
      <c r="AI716" s="86">
        <f>AVERAGEIFS($I$2:I716, $B$2:B716, B716)</f>
        <v>0.49456521739130421</v>
      </c>
      <c r="AJ716" s="86">
        <f>AVERAGEIFS($J$2:J716, $B$2:B716, B716)</f>
        <v>0.48413043478260875</v>
      </c>
      <c r="AK716" s="86">
        <f>AVERAGEIFS($D$2:D716, $B$2:B716, B716)</f>
        <v>0.43478260869565216</v>
      </c>
    </row>
    <row r="717" spans="1:37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 s="86">
        <f>AVERAGEIFS($C$2:C717, $B$2:B717, B717)</f>
        <v>22.25531914893617</v>
      </c>
      <c r="AI717" s="86">
        <f>AVERAGEIFS($I$2:I717, $B$2:B717, B717)</f>
        <v>0.55170212765957449</v>
      </c>
      <c r="AJ717" s="86">
        <f>AVERAGEIFS($J$2:J717, $B$2:B717, B717)</f>
        <v>0.53212765957446806</v>
      </c>
      <c r="AK717" s="86">
        <f>AVERAGEIFS($D$2:D717, $B$2:B717, B717)</f>
        <v>0.63829787234042556</v>
      </c>
    </row>
    <row r="718" spans="1:37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 s="86">
        <f>AVERAGEIFS($C$2:C718, $B$2:B718, B718)</f>
        <v>20.666666666666668</v>
      </c>
      <c r="AI718" s="86">
        <f>AVERAGEIFS($I$2:I718, $B$2:B718, B718)</f>
        <v>0.50444444444444436</v>
      </c>
      <c r="AJ718" s="86">
        <f>AVERAGEIFS($J$2:J718, $B$2:B718, B718)</f>
        <v>0.48444444444444457</v>
      </c>
      <c r="AK718" s="86">
        <f>AVERAGEIFS($D$2:D718, $B$2:B718, B718)</f>
        <v>0.48148148148148145</v>
      </c>
    </row>
    <row r="719" spans="1:37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16.607142857142858</v>
      </c>
      <c r="AI719" s="86">
        <f>AVERAGEIFS($I$2:I719, $B$2:B719, B719)</f>
        <v>0.52321428571428563</v>
      </c>
      <c r="AJ719" s="86">
        <f>AVERAGEIFS($J$2:J719, $B$2:B719, B719)</f>
        <v>0.53142857142857136</v>
      </c>
      <c r="AK719" s="86">
        <f>AVERAGEIFS($D$2:D719, $B$2:B719, B719)</f>
        <v>0.6428571428571429</v>
      </c>
    </row>
    <row r="720" spans="1:37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12.777777777777779</v>
      </c>
      <c r="AI720" s="86">
        <f>AVERAGEIFS($I$2:I720, $B$2:B720, B720)</f>
        <v>0.53888888888888886</v>
      </c>
      <c r="AJ720" s="86">
        <f>AVERAGEIFS($J$2:J720, $B$2:B720, B720)</f>
        <v>0.49222222222222217</v>
      </c>
      <c r="AK720" s="86">
        <f>AVERAGEIFS($D$2:D720, $B$2:B720, B720)</f>
        <v>0.44444444444444442</v>
      </c>
    </row>
    <row r="721" spans="1:37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1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24.612903225806452</v>
      </c>
      <c r="AI721" s="86">
        <f>AVERAGEIFS($I$2:I721, $B$2:B721, B721)</f>
        <v>0.55096774193548381</v>
      </c>
      <c r="AJ721" s="86">
        <f>AVERAGEIFS($J$2:J721, $B$2:B721, B721)</f>
        <v>0.54903225806451628</v>
      </c>
      <c r="AK721" s="86">
        <f>AVERAGEIFS($D$2:D721, $B$2:B721, B721)</f>
        <v>0.54838709677419351</v>
      </c>
    </row>
    <row r="722" spans="1:37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1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19.137931034482758</v>
      </c>
      <c r="AI722" s="86">
        <f>AVERAGEIFS($I$2:I722, $B$2:B722, B722)</f>
        <v>0.43965517241379304</v>
      </c>
      <c r="AJ722" s="86">
        <f>AVERAGEIFS($J$2:J722, $B$2:B722, B722)</f>
        <v>0.45344827586206893</v>
      </c>
      <c r="AK722" s="86">
        <f>AVERAGEIFS($D$2:D722, $B$2:B722, B722)</f>
        <v>0.44827586206896552</v>
      </c>
    </row>
    <row r="723" spans="1:37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1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11.611111111111111</v>
      </c>
      <c r="AI723" s="86">
        <f>AVERAGEIFS($I$2:I723, $B$2:B723, B723)</f>
        <v>0.56666666666666665</v>
      </c>
      <c r="AJ723" s="86">
        <f>AVERAGEIFS($J$2:J723, $B$2:B723, B723)</f>
        <v>0.52888888888888874</v>
      </c>
      <c r="AK723" s="86">
        <f>AVERAGEIFS($D$2:D723, $B$2:B723, B723)</f>
        <v>0.55555555555555558</v>
      </c>
    </row>
    <row r="724" spans="1:37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1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17.411764705882351</v>
      </c>
      <c r="AI724" s="86">
        <f>AVERAGEIFS($I$2:I724, $B$2:B724, B724)</f>
        <v>0.4864705882352941</v>
      </c>
      <c r="AJ724" s="86">
        <f>AVERAGEIFS($J$2:J724, $B$2:B724, B724)</f>
        <v>0.51882352941176468</v>
      </c>
      <c r="AK724" s="86">
        <f>AVERAGEIFS($D$2:D724, $B$2:B724, B724)</f>
        <v>0.47058823529411764</v>
      </c>
    </row>
    <row r="725" spans="1:37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12.611111111111111</v>
      </c>
      <c r="AI725" s="86">
        <f>AVERAGEIFS($I$2:I725, $B$2:B725, B725)</f>
        <v>0.46388888888888885</v>
      </c>
      <c r="AJ725" s="86">
        <f>AVERAGEIFS($J$2:J725, $B$2:B725, B725)</f>
        <v>0.47666666666666668</v>
      </c>
      <c r="AK725" s="86">
        <f>AVERAGEIFS($D$2:D725, $B$2:B725, B725)</f>
        <v>0.55555555555555558</v>
      </c>
    </row>
    <row r="726" spans="1:37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1</v>
      </c>
      <c r="AD726">
        <v>0</v>
      </c>
      <c r="AE726">
        <v>1</v>
      </c>
      <c r="AF726">
        <v>0</v>
      </c>
      <c r="AG726">
        <v>0</v>
      </c>
      <c r="AH726" s="86">
        <f>AVERAGEIFS($C$2:C726, $B$2:B726, B726)</f>
        <v>14.428571428571429</v>
      </c>
      <c r="AI726" s="86">
        <f>AVERAGEIFS($I$2:I726, $B$2:B726, B726)</f>
        <v>0.50714285714285712</v>
      </c>
      <c r="AJ726" s="86">
        <f>AVERAGEIFS($J$2:J726, $B$2:B726, B726)</f>
        <v>0.51999999999999991</v>
      </c>
      <c r="AK726" s="86">
        <f>AVERAGEIFS($D$2:D726, $B$2:B726, B726)</f>
        <v>0.42857142857142855</v>
      </c>
    </row>
    <row r="727" spans="1:37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1</v>
      </c>
      <c r="AD727">
        <v>0</v>
      </c>
      <c r="AE727">
        <v>1</v>
      </c>
      <c r="AF727">
        <v>0</v>
      </c>
      <c r="AG727">
        <v>0</v>
      </c>
      <c r="AH727" s="86">
        <f>AVERAGEIFS($C$2:C727, $B$2:B727, B727)</f>
        <v>20.607142857142858</v>
      </c>
      <c r="AI727" s="86">
        <f>AVERAGEIFS($I$2:I727, $B$2:B727, B727)</f>
        <v>0.51321428571428573</v>
      </c>
      <c r="AJ727" s="86">
        <f>AVERAGEIFS($J$2:J727, $B$2:B727, B727)</f>
        <v>0.48892857142857155</v>
      </c>
      <c r="AK727" s="86">
        <f>AVERAGEIFS($D$2:D727, $B$2:B727, B727)</f>
        <v>0.5</v>
      </c>
    </row>
    <row r="728" spans="1:37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1</v>
      </c>
      <c r="AD728">
        <v>0</v>
      </c>
      <c r="AE728">
        <v>1</v>
      </c>
      <c r="AF728">
        <v>0</v>
      </c>
      <c r="AG728">
        <v>0</v>
      </c>
      <c r="AH728" s="86">
        <f>AVERAGEIFS($C$2:C728, $B$2:B728, B728)</f>
        <v>16.724137931034484</v>
      </c>
      <c r="AI728" s="86">
        <f>AVERAGEIFS($I$2:I728, $B$2:B728, B728)</f>
        <v>0.54310344827586199</v>
      </c>
      <c r="AJ728" s="86">
        <f>AVERAGEIFS($J$2:J728, $B$2:B728, B728)</f>
        <v>0.53517241379310354</v>
      </c>
      <c r="AK728" s="86">
        <f>AVERAGEIFS($D$2:D728, $B$2:B728, B728)</f>
        <v>0.58620689655172409</v>
      </c>
    </row>
    <row r="729" spans="1:37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1</v>
      </c>
      <c r="AD729">
        <v>0</v>
      </c>
      <c r="AE729">
        <v>1</v>
      </c>
      <c r="AF729">
        <v>0</v>
      </c>
      <c r="AG729">
        <v>0</v>
      </c>
      <c r="AH729" s="86">
        <f>AVERAGEIFS($C$2:C729, $B$2:B729, B729)</f>
        <v>22.145833333333332</v>
      </c>
      <c r="AI729" s="86">
        <f>AVERAGEIFS($I$2:I729, $B$2:B729, B729)</f>
        <v>0.5558333333333334</v>
      </c>
      <c r="AJ729" s="86">
        <f>AVERAGEIFS($J$2:J729, $B$2:B729, B729)</f>
        <v>0.53374999999999995</v>
      </c>
      <c r="AK729" s="86">
        <f>AVERAGEIFS($D$2:D729, $B$2:B729, B729)</f>
        <v>0.64583333333333337</v>
      </c>
    </row>
    <row r="730" spans="1:37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1</v>
      </c>
      <c r="AD730">
        <v>0</v>
      </c>
      <c r="AE730">
        <v>1</v>
      </c>
      <c r="AF730">
        <v>0</v>
      </c>
      <c r="AG730">
        <v>0</v>
      </c>
      <c r="AH730" s="86">
        <f>AVERAGEIFS($C$2:C730, $B$2:B730, B730)</f>
        <v>18.212765957446809</v>
      </c>
      <c r="AI730" s="86">
        <f>AVERAGEIFS($I$2:I730, $B$2:B730, B730)</f>
        <v>0.49999999999999983</v>
      </c>
      <c r="AJ730" s="86">
        <f>AVERAGEIFS($J$2:J730, $B$2:B730, B730)</f>
        <v>0.48680851063829794</v>
      </c>
      <c r="AK730" s="86">
        <f>AVERAGEIFS($D$2:D730, $B$2:B730, B730)</f>
        <v>0.44680851063829785</v>
      </c>
    </row>
    <row r="731" spans="1:37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1</v>
      </c>
      <c r="AD731">
        <v>0</v>
      </c>
      <c r="AE731">
        <v>1</v>
      </c>
      <c r="AF731">
        <v>0</v>
      </c>
      <c r="AG731">
        <v>0</v>
      </c>
      <c r="AH731" s="86">
        <f>AVERAGEIFS($C$2:C731, $B$2:B731, B731)</f>
        <v>13.076923076923077</v>
      </c>
      <c r="AI731" s="86">
        <f>AVERAGEIFS($I$2:I731, $B$2:B731, B731)</f>
        <v>0.4538461538461539</v>
      </c>
      <c r="AJ731" s="86">
        <f>AVERAGEIFS($J$2:J731, $B$2:B731, B731)</f>
        <v>0.47076923076923077</v>
      </c>
      <c r="AK731" s="86">
        <f>AVERAGEIFS($D$2:D731, $B$2:B731, B731)</f>
        <v>0.46153846153846156</v>
      </c>
    </row>
    <row r="732" spans="1:37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26.96</v>
      </c>
      <c r="AI732" s="86">
        <f>AVERAGEIFS($I$2:I732, $B$2:B732, B732)</f>
        <v>0.41800000000000004</v>
      </c>
      <c r="AJ732" s="86">
        <f>AVERAGEIFS($J$2:J732, $B$2:B732, B732)</f>
        <v>0.45160000000000006</v>
      </c>
      <c r="AK732" s="86">
        <f>AVERAGEIFS($D$2:D732, $B$2:B732, B732)</f>
        <v>0.44</v>
      </c>
    </row>
    <row r="733" spans="1:37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16.724137931034484</v>
      </c>
      <c r="AI733" s="86">
        <f>AVERAGEIFS($I$2:I733, $B$2:B733, B733)</f>
        <v>0.51379310344827578</v>
      </c>
      <c r="AJ733" s="86">
        <f>AVERAGEIFS($J$2:J733, $B$2:B733, B733)</f>
        <v>0.52655172413793105</v>
      </c>
      <c r="AK733" s="86">
        <f>AVERAGEIFS($D$2:D733, $B$2:B733, B733)</f>
        <v>0.62068965517241381</v>
      </c>
    </row>
    <row r="734" spans="1:37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13.846153846153847</v>
      </c>
      <c r="AI734" s="86">
        <f>AVERAGEIFS($I$2:I734, $B$2:B734, B734)</f>
        <v>0.51538461538461544</v>
      </c>
      <c r="AJ734" s="86">
        <f>AVERAGEIFS($J$2:J734, $B$2:B734, B734)</f>
        <v>0.51923076923076916</v>
      </c>
      <c r="AK734" s="86">
        <f>AVERAGEIFS($D$2:D734, $B$2:B734, B734)</f>
        <v>0.38461538461538464</v>
      </c>
    </row>
    <row r="735" spans="1:37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18.411764705882351</v>
      </c>
      <c r="AI735" s="86">
        <f>AVERAGEIFS($I$2:I735, $B$2:B735, B735)</f>
        <v>0.53323529411764714</v>
      </c>
      <c r="AJ735" s="86">
        <f>AVERAGEIFS($J$2:J735, $B$2:B735, B735)</f>
        <v>0.53176470588235281</v>
      </c>
      <c r="AK735" s="86">
        <f>AVERAGEIFS($D$2:D735, $B$2:B735, B735)</f>
        <v>0.52941176470588236</v>
      </c>
    </row>
    <row r="736" spans="1:37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12.368421052631579</v>
      </c>
      <c r="AI736" s="86">
        <f>AVERAGEIFS($I$2:I736, $B$2:B736, B736)</f>
        <v>0.45263157894736838</v>
      </c>
      <c r="AJ736" s="86">
        <f>AVERAGEIFS($J$2:J736, $B$2:B736, B736)</f>
        <v>0.47210526315789475</v>
      </c>
      <c r="AK736" s="86">
        <f>AVERAGEIFS($D$2:D736, $B$2:B736, B736)</f>
        <v>0.52631578947368418</v>
      </c>
    </row>
    <row r="737" spans="1:37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17.48</v>
      </c>
      <c r="AI737" s="86">
        <f>AVERAGEIFS($I$2:I737, $B$2:B737, B737)</f>
        <v>0.39999999999999991</v>
      </c>
      <c r="AJ737" s="86">
        <f>AVERAGEIFS($J$2:J737, $B$2:B737, B737)</f>
        <v>0.44800000000000006</v>
      </c>
      <c r="AK737" s="86">
        <f>AVERAGEIFS($D$2:D737, $B$2:B737, B737)</f>
        <v>0.36</v>
      </c>
    </row>
    <row r="738" spans="1:37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10.861111111111111</v>
      </c>
      <c r="AI738" s="86">
        <f>AVERAGEIFS($I$2:I738, $B$2:B738, B738)</f>
        <v>0.46750000000000003</v>
      </c>
      <c r="AJ738" s="86">
        <f>AVERAGEIFS($J$2:J738, $B$2:B738, B738)</f>
        <v>0.48861111111111111</v>
      </c>
      <c r="AK738" s="86">
        <f>AVERAGEIFS($D$2:D738, $B$2:B738, B738)</f>
        <v>0.44444444444444442</v>
      </c>
    </row>
    <row r="739" spans="1:37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1</v>
      </c>
      <c r="AE739">
        <v>0</v>
      </c>
      <c r="AF739">
        <v>0</v>
      </c>
      <c r="AG739">
        <v>0</v>
      </c>
      <c r="AH739" s="86">
        <f>AVERAGEIFS($C$2:C739, $B$2:B739, B739)</f>
        <v>22.244897959183675</v>
      </c>
      <c r="AI739" s="86">
        <f>AVERAGEIFS($I$2:I739, $B$2:B739, B739)</f>
        <v>0.55673469387755115</v>
      </c>
      <c r="AJ739" s="86">
        <f>AVERAGEIFS($J$2:J739, $B$2:B739, B739)</f>
        <v>0.53510204081632651</v>
      </c>
      <c r="AK739" s="86">
        <f>AVERAGEIFS($D$2:D739, $B$2:B739, B739)</f>
        <v>0.65306122448979587</v>
      </c>
    </row>
    <row r="740" spans="1:37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1</v>
      </c>
      <c r="AE740">
        <v>0</v>
      </c>
      <c r="AF740">
        <v>0</v>
      </c>
      <c r="AG740">
        <v>0</v>
      </c>
      <c r="AH740" s="86">
        <f>AVERAGEIFS($C$2:C740, $B$2:B740, B740)</f>
        <v>18.125</v>
      </c>
      <c r="AI740" s="86">
        <f>AVERAGEIFS($I$2:I740, $B$2:B740, B740)</f>
        <v>0.50208333333333321</v>
      </c>
      <c r="AJ740" s="86">
        <f>AVERAGEIFS($J$2:J740, $B$2:B740, B740)</f>
        <v>0.48916666666666675</v>
      </c>
      <c r="AK740" s="86">
        <f>AVERAGEIFS($D$2:D740, $B$2:B740, B740)</f>
        <v>0.45833333333333331</v>
      </c>
    </row>
    <row r="741" spans="1:37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1</v>
      </c>
      <c r="AE741">
        <v>0</v>
      </c>
      <c r="AF741">
        <v>0</v>
      </c>
      <c r="AG741">
        <v>0</v>
      </c>
      <c r="AH741" s="86">
        <f>AVERAGEIFS($C$2:C741, $B$2:B741, B741)</f>
        <v>16.375</v>
      </c>
      <c r="AI741" s="86">
        <f>AVERAGEIFS($I$2:I741, $B$2:B741, B741)</f>
        <v>0.5541666666666667</v>
      </c>
      <c r="AJ741" s="86">
        <f>AVERAGEIFS($J$2:J741, $B$2:B741, B741)</f>
        <v>0.51083333333333336</v>
      </c>
      <c r="AK741" s="86">
        <f>AVERAGEIFS($D$2:D741, $B$2:B741, B741)</f>
        <v>0.54166666666666663</v>
      </c>
    </row>
    <row r="742" spans="1:37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1</v>
      </c>
      <c r="AE742">
        <v>0</v>
      </c>
      <c r="AF742">
        <v>0</v>
      </c>
      <c r="AG742">
        <v>0</v>
      </c>
      <c r="AH742" s="86">
        <f>AVERAGEIFS($C$2:C742, $B$2:B742, B742)</f>
        <v>23.52</v>
      </c>
      <c r="AI742" s="86">
        <f>AVERAGEIFS($I$2:I742, $B$2:B742, B742)</f>
        <v>0.41399999999999998</v>
      </c>
      <c r="AJ742" s="86">
        <f>AVERAGEIFS($J$2:J742, $B$2:B742, B742)</f>
        <v>0.45039999999999997</v>
      </c>
      <c r="AK742" s="86">
        <f>AVERAGEIFS($D$2:D742, $B$2:B742, B742)</f>
        <v>0.28000000000000003</v>
      </c>
    </row>
    <row r="743" spans="1:37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1</v>
      </c>
      <c r="AE743">
        <v>0</v>
      </c>
      <c r="AF743">
        <v>0</v>
      </c>
      <c r="AG743">
        <v>0</v>
      </c>
      <c r="AH743" s="86">
        <f>AVERAGEIFS($C$2:C743, $B$2:B743, B743)</f>
        <v>16.733333333333334</v>
      </c>
      <c r="AI743" s="86">
        <f>AVERAGEIFS($I$2:I743, $B$2:B743, B743)</f>
        <v>0.51666666666666661</v>
      </c>
      <c r="AJ743" s="86">
        <f>AVERAGEIFS($J$2:J743, $B$2:B743, B743)</f>
        <v>0.52900000000000003</v>
      </c>
      <c r="AK743" s="86">
        <f>AVERAGEIFS($D$2:D743, $B$2:B743, B743)</f>
        <v>0.6333333333333333</v>
      </c>
    </row>
    <row r="744" spans="1:37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1</v>
      </c>
      <c r="AE744">
        <v>0</v>
      </c>
      <c r="AF744">
        <v>0</v>
      </c>
      <c r="AG744">
        <v>0</v>
      </c>
      <c r="AH744" s="86">
        <f>AVERAGEIFS($C$2:C744, $B$2:B744, B744)</f>
        <v>12.125</v>
      </c>
      <c r="AI744" s="86">
        <f>AVERAGEIFS($I$2:I744, $B$2:B744, B744)</f>
        <v>0.4</v>
      </c>
      <c r="AJ744" s="86">
        <f>AVERAGEIFS($J$2:J744, $B$2:B744, B744)</f>
        <v>0.49000000000000005</v>
      </c>
      <c r="AK744" s="86">
        <f>AVERAGEIFS($D$2:D744, $B$2:B744, B744)</f>
        <v>0.5</v>
      </c>
    </row>
    <row r="745" spans="1:37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 s="86">
        <f>AVERAGEIFS($C$2:C745, $B$2:B745, B745)</f>
        <v>26.76923076923077</v>
      </c>
      <c r="AI745" s="86">
        <f>AVERAGEIFS($I$2:I745, $B$2:B745, B745)</f>
        <v>0.41730769230769238</v>
      </c>
      <c r="AJ745" s="86">
        <f>AVERAGEIFS($J$2:J745, $B$2:B745, B745)</f>
        <v>0.44961538461538464</v>
      </c>
      <c r="AK745" s="86">
        <f>AVERAGEIFS($D$2:D745, $B$2:B745, B745)</f>
        <v>0.42307692307692307</v>
      </c>
    </row>
    <row r="746" spans="1:37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 s="86">
        <f>AVERAGEIFS($C$2:C746, $B$2:B746, B746)</f>
        <v>16.899999999999999</v>
      </c>
      <c r="AI746" s="86">
        <f>AVERAGEIFS($I$2:I746, $B$2:B746, B746)</f>
        <v>0.53833333333333333</v>
      </c>
      <c r="AJ746" s="86">
        <f>AVERAGEIFS($J$2:J746, $B$2:B746, B746)</f>
        <v>0.53066666666666673</v>
      </c>
      <c r="AK746" s="86">
        <f>AVERAGEIFS($D$2:D746, $B$2:B746, B746)</f>
        <v>0.56666666666666665</v>
      </c>
    </row>
    <row r="747" spans="1:37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 s="86">
        <f>AVERAGEIFS($C$2:C747, $B$2:B747, B747)</f>
        <v>12.15</v>
      </c>
      <c r="AI747" s="86">
        <f>AVERAGEIFS($I$2:I747, $B$2:B747, B747)</f>
        <v>0.45</v>
      </c>
      <c r="AJ747" s="86">
        <f>AVERAGEIFS($J$2:J747, $B$2:B747, B747)</f>
        <v>0.46850000000000003</v>
      </c>
      <c r="AK747" s="86">
        <f>AVERAGEIFS($D$2:D747, $B$2:B747, B747)</f>
        <v>0.5</v>
      </c>
    </row>
    <row r="748" spans="1:37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 s="86">
        <f>AVERAGEIFS($C$2:C748, $B$2:B748, B748)</f>
        <v>17.692307692307693</v>
      </c>
      <c r="AI748" s="86">
        <f>AVERAGEIFS($I$2:I748, $B$2:B748, B748)</f>
        <v>0.39999999999999997</v>
      </c>
      <c r="AJ748" s="86">
        <f>AVERAGEIFS($J$2:J748, $B$2:B748, B748)</f>
        <v>0.44615384615384623</v>
      </c>
      <c r="AK748" s="86">
        <f>AVERAGEIFS($D$2:D748, $B$2:B748, B748)</f>
        <v>0.34615384615384615</v>
      </c>
    </row>
    <row r="749" spans="1:37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 s="86">
        <f>AVERAGEIFS($C$2:C749, $B$2:B749, B749)</f>
        <v>15.470588235294118</v>
      </c>
      <c r="AI749" s="86">
        <f>AVERAGEIFS($I$2:I749, $B$2:B749, B749)</f>
        <v>0.56176470588235294</v>
      </c>
      <c r="AJ749" s="86">
        <f>AVERAGEIFS($J$2:J749, $B$2:B749, B749)</f>
        <v>0.52235294117647069</v>
      </c>
      <c r="AK749" s="86">
        <f>AVERAGEIFS($D$2:D749, $B$2:B749, B749)</f>
        <v>0.52941176470588236</v>
      </c>
    </row>
    <row r="750" spans="1:37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 s="86">
        <f>AVERAGEIFS($C$2:C750, $B$2:B750, B750)</f>
        <v>19.2</v>
      </c>
      <c r="AI750" s="86">
        <f>AVERAGEIFS($I$2:I750, $B$2:B750, B750)</f>
        <v>0.4383333333333333</v>
      </c>
      <c r="AJ750" s="86">
        <f>AVERAGEIFS($J$2:J750, $B$2:B750, B750)</f>
        <v>0.45166666666666661</v>
      </c>
      <c r="AK750" s="86">
        <f>AVERAGEIFS($D$2:D750, $B$2:B750, B750)</f>
        <v>0.43333333333333335</v>
      </c>
    </row>
    <row r="751" spans="1:37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 s="86">
        <f>AVERAGEIFS($C$2:C751, $B$2:B751, B751)</f>
        <v>24.3125</v>
      </c>
      <c r="AI751" s="86">
        <f>AVERAGEIFS($I$2:I751, $B$2:B751, B751)</f>
        <v>0.56499999999999995</v>
      </c>
      <c r="AJ751" s="86">
        <f>AVERAGEIFS($J$2:J751, $B$2:B751, B751)</f>
        <v>0.56000000000000005</v>
      </c>
      <c r="AK751" s="86">
        <f>AVERAGEIFS($D$2:D751, $B$2:B751, B751)</f>
        <v>0.5625</v>
      </c>
    </row>
    <row r="752" spans="1:37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 s="86">
        <f>AVERAGEIFS($C$2:C752, $B$2:B752, B752)</f>
        <v>23.775510204081634</v>
      </c>
      <c r="AI752" s="86">
        <f>AVERAGEIFS($I$2:I752, $B$2:B752, B752)</f>
        <v>0.55142857142857149</v>
      </c>
      <c r="AJ752" s="86">
        <f>AVERAGEIFS($J$2:J752, $B$2:B752, B752)</f>
        <v>0.52244897959183667</v>
      </c>
      <c r="AK752" s="86">
        <f>AVERAGEIFS($D$2:D752, $B$2:B752, B752)</f>
        <v>0.5714285714285714</v>
      </c>
    </row>
    <row r="753" spans="1:37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 s="86">
        <f>AVERAGEIFS($C$2:C753, $B$2:B753, B753)</f>
        <v>11.631578947368421</v>
      </c>
      <c r="AI753" s="86">
        <f>AVERAGEIFS($I$2:I753, $B$2:B753, B753)</f>
        <v>0.58947368421052626</v>
      </c>
      <c r="AJ753" s="86">
        <f>AVERAGEIFS($J$2:J753, $B$2:B753, B753)</f>
        <v>0.54842105263157881</v>
      </c>
      <c r="AK753" s="86">
        <f>AVERAGEIFS($D$2:D753, $B$2:B753, B753)</f>
        <v>0.57894736842105265</v>
      </c>
    </row>
    <row r="754" spans="1:37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 s="86">
        <f>AVERAGEIFS($C$2:C754, $B$2:B754, B754)</f>
        <v>20.275862068965516</v>
      </c>
      <c r="AI754" s="86">
        <f>AVERAGEIFS($I$2:I754, $B$2:B754, B754)</f>
        <v>0.53</v>
      </c>
      <c r="AJ754" s="86">
        <f>AVERAGEIFS($J$2:J754, $B$2:B754, B754)</f>
        <v>0.50310344827586218</v>
      </c>
      <c r="AK754" s="86">
        <f>AVERAGEIFS($D$2:D754, $B$2:B754, B754)</f>
        <v>0.51724137931034486</v>
      </c>
    </row>
    <row r="755" spans="1:37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 s="86">
        <f>AVERAGEIFS($C$2:C755, $B$2:B755, B755)</f>
        <v>14.375</v>
      </c>
      <c r="AI755" s="86">
        <f>AVERAGEIFS($I$2:I755, $B$2:B755, B755)</f>
        <v>0.56874999999999998</v>
      </c>
      <c r="AJ755" s="86">
        <f>AVERAGEIFS($J$2:J755, $B$2:B755, B755)</f>
        <v>0.5675</v>
      </c>
      <c r="AK755" s="86">
        <f>AVERAGEIFS($D$2:D755, $B$2:B755, B755)</f>
        <v>0.5</v>
      </c>
    </row>
    <row r="756" spans="1:37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 s="86">
        <f>AVERAGEIFS($C$2:C756, $B$2:B756, B756)</f>
        <v>16.440000000000001</v>
      </c>
      <c r="AI756" s="86">
        <f>AVERAGEIFS($I$2:I756, $B$2:B756, B756)</f>
        <v>0.57200000000000006</v>
      </c>
      <c r="AJ756" s="86">
        <f>AVERAGEIFS($J$2:J756, $B$2:B756, B756)</f>
        <v>0.52640000000000009</v>
      </c>
      <c r="AK756" s="86">
        <f>AVERAGEIFS($D$2:D756, $B$2:B756, B756)</f>
        <v>0.56000000000000005</v>
      </c>
    </row>
    <row r="757" spans="1:37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22</v>
      </c>
      <c r="AI757" s="86">
        <f>AVERAGEIFS($I$2:I757, $B$2:B757, B757)</f>
        <v>0.54560000000000008</v>
      </c>
      <c r="AJ757" s="86">
        <f>AVERAGEIFS($J$2:J757, $B$2:B757, B757)</f>
        <v>0.52639999999999998</v>
      </c>
      <c r="AK757" s="86">
        <f>AVERAGEIFS($D$2:D757, $B$2:B757, B757)</f>
        <v>0.64</v>
      </c>
    </row>
    <row r="758" spans="1:37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7.833333333333333</v>
      </c>
      <c r="AI758" s="86">
        <f>AVERAGEIFS($I$2:I758, $B$2:B758, B758)</f>
        <v>0.25</v>
      </c>
      <c r="AJ758" s="86">
        <f>AVERAGEIFS($J$2:J758, $B$2:B758, B758)</f>
        <v>0.3183333333333333</v>
      </c>
      <c r="AK758" s="86">
        <f>AVERAGEIFS($D$2:D758, $B$2:B758, B758)</f>
        <v>0.16666666666666666</v>
      </c>
    </row>
    <row r="759" spans="1:37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18.257142857142856</v>
      </c>
      <c r="AI759" s="86">
        <f>AVERAGEIFS($I$2:I759, $B$2:B759, B759)</f>
        <v>0.51800000000000013</v>
      </c>
      <c r="AJ759" s="86">
        <f>AVERAGEIFS($J$2:J759, $B$2:B759, B759)</f>
        <v>0.51942857142857135</v>
      </c>
      <c r="AK759" s="86">
        <f>AVERAGEIFS($D$2:D759, $B$2:B759, B759)</f>
        <v>0.51428571428571423</v>
      </c>
    </row>
    <row r="760" spans="1:37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13.607142857142858</v>
      </c>
      <c r="AI760" s="86">
        <f>AVERAGEIFS($I$2:I760, $B$2:B760, B760)</f>
        <v>0.43321428571428566</v>
      </c>
      <c r="AJ760" s="86">
        <f>AVERAGEIFS($J$2:J760, $B$2:B760, B760)</f>
        <v>0.45714285714285702</v>
      </c>
      <c r="AK760" s="86">
        <f>AVERAGEIFS($D$2:D760, $B$2:B760, B760)</f>
        <v>0.39285714285714285</v>
      </c>
    </row>
    <row r="761" spans="1:37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17.959183673469386</v>
      </c>
      <c r="AI761" s="86">
        <f>AVERAGEIFS($I$2:I761, $B$2:B761, B761)</f>
        <v>0.49183673469387745</v>
      </c>
      <c r="AJ761" s="86">
        <f>AVERAGEIFS($J$2:J761, $B$2:B761, B761)</f>
        <v>0.48122448979591848</v>
      </c>
      <c r="AK761" s="86">
        <f>AVERAGEIFS($D$2:D761, $B$2:B761, B761)</f>
        <v>0.44897959183673469</v>
      </c>
    </row>
    <row r="762" spans="1:37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16.741935483870968</v>
      </c>
      <c r="AI762" s="86">
        <f>AVERAGEIFS($I$2:I762, $B$2:B762, B762)</f>
        <v>0.52096774193548379</v>
      </c>
      <c r="AJ762" s="86">
        <f>AVERAGEIFS($J$2:J762, $B$2:B762, B762)</f>
        <v>0.51677419354838716</v>
      </c>
      <c r="AK762" s="86">
        <f>AVERAGEIFS($D$2:D762, $B$2:B762, B762)</f>
        <v>0.54838709677419351</v>
      </c>
    </row>
    <row r="763" spans="1:37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1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24.076923076923077</v>
      </c>
      <c r="AI763" s="86">
        <f>AVERAGEIFS($I$2:I763, $B$2:B763, B763)</f>
        <v>0.4211538461538461</v>
      </c>
      <c r="AJ763" s="86">
        <f>AVERAGEIFS($J$2:J763, $B$2:B763, B763)</f>
        <v>0.4523076923076923</v>
      </c>
      <c r="AK763" s="86">
        <f>AVERAGEIFS($D$2:D763, $B$2:B763, B763)</f>
        <v>0.30769230769230771</v>
      </c>
    </row>
    <row r="764" spans="1:37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1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19.870967741935484</v>
      </c>
      <c r="AI764" s="86">
        <f>AVERAGEIFS($I$2:I764, $B$2:B764, B764)</f>
        <v>0.44354838709677413</v>
      </c>
      <c r="AJ764" s="86">
        <f>AVERAGEIFS($J$2:J764, $B$2:B764, B764)</f>
        <v>0.45322580645161287</v>
      </c>
      <c r="AK764" s="86">
        <f>AVERAGEIFS($D$2:D764, $B$2:B764, B764)</f>
        <v>0.45161290322580644</v>
      </c>
    </row>
    <row r="765" spans="1:37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1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16.967741935483872</v>
      </c>
      <c r="AI765" s="86">
        <f>AVERAGEIFS($I$2:I765, $B$2:B765, B765)</f>
        <v>0.51935483870967736</v>
      </c>
      <c r="AJ765" s="86">
        <f>AVERAGEIFS($J$2:J765, $B$2:B765, B765)</f>
        <v>0.52806451612903216</v>
      </c>
      <c r="AK765" s="86">
        <f>AVERAGEIFS($D$2:D765, $B$2:B765, B765)</f>
        <v>0.64516129032258063</v>
      </c>
    </row>
    <row r="766" spans="1:37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1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16.615384615384617</v>
      </c>
      <c r="AI766" s="86">
        <f>AVERAGEIFS($I$2:I766, $B$2:B766, B766)</f>
        <v>0.57307692307692304</v>
      </c>
      <c r="AJ766" s="86">
        <f>AVERAGEIFS($J$2:J766, $B$2:B766, B766)</f>
        <v>0.52538461538461545</v>
      </c>
      <c r="AK766" s="86">
        <f>AVERAGEIFS($D$2:D766, $B$2:B766, B766)</f>
        <v>0.57692307692307687</v>
      </c>
    </row>
    <row r="767" spans="1:37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1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20.941176470588236</v>
      </c>
      <c r="AI767" s="86">
        <f>AVERAGEIFS($I$2:I767, $B$2:B767, B767)</f>
        <v>0.65999999999999992</v>
      </c>
      <c r="AJ767" s="86">
        <f>AVERAGEIFS($J$2:J767, $B$2:B767, B767)</f>
        <v>0.57470588235294118</v>
      </c>
      <c r="AK767" s="86">
        <f>AVERAGEIFS($D$2:D767, $B$2:B767, B767)</f>
        <v>0.82352941176470584</v>
      </c>
    </row>
    <row r="768" spans="1:37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1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18.111111111111111</v>
      </c>
      <c r="AI768" s="86">
        <f>AVERAGEIFS($I$2:I768, $B$2:B768, B768)</f>
        <v>0.52027777777777784</v>
      </c>
      <c r="AJ768" s="86">
        <f>AVERAGEIFS($J$2:J768, $B$2:B768, B768)</f>
        <v>0.51888888888888873</v>
      </c>
      <c r="AK768" s="86">
        <f>AVERAGEIFS($D$2:D768, $B$2:B768, B768)</f>
        <v>0.52777777777777779</v>
      </c>
    </row>
    <row r="769" spans="1:37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11.952380952380953</v>
      </c>
      <c r="AI769" s="86">
        <f>AVERAGEIFS($I$2:I769, $B$2:B769, B769)</f>
        <v>0.44761904761904764</v>
      </c>
      <c r="AJ769" s="86">
        <f>AVERAGEIFS($J$2:J769, $B$2:B769, B769)</f>
        <v>0.47000000000000003</v>
      </c>
      <c r="AK769" s="86">
        <f>AVERAGEIFS($D$2:D769, $B$2:B769, B769)</f>
        <v>0.47619047619047616</v>
      </c>
    </row>
    <row r="770" spans="1:37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22.176470588235293</v>
      </c>
      <c r="AI770" s="86">
        <f>AVERAGEIFS($I$2:I770, $B$2:B770, B770)</f>
        <v>0.54274509803921578</v>
      </c>
      <c r="AJ770" s="86">
        <f>AVERAGEIFS($J$2:J770, $B$2:B770, B770)</f>
        <v>0.52588235294117647</v>
      </c>
      <c r="AK770" s="86">
        <f>AVERAGEIFS($D$2:D770, $B$2:B770, B770)</f>
        <v>0.62745098039215685</v>
      </c>
    </row>
    <row r="771" spans="1:37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11.7</v>
      </c>
      <c r="AI771" s="86">
        <f>AVERAGEIFS($I$2:I771, $B$2:B771, B771)</f>
        <v>0.57999999999999996</v>
      </c>
      <c r="AJ771" s="86">
        <f>AVERAGEIFS($J$2:J771, $B$2:B771, B771)</f>
        <v>0.54599999999999993</v>
      </c>
      <c r="AK771" s="86">
        <f>AVERAGEIFS($D$2:D771, $B$2:B771, B771)</f>
        <v>0.55000000000000004</v>
      </c>
    </row>
    <row r="772" spans="1:37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18.296296296296298</v>
      </c>
      <c r="AI772" s="86">
        <f>AVERAGEIFS($I$2:I772, $B$2:B772, B772)</f>
        <v>0.39999999999999997</v>
      </c>
      <c r="AJ772" s="86">
        <f>AVERAGEIFS($J$2:J772, $B$2:B772, B772)</f>
        <v>0.44814814814814818</v>
      </c>
      <c r="AK772" s="86">
        <f>AVERAGEIFS($D$2:D772, $B$2:B772, B772)</f>
        <v>0.33333333333333331</v>
      </c>
    </row>
    <row r="773" spans="1:37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16.111111111111111</v>
      </c>
      <c r="AI773" s="86">
        <f>AVERAGEIFS($I$2:I773, $B$2:B773, B773)</f>
        <v>0.55277777777777781</v>
      </c>
      <c r="AJ773" s="86">
        <f>AVERAGEIFS($J$2:J773, $B$2:B773, B773)</f>
        <v>0.52111111111111119</v>
      </c>
      <c r="AK773" s="86">
        <f>AVERAGEIFS($D$2:D773, $B$2:B773, B773)</f>
        <v>0.5</v>
      </c>
    </row>
    <row r="774" spans="1:37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18.34</v>
      </c>
      <c r="AI774" s="86">
        <f>AVERAGEIFS($I$2:I774, $B$2:B774, B774)</f>
        <v>0.48999999999999988</v>
      </c>
      <c r="AJ774" s="86">
        <f>AVERAGEIFS($J$2:J774, $B$2:B774, B774)</f>
        <v>0.48160000000000008</v>
      </c>
      <c r="AK774" s="86">
        <f>AVERAGEIFS($D$2:D774, $B$2:B774, B774)</f>
        <v>0.44</v>
      </c>
    </row>
    <row r="775" spans="1:37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1</v>
      </c>
      <c r="AH775" s="86">
        <f>AVERAGEIFS($C$2:C775, $B$2:B775, B775)</f>
        <v>24.09090909090909</v>
      </c>
      <c r="AI775" s="86">
        <f>AVERAGEIFS($I$2:I775, $B$2:B775, B775)</f>
        <v>0.55999999999999994</v>
      </c>
      <c r="AJ775" s="86">
        <f>AVERAGEIFS($J$2:J775, $B$2:B775, B775)</f>
        <v>0.55818181818181822</v>
      </c>
      <c r="AK775" s="86">
        <f>AVERAGEIFS($D$2:D775, $B$2:B775, B775)</f>
        <v>0.54545454545454541</v>
      </c>
    </row>
    <row r="776" spans="1:37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1</v>
      </c>
      <c r="AE776">
        <v>1</v>
      </c>
      <c r="AF776">
        <v>0</v>
      </c>
      <c r="AG776">
        <v>0</v>
      </c>
      <c r="AH776" s="86">
        <f>AVERAGEIFS($C$2:C776, $B$2:B776, B776)</f>
        <v>26.814814814814813</v>
      </c>
      <c r="AI776" s="86">
        <f>AVERAGEIFS($I$2:I776, $B$2:B776, B776)</f>
        <v>0.42962962962962969</v>
      </c>
      <c r="AJ776" s="86">
        <f>AVERAGEIFS($J$2:J776, $B$2:B776, B776)</f>
        <v>0.4555555555555556</v>
      </c>
      <c r="AK776" s="86">
        <f>AVERAGEIFS($D$2:D776, $B$2:B776, B776)</f>
        <v>0.44444444444444442</v>
      </c>
    </row>
    <row r="777" spans="1:37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1</v>
      </c>
      <c r="AE777">
        <v>1</v>
      </c>
      <c r="AF777">
        <v>0</v>
      </c>
      <c r="AG777">
        <v>0</v>
      </c>
      <c r="AH777" s="86">
        <f>AVERAGEIFS($C$2:C777, $B$2:B777, B777)</f>
        <v>20.466666666666665</v>
      </c>
      <c r="AI777" s="86">
        <f>AVERAGEIFS($I$2:I777, $B$2:B777, B777)</f>
        <v>0.53733333333333322</v>
      </c>
      <c r="AJ777" s="86">
        <f>AVERAGEIFS($J$2:J777, $B$2:B777, B777)</f>
        <v>0.50666666666666671</v>
      </c>
      <c r="AK777" s="86">
        <f>AVERAGEIFS($D$2:D777, $B$2:B777, B777)</f>
        <v>0.53333333333333333</v>
      </c>
    </row>
    <row r="778" spans="1:37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1</v>
      </c>
      <c r="AE778">
        <v>1</v>
      </c>
      <c r="AF778">
        <v>0</v>
      </c>
      <c r="AG778">
        <v>0</v>
      </c>
      <c r="AH778" s="86">
        <f>AVERAGEIFS($C$2:C778, $B$2:B778, B778)</f>
        <v>24.148148148148149</v>
      </c>
      <c r="AI778" s="86">
        <f>AVERAGEIFS($I$2:I778, $B$2:B778, B778)</f>
        <v>0.43333333333333329</v>
      </c>
      <c r="AJ778" s="86">
        <f>AVERAGEIFS($J$2:J778, $B$2:B778, B778)</f>
        <v>0.45814814814814814</v>
      </c>
      <c r="AK778" s="86">
        <f>AVERAGEIFS($D$2:D778, $B$2:B778, B778)</f>
        <v>0.33333333333333331</v>
      </c>
    </row>
    <row r="779" spans="1:37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1</v>
      </c>
      <c r="AE779">
        <v>1</v>
      </c>
      <c r="AF779">
        <v>0</v>
      </c>
      <c r="AG779">
        <v>0</v>
      </c>
      <c r="AH779" s="86">
        <f>AVERAGEIFS($C$2:C779, $B$2:B779, B779)</f>
        <v>23.882352941176471</v>
      </c>
      <c r="AI779" s="86">
        <f>AVERAGEIFS($I$2:I779, $B$2:B779, B779)</f>
        <v>0.5655882352941175</v>
      </c>
      <c r="AJ779" s="86">
        <f>AVERAGEIFS($J$2:J779, $B$2:B779, B779)</f>
        <v>0.55970588235294116</v>
      </c>
      <c r="AK779" s="86">
        <f>AVERAGEIFS($D$2:D779, $B$2:B779, B779)</f>
        <v>0.55882352941176472</v>
      </c>
    </row>
    <row r="780" spans="1:37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1</v>
      </c>
      <c r="AE780">
        <v>1</v>
      </c>
      <c r="AF780">
        <v>0</v>
      </c>
      <c r="AG780">
        <v>0</v>
      </c>
      <c r="AH780" s="86">
        <f>AVERAGEIFS($C$2:C780, $B$2:B780, B780)</f>
        <v>12.181818181818182</v>
      </c>
      <c r="AI780" s="86">
        <f>AVERAGEIFS($I$2:I780, $B$2:B780, B780)</f>
        <v>0.46136363636363636</v>
      </c>
      <c r="AJ780" s="86">
        <f>AVERAGEIFS($J$2:J780, $B$2:B780, B780)</f>
        <v>0.47636363636363638</v>
      </c>
      <c r="AK780" s="86">
        <f>AVERAGEIFS($D$2:D780, $B$2:B780, B780)</f>
        <v>0.5</v>
      </c>
    </row>
    <row r="781" spans="1:37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1</v>
      </c>
      <c r="AE781">
        <v>1</v>
      </c>
      <c r="AF781">
        <v>0</v>
      </c>
      <c r="AG781">
        <v>0</v>
      </c>
      <c r="AH781" s="86">
        <f>AVERAGEIFS($C$2:C781, $B$2:B781, B781)</f>
        <v>14</v>
      </c>
      <c r="AI781" s="86">
        <f>AVERAGEIFS($I$2:I781, $B$2:B781, B781)</f>
        <v>0.53214285714285714</v>
      </c>
      <c r="AJ781" s="86">
        <f>AVERAGEIFS($J$2:J781, $B$2:B781, B781)</f>
        <v>0.52571428571428569</v>
      </c>
      <c r="AK781" s="86">
        <f>AVERAGEIFS($D$2:D781, $B$2:B781, B781)</f>
        <v>0.42857142857142855</v>
      </c>
    </row>
    <row r="782" spans="1:37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1</v>
      </c>
      <c r="AE782">
        <v>1</v>
      </c>
      <c r="AF782">
        <v>0</v>
      </c>
      <c r="AG782">
        <v>0</v>
      </c>
      <c r="AH782" s="86">
        <f>AVERAGEIFS($C$2:C782, $B$2:B782, B782)</f>
        <v>16.6875</v>
      </c>
      <c r="AI782" s="86">
        <f>AVERAGEIFS($I$2:I782, $B$2:B782, B782)</f>
        <v>0.52812499999999996</v>
      </c>
      <c r="AJ782" s="86">
        <f>AVERAGEIFS($J$2:J782, $B$2:B782, B782)</f>
        <v>0.51968750000000008</v>
      </c>
      <c r="AK782" s="86">
        <f>AVERAGEIFS($D$2:D782, $B$2:B782, B782)</f>
        <v>0.5625</v>
      </c>
    </row>
    <row r="783" spans="1:37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1</v>
      </c>
      <c r="AE783">
        <v>1</v>
      </c>
      <c r="AF783">
        <v>0</v>
      </c>
      <c r="AG783">
        <v>0</v>
      </c>
      <c r="AH783" s="86">
        <f>AVERAGEIFS($C$2:C783, $B$2:B783, B783)</f>
        <v>4</v>
      </c>
      <c r="AI783" s="86">
        <f>AVERAGEIFS($I$2:I783, $B$2:B783, B783)</f>
        <v>0.75</v>
      </c>
      <c r="AJ783" s="86">
        <f>AVERAGEIFS($J$2:J783, $B$2:B783, B783)</f>
        <v>0.61</v>
      </c>
      <c r="AK783" s="86">
        <f>AVERAGEIFS($D$2:D783, $B$2:B783, B783)</f>
        <v>1</v>
      </c>
    </row>
    <row r="784" spans="1:37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86">
        <f>AVERAGEIFS($C$2:C784, $B$2:B784, B784)</f>
        <v>22.307692307692307</v>
      </c>
      <c r="AI784" s="86">
        <f>AVERAGEIFS($I$2:I784, $B$2:B784, B784)</f>
        <v>0.53711538461538466</v>
      </c>
      <c r="AJ784" s="86">
        <f>AVERAGEIFS($J$2:J784, $B$2:B784, B784)</f>
        <v>0.52326923076923082</v>
      </c>
      <c r="AK784" s="86">
        <f>AVERAGEIFS($D$2:D784, $B$2:B784, B784)</f>
        <v>0.61538461538461542</v>
      </c>
    </row>
    <row r="785" spans="1:37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86">
        <f>AVERAGEIFS($C$2:C785, $B$2:B785, B785)</f>
        <v>16.851851851851851</v>
      </c>
      <c r="AI785" s="86">
        <f>AVERAGEIFS($I$2:I785, $B$2:B785, B785)</f>
        <v>0.56111111111111112</v>
      </c>
      <c r="AJ785" s="86">
        <f>AVERAGEIFS($J$2:J785, $B$2:B785, B785)</f>
        <v>0.52037037037037048</v>
      </c>
      <c r="AK785" s="86">
        <f>AVERAGEIFS($D$2:D785, $B$2:B785, B785)</f>
        <v>0.55555555555555558</v>
      </c>
    </row>
    <row r="786" spans="1:37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86">
        <f>AVERAGEIFS($C$2:C786, $B$2:B786, B786)</f>
        <v>20.833333333333332</v>
      </c>
      <c r="AI786" s="86">
        <f>AVERAGEIFS($I$2:I786, $B$2:B786, B786)</f>
        <v>0.63722222222222213</v>
      </c>
      <c r="AJ786" s="86">
        <f>AVERAGEIFS($J$2:J786, $B$2:B786, B786)</f>
        <v>0.56444444444444442</v>
      </c>
      <c r="AK786" s="86">
        <f>AVERAGEIFS($D$2:D786, $B$2:B786, B786)</f>
        <v>0.77777777777777779</v>
      </c>
    </row>
    <row r="787" spans="1:37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1</v>
      </c>
      <c r="AD787">
        <v>0</v>
      </c>
      <c r="AE787">
        <v>0</v>
      </c>
      <c r="AF787">
        <v>0</v>
      </c>
      <c r="AG787">
        <v>0</v>
      </c>
      <c r="AH787" s="86">
        <f>AVERAGEIFS($C$2:C787, $B$2:B787, B787)</f>
        <v>18.313725490196077</v>
      </c>
      <c r="AI787" s="86">
        <f>AVERAGEIFS($I$2:I787, $B$2:B787, B787)</f>
        <v>0.48529411764705871</v>
      </c>
      <c r="AJ787" s="86">
        <f>AVERAGEIFS($J$2:J787, $B$2:B787, B787)</f>
        <v>0.47980392156862756</v>
      </c>
      <c r="AK787" s="86">
        <f>AVERAGEIFS($D$2:D787, $B$2:B787, B787)</f>
        <v>0.43137254901960786</v>
      </c>
    </row>
    <row r="788" spans="1:37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1</v>
      </c>
      <c r="AD788">
        <v>0</v>
      </c>
      <c r="AE788">
        <v>0</v>
      </c>
      <c r="AF788">
        <v>0</v>
      </c>
      <c r="AG788">
        <v>0</v>
      </c>
      <c r="AH788" s="86">
        <f>AVERAGEIFS($C$2:C788, $B$2:B788, B788)</f>
        <v>19.6875</v>
      </c>
      <c r="AI788" s="86">
        <f>AVERAGEIFS($I$2:I788, $B$2:B788, B788)</f>
        <v>0.43749999999999994</v>
      </c>
      <c r="AJ788" s="86">
        <f>AVERAGEIFS($J$2:J788, $B$2:B788, B788)</f>
        <v>0.45124999999999998</v>
      </c>
      <c r="AK788" s="86">
        <f>AVERAGEIFS($D$2:D788, $B$2:B788, B788)</f>
        <v>0.4375</v>
      </c>
    </row>
    <row r="789" spans="1:37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1</v>
      </c>
      <c r="AD789">
        <v>0</v>
      </c>
      <c r="AE789">
        <v>0</v>
      </c>
      <c r="AF789">
        <v>0</v>
      </c>
      <c r="AG789">
        <v>0</v>
      </c>
      <c r="AH789" s="86">
        <f>AVERAGEIFS($C$2:C789, $B$2:B789, B789)</f>
        <v>16.875</v>
      </c>
      <c r="AI789" s="86">
        <f>AVERAGEIFS($I$2:I789, $B$2:B789, B789)</f>
        <v>0.51093749999999993</v>
      </c>
      <c r="AJ789" s="86">
        <f>AVERAGEIFS($J$2:J789, $B$2:B789, B789)</f>
        <v>0.52374999999999994</v>
      </c>
      <c r="AK789" s="86">
        <f>AVERAGEIFS($D$2:D789, $B$2:B789, B789)</f>
        <v>0.625</v>
      </c>
    </row>
    <row r="790" spans="1:37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1</v>
      </c>
      <c r="AD790">
        <v>0</v>
      </c>
      <c r="AE790">
        <v>0</v>
      </c>
      <c r="AF790">
        <v>0</v>
      </c>
      <c r="AG790">
        <v>0</v>
      </c>
      <c r="AH790" s="86">
        <f>AVERAGEIFS($C$2:C790, $B$2:B790, B790)</f>
        <v>15.947368421052632</v>
      </c>
      <c r="AI790" s="86">
        <f>AVERAGEIFS($I$2:I790, $B$2:B790, B790)</f>
        <v>0.5368421052631579</v>
      </c>
      <c r="AJ790" s="86">
        <f>AVERAGEIFS($J$2:J790, $B$2:B790, B790)</f>
        <v>0.51421052631578956</v>
      </c>
      <c r="AK790" s="86">
        <f>AVERAGEIFS($D$2:D790, $B$2:B790, B790)</f>
        <v>0.47368421052631576</v>
      </c>
    </row>
    <row r="791" spans="1:37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1</v>
      </c>
      <c r="AD791">
        <v>0</v>
      </c>
      <c r="AE791">
        <v>0</v>
      </c>
      <c r="AF791">
        <v>0</v>
      </c>
      <c r="AG791">
        <v>0</v>
      </c>
      <c r="AH791" s="86">
        <f>AVERAGEIFS($C$2:C791, $B$2:B791, B791)</f>
        <v>17.055555555555557</v>
      </c>
      <c r="AI791" s="86">
        <f>AVERAGEIFS($I$2:I791, $B$2:B791, B791)</f>
        <v>0.47333333333333333</v>
      </c>
      <c r="AJ791" s="86">
        <f>AVERAGEIFS($J$2:J791, $B$2:B791, B791)</f>
        <v>0.51166666666666671</v>
      </c>
      <c r="AK791" s="86">
        <f>AVERAGEIFS($D$2:D791, $B$2:B791, B791)</f>
        <v>0.44444444444444442</v>
      </c>
    </row>
    <row r="792" spans="1:37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 s="86">
        <f>AVERAGEIFS($C$2:C792, $B$2:B792, B792)</f>
        <v>18.25</v>
      </c>
      <c r="AI792" s="86">
        <f>AVERAGEIFS($I$2:I792, $B$2:B792, B792)</f>
        <v>0.49519230769230754</v>
      </c>
      <c r="AJ792" s="86">
        <f>AVERAGEIFS($J$2:J792, $B$2:B792, B792)</f>
        <v>0.48634615384615398</v>
      </c>
      <c r="AK792" s="86">
        <f>AVERAGEIFS($D$2:D792, $B$2:B792, B792)</f>
        <v>0.44230769230769229</v>
      </c>
    </row>
    <row r="793" spans="1:37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 s="86">
        <f>AVERAGEIFS($C$2:C793, $B$2:B793, B793)</f>
        <v>26.321428571428573</v>
      </c>
      <c r="AI793" s="86">
        <f>AVERAGEIFS($I$2:I793, $B$2:B793, B793)</f>
        <v>0.45000000000000007</v>
      </c>
      <c r="AJ793" s="86">
        <f>AVERAGEIFS($J$2:J793, $B$2:B793, B793)</f>
        <v>0.46857142857142858</v>
      </c>
      <c r="AK793" s="86">
        <f>AVERAGEIFS($D$2:D793, $B$2:B793, B793)</f>
        <v>0.4642857142857143</v>
      </c>
    </row>
    <row r="794" spans="1:37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 s="86">
        <f>AVERAGEIFS($C$2:C794, $B$2:B794, B794)</f>
        <v>20.421052631578949</v>
      </c>
      <c r="AI794" s="86">
        <f>AVERAGEIFS($I$2:I794, $B$2:B794, B794)</f>
        <v>0.65631578947368419</v>
      </c>
      <c r="AJ794" s="86">
        <f>AVERAGEIFS($J$2:J794, $B$2:B794, B794)</f>
        <v>0.57789473684210524</v>
      </c>
      <c r="AK794" s="86">
        <f>AVERAGEIFS($D$2:D794, $B$2:B794, B794)</f>
        <v>0.78947368421052633</v>
      </c>
    </row>
    <row r="795" spans="1:37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 s="86">
        <f>AVERAGEIFS($C$2:C795, $B$2:B795, B795)</f>
        <v>15.85</v>
      </c>
      <c r="AI795" s="86">
        <f>AVERAGEIFS($I$2:I795, $B$2:B795, B795)</f>
        <v>0.56000000000000005</v>
      </c>
      <c r="AJ795" s="86">
        <f>AVERAGEIFS($J$2:J795, $B$2:B795, B795)</f>
        <v>0.52950000000000008</v>
      </c>
      <c r="AK795" s="86">
        <f>AVERAGEIFS($D$2:D795, $B$2:B795, B795)</f>
        <v>0.5</v>
      </c>
    </row>
    <row r="796" spans="1:37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 s="86">
        <f>AVERAGEIFS($C$2:C796, $B$2:B796, B796)</f>
        <v>14</v>
      </c>
      <c r="AI796" s="86">
        <f>AVERAGEIFS($I$2:I796, $B$2:B796, B796)</f>
        <v>0.6166666666666667</v>
      </c>
      <c r="AJ796" s="86">
        <f>AVERAGEIFS($J$2:J796, $B$2:B796, B796)</f>
        <v>0.59555555555555562</v>
      </c>
      <c r="AK796" s="86">
        <f>AVERAGEIFS($D$2:D796, $B$2:B796, B796)</f>
        <v>0.55555555555555558</v>
      </c>
    </row>
    <row r="797" spans="1:37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 s="86">
        <f>AVERAGEIFS($C$2:C797, $B$2:B797, B797)</f>
        <v>12.428571428571429</v>
      </c>
      <c r="AI797" s="86">
        <f>AVERAGEIFS($I$2:I797, $B$2:B797, B797)</f>
        <v>0.49285714285714288</v>
      </c>
      <c r="AJ797" s="86">
        <f>AVERAGEIFS($J$2:J797, $B$2:B797, B797)</f>
        <v>0.49571428571428572</v>
      </c>
      <c r="AK797" s="86">
        <f>AVERAGEIFS($D$2:D797, $B$2:B797, B797)</f>
        <v>0.5</v>
      </c>
    </row>
    <row r="798" spans="1:37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 s="86">
        <f>AVERAGEIFS($C$2:C798, $B$2:B798, B798)</f>
        <v>19.242424242424242</v>
      </c>
      <c r="AI798" s="86">
        <f>AVERAGEIFS($I$2:I798, $B$2:B798, B798)</f>
        <v>0.4242424242424242</v>
      </c>
      <c r="AJ798" s="86">
        <f>AVERAGEIFS($J$2:J798, $B$2:B798, B798)</f>
        <v>0.443030303030303</v>
      </c>
      <c r="AK798" s="86">
        <f>AVERAGEIFS($D$2:D798, $B$2:B798, B798)</f>
        <v>0.42424242424242425</v>
      </c>
    </row>
    <row r="799" spans="1:37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 s="86">
        <f>AVERAGEIFS($C$2:C799, $B$2:B799, B799)</f>
        <v>22.169811320754718</v>
      </c>
      <c r="AI799" s="86">
        <f>AVERAGEIFS($I$2:I799, $B$2:B799, B799)</f>
        <v>0.52698113207547181</v>
      </c>
      <c r="AJ799" s="86">
        <f>AVERAGEIFS($J$2:J799, $B$2:B799, B799)</f>
        <v>0.51679245283018871</v>
      </c>
      <c r="AK799" s="86">
        <f>AVERAGEIFS($D$2:D799, $B$2:B799, B799)</f>
        <v>0.60377358490566035</v>
      </c>
    </row>
    <row r="800" spans="1:37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 s="86">
        <f>AVERAGEIFS($C$2:C800, $B$2:B800, B800)</f>
        <v>16.272727272727273</v>
      </c>
      <c r="AI800" s="86">
        <f>AVERAGEIFS($I$2:I800, $B$2:B800, B800)</f>
        <v>0.51212121212121209</v>
      </c>
      <c r="AJ800" s="86">
        <f>AVERAGEIFS($J$2:J800, $B$2:B800, B800)</f>
        <v>0.50939393939393951</v>
      </c>
      <c r="AK800" s="86">
        <f>AVERAGEIFS($D$2:D800, $B$2:B800, B800)</f>
        <v>0.54545454545454541</v>
      </c>
    </row>
    <row r="801" spans="1:37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 s="86">
        <f>AVERAGEIFS($C$2:C801, $B$2:B801, B801)</f>
        <v>16.606060606060606</v>
      </c>
      <c r="AI801" s="86">
        <f>AVERAGEIFS($I$2:I801, $B$2:B801, B801)</f>
        <v>0.49545454545454537</v>
      </c>
      <c r="AJ801" s="86">
        <f>AVERAGEIFS($J$2:J801, $B$2:B801, B801)</f>
        <v>0.51333333333333331</v>
      </c>
      <c r="AK801" s="86">
        <f>AVERAGEIFS($D$2:D801, $B$2:B801, B801)</f>
        <v>0.60606060606060608</v>
      </c>
    </row>
    <row r="802" spans="1:37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 s="86">
        <f>AVERAGEIFS($C$2:C802, $B$2:B802, B802)</f>
        <v>13.466666666666667</v>
      </c>
      <c r="AI802" s="86">
        <f>AVERAGEIFS($I$2:I802, $B$2:B802, B802)</f>
        <v>0.4966666666666667</v>
      </c>
      <c r="AJ802" s="86">
        <f>AVERAGEIFS($J$2:J802, $B$2:B802, B802)</f>
        <v>0.5026666666666666</v>
      </c>
      <c r="AK802" s="86">
        <f>AVERAGEIFS($D$2:D802, $B$2:B802, B802)</f>
        <v>0.4</v>
      </c>
    </row>
    <row r="803" spans="1:37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 s="86">
        <f>AVERAGEIFS($C$2:C803, $B$2:B803, B803)</f>
        <v>11.956521739130435</v>
      </c>
      <c r="AI803" s="86">
        <f>AVERAGEIFS($I$2:I803, $B$2:B803, B803)</f>
        <v>0.44130434782608696</v>
      </c>
      <c r="AJ803" s="86">
        <f>AVERAGEIFS($J$2:J803, $B$2:B803, B803)</f>
        <v>0.46347826086956523</v>
      </c>
      <c r="AK803" s="86">
        <f>AVERAGEIFS($D$2:D803, $B$2:B803, B803)</f>
        <v>0.47826086956521741</v>
      </c>
    </row>
    <row r="804" spans="1:37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1</v>
      </c>
      <c r="AD804">
        <v>0</v>
      </c>
      <c r="AE804">
        <v>0</v>
      </c>
      <c r="AF804">
        <v>0</v>
      </c>
      <c r="AG804">
        <v>0</v>
      </c>
      <c r="AH804" s="86">
        <f>AVERAGEIFS($C$2:C804, $B$2:B804, B804)</f>
        <v>17.263157894736842</v>
      </c>
      <c r="AI804" s="86">
        <f>AVERAGEIFS($I$2:I804, $B$2:B804, B804)</f>
        <v>0.48</v>
      </c>
      <c r="AJ804" s="86">
        <f>AVERAGEIFS($J$2:J804, $B$2:B804, B804)</f>
        <v>0.51263157894736844</v>
      </c>
      <c r="AK804" s="86">
        <f>AVERAGEIFS($D$2:D804, $B$2:B804, B804)</f>
        <v>0.47368421052631576</v>
      </c>
    </row>
    <row r="805" spans="1:37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1</v>
      </c>
      <c r="AD805">
        <v>0</v>
      </c>
      <c r="AE805">
        <v>0</v>
      </c>
      <c r="AF805">
        <v>0</v>
      </c>
      <c r="AG805">
        <v>0</v>
      </c>
      <c r="AH805" s="86">
        <f>AVERAGEIFS($C$2:C805, $B$2:B805, B805)</f>
        <v>12.166666666666666</v>
      </c>
      <c r="AI805" s="86">
        <f>AVERAGEIFS($I$2:I805, $B$2:B805, B805)</f>
        <v>0.44791666666666669</v>
      </c>
      <c r="AJ805" s="86">
        <f>AVERAGEIFS($J$2:J805, $B$2:B805, B805)</f>
        <v>0.46625</v>
      </c>
      <c r="AK805" s="86">
        <f>AVERAGEIFS($D$2:D805, $B$2:B805, B805)</f>
        <v>0.5</v>
      </c>
    </row>
    <row r="806" spans="1:37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1</v>
      </c>
      <c r="AD806">
        <v>0</v>
      </c>
      <c r="AE806">
        <v>0</v>
      </c>
      <c r="AF806">
        <v>0</v>
      </c>
      <c r="AG806">
        <v>0</v>
      </c>
      <c r="AH806" s="86">
        <f>AVERAGEIFS($C$2:C806, $B$2:B806, B806)</f>
        <v>18.25</v>
      </c>
      <c r="AI806" s="86">
        <f>AVERAGEIFS($I$2:I806, $B$2:B806, B806)</f>
        <v>0.40714285714285708</v>
      </c>
      <c r="AJ806" s="86">
        <f>AVERAGEIFS($J$2:J806, $B$2:B806, B806)</f>
        <v>0.45107142857142862</v>
      </c>
      <c r="AK806" s="86">
        <f>AVERAGEIFS($D$2:D806, $B$2:B806, B806)</f>
        <v>0.35714285714285715</v>
      </c>
    </row>
    <row r="807" spans="1:37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1</v>
      </c>
      <c r="AD807">
        <v>0</v>
      </c>
      <c r="AE807">
        <v>0</v>
      </c>
      <c r="AF807">
        <v>0</v>
      </c>
      <c r="AG807">
        <v>0</v>
      </c>
      <c r="AH807" s="86">
        <f>AVERAGEIFS($C$2:C807, $B$2:B807, B807)</f>
        <v>20.2</v>
      </c>
      <c r="AI807" s="86">
        <f>AVERAGEIFS($I$2:I807, $B$2:B807, B807)</f>
        <v>0.65349999999999997</v>
      </c>
      <c r="AJ807" s="86">
        <f>AVERAGEIFS($J$2:J807, $B$2:B807, B807)</f>
        <v>0.57550000000000001</v>
      </c>
      <c r="AK807" s="86">
        <f>AVERAGEIFS($D$2:D807, $B$2:B807, B807)</f>
        <v>0.8</v>
      </c>
    </row>
    <row r="808" spans="1:37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1</v>
      </c>
      <c r="AD808">
        <v>0</v>
      </c>
      <c r="AE808">
        <v>0</v>
      </c>
      <c r="AF808">
        <v>0</v>
      </c>
      <c r="AG808">
        <v>0</v>
      </c>
      <c r="AH808" s="86">
        <f>AVERAGEIFS($C$2:C808, $B$2:B808, B808)</f>
        <v>20.322580645161292</v>
      </c>
      <c r="AI808" s="86">
        <f>AVERAGEIFS($I$2:I808, $B$2:B808, B808)</f>
        <v>0.53935483870967738</v>
      </c>
      <c r="AJ808" s="86">
        <f>AVERAGEIFS($J$2:J808, $B$2:B808, B808)</f>
        <v>0.5074193548387097</v>
      </c>
      <c r="AK808" s="86">
        <f>AVERAGEIFS($D$2:D808, $B$2:B808, B808)</f>
        <v>0.54838709677419351</v>
      </c>
    </row>
    <row r="809" spans="1:37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1</v>
      </c>
      <c r="AD809">
        <v>0</v>
      </c>
      <c r="AE809">
        <v>0</v>
      </c>
      <c r="AF809">
        <v>0</v>
      </c>
      <c r="AG809">
        <v>0</v>
      </c>
      <c r="AH809" s="86">
        <f>AVERAGEIFS($C$2:C809, $B$2:B809, B809)</f>
        <v>2</v>
      </c>
      <c r="AI809" s="86">
        <f>AVERAGEIFS($I$2:I809, $B$2:B809, B809)</f>
        <v>0.6</v>
      </c>
      <c r="AJ809" s="86">
        <f>AVERAGEIFS($J$2:J809, $B$2:B809, B809)</f>
        <v>0.53</v>
      </c>
      <c r="AK809" s="86">
        <f>AVERAGEIFS($D$2:D809, $B$2:B809, B809)</f>
        <v>1</v>
      </c>
    </row>
    <row r="810" spans="1:37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1</v>
      </c>
      <c r="AE810">
        <v>0</v>
      </c>
      <c r="AF810">
        <v>0</v>
      </c>
      <c r="AG810">
        <v>0</v>
      </c>
      <c r="AH810" s="86">
        <f>AVERAGEIFS($C$2:C810, $B$2:B810, B810)</f>
        <v>22.185185185185187</v>
      </c>
      <c r="AI810" s="86">
        <f>AVERAGEIFS($I$2:I810, $B$2:B810, B810)</f>
        <v>0.52462962962962967</v>
      </c>
      <c r="AJ810" s="86">
        <f>AVERAGEIFS($J$2:J810, $B$2:B810, B810)</f>
        <v>0.5159259259259259</v>
      </c>
      <c r="AK810" s="86">
        <f>AVERAGEIFS($D$2:D810, $B$2:B810, B810)</f>
        <v>0.59259259259259256</v>
      </c>
    </row>
    <row r="811" spans="1:37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1</v>
      </c>
      <c r="AE811">
        <v>0</v>
      </c>
      <c r="AF811">
        <v>0</v>
      </c>
      <c r="AG811">
        <v>0</v>
      </c>
      <c r="AH811" s="86">
        <f>AVERAGEIFS($C$2:C811, $B$2:B811, B811)</f>
        <v>16.928571428571427</v>
      </c>
      <c r="AI811" s="86">
        <f>AVERAGEIFS($I$2:I811, $B$2:B811, B811)</f>
        <v>0.55535714285714288</v>
      </c>
      <c r="AJ811" s="86">
        <f>AVERAGEIFS($J$2:J811, $B$2:B811, B811)</f>
        <v>0.51857142857142868</v>
      </c>
      <c r="AK811" s="86">
        <f>AVERAGEIFS($D$2:D811, $B$2:B811, B811)</f>
        <v>0.5357142857142857</v>
      </c>
    </row>
    <row r="812" spans="1:37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1</v>
      </c>
      <c r="AE812">
        <v>0</v>
      </c>
      <c r="AF812">
        <v>0</v>
      </c>
      <c r="AG812">
        <v>0</v>
      </c>
      <c r="AH812" s="86">
        <f>AVERAGEIFS($C$2:C812, $B$2:B812, B812)</f>
        <v>16.071428571428573</v>
      </c>
      <c r="AI812" s="86">
        <f>AVERAGEIFS($I$2:I812, $B$2:B812, B812)</f>
        <v>0.48571428571428577</v>
      </c>
      <c r="AJ812" s="86">
        <f>AVERAGEIFS($J$2:J812, $B$2:B812, B812)</f>
        <v>0.49071428571428577</v>
      </c>
      <c r="AK812" s="86">
        <f>AVERAGEIFS($D$2:D812, $B$2:B812, B812)</f>
        <v>0.35714285714285715</v>
      </c>
    </row>
    <row r="813" spans="1:37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0</v>
      </c>
      <c r="AD813">
        <v>1</v>
      </c>
      <c r="AE813">
        <v>0</v>
      </c>
      <c r="AF813">
        <v>0</v>
      </c>
      <c r="AG813">
        <v>0</v>
      </c>
      <c r="AH813" s="86">
        <f>AVERAGEIFS($C$2:C813, $B$2:B813, B813)</f>
        <v>18.188679245283019</v>
      </c>
      <c r="AI813" s="86">
        <f>AVERAGEIFS($I$2:I813, $B$2:B813, B813)</f>
        <v>0.49339622641509417</v>
      </c>
      <c r="AJ813" s="86">
        <f>AVERAGEIFS($J$2:J813, $B$2:B813, B813)</f>
        <v>0.48603773584905668</v>
      </c>
      <c r="AK813" s="86">
        <f>AVERAGEIFS($D$2:D813, $B$2:B813, B813)</f>
        <v>0.43396226415094341</v>
      </c>
    </row>
    <row r="814" spans="1:37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0</v>
      </c>
      <c r="AD814">
        <v>1</v>
      </c>
      <c r="AE814">
        <v>0</v>
      </c>
      <c r="AF814">
        <v>0</v>
      </c>
      <c r="AG814">
        <v>0</v>
      </c>
      <c r="AH814" s="86">
        <f>AVERAGEIFS($C$2:C814, $B$2:B814, B814)</f>
        <v>14.1</v>
      </c>
      <c r="AI814" s="86">
        <f>AVERAGEIFS($I$2:I814, $B$2:B814, B814)</f>
        <v>0.59499999999999997</v>
      </c>
      <c r="AJ814" s="86">
        <f>AVERAGEIFS($J$2:J814, $B$2:B814, B814)</f>
        <v>0.58299999999999996</v>
      </c>
      <c r="AK814" s="86">
        <f>AVERAGEIFS($D$2:D814, $B$2:B814, B814)</f>
        <v>0.5</v>
      </c>
    </row>
    <row r="815" spans="1:37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0</v>
      </c>
      <c r="AD815">
        <v>1</v>
      </c>
      <c r="AE815">
        <v>0</v>
      </c>
      <c r="AF815">
        <v>0</v>
      </c>
      <c r="AG815">
        <v>0</v>
      </c>
      <c r="AH815" s="86">
        <f>AVERAGEIFS($C$2:C815, $B$2:B815, B815)</f>
        <v>15.380952380952381</v>
      </c>
      <c r="AI815" s="86">
        <f>AVERAGEIFS($I$2:I815, $B$2:B815, B815)</f>
        <v>0.55238095238095242</v>
      </c>
      <c r="AJ815" s="86">
        <f>AVERAGEIFS($J$2:J815, $B$2:B815, B815)</f>
        <v>0.52666666666666673</v>
      </c>
      <c r="AK815" s="86">
        <f>AVERAGEIFS($D$2:D815, $B$2:B815, B815)</f>
        <v>0.47619047619047616</v>
      </c>
    </row>
    <row r="816" spans="1:37" x14ac:dyDescent="0.25">
      <c r="A816" s="85">
        <v>46124</v>
      </c>
      <c r="B816" t="s">
        <v>167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0</v>
      </c>
      <c r="AG816">
        <v>0</v>
      </c>
      <c r="AH816" s="86">
        <f>AVERAGEIFS($C$2:C816, $B$2:B816, B816)</f>
        <v>12</v>
      </c>
      <c r="AI816" s="86">
        <f>AVERAGEIFS($I$2:I816, $B$2:B816, B816)</f>
        <v>0.57499999999999996</v>
      </c>
      <c r="AJ816" s="86">
        <f>AVERAGEIFS($J$2:J816, $B$2:B816, B816)</f>
        <v>0.505</v>
      </c>
      <c r="AK816" s="86">
        <f>AVERAGEIFS($D$2:D816, $B$2:B816, B816)</f>
        <v>0.5</v>
      </c>
    </row>
    <row r="817" spans="1:37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0</v>
      </c>
      <c r="AG817">
        <v>0</v>
      </c>
      <c r="AH817" s="86">
        <f>AVERAGEIFS($C$2:C817, $B$2:B817, B817)</f>
        <v>14.0625</v>
      </c>
      <c r="AI817" s="86">
        <f>AVERAGEIFS($I$2:I817, $B$2:B817, B817)</f>
        <v>0.51249999999999996</v>
      </c>
      <c r="AJ817" s="86">
        <f>AVERAGEIFS($J$2:J817, $B$2:B817, B817)</f>
        <v>0.50624999999999998</v>
      </c>
      <c r="AK817" s="86">
        <f>AVERAGEIFS($D$2:D817, $B$2:B817, B817)</f>
        <v>0.4375</v>
      </c>
    </row>
    <row r="818" spans="1:37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0</v>
      </c>
      <c r="AG818">
        <v>0</v>
      </c>
      <c r="AH818" s="86">
        <f>AVERAGEIFS($C$2:C818, $B$2:B818, B818)</f>
        <v>7</v>
      </c>
      <c r="AI818" s="86">
        <f>AVERAGEIFS($I$2:I818, $B$2:B818, B818)</f>
        <v>0.75</v>
      </c>
      <c r="AJ818" s="86">
        <f>AVERAGEIFS($J$2:J818, $B$2:B818, B818)</f>
        <v>0.58499999999999996</v>
      </c>
      <c r="AK818" s="86">
        <f>AVERAGEIFS($D$2:D818, $B$2:B818, B818)</f>
        <v>1</v>
      </c>
    </row>
    <row r="819" spans="1:37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0</v>
      </c>
      <c r="AG819">
        <v>0</v>
      </c>
      <c r="AH819" s="86">
        <f>AVERAGEIFS($C$2:C819, $B$2:B819, B819)</f>
        <v>18.852941176470587</v>
      </c>
      <c r="AI819" s="86">
        <f>AVERAGEIFS($I$2:I819, $B$2:B819, B819)</f>
        <v>0.43382352941176466</v>
      </c>
      <c r="AJ819" s="86">
        <f>AVERAGEIFS($J$2:J819, $B$2:B819, B819)</f>
        <v>0.44647058823529412</v>
      </c>
      <c r="AK819" s="86">
        <f>AVERAGEIFS($D$2:D819, $B$2:B819, B819)</f>
        <v>0.44117647058823528</v>
      </c>
    </row>
    <row r="820" spans="1:37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0</v>
      </c>
      <c r="AG820">
        <v>0</v>
      </c>
      <c r="AH820" s="86">
        <f>AVERAGEIFS($C$2:C820, $B$2:B820, B820)</f>
        <v>15.363636363636363</v>
      </c>
      <c r="AI820" s="86">
        <f>AVERAGEIFS($I$2:I820, $B$2:B820, B820)</f>
        <v>0.60909090909090913</v>
      </c>
      <c r="AJ820" s="86">
        <f>AVERAGEIFS($J$2:J820, $B$2:B820, B820)</f>
        <v>0.58090909090909093</v>
      </c>
      <c r="AK820" s="86">
        <f>AVERAGEIFS($D$2:D820, $B$2:B820, B820)</f>
        <v>0.54545454545454541</v>
      </c>
    </row>
    <row r="821" spans="1:37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0</v>
      </c>
      <c r="AG821">
        <v>0</v>
      </c>
      <c r="AH821" s="86">
        <f>AVERAGEIFS($C$2:C821, $B$2:B821, B821)</f>
        <v>24.285714285714285</v>
      </c>
      <c r="AI821" s="86">
        <f>AVERAGEIFS($I$2:I821, $B$2:B821, B821)</f>
        <v>0.44464285714285712</v>
      </c>
      <c r="AJ821" s="86">
        <f>AVERAGEIFS($J$2:J821, $B$2:B821, B821)</f>
        <v>0.4617857142857143</v>
      </c>
      <c r="AK821" s="86">
        <f>AVERAGEIFS($D$2:D821, $B$2:B821, B821)</f>
        <v>0.35714285714285715</v>
      </c>
    </row>
    <row r="822" spans="1:37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0</v>
      </c>
      <c r="AG822">
        <v>0</v>
      </c>
      <c r="AH822" s="86">
        <f>AVERAGEIFS($C$2:C822, $B$2:B822, B822)</f>
        <v>17.068965517241381</v>
      </c>
      <c r="AI822" s="86">
        <f>AVERAGEIFS($I$2:I822, $B$2:B822, B822)</f>
        <v>0.56206896551724139</v>
      </c>
      <c r="AJ822" s="86">
        <f>AVERAGEIFS($J$2:J822, $B$2:B822, B822)</f>
        <v>0.52000000000000013</v>
      </c>
      <c r="AK822" s="86">
        <f>AVERAGEIFS($D$2:D822, $B$2:B822, B822)</f>
        <v>0.55172413793103448</v>
      </c>
    </row>
    <row r="823" spans="1:37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 s="86">
        <f>AVERAGEIFS($C$2:C823, $B$2:B823, B823)</f>
        <v>23.7</v>
      </c>
      <c r="AI823" s="86">
        <f>AVERAGEIFS($I$2:I823, $B$2:B823, B823)</f>
        <v>0.54540000000000011</v>
      </c>
      <c r="AJ823" s="86">
        <f>AVERAGEIFS($J$2:J823, $B$2:B823, B823)</f>
        <v>0.52079999999999993</v>
      </c>
      <c r="AK823" s="86">
        <f>AVERAGEIFS($D$2:D823, $B$2:B823, B823)</f>
        <v>0.56000000000000005</v>
      </c>
    </row>
    <row r="824" spans="1:37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 s="86">
        <f>AVERAGEIFS($C$2:C824, $B$2:B824, B824)</f>
        <v>8.5714285714285712</v>
      </c>
      <c r="AI824" s="86">
        <f>AVERAGEIFS($I$2:I824, $B$2:B824, B824)</f>
        <v>0.25</v>
      </c>
      <c r="AJ824" s="86">
        <f>AVERAGEIFS($J$2:J824, $B$2:B824, B824)</f>
        <v>0.33571428571428574</v>
      </c>
      <c r="AK824" s="86">
        <f>AVERAGEIFS($D$2:D824, $B$2:B824, B824)</f>
        <v>0.14285714285714285</v>
      </c>
    </row>
    <row r="825" spans="1:37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86">
        <f>AVERAGEIFS($C$2:C825, $B$2:B825, B825)</f>
        <v>12</v>
      </c>
      <c r="AI825" s="86">
        <f>AVERAGEIFS($I$2:I825, $B$2:B825, B825)</f>
        <v>0.52500000000000002</v>
      </c>
      <c r="AJ825" s="86">
        <f>AVERAGEIFS($J$2:J825, $B$2:B825, B825)</f>
        <v>0.59</v>
      </c>
      <c r="AK825" s="86">
        <f>AVERAGEIFS($D$2:D825, $B$2:B825, B825)</f>
        <v>0.5</v>
      </c>
    </row>
    <row r="826" spans="1:37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86">
        <f>AVERAGEIFS($C$2:C826, $B$2:B826, B826)</f>
        <v>18.24074074074074</v>
      </c>
      <c r="AI826" s="86">
        <f>AVERAGEIFS($I$2:I826, $B$2:B826, B826)</f>
        <v>0.48888888888888871</v>
      </c>
      <c r="AJ826" s="86">
        <f>AVERAGEIFS($J$2:J826, $B$2:B826, B826)</f>
        <v>0.48518518518518533</v>
      </c>
      <c r="AK826" s="86">
        <f>AVERAGEIFS($D$2:D826, $B$2:B826, B826)</f>
        <v>0.42592592592592593</v>
      </c>
    </row>
    <row r="827" spans="1:37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86">
        <f>AVERAGEIFS($C$2:C827, $B$2:B827, B827)</f>
        <v>11.428571428571429</v>
      </c>
      <c r="AI827" s="86">
        <f>AVERAGEIFS($I$2:I827, $B$2:B827, B827)</f>
        <v>0.54285714285714293</v>
      </c>
      <c r="AJ827" s="86">
        <f>AVERAGEIFS($J$2:J827, $B$2:B827, B827)</f>
        <v>0.52142857142857146</v>
      </c>
      <c r="AK827" s="86">
        <f>AVERAGEIFS($D$2:D827, $B$2:B827, B827)</f>
        <v>0.7142857142857143</v>
      </c>
    </row>
    <row r="828" spans="1:37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86">
        <f>AVERAGEIFS($C$2:C828, $B$2:B828, B828)</f>
        <v>12.24</v>
      </c>
      <c r="AI828" s="86">
        <f>AVERAGEIFS($I$2:I828, $B$2:B828, B828)</f>
        <v>0.44</v>
      </c>
      <c r="AJ828" s="86">
        <f>AVERAGEIFS($J$2:J828, $B$2:B828, B828)</f>
        <v>0.46519999999999995</v>
      </c>
      <c r="AK828" s="86">
        <f>AVERAGEIFS($D$2:D828, $B$2:B828, B828)</f>
        <v>0.48</v>
      </c>
    </row>
    <row r="829" spans="1:37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86">
        <f>AVERAGEIFS($C$2:C829, $B$2:B829, B829)</f>
        <v>24.586206896551722</v>
      </c>
      <c r="AI829" s="86">
        <f>AVERAGEIFS($I$2:I829, $B$2:B829, B829)</f>
        <v>0.43793103448275861</v>
      </c>
      <c r="AJ829" s="86">
        <f>AVERAGEIFS($J$2:J829, $B$2:B829, B829)</f>
        <v>0.46034482758620687</v>
      </c>
      <c r="AK829" s="86">
        <f>AVERAGEIFS($D$2:D829, $B$2:B829, B829)</f>
        <v>0.34482758620689657</v>
      </c>
    </row>
    <row r="830" spans="1:37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86">
        <f>AVERAGEIFS($C$2:C830, $B$2:B830, B830)</f>
        <v>22.109090909090909</v>
      </c>
      <c r="AI830" s="86">
        <f>AVERAGEIFS($I$2:I830, $B$2:B830, B830)</f>
        <v>0.51963636363636367</v>
      </c>
      <c r="AJ830" s="86">
        <f>AVERAGEIFS($J$2:J830, $B$2:B830, B830)</f>
        <v>0.51418181818181818</v>
      </c>
      <c r="AK830" s="86">
        <f>AVERAGEIFS($D$2:D830, $B$2:B830, B830)</f>
        <v>0.58181818181818179</v>
      </c>
    </row>
    <row r="831" spans="1:37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86">
        <f>AVERAGEIFS($C$2:C831, $B$2:B831, B831)</f>
        <v>18.914285714285715</v>
      </c>
      <c r="AI831" s="86">
        <f>AVERAGEIFS($I$2:I831, $B$2:B831, B831)</f>
        <v>0.42857142857142855</v>
      </c>
      <c r="AJ831" s="86">
        <f>AVERAGEIFS($J$2:J831, $B$2:B831, B831)</f>
        <v>0.44571428571428573</v>
      </c>
      <c r="AK831" s="86">
        <f>AVERAGEIFS($D$2:D831, $B$2:B831, B831)</f>
        <v>0.42857142857142855</v>
      </c>
    </row>
    <row r="832" spans="1:37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86">
        <f>AVERAGEIFS($C$2:C832, $B$2:B832, B832)</f>
        <v>15.666666666666666</v>
      </c>
      <c r="AI832" s="86">
        <f>AVERAGEIFS($I$2:I832, $B$2:B832, B832)</f>
        <v>0.47000000000000003</v>
      </c>
      <c r="AJ832" s="86">
        <f>AVERAGEIFS($J$2:J832, $B$2:B832, B832)</f>
        <v>0.48600000000000004</v>
      </c>
      <c r="AK832" s="86">
        <f>AVERAGEIFS($D$2:D832, $B$2:B832, B832)</f>
        <v>0.33333333333333331</v>
      </c>
    </row>
    <row r="833" spans="1:37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86">
        <f>AVERAGEIFS($C$2:C833, $B$2:B833, B833)</f>
        <v>16</v>
      </c>
      <c r="AI833" s="86">
        <f>AVERAGEIFS($I$2:I833, $B$2:B833, B833)</f>
        <v>0.57916666666666672</v>
      </c>
      <c r="AJ833" s="86">
        <f>AVERAGEIFS($J$2:J833, $B$2:B833, B833)</f>
        <v>0.5675</v>
      </c>
      <c r="AK833" s="86">
        <f>AVERAGEIFS($D$2:D833, $B$2:B833, B833)</f>
        <v>0.5</v>
      </c>
    </row>
    <row r="834" spans="1:37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86">
        <f>AVERAGEIFS($C$2:C834, $B$2:B834, B834)</f>
        <v>16.941176470588236</v>
      </c>
      <c r="AI834" s="86">
        <f>AVERAGEIFS($I$2:I834, $B$2:B834, B834)</f>
        <v>0.48823529411764699</v>
      </c>
      <c r="AJ834" s="86">
        <f>AVERAGEIFS($J$2:J834, $B$2:B834, B834)</f>
        <v>0.51058823529411768</v>
      </c>
      <c r="AK834" s="86">
        <f>AVERAGEIFS($D$2:D834, $B$2:B834, B834)</f>
        <v>0.58823529411764708</v>
      </c>
    </row>
    <row r="835" spans="1:37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86">
        <f>AVERAGEIFS($C$2:C835, $B$2:B835, B835)</f>
        <v>15.045454545454545</v>
      </c>
      <c r="AI835" s="86">
        <f>AVERAGEIFS($I$2:I835, $B$2:B835, B835)</f>
        <v>0.53863636363636369</v>
      </c>
      <c r="AJ835" s="86">
        <f>AVERAGEIFS($J$2:J835, $B$2:B835, B835)</f>
        <v>0.52181818181818196</v>
      </c>
      <c r="AK835" s="86">
        <f>AVERAGEIFS($D$2:D835, $B$2:B835, B835)</f>
        <v>0.45454545454545453</v>
      </c>
    </row>
    <row r="836" spans="1:37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86">
        <f>AVERAGEIFS($C$2:C836, $B$2:B836, B836)</f>
        <v>24.058823529411764</v>
      </c>
      <c r="AI836" s="86">
        <f>AVERAGEIFS($I$2:I836, $B$2:B836, B836)</f>
        <v>0.54941176470588238</v>
      </c>
      <c r="AJ836" s="86">
        <f>AVERAGEIFS($J$2:J836, $B$2:B836, B836)</f>
        <v>0.52196078431372539</v>
      </c>
      <c r="AK836" s="86">
        <f>AVERAGEIFS($D$2:D836, $B$2:B836, B836)</f>
        <v>0.56862745098039214</v>
      </c>
    </row>
    <row r="837" spans="1:37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86">
        <f>AVERAGEIFS($C$2:C837, $B$2:B837, B837)</f>
        <v>26.103448275862068</v>
      </c>
      <c r="AI837" s="86">
        <f>AVERAGEIFS($I$2:I837, $B$2:B837, B837)</f>
        <v>0.46034482758620693</v>
      </c>
      <c r="AJ837" s="86">
        <f>AVERAGEIFS($J$2:J837, $B$2:B837, B837)</f>
        <v>0.47241379310344833</v>
      </c>
      <c r="AK837" s="86">
        <f>AVERAGEIFS($D$2:D837, $B$2:B837, B837)</f>
        <v>0.48275862068965519</v>
      </c>
    </row>
    <row r="838" spans="1:37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86">
        <f>AVERAGEIFS($C$2:C838, $B$2:B838, B838)</f>
        <v>18.363636363636363</v>
      </c>
      <c r="AI838" s="86">
        <f>AVERAGEIFS($I$2:I838, $B$2:B838, B838)</f>
        <v>0.49363636363636348</v>
      </c>
      <c r="AJ838" s="86">
        <f>AVERAGEIFS($J$2:J838, $B$2:B838, B838)</f>
        <v>0.48690909090909101</v>
      </c>
      <c r="AK838" s="86">
        <f>AVERAGEIFS($D$2:D838, $B$2:B838, B838)</f>
        <v>0.43636363636363634</v>
      </c>
    </row>
    <row r="839" spans="1:37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86">
        <f>AVERAGEIFS($C$2:C839, $B$2:B839, B839)</f>
        <v>16.411764705882351</v>
      </c>
      <c r="AI839" s="86">
        <f>AVERAGEIFS($I$2:I839, $B$2:B839, B839)</f>
        <v>0.51911764705882346</v>
      </c>
      <c r="AJ839" s="86">
        <f>AVERAGEIFS($J$2:J839, $B$2:B839, B839)</f>
        <v>0.51147058823529412</v>
      </c>
      <c r="AK839" s="86">
        <f>AVERAGEIFS($D$2:D839, $B$2:B839, B839)</f>
        <v>0.55882352941176472</v>
      </c>
    </row>
    <row r="840" spans="1:37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86">
        <f>AVERAGEIFS($C$2:C840, $B$2:B840, B840)</f>
        <v>17.7</v>
      </c>
      <c r="AI840" s="86">
        <f>AVERAGEIFS($I$2:I840, $B$2:B840, B840)</f>
        <v>0.56833333333333336</v>
      </c>
      <c r="AJ840" s="86">
        <f>AVERAGEIFS($J$2:J840, $B$2:B840, B840)</f>
        <v>0.52200000000000013</v>
      </c>
      <c r="AK840" s="86">
        <f>AVERAGEIFS($D$2:D840, $B$2:B840, B840)</f>
        <v>0.56666666666666665</v>
      </c>
    </row>
    <row r="841" spans="1:37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86">
        <f>AVERAGEIFS($C$2:C841, $B$2:B841, B841)</f>
        <v>12.653846153846153</v>
      </c>
      <c r="AI841" s="86">
        <f>AVERAGEIFS($I$2:I841, $B$2:B841, B841)</f>
        <v>0.45192307692307693</v>
      </c>
      <c r="AJ841" s="86">
        <f>AVERAGEIFS($J$2:J841, $B$2:B841, B841)</f>
        <v>0.4696153846153846</v>
      </c>
      <c r="AK841" s="86">
        <f>AVERAGEIFS($D$2:D841, $B$2:B841, B841)</f>
        <v>0.5</v>
      </c>
    </row>
    <row r="842" spans="1:37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1</v>
      </c>
      <c r="AH842" s="86">
        <f>AVERAGEIFS($C$2:C842, $B$2:B842, B842)</f>
        <v>18.722222222222221</v>
      </c>
      <c r="AI842" s="86">
        <f>AVERAGEIFS($I$2:I842, $B$2:B842, B842)</f>
        <v>0.44444444444444442</v>
      </c>
      <c r="AJ842" s="86">
        <f>AVERAGEIFS($J$2:J842, $B$2:B842, B842)</f>
        <v>0.45611111111111108</v>
      </c>
      <c r="AK842" s="86">
        <f>AVERAGEIFS($D$2:D842, $B$2:B842, B842)</f>
        <v>0.44444444444444442</v>
      </c>
    </row>
    <row r="843" spans="1:37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1</v>
      </c>
      <c r="AH843" s="86">
        <f>AVERAGEIFS($C$2:C843, $B$2:B843, B843)</f>
        <v>16.742857142857144</v>
      </c>
      <c r="AI843" s="86">
        <f>AVERAGEIFS($I$2:I843, $B$2:B843, B843)</f>
        <v>0.50285714285714278</v>
      </c>
      <c r="AJ843" s="86">
        <f>AVERAGEIFS($J$2:J843, $B$2:B843, B843)</f>
        <v>0.51942857142857146</v>
      </c>
      <c r="AK843" s="86">
        <f>AVERAGEIFS($D$2:D843, $B$2:B843, B843)</f>
        <v>0.6</v>
      </c>
    </row>
    <row r="844" spans="1:37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1</v>
      </c>
      <c r="AH844" s="86">
        <f>AVERAGEIFS($C$2:C844, $B$2:B844, B844)</f>
        <v>17.516129032258064</v>
      </c>
      <c r="AI844" s="86">
        <f>AVERAGEIFS($I$2:I844, $B$2:B844, B844)</f>
        <v>0.58225806451612905</v>
      </c>
      <c r="AJ844" s="86">
        <f>AVERAGEIFS($J$2:J844, $B$2:B844, B844)</f>
        <v>0.53161290322580657</v>
      </c>
      <c r="AK844" s="86">
        <f>AVERAGEIFS($D$2:D844, $B$2:B844, B844)</f>
        <v>0.58064516129032262</v>
      </c>
    </row>
    <row r="845" spans="1:37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1</v>
      </c>
      <c r="AH845" s="86">
        <f>AVERAGEIFS($C$2:C845, $B$2:B845, B845)</f>
        <v>6</v>
      </c>
      <c r="AI845" s="86">
        <f>AVERAGEIFS($I$2:I845, $B$2:B845, B845)</f>
        <v>0.83333333333333337</v>
      </c>
      <c r="AJ845" s="86">
        <f>AVERAGEIFS($J$2:J845, $B$2:B845, B845)</f>
        <v>0.66333333333333322</v>
      </c>
      <c r="AK845" s="86">
        <f>AVERAGEIFS($D$2:D845, $B$2:B845, B845)</f>
        <v>1</v>
      </c>
    </row>
    <row r="846" spans="1:37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1</v>
      </c>
      <c r="AH846" s="86">
        <f>AVERAGEIFS($C$2:C846, $B$2:B846, B846)</f>
        <v>15.923076923076923</v>
      </c>
      <c r="AI846" s="86">
        <f>AVERAGEIFS($I$2:I846, $B$2:B846, B846)</f>
        <v>0.61153846153846159</v>
      </c>
      <c r="AJ846" s="86">
        <f>AVERAGEIFS($J$2:J846, $B$2:B846, B846)</f>
        <v>0.58692307692307699</v>
      </c>
      <c r="AK846" s="86">
        <f>AVERAGEIFS($D$2:D846, $B$2:B846, B846)</f>
        <v>0.53846153846153844</v>
      </c>
    </row>
    <row r="847" spans="1:37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1</v>
      </c>
      <c r="AH847" s="86">
        <f>AVERAGEIFS($C$2:C847, $B$2:B847, B847)</f>
        <v>23.903846153846153</v>
      </c>
      <c r="AI847" s="86">
        <f>AVERAGEIFS($I$2:I847, $B$2:B847, B847)</f>
        <v>0.55807692307692314</v>
      </c>
      <c r="AJ847" s="86">
        <f>AVERAGEIFS($J$2:J847, $B$2:B847, B847)</f>
        <v>0.52769230769230768</v>
      </c>
      <c r="AK847" s="86">
        <f>AVERAGEIFS($D$2:D847, $B$2:B847, B847)</f>
        <v>0.57692307692307687</v>
      </c>
    </row>
    <row r="848" spans="1:37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86">
        <f>AVERAGEIFS($C$2:C848, $B$2:B848, B848)</f>
        <v>19.666666666666668</v>
      </c>
      <c r="AI848" s="86">
        <f>AVERAGEIFS($I$2:I848, $B$2:B848, B848)</f>
        <v>0.62238095238095226</v>
      </c>
      <c r="AJ848" s="86">
        <f>AVERAGEIFS($J$2:J848, $B$2:B848, B848)</f>
        <v>0.55666666666666664</v>
      </c>
      <c r="AK848" s="86">
        <f>AVERAGEIFS($D$2:D848, $B$2:B848, B848)</f>
        <v>0.76190476190476186</v>
      </c>
    </row>
    <row r="849" spans="1:37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86">
        <f>AVERAGEIFS($C$2:C849, $B$2:B849, B849)</f>
        <v>21.892857142857142</v>
      </c>
      <c r="AI849" s="86">
        <f>AVERAGEIFS($I$2:I849, $B$2:B849, B849)</f>
        <v>0.51035714285714284</v>
      </c>
      <c r="AJ849" s="86">
        <f>AVERAGEIFS($J$2:J849, $B$2:B849, B849)</f>
        <v>0.50821428571428573</v>
      </c>
      <c r="AK849" s="86">
        <f>AVERAGEIFS($D$2:D849, $B$2:B849, B849)</f>
        <v>0.5714285714285714</v>
      </c>
    </row>
    <row r="850" spans="1:37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86">
        <f>AVERAGEIFS($C$2:C850, $B$2:B850, B850)</f>
        <v>16.2</v>
      </c>
      <c r="AI850" s="86">
        <f>AVERAGEIFS($I$2:I850, $B$2:B850, B850)</f>
        <v>0.50428571428571423</v>
      </c>
      <c r="AJ850" s="86">
        <f>AVERAGEIFS($J$2:J850, $B$2:B850, B850)</f>
        <v>0.502</v>
      </c>
      <c r="AK850" s="86">
        <f>AVERAGEIFS($D$2:D850, $B$2:B850, B850)</f>
        <v>0.54285714285714282</v>
      </c>
    </row>
    <row r="851" spans="1:37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86">
        <f>AVERAGEIFS($C$2:C851, $B$2:B851, B851)</f>
        <v>3</v>
      </c>
      <c r="AI851" s="86">
        <f>AVERAGEIFS($I$2:I851, $B$2:B851, B851)</f>
        <v>0</v>
      </c>
      <c r="AJ851" s="86">
        <f>AVERAGEIFS($J$2:J851, $B$2:B851, B851)</f>
        <v>0.18</v>
      </c>
      <c r="AK851" s="86">
        <f>AVERAGEIFS($D$2:D851, $B$2:B851, B851)</f>
        <v>0</v>
      </c>
    </row>
    <row r="852" spans="1:37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86">
        <f>AVERAGEIFS($C$2:C852, $B$2:B852, B852)</f>
        <v>14.869565217391305</v>
      </c>
      <c r="AI852" s="86">
        <f>AVERAGEIFS($I$2:I852, $B$2:B852, B852)</f>
        <v>0.51521739130434785</v>
      </c>
      <c r="AJ852" s="86">
        <f>AVERAGEIFS($J$2:J852, $B$2:B852, B852)</f>
        <v>0.50695652173913053</v>
      </c>
      <c r="AK852" s="86">
        <f>AVERAGEIFS($D$2:D852, $B$2:B852, B852)</f>
        <v>0.43478260869565216</v>
      </c>
    </row>
    <row r="853" spans="1:37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86">
        <f>AVERAGEIFS($C$2:C853, $B$2:B853, B853)</f>
        <v>10.810810810810811</v>
      </c>
      <c r="AI853" s="86">
        <f>AVERAGEIFS($I$2:I853, $B$2:B853, B853)</f>
        <v>0.45486486486486494</v>
      </c>
      <c r="AJ853" s="86">
        <f>AVERAGEIFS($J$2:J853, $B$2:B853, B853)</f>
        <v>0.48027027027027025</v>
      </c>
      <c r="AK853" s="86">
        <f>AVERAGEIFS($D$2:D853, $B$2:B853, B853)</f>
        <v>0.43243243243243246</v>
      </c>
    </row>
    <row r="854" spans="1:37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86">
        <f>AVERAGEIFS($C$2:C854, $B$2:B854, B854)</f>
        <v>23.641509433962263</v>
      </c>
      <c r="AI854" s="86">
        <f>AVERAGEIFS($I$2:I854, $B$2:B854, B854)</f>
        <v>0.55226415094339631</v>
      </c>
      <c r="AJ854" s="86">
        <f>AVERAGEIFS($J$2:J854, $B$2:B854, B854)</f>
        <v>0.52283018867924524</v>
      </c>
      <c r="AK854" s="86">
        <f>AVERAGEIFS($D$2:D854, $B$2:B854, B854)</f>
        <v>0.56603773584905659</v>
      </c>
    </row>
    <row r="855" spans="1:37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 s="86">
        <f>AVERAGEIFS($C$2:C855, $B$2:B855, B855)</f>
        <v>18.675675675675677</v>
      </c>
      <c r="AI855" s="86">
        <f>AVERAGEIFS($I$2:I855, $B$2:B855, B855)</f>
        <v>0.4391891891891892</v>
      </c>
      <c r="AJ855" s="86">
        <f>AVERAGEIFS($J$2:J855, $B$2:B855, B855)</f>
        <v>0.45108108108108103</v>
      </c>
      <c r="AK855" s="86">
        <f>AVERAGEIFS($D$2:D855, $B$2:B855, B855)</f>
        <v>0.43243243243243246</v>
      </c>
    </row>
    <row r="856" spans="1:37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 s="86">
        <f>AVERAGEIFS($C$2:C856, $B$2:B856, B856)</f>
        <v>17.46875</v>
      </c>
      <c r="AI856" s="86">
        <f>AVERAGEIFS($I$2:I856, $B$2:B856, B856)</f>
        <v>0.57187500000000002</v>
      </c>
      <c r="AJ856" s="86">
        <f>AVERAGEIFS($J$2:J856, $B$2:B856, B856)</f>
        <v>0.52343750000000011</v>
      </c>
      <c r="AK856" s="86">
        <f>AVERAGEIFS($D$2:D856, $B$2:B856, B856)</f>
        <v>0.5625</v>
      </c>
    </row>
    <row r="857" spans="1:37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 s="86">
        <f>AVERAGEIFS($C$2:C857, $B$2:B857, B857)</f>
        <v>14.791666666666666</v>
      </c>
      <c r="AI857" s="86">
        <f>AVERAGEIFS($I$2:I857, $B$2:B857, B857)</f>
        <v>0.50416666666666676</v>
      </c>
      <c r="AJ857" s="86">
        <f>AVERAGEIFS($J$2:J857, $B$2:B857, B857)</f>
        <v>0.49708333333333338</v>
      </c>
      <c r="AK857" s="86">
        <f>AVERAGEIFS($D$2:D857, $B$2:B857, B857)</f>
        <v>0.41666666666666669</v>
      </c>
    </row>
    <row r="858" spans="1:37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 s="86">
        <f>AVERAGEIFS($C$2:C858, $B$2:B858, B858)</f>
        <v>10.657894736842104</v>
      </c>
      <c r="AI858" s="86">
        <f>AVERAGEIFS($I$2:I858, $B$2:B858, B858)</f>
        <v>0.44947368421052636</v>
      </c>
      <c r="AJ858" s="86">
        <f>AVERAGEIFS($J$2:J858, $B$2:B858, B858)</f>
        <v>0.47473684210526312</v>
      </c>
      <c r="AK858" s="86">
        <f>AVERAGEIFS($D$2:D858, $B$2:B858, B858)</f>
        <v>0.42105263157894735</v>
      </c>
    </row>
    <row r="859" spans="1:37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 s="86">
        <f>AVERAGEIFS($C$2:C859, $B$2:B859, B859)</f>
        <v>5.5</v>
      </c>
      <c r="AI859" s="86">
        <f>AVERAGEIFS($I$2:I859, $B$2:B859, B859)</f>
        <v>0.6875</v>
      </c>
      <c r="AJ859" s="86">
        <f>AVERAGEIFS($J$2:J859, $B$2:B859, B859)</f>
        <v>0.56499999999999995</v>
      </c>
      <c r="AK859" s="86">
        <f>AVERAGEIFS($D$2:D859, $B$2:B859, B859)</f>
        <v>0.75</v>
      </c>
    </row>
    <row r="860" spans="1:37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1</v>
      </c>
      <c r="AD860">
        <v>0</v>
      </c>
      <c r="AE860">
        <v>0</v>
      </c>
      <c r="AF860">
        <v>0</v>
      </c>
      <c r="AG860">
        <v>0</v>
      </c>
      <c r="AH860" s="86">
        <f>AVERAGEIFS($C$2:C860, $B$2:B860, B860)</f>
        <v>21.87719298245614</v>
      </c>
      <c r="AI860" s="86">
        <f>AVERAGEIFS($I$2:I860, $B$2:B860, B860)</f>
        <v>0.514561403508772</v>
      </c>
      <c r="AJ860" s="86">
        <f>AVERAGEIFS($J$2:J860, $B$2:B860, B860)</f>
        <v>0.51210526315789473</v>
      </c>
      <c r="AK860" s="86">
        <f>AVERAGEIFS($D$2:D860, $B$2:B860, B860)</f>
        <v>0.57894736842105265</v>
      </c>
    </row>
    <row r="861" spans="1:37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0</v>
      </c>
      <c r="AC861">
        <v>1</v>
      </c>
      <c r="AD861">
        <v>0</v>
      </c>
      <c r="AE861">
        <v>0</v>
      </c>
      <c r="AF861">
        <v>0</v>
      </c>
      <c r="AG861">
        <v>0</v>
      </c>
      <c r="AH861" s="86">
        <f>AVERAGEIFS($C$2:C861, $B$2:B861, B861)</f>
        <v>19.454545454545453</v>
      </c>
      <c r="AI861" s="86">
        <f>AVERAGEIFS($I$2:I861, $B$2:B861, B861)</f>
        <v>0.62818181818181806</v>
      </c>
      <c r="AJ861" s="86">
        <f>AVERAGEIFS($J$2:J861, $B$2:B861, B861)</f>
        <v>0.56454545454545457</v>
      </c>
      <c r="AK861" s="86">
        <f>AVERAGEIFS($D$2:D861, $B$2:B861, B861)</f>
        <v>0.77272727272727271</v>
      </c>
    </row>
    <row r="862" spans="1:37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1</v>
      </c>
      <c r="AD862">
        <v>0</v>
      </c>
      <c r="AE862">
        <v>0</v>
      </c>
      <c r="AF862">
        <v>0</v>
      </c>
      <c r="AG862">
        <v>0</v>
      </c>
      <c r="AH862" s="86">
        <f>AVERAGEIFS($C$2:C862, $B$2:B862, B862)</f>
        <v>16.194444444444443</v>
      </c>
      <c r="AI862" s="86">
        <f>AVERAGEIFS($I$2:I862, $B$2:B862, B862)</f>
        <v>0.51111111111111107</v>
      </c>
      <c r="AJ862" s="86">
        <f>AVERAGEIFS($J$2:J862, $B$2:B862, B862)</f>
        <v>0.5083333333333333</v>
      </c>
      <c r="AK862" s="86">
        <f>AVERAGEIFS($D$2:D862, $B$2:B862, B862)</f>
        <v>0.55555555555555558</v>
      </c>
    </row>
    <row r="863" spans="1:37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0</v>
      </c>
      <c r="AC863">
        <v>1</v>
      </c>
      <c r="AD863">
        <v>0</v>
      </c>
      <c r="AE863">
        <v>0</v>
      </c>
      <c r="AF863">
        <v>0</v>
      </c>
      <c r="AG863">
        <v>0</v>
      </c>
      <c r="AH863" s="86">
        <f>AVERAGEIFS($C$2:C863, $B$2:B863, B863)</f>
        <v>16.142857142857142</v>
      </c>
      <c r="AI863" s="86">
        <f>AVERAGEIFS($I$2:I863, $B$2:B863, B863)</f>
        <v>0.62142857142857133</v>
      </c>
      <c r="AJ863" s="86">
        <f>AVERAGEIFS($J$2:J863, $B$2:B863, B863)</f>
        <v>0.5971428571428572</v>
      </c>
      <c r="AK863" s="86">
        <f>AVERAGEIFS($D$2:D863, $B$2:B863, B863)</f>
        <v>0.5714285714285714</v>
      </c>
    </row>
    <row r="864" spans="1:37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1</v>
      </c>
      <c r="AD864">
        <v>0</v>
      </c>
      <c r="AE864">
        <v>0</v>
      </c>
      <c r="AF864">
        <v>0</v>
      </c>
      <c r="AG864">
        <v>0</v>
      </c>
      <c r="AH864" s="86">
        <f>AVERAGEIFS($C$2:C864, $B$2:B864, B864)</f>
        <v>16.583333333333332</v>
      </c>
      <c r="AI864" s="86">
        <f>AVERAGEIFS($I$2:I864, $B$2:B864, B864)</f>
        <v>0.50972222222222219</v>
      </c>
      <c r="AJ864" s="86">
        <f>AVERAGEIFS($J$2:J864, $B$2:B864, B864)</f>
        <v>0.52527777777777773</v>
      </c>
      <c r="AK864" s="86">
        <f>AVERAGEIFS($D$2:D864, $B$2:B864, B864)</f>
        <v>0.61111111111111116</v>
      </c>
    </row>
    <row r="865" spans="1:37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1</v>
      </c>
      <c r="AD865">
        <v>0</v>
      </c>
      <c r="AE865">
        <v>0</v>
      </c>
      <c r="AF865">
        <v>0</v>
      </c>
      <c r="AG865">
        <v>0</v>
      </c>
      <c r="AH865" s="86">
        <f>AVERAGEIFS($C$2:C865, $B$2:B865, B865)</f>
        <v>5.5</v>
      </c>
      <c r="AI865" s="86">
        <f>AVERAGEIFS($I$2:I865, $B$2:B865, B865)</f>
        <v>0.375</v>
      </c>
      <c r="AJ865" s="86">
        <f>AVERAGEIFS($J$2:J865, $B$2:B865, B865)</f>
        <v>0.45499999999999996</v>
      </c>
      <c r="AK865" s="86">
        <f>AVERAGEIFS($D$2:D865, $B$2:B865, B865)</f>
        <v>0.5</v>
      </c>
    </row>
    <row r="866" spans="1:37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1</v>
      </c>
      <c r="AD866">
        <v>0</v>
      </c>
      <c r="AE866">
        <v>0</v>
      </c>
      <c r="AF866">
        <v>0</v>
      </c>
      <c r="AG866">
        <v>1</v>
      </c>
      <c r="AH866" s="86">
        <f>AVERAGEIFS($C$2:C866, $B$2:B866, B866)</f>
        <v>21.844827586206897</v>
      </c>
      <c r="AI866" s="86">
        <f>AVERAGEIFS($I$2:I866, $B$2:B866, B866)</f>
        <v>0.52293103448275868</v>
      </c>
      <c r="AJ866" s="86">
        <f>AVERAGEIFS($J$2:J866, $B$2:B866, B866)</f>
        <v>0.52051724137931032</v>
      </c>
      <c r="AK866" s="86">
        <f>AVERAGEIFS($D$2:D866, $B$2:B866, B866)</f>
        <v>0.58620689655172409</v>
      </c>
    </row>
    <row r="867" spans="1:37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1</v>
      </c>
      <c r="AH867" s="86">
        <f>AVERAGEIFS($C$2:C867, $B$2:B867, B867)</f>
        <v>25.866666666666667</v>
      </c>
      <c r="AI867" s="86">
        <f>AVERAGEIFS($I$2:I867, $B$2:B867, B867)</f>
        <v>0.47833333333333339</v>
      </c>
      <c r="AJ867" s="86">
        <f>AVERAGEIFS($J$2:J867, $B$2:B867, B867)</f>
        <v>0.49000000000000005</v>
      </c>
      <c r="AK867" s="86">
        <f>AVERAGEIFS($D$2:D867, $B$2:B867, B867)</f>
        <v>0.5</v>
      </c>
    </row>
    <row r="868" spans="1:37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1</v>
      </c>
      <c r="AH868" s="86">
        <f>AVERAGEIFS($C$2:C868, $B$2:B868, B868)</f>
        <v>16.162162162162161</v>
      </c>
      <c r="AI868" s="86">
        <f>AVERAGEIFS($I$2:I868, $B$2:B868, B868)</f>
        <v>0.5243243243243243</v>
      </c>
      <c r="AJ868" s="86">
        <f>AVERAGEIFS($J$2:J868, $B$2:B868, B868)</f>
        <v>0.52162162162162162</v>
      </c>
      <c r="AK868" s="86">
        <f>AVERAGEIFS($D$2:D868, $B$2:B868, B868)</f>
        <v>0.56756756756756754</v>
      </c>
    </row>
    <row r="869" spans="1:37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1</v>
      </c>
      <c r="AH869" s="86">
        <f>AVERAGEIFS($C$2:C869, $B$2:B869, B869)</f>
        <v>17.303030303030305</v>
      </c>
      <c r="AI869" s="86">
        <f>AVERAGEIFS($I$2:I869, $B$2:B869, B869)</f>
        <v>0.58484848484848484</v>
      </c>
      <c r="AJ869" s="86">
        <f>AVERAGEIFS($J$2:J869, $B$2:B869, B869)</f>
        <v>0.53787878787878796</v>
      </c>
      <c r="AK869" s="86">
        <f>AVERAGEIFS($D$2:D869, $B$2:B869, B869)</f>
        <v>0.5757575757575758</v>
      </c>
    </row>
    <row r="870" spans="1:37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1</v>
      </c>
      <c r="AH870" s="86">
        <f>AVERAGEIFS($C$2:C870, $B$2:B870, B870)</f>
        <v>16.351351351351351</v>
      </c>
      <c r="AI870" s="86">
        <f>AVERAGEIFS($I$2:I870, $B$2:B870, B870)</f>
        <v>0.52297297297297296</v>
      </c>
      <c r="AJ870" s="86">
        <f>AVERAGEIFS($J$2:J870, $B$2:B870, B870)</f>
        <v>0.53810810810810816</v>
      </c>
      <c r="AK870" s="86">
        <f>AVERAGEIFS($D$2:D870, $B$2:B870, B870)</f>
        <v>0.6216216216216216</v>
      </c>
    </row>
    <row r="871" spans="1:37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1</v>
      </c>
      <c r="AH871" s="86">
        <f>AVERAGEIFS($C$2:C871, $B$2:B871, B871)</f>
        <v>10.538461538461538</v>
      </c>
      <c r="AI871" s="86">
        <f>AVERAGEIFS($I$2:I871, $B$2:B871, B871)</f>
        <v>0.46358974358974364</v>
      </c>
      <c r="AJ871" s="86">
        <f>AVERAGEIFS($J$2:J871, $B$2:B871, B871)</f>
        <v>0.48820512820512818</v>
      </c>
      <c r="AK871" s="86">
        <f>AVERAGEIFS($D$2:D871, $B$2:B871, B871)</f>
        <v>0.4358974358974359</v>
      </c>
    </row>
    <row r="872" spans="1:37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 s="86">
        <f>AVERAGEIFS($C$2:C872, $B$2:B872, B872)</f>
        <v>18.657894736842106</v>
      </c>
      <c r="AI872" s="86">
        <f>AVERAGEIFS($I$2:I872, $B$2:B872, B872)</f>
        <v>0.42763157894736842</v>
      </c>
      <c r="AJ872" s="86">
        <f>AVERAGEIFS($J$2:J872, $B$2:B872, B872)</f>
        <v>0.43921052631578944</v>
      </c>
      <c r="AK872" s="86">
        <f>AVERAGEIFS($D$2:D872, $B$2:B872, B872)</f>
        <v>0.42105263157894735</v>
      </c>
    </row>
    <row r="873" spans="1:37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86">
        <f>AVERAGEIFS($C$2:C873, $B$2:B873, B873)</f>
        <v>23.481481481481481</v>
      </c>
      <c r="AI873" s="86">
        <f>AVERAGEIFS($I$2:I873, $B$2:B873, B873)</f>
        <v>0.54203703703703709</v>
      </c>
      <c r="AJ873" s="86">
        <f>AVERAGEIFS($J$2:J873, $B$2:B873, B873)</f>
        <v>0.51314814814814813</v>
      </c>
      <c r="AK873" s="86">
        <f>AVERAGEIFS($D$2:D873, $B$2:B873, B873)</f>
        <v>0.55555555555555558</v>
      </c>
    </row>
    <row r="874" spans="1:37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86">
        <f>AVERAGEIFS($C$2:C874, $B$2:B874, B874)</f>
        <v>17.96551724137931</v>
      </c>
      <c r="AI874" s="86">
        <f>AVERAGEIFS($I$2:I874, $B$2:B874, B874)</f>
        <v>0.39310344827586202</v>
      </c>
      <c r="AJ874" s="86">
        <f>AVERAGEIFS($J$2:J874, $B$2:B874, B874)</f>
        <v>0.43551724137931036</v>
      </c>
      <c r="AK874" s="86">
        <f>AVERAGEIFS($D$2:D874, $B$2:B874, B874)</f>
        <v>0.34482758620689657</v>
      </c>
    </row>
    <row r="875" spans="1:37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86">
        <f>AVERAGEIFS($C$2:C875, $B$2:B875, B875)</f>
        <v>16.899999999999999</v>
      </c>
      <c r="AI875" s="86">
        <f>AVERAGEIFS($I$2:I875, $B$2:B875, B875)</f>
        <v>0.45599999999999996</v>
      </c>
      <c r="AJ875" s="86">
        <f>AVERAGEIFS($J$2:J875, $B$2:B875, B875)</f>
        <v>0.48699999999999999</v>
      </c>
      <c r="AK875" s="86">
        <f>AVERAGEIFS($D$2:D875, $B$2:B875, B875)</f>
        <v>0.45</v>
      </c>
    </row>
    <row r="876" spans="1:37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86">
        <f>AVERAGEIFS($C$2:C876, $B$2:B876, B876)</f>
        <v>23.457142857142856</v>
      </c>
      <c r="AI876" s="86">
        <f>AVERAGEIFS($I$2:I876, $B$2:B876, B876)</f>
        <v>0.54942857142857138</v>
      </c>
      <c r="AJ876" s="86">
        <f>AVERAGEIFS($J$2:J876, $B$2:B876, B876)</f>
        <v>0.54371428571428571</v>
      </c>
      <c r="AK876" s="86">
        <f>AVERAGEIFS($D$2:D876, $B$2:B876, B876)</f>
        <v>0.54285714285714282</v>
      </c>
    </row>
    <row r="877" spans="1:37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86">
        <f>AVERAGEIFS($C$2:C877, $B$2:B877, B877)</f>
        <v>19.875</v>
      </c>
      <c r="AI877" s="86">
        <f>AVERAGEIFS($I$2:I877, $B$2:B877, B877)</f>
        <v>0.52249999999999996</v>
      </c>
      <c r="AJ877" s="86">
        <f>AVERAGEIFS($J$2:J877, $B$2:B877, B877)</f>
        <v>0.49156250000000007</v>
      </c>
      <c r="AK877" s="86">
        <f>AVERAGEIFS($D$2:D877, $B$2:B877, B877)</f>
        <v>0.53125</v>
      </c>
    </row>
    <row r="878" spans="1:37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1</v>
      </c>
      <c r="AD878">
        <v>0</v>
      </c>
      <c r="AE878">
        <v>1</v>
      </c>
      <c r="AF878">
        <v>0</v>
      </c>
      <c r="AG878">
        <v>1</v>
      </c>
      <c r="AH878" s="86">
        <f>AVERAGEIFS($C$2:C878, $B$2:B878, B878)</f>
        <v>25.838709677419356</v>
      </c>
      <c r="AI878" s="86">
        <f>AVERAGEIFS($I$2:I878, $B$2:B878, B878)</f>
        <v>0.48709677419354841</v>
      </c>
      <c r="AJ878" s="86">
        <f>AVERAGEIFS($J$2:J878, $B$2:B878, B878)</f>
        <v>0.49451612903225811</v>
      </c>
      <c r="AK878" s="86">
        <f>AVERAGEIFS($D$2:D878, $B$2:B878, B878)</f>
        <v>0.5161290322580645</v>
      </c>
    </row>
    <row r="879" spans="1:37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1</v>
      </c>
      <c r="AD879">
        <v>0</v>
      </c>
      <c r="AE879">
        <v>1</v>
      </c>
      <c r="AF879">
        <v>0</v>
      </c>
      <c r="AG879">
        <v>1</v>
      </c>
      <c r="AH879" s="86">
        <f>AVERAGEIFS($C$2:C879, $B$2:B879, B879)</f>
        <v>23.361111111111111</v>
      </c>
      <c r="AI879" s="86">
        <f>AVERAGEIFS($I$2:I879, $B$2:B879, B879)</f>
        <v>0.55499999999999994</v>
      </c>
      <c r="AJ879" s="86">
        <f>AVERAGEIFS($J$2:J879, $B$2:B879, B879)</f>
        <v>0.5461111111111111</v>
      </c>
      <c r="AK879" s="86">
        <f>AVERAGEIFS($D$2:D879, $B$2:B879, B879)</f>
        <v>0.55555555555555558</v>
      </c>
    </row>
    <row r="880" spans="1:37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1</v>
      </c>
      <c r="AD880">
        <v>0</v>
      </c>
      <c r="AE880">
        <v>1</v>
      </c>
      <c r="AF880">
        <v>0</v>
      </c>
      <c r="AG880">
        <v>1</v>
      </c>
      <c r="AH880" s="86">
        <f>AVERAGEIFS($C$2:C880, $B$2:B880, B880)</f>
        <v>16.133333333333333</v>
      </c>
      <c r="AI880" s="86">
        <f>AVERAGEIFS($I$2:I880, $B$2:B880, B880)</f>
        <v>0.63</v>
      </c>
      <c r="AJ880" s="86">
        <f>AVERAGEIFS($J$2:J880, $B$2:B880, B880)</f>
        <v>0.5993333333333335</v>
      </c>
      <c r="AK880" s="86">
        <f>AVERAGEIFS($D$2:D880, $B$2:B880, B880)</f>
        <v>0.6</v>
      </c>
    </row>
    <row r="881" spans="1:37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1</v>
      </c>
      <c r="AD881">
        <v>0</v>
      </c>
      <c r="AE881">
        <v>1</v>
      </c>
      <c r="AF881">
        <v>0</v>
      </c>
      <c r="AG881">
        <v>1</v>
      </c>
      <c r="AH881" s="86">
        <f>AVERAGEIFS($C$2:C881, $B$2:B881, B881)</f>
        <v>16.289473684210527</v>
      </c>
      <c r="AI881" s="86">
        <f>AVERAGEIFS($I$2:I881, $B$2:B881, B881)</f>
        <v>0.52894736842105261</v>
      </c>
      <c r="AJ881" s="86">
        <f>AVERAGEIFS($J$2:J881, $B$2:B881, B881)</f>
        <v>0.54052631578947363</v>
      </c>
      <c r="AK881" s="86">
        <f>AVERAGEIFS($D$2:D881, $B$2:B881, B881)</f>
        <v>0.63157894736842102</v>
      </c>
    </row>
    <row r="882" spans="1:37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1</v>
      </c>
      <c r="AD882">
        <v>0</v>
      </c>
      <c r="AE882">
        <v>1</v>
      </c>
      <c r="AF882">
        <v>0</v>
      </c>
      <c r="AG882">
        <v>1</v>
      </c>
      <c r="AH882" s="86">
        <f>AVERAGEIFS($C$2:C882, $B$2:B882, B882)</f>
        <v>12.111111111111111</v>
      </c>
      <c r="AI882" s="86">
        <f>AVERAGEIFS($I$2:I882, $B$2:B882, B882)</f>
        <v>0.43888888888888888</v>
      </c>
      <c r="AJ882" s="86">
        <f>AVERAGEIFS($J$2:J882, $B$2:B882, B882)</f>
        <v>0.50555555555555565</v>
      </c>
      <c r="AK882" s="86">
        <f>AVERAGEIFS($D$2:D882, $B$2:B882, B882)</f>
        <v>0.55555555555555558</v>
      </c>
    </row>
    <row r="883" spans="1:37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1</v>
      </c>
      <c r="AD883">
        <v>0</v>
      </c>
      <c r="AE883">
        <v>1</v>
      </c>
      <c r="AF883">
        <v>0</v>
      </c>
      <c r="AG883">
        <v>1</v>
      </c>
      <c r="AH883" s="86">
        <f>AVERAGEIFS($C$2:C883, $B$2:B883, B883)</f>
        <v>18.435897435897434</v>
      </c>
      <c r="AI883" s="86">
        <f>AVERAGEIFS($I$2:I883, $B$2:B883, B883)</f>
        <v>0.4358974358974359</v>
      </c>
      <c r="AJ883" s="86">
        <f>AVERAGEIFS($J$2:J883, $B$2:B883, B883)</f>
        <v>0.44410256410256405</v>
      </c>
      <c r="AK883" s="86">
        <f>AVERAGEIFS($D$2:D883, $B$2:B883, B883)</f>
        <v>0.4358974358974359</v>
      </c>
    </row>
    <row r="884" spans="1:37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1</v>
      </c>
      <c r="AE884">
        <v>0</v>
      </c>
      <c r="AF884">
        <v>0</v>
      </c>
      <c r="AG884">
        <v>0</v>
      </c>
      <c r="AH884" s="86">
        <f>AVERAGEIFS($C$2:C884, $B$2:B884, B884)</f>
        <v>21.864406779661017</v>
      </c>
      <c r="AI884" s="86">
        <f>AVERAGEIFS($I$2:I884, $B$2:B884, B884)</f>
        <v>0.51830508474576276</v>
      </c>
      <c r="AJ884" s="86">
        <f>AVERAGEIFS($J$2:J884, $B$2:B884, B884)</f>
        <v>0.51813559322033897</v>
      </c>
      <c r="AK884" s="86">
        <f>AVERAGEIFS($D$2:D884, $B$2:B884, B884)</f>
        <v>0.57627118644067798</v>
      </c>
    </row>
    <row r="885" spans="1:37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1</v>
      </c>
      <c r="AE885">
        <v>0</v>
      </c>
      <c r="AF885">
        <v>0</v>
      </c>
      <c r="AG885">
        <v>0</v>
      </c>
      <c r="AH885" s="86">
        <f>AVERAGEIFS($C$2:C885, $B$2:B885, B885)</f>
        <v>19.391304347826086</v>
      </c>
      <c r="AI885" s="86">
        <f>AVERAGEIFS($I$2:I885, $B$2:B885, B885)</f>
        <v>0.61173913043478256</v>
      </c>
      <c r="AJ885" s="86">
        <f>AVERAGEIFS($J$2:J885, $B$2:B885, B885)</f>
        <v>0.55652173913043479</v>
      </c>
      <c r="AK885" s="86">
        <f>AVERAGEIFS($D$2:D885, $B$2:B885, B885)</f>
        <v>0.73913043478260865</v>
      </c>
    </row>
    <row r="886" spans="1:37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1</v>
      </c>
      <c r="AE886">
        <v>0</v>
      </c>
      <c r="AF886">
        <v>0</v>
      </c>
      <c r="AG886">
        <v>0</v>
      </c>
      <c r="AH886" s="86">
        <f>AVERAGEIFS($C$2:C886, $B$2:B886, B886)</f>
        <v>19.757575757575758</v>
      </c>
      <c r="AI886" s="86">
        <f>AVERAGEIFS($I$2:I886, $B$2:B886, B886)</f>
        <v>0.51424242424242417</v>
      </c>
      <c r="AJ886" s="86">
        <f>AVERAGEIFS($J$2:J886, $B$2:B886, B886)</f>
        <v>0.48818181818181827</v>
      </c>
      <c r="AK886" s="86">
        <f>AVERAGEIFS($D$2:D886, $B$2:B886, B886)</f>
        <v>0.51515151515151514</v>
      </c>
    </row>
    <row r="887" spans="1:37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1</v>
      </c>
      <c r="AE887">
        <v>0</v>
      </c>
      <c r="AF887">
        <v>0</v>
      </c>
      <c r="AG887">
        <v>0</v>
      </c>
      <c r="AH887" s="86">
        <f>AVERAGEIFS($C$2:C887, $B$2:B887, B887)</f>
        <v>18.267857142857142</v>
      </c>
      <c r="AI887" s="86">
        <f>AVERAGEIFS($I$2:I887, $B$2:B887, B887)</f>
        <v>0.48928571428571416</v>
      </c>
      <c r="AJ887" s="86">
        <f>AVERAGEIFS($J$2:J887, $B$2:B887, B887)</f>
        <v>0.48500000000000004</v>
      </c>
      <c r="AK887" s="86">
        <f>AVERAGEIFS($D$2:D887, $B$2:B887, B887)</f>
        <v>0.42857142857142855</v>
      </c>
    </row>
    <row r="888" spans="1:37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1</v>
      </c>
      <c r="AE888">
        <v>0</v>
      </c>
      <c r="AF888">
        <v>0</v>
      </c>
      <c r="AG888">
        <v>0</v>
      </c>
      <c r="AH888" s="86">
        <f>AVERAGEIFS($C$2:C888, $B$2:B888, B888)</f>
        <v>16.026315789473685</v>
      </c>
      <c r="AI888" s="86">
        <f>AVERAGEIFS($I$2:I888, $B$2:B888, B888)</f>
        <v>0.51710526315789473</v>
      </c>
      <c r="AJ888" s="86">
        <f>AVERAGEIFS($J$2:J888, $B$2:B888, B888)</f>
        <v>0.5178947368421053</v>
      </c>
      <c r="AK888" s="86">
        <f>AVERAGEIFS($D$2:D888, $B$2:B888, B888)</f>
        <v>0.55263157894736847</v>
      </c>
    </row>
    <row r="889" spans="1:37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1</v>
      </c>
      <c r="AE889">
        <v>0</v>
      </c>
      <c r="AF889">
        <v>0</v>
      </c>
      <c r="AG889">
        <v>0</v>
      </c>
      <c r="AH889" s="86">
        <f>AVERAGEIFS($C$2:C889, $B$2:B889, B889)</f>
        <v>10.475</v>
      </c>
      <c r="AI889" s="86">
        <f>AVERAGEIFS($I$2:I889, $B$2:B889, B889)</f>
        <v>0.45825000000000005</v>
      </c>
      <c r="AJ889" s="86">
        <f>AVERAGEIFS($J$2:J889, $B$2:B889, B889)</f>
        <v>0.48549999999999993</v>
      </c>
      <c r="AK889" s="86">
        <f>AVERAGEIFS($D$2:D889, $B$2:B889, B889)</f>
        <v>0.42499999999999999</v>
      </c>
    </row>
    <row r="890" spans="1:37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 s="86">
        <f>AVERAGEIFS($C$2:C890, $B$2:B890, B890)</f>
        <v>16.179487179487179</v>
      </c>
      <c r="AI890" s="86">
        <f>AVERAGEIFS($I$2:I890, $B$2:B890, B890)</f>
        <v>0.5346153846153846</v>
      </c>
      <c r="AJ890" s="86">
        <f>AVERAGEIFS($J$2:J890, $B$2:B890, B890)</f>
        <v>0.54102564102564099</v>
      </c>
      <c r="AK890" s="86">
        <f>AVERAGEIFS($D$2:D890, $B$2:B890, B890)</f>
        <v>0.64102564102564108</v>
      </c>
    </row>
    <row r="891" spans="1:37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 s="86">
        <f>AVERAGEIFS($C$2:C891, $B$2:B891, B891)</f>
        <v>25.84375</v>
      </c>
      <c r="AI891" s="86">
        <f>AVERAGEIFS($I$2:I891, $B$2:B891, B891)</f>
        <v>0.49531250000000004</v>
      </c>
      <c r="AJ891" s="86">
        <f>AVERAGEIFS($J$2:J891, $B$2:B891, B891)</f>
        <v>0.49656250000000007</v>
      </c>
      <c r="AK891" s="86">
        <f>AVERAGEIFS($D$2:D891, $B$2:B891, B891)</f>
        <v>0.53125</v>
      </c>
    </row>
    <row r="892" spans="1:37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 s="86">
        <f>AVERAGEIFS($C$2:C892, $B$2:B892, B892)</f>
        <v>19.291666666666668</v>
      </c>
      <c r="AI892" s="86">
        <f>AVERAGEIFS($I$2:I892, $B$2:B892, B892)</f>
        <v>0.61749999999999994</v>
      </c>
      <c r="AJ892" s="86">
        <f>AVERAGEIFS($J$2:J892, $B$2:B892, B892)</f>
        <v>0.55666666666666675</v>
      </c>
      <c r="AK892" s="86">
        <f>AVERAGEIFS($D$2:D892, $B$2:B892, B892)</f>
        <v>0.75</v>
      </c>
    </row>
    <row r="893" spans="1:37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 s="86">
        <f>AVERAGEIFS($C$2:C893, $B$2:B893, B893)</f>
        <v>16.625</v>
      </c>
      <c r="AI893" s="86">
        <f>AVERAGEIFS($I$2:I893, $B$2:B893, B893)</f>
        <v>0.63749999999999996</v>
      </c>
      <c r="AJ893" s="86">
        <f>AVERAGEIFS($J$2:J893, $B$2:B893, B893)</f>
        <v>0.59687500000000016</v>
      </c>
      <c r="AK893" s="86">
        <f>AVERAGEIFS($D$2:D893, $B$2:B893, B893)</f>
        <v>0.625</v>
      </c>
    </row>
    <row r="894" spans="1:37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 s="86">
        <f>AVERAGEIFS($C$2:C894, $B$2:B894, B894)</f>
        <v>15.948717948717949</v>
      </c>
      <c r="AI894" s="86">
        <f>AVERAGEIFS($I$2:I894, $B$2:B894, B894)</f>
        <v>0.52307692307692299</v>
      </c>
      <c r="AJ894" s="86">
        <f>AVERAGEIFS($J$2:J894, $B$2:B894, B894)</f>
        <v>0.51897435897435895</v>
      </c>
      <c r="AK894" s="86">
        <f>AVERAGEIFS($D$2:D894, $B$2:B894, B894)</f>
        <v>0.5641025641025641</v>
      </c>
    </row>
    <row r="895" spans="1:37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 s="86">
        <f>AVERAGEIFS($C$2:C895, $B$2:B895, B895)</f>
        <v>5</v>
      </c>
      <c r="AI895" s="86">
        <f>AVERAGEIFS($I$2:I895, $B$2:B895, B895)</f>
        <v>0.7</v>
      </c>
      <c r="AJ895" s="86">
        <f>AVERAGEIFS($J$2:J895, $B$2:B895, B895)</f>
        <v>0.56399999999999995</v>
      </c>
      <c r="AK895" s="86">
        <f>AVERAGEIFS($D$2:D895, $B$2:B895, B895)</f>
        <v>0.8</v>
      </c>
    </row>
    <row r="896" spans="1:37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1</v>
      </c>
      <c r="AD896">
        <v>0</v>
      </c>
      <c r="AE896">
        <v>0</v>
      </c>
      <c r="AF896">
        <v>0</v>
      </c>
      <c r="AG896">
        <v>0</v>
      </c>
      <c r="AH896" s="86">
        <f>AVERAGEIFS($C$2:C896, $B$2:B896, B896)</f>
        <v>24.666666666666668</v>
      </c>
      <c r="AI896" s="86">
        <f>AVERAGEIFS($I$2:I896, $B$2:B896, B896)</f>
        <v>0.43166666666666664</v>
      </c>
      <c r="AJ896" s="86">
        <f>AVERAGEIFS($J$2:J896, $B$2:B896, B896)</f>
        <v>0.45966666666666661</v>
      </c>
      <c r="AK896" s="86">
        <f>AVERAGEIFS($D$2:D896, $B$2:B896, B896)</f>
        <v>0.33333333333333331</v>
      </c>
    </row>
    <row r="897" spans="1:37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1</v>
      </c>
      <c r="AD897">
        <v>0</v>
      </c>
      <c r="AE897">
        <v>0</v>
      </c>
      <c r="AF897">
        <v>0</v>
      </c>
      <c r="AG897">
        <v>0</v>
      </c>
      <c r="AH897" s="86">
        <f>AVERAGEIFS($C$2:C897, $B$2:B897, B897)</f>
        <v>23</v>
      </c>
      <c r="AI897" s="86">
        <f>AVERAGEIFS($I$2:I897, $B$2:B897, B897)</f>
        <v>0.54675675675675672</v>
      </c>
      <c r="AJ897" s="86">
        <f>AVERAGEIFS($J$2:J897, $B$2:B897, B897)</f>
        <v>0.54324324324324325</v>
      </c>
      <c r="AK897" s="86">
        <f>AVERAGEIFS($D$2:D897, $B$2:B897, B897)</f>
        <v>0.54054054054054057</v>
      </c>
    </row>
    <row r="898" spans="1:37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1</v>
      </c>
      <c r="AD898">
        <v>0</v>
      </c>
      <c r="AE898">
        <v>0</v>
      </c>
      <c r="AF898">
        <v>0</v>
      </c>
      <c r="AG898">
        <v>0</v>
      </c>
      <c r="AH898" s="86">
        <f>AVERAGEIFS($C$2:C898, $B$2:B898, B898)</f>
        <v>17.588235294117649</v>
      </c>
      <c r="AI898" s="86">
        <f>AVERAGEIFS($I$2:I898, $B$2:B898, B898)</f>
        <v>0.57500000000000007</v>
      </c>
      <c r="AJ898" s="86">
        <f>AVERAGEIFS($J$2:J898, $B$2:B898, B898)</f>
        <v>0.53500000000000014</v>
      </c>
      <c r="AK898" s="86">
        <f>AVERAGEIFS($D$2:D898, $B$2:B898, B898)</f>
        <v>0.55882352941176472</v>
      </c>
    </row>
    <row r="899" spans="1:37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1</v>
      </c>
      <c r="AD899">
        <v>0</v>
      </c>
      <c r="AE899">
        <v>0</v>
      </c>
      <c r="AF899">
        <v>0</v>
      </c>
      <c r="AG899">
        <v>0</v>
      </c>
      <c r="AH899" s="86">
        <f>AVERAGEIFS($C$2:C899, $B$2:B899, B899)</f>
        <v>11.476190476190476</v>
      </c>
      <c r="AI899" s="86">
        <f>AVERAGEIFS($I$2:I899, $B$2:B899, B899)</f>
        <v>0.56428571428571428</v>
      </c>
      <c r="AJ899" s="86">
        <f>AVERAGEIFS($J$2:J899, $B$2:B899, B899)</f>
        <v>0.54095238095238085</v>
      </c>
      <c r="AK899" s="86">
        <f>AVERAGEIFS($D$2:D899, $B$2:B899, B899)</f>
        <v>0.52380952380952384</v>
      </c>
    </row>
    <row r="900" spans="1:37" x14ac:dyDescent="0.25">
      <c r="A900" s="85">
        <v>46130</v>
      </c>
      <c r="B900" t="s">
        <v>167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1</v>
      </c>
      <c r="AD900">
        <v>0</v>
      </c>
      <c r="AE900">
        <v>0</v>
      </c>
      <c r="AF900">
        <v>0</v>
      </c>
      <c r="AG900">
        <v>0</v>
      </c>
      <c r="AH900" s="86">
        <f>AVERAGEIFS($C$2:C900, $B$2:B900, B900)</f>
        <v>10</v>
      </c>
      <c r="AI900" s="86">
        <f>AVERAGEIFS($I$2:I900, $B$2:B900, B900)</f>
        <v>0.46666666666666662</v>
      </c>
      <c r="AJ900" s="86">
        <f>AVERAGEIFS($J$2:J900, $B$2:B900, B900)</f>
        <v>0.48333333333333334</v>
      </c>
      <c r="AK900" s="86">
        <f>AVERAGEIFS($D$2:D900, $B$2:B900, B900)</f>
        <v>0.33333333333333331</v>
      </c>
    </row>
    <row r="901" spans="1:37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1</v>
      </c>
      <c r="AD901">
        <v>0</v>
      </c>
      <c r="AE901">
        <v>0</v>
      </c>
      <c r="AF901">
        <v>0</v>
      </c>
      <c r="AG901">
        <v>0</v>
      </c>
      <c r="AH901" s="86">
        <f>AVERAGEIFS($C$2:C901, $B$2:B901, B901)</f>
        <v>14.72</v>
      </c>
      <c r="AI901" s="86">
        <f>AVERAGEIFS($I$2:I901, $B$2:B901, B901)</f>
        <v>0.49400000000000005</v>
      </c>
      <c r="AJ901" s="86">
        <f>AVERAGEIFS($J$2:J901, $B$2:B901, B901)</f>
        <v>0.49480000000000002</v>
      </c>
      <c r="AK901" s="86">
        <f>AVERAGEIFS($D$2:D901, $B$2:B901, B901)</f>
        <v>0.4</v>
      </c>
    </row>
    <row r="902" spans="1:37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0</v>
      </c>
      <c r="AE902">
        <v>1</v>
      </c>
      <c r="AF902">
        <v>0</v>
      </c>
      <c r="AG902">
        <v>1</v>
      </c>
      <c r="AH902" s="86">
        <f>AVERAGEIFS($C$2:C902, $B$2:B902, B902)</f>
        <v>26.545454545454547</v>
      </c>
      <c r="AI902" s="86">
        <f>AVERAGEIFS($I$2:I902, $B$2:B902, B902)</f>
        <v>0.49848484848484859</v>
      </c>
      <c r="AJ902" s="86">
        <f>AVERAGEIFS($J$2:J902, $B$2:B902, B902)</f>
        <v>0.49727272727272737</v>
      </c>
      <c r="AK902" s="86">
        <f>AVERAGEIFS($D$2:D902, $B$2:B902, B902)</f>
        <v>0.54545454545454541</v>
      </c>
    </row>
    <row r="903" spans="1:37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0</v>
      </c>
      <c r="AE903">
        <v>1</v>
      </c>
      <c r="AF903">
        <v>0</v>
      </c>
      <c r="AG903">
        <v>1</v>
      </c>
      <c r="AH903" s="86">
        <f>AVERAGEIFS($C$2:C903, $B$2:B903, B903)</f>
        <v>18.508771929824562</v>
      </c>
      <c r="AI903" s="86">
        <f>AVERAGEIFS($I$2:I903, $B$2:B903, B903)</f>
        <v>0.49122807017543846</v>
      </c>
      <c r="AJ903" s="86">
        <f>AVERAGEIFS($J$2:J903, $B$2:B903, B903)</f>
        <v>0.48561403508771933</v>
      </c>
      <c r="AK903" s="86">
        <f>AVERAGEIFS($D$2:D903, $B$2:B903, B903)</f>
        <v>0.43859649122807015</v>
      </c>
    </row>
    <row r="904" spans="1:37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0</v>
      </c>
      <c r="AE904">
        <v>1</v>
      </c>
      <c r="AF904">
        <v>0</v>
      </c>
      <c r="AG904">
        <v>1</v>
      </c>
      <c r="AH904" s="86">
        <f>AVERAGEIFS($C$2:C904, $B$2:B904, B904)</f>
        <v>16.375</v>
      </c>
      <c r="AI904" s="86">
        <f>AVERAGEIFS($I$2:I904, $B$2:B904, B904)</f>
        <v>0.53625</v>
      </c>
      <c r="AJ904" s="86">
        <f>AVERAGEIFS($J$2:J904, $B$2:B904, B904)</f>
        <v>0.54049999999999998</v>
      </c>
      <c r="AK904" s="86">
        <f>AVERAGEIFS($D$2:D904, $B$2:B904, B904)</f>
        <v>0.65</v>
      </c>
    </row>
    <row r="905" spans="1:37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0</v>
      </c>
      <c r="AE905">
        <v>1</v>
      </c>
      <c r="AF905">
        <v>0</v>
      </c>
      <c r="AG905">
        <v>1</v>
      </c>
      <c r="AH905" s="86">
        <f>AVERAGEIFS($C$2:C905, $B$2:B905, B905)</f>
        <v>16.100000000000001</v>
      </c>
      <c r="AI905" s="86">
        <f>AVERAGEIFS($I$2:I905, $B$2:B905, B905)</f>
        <v>0.52500000000000002</v>
      </c>
      <c r="AJ905" s="86">
        <f>AVERAGEIFS($J$2:J905, $B$2:B905, B905)</f>
        <v>0.51899999999999991</v>
      </c>
      <c r="AK905" s="86">
        <f>AVERAGEIFS($D$2:D905, $B$2:B905, B905)</f>
        <v>0.57499999999999996</v>
      </c>
    </row>
    <row r="906" spans="1:37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0</v>
      </c>
      <c r="AE906">
        <v>1</v>
      </c>
      <c r="AF906">
        <v>0</v>
      </c>
      <c r="AG906">
        <v>1</v>
      </c>
      <c r="AH906" s="86">
        <f>AVERAGEIFS($C$2:C906, $B$2:B906, B906)</f>
        <v>12.8</v>
      </c>
      <c r="AI906" s="86">
        <f>AVERAGEIFS($I$2:I906, $B$2:B906, B906)</f>
        <v>0.45499999999999996</v>
      </c>
      <c r="AJ906" s="86">
        <f>AVERAGEIFS($J$2:J906, $B$2:B906, B906)</f>
        <v>0.50700000000000001</v>
      </c>
      <c r="AK906" s="86">
        <f>AVERAGEIFS($D$2:D906, $B$2:B906, B906)</f>
        <v>0.6</v>
      </c>
    </row>
    <row r="907" spans="1:37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0</v>
      </c>
      <c r="AE907">
        <v>1</v>
      </c>
      <c r="AF907">
        <v>0</v>
      </c>
      <c r="AG907">
        <v>1</v>
      </c>
      <c r="AH907" s="86">
        <f>AVERAGEIFS($C$2:C907, $B$2:B907, B907)</f>
        <v>6.333333333333333</v>
      </c>
      <c r="AI907" s="86">
        <f>AVERAGEIFS($I$2:I907, $B$2:B907, B907)</f>
        <v>0.45</v>
      </c>
      <c r="AJ907" s="86">
        <f>AVERAGEIFS($J$2:J907, $B$2:B907, B907)</f>
        <v>0.47666666666666663</v>
      </c>
      <c r="AK907" s="86">
        <f>AVERAGEIFS($D$2:D907, $B$2:B907, B907)</f>
        <v>0.66666666666666663</v>
      </c>
    </row>
    <row r="908" spans="1:37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1</v>
      </c>
      <c r="AD908">
        <v>0</v>
      </c>
      <c r="AE908">
        <v>0</v>
      </c>
      <c r="AF908">
        <v>0</v>
      </c>
      <c r="AG908">
        <v>0</v>
      </c>
      <c r="AH908" s="86">
        <f>AVERAGEIFS($C$2:C908, $B$2:B908, B908)</f>
        <v>20</v>
      </c>
      <c r="AI908" s="86">
        <f>AVERAGEIFS($I$2:I908, $B$2:B908, B908)</f>
        <v>0.60880000000000001</v>
      </c>
      <c r="AJ908" s="86">
        <f>AVERAGEIFS($J$2:J908, $B$2:B908, B908)</f>
        <v>0.55360000000000009</v>
      </c>
      <c r="AK908" s="86">
        <f>AVERAGEIFS($D$2:D908, $B$2:B908, B908)</f>
        <v>0.72</v>
      </c>
    </row>
    <row r="909" spans="1:37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1</v>
      </c>
      <c r="AD909">
        <v>0</v>
      </c>
      <c r="AE909">
        <v>0</v>
      </c>
      <c r="AF909">
        <v>0</v>
      </c>
      <c r="AG909">
        <v>0</v>
      </c>
      <c r="AH909" s="86">
        <f>AVERAGEIFS($C$2:C909, $B$2:B909, B909)</f>
        <v>24.967741935483872</v>
      </c>
      <c r="AI909" s="86">
        <f>AVERAGEIFS($I$2:I909, $B$2:B909, B909)</f>
        <v>0.43064516129032254</v>
      </c>
      <c r="AJ909" s="86">
        <f>AVERAGEIFS($J$2:J909, $B$2:B909, B909)</f>
        <v>0.46032258064516129</v>
      </c>
      <c r="AK909" s="86">
        <f>AVERAGEIFS($D$2:D909, $B$2:B909, B909)</f>
        <v>0.32258064516129031</v>
      </c>
    </row>
    <row r="910" spans="1:37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1</v>
      </c>
      <c r="AD910">
        <v>0</v>
      </c>
      <c r="AE910">
        <v>0</v>
      </c>
      <c r="AF910">
        <v>0</v>
      </c>
      <c r="AG910">
        <v>0</v>
      </c>
      <c r="AH910" s="86">
        <f>AVERAGEIFS($C$2:C910, $B$2:B910, B910)</f>
        <v>17.942857142857143</v>
      </c>
      <c r="AI910" s="86">
        <f>AVERAGEIFS($I$2:I910, $B$2:B910, B910)</f>
        <v>0.56999999999999995</v>
      </c>
      <c r="AJ910" s="86">
        <f>AVERAGEIFS($J$2:J910, $B$2:B910, B910)</f>
        <v>0.53342857142857159</v>
      </c>
      <c r="AK910" s="86">
        <f>AVERAGEIFS($D$2:D910, $B$2:B910, B910)</f>
        <v>0.54285714285714282</v>
      </c>
    </row>
    <row r="911" spans="1:37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1</v>
      </c>
      <c r="AD911">
        <v>0</v>
      </c>
      <c r="AE911">
        <v>0</v>
      </c>
      <c r="AF911">
        <v>0</v>
      </c>
      <c r="AG911">
        <v>0</v>
      </c>
      <c r="AH911" s="86">
        <f>AVERAGEIFS($C$2:C911, $B$2:B911, B911)</f>
        <v>12.045454545454545</v>
      </c>
      <c r="AI911" s="86">
        <f>AVERAGEIFS($I$2:I911, $B$2:B911, B911)</f>
        <v>0.55681818181818177</v>
      </c>
      <c r="AJ911" s="86">
        <f>AVERAGEIFS($J$2:J911, $B$2:B911, B911)</f>
        <v>0.53818181818181809</v>
      </c>
      <c r="AK911" s="86">
        <f>AVERAGEIFS($D$2:D911, $B$2:B911, B911)</f>
        <v>0.5</v>
      </c>
    </row>
    <row r="912" spans="1:37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1</v>
      </c>
      <c r="AD912">
        <v>0</v>
      </c>
      <c r="AE912">
        <v>0</v>
      </c>
      <c r="AF912">
        <v>0</v>
      </c>
      <c r="AG912">
        <v>0</v>
      </c>
      <c r="AH912" s="86">
        <f>AVERAGEIFS($C$2:C912, $B$2:B912, B912)</f>
        <v>12.62962962962963</v>
      </c>
      <c r="AI912" s="86">
        <f>AVERAGEIFS($I$2:I912, $B$2:B912, B912)</f>
        <v>0.45</v>
      </c>
      <c r="AJ912" s="86">
        <f>AVERAGEIFS($J$2:J912, $B$2:B912, B912)</f>
        <v>0.47</v>
      </c>
      <c r="AK912" s="86">
        <f>AVERAGEIFS($D$2:D912, $B$2:B912, B912)</f>
        <v>0.48148148148148145</v>
      </c>
    </row>
    <row r="913" spans="1:37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1</v>
      </c>
      <c r="AD913">
        <v>0</v>
      </c>
      <c r="AE913">
        <v>0</v>
      </c>
      <c r="AF913">
        <v>0</v>
      </c>
      <c r="AG913">
        <v>0</v>
      </c>
      <c r="AH913" s="86">
        <f>AVERAGEIFS($C$2:C913, $B$2:B913, B913)</f>
        <v>5.166666666666667</v>
      </c>
      <c r="AI913" s="86">
        <f>AVERAGEIFS($I$2:I913, $B$2:B913, B913)</f>
        <v>0.65</v>
      </c>
      <c r="AJ913" s="86">
        <f>AVERAGEIFS($J$2:J913, $B$2:B913, B913)</f>
        <v>0.54999999999999993</v>
      </c>
      <c r="AK913" s="86">
        <f>AVERAGEIFS($D$2:D913, $B$2:B913, B913)</f>
        <v>0.66666666666666663</v>
      </c>
    </row>
    <row r="914" spans="1:37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1</v>
      </c>
      <c r="AD914">
        <v>0</v>
      </c>
      <c r="AE914">
        <v>1</v>
      </c>
      <c r="AF914">
        <v>0</v>
      </c>
      <c r="AG914">
        <v>0</v>
      </c>
      <c r="AH914" s="86">
        <f>AVERAGEIFS($C$2:C914, $B$2:B914, B914)</f>
        <v>23.581818181818182</v>
      </c>
      <c r="AI914" s="86">
        <f>AVERAGEIFS($I$2:I914, $B$2:B914, B914)</f>
        <v>0.54309090909090918</v>
      </c>
      <c r="AJ914" s="86">
        <f>AVERAGEIFS($J$2:J914, $B$2:B914, B914)</f>
        <v>0.51436363636363625</v>
      </c>
      <c r="AK914" s="86">
        <f>AVERAGEIFS($D$2:D914, $B$2:B914, B914)</f>
        <v>0.5636363636363636</v>
      </c>
    </row>
    <row r="915" spans="1:37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1</v>
      </c>
      <c r="AD915">
        <v>0</v>
      </c>
      <c r="AE915">
        <v>1</v>
      </c>
      <c r="AF915">
        <v>0</v>
      </c>
      <c r="AG915">
        <v>0</v>
      </c>
      <c r="AH915" s="86">
        <f>AVERAGEIFS($C$2:C915, $B$2:B915, B915)</f>
        <v>25.03125</v>
      </c>
      <c r="AI915" s="86">
        <f>AVERAGEIFS($I$2:I915, $B$2:B915, B915)</f>
        <v>0.43593749999999998</v>
      </c>
      <c r="AJ915" s="86">
        <f>AVERAGEIFS($J$2:J915, $B$2:B915, B915)</f>
        <v>0.46406249999999999</v>
      </c>
      <c r="AK915" s="86">
        <f>AVERAGEIFS($D$2:D915, $B$2:B915, B915)</f>
        <v>0.34375</v>
      </c>
    </row>
    <row r="916" spans="1:37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1</v>
      </c>
      <c r="AD916">
        <v>0</v>
      </c>
      <c r="AE916">
        <v>1</v>
      </c>
      <c r="AF916">
        <v>0</v>
      </c>
      <c r="AG916">
        <v>0</v>
      </c>
      <c r="AH916" s="86">
        <f>AVERAGEIFS($C$2:C916, $B$2:B916, B916)</f>
        <v>18.5</v>
      </c>
      <c r="AI916" s="86">
        <f>AVERAGEIFS($I$2:I916, $B$2:B916, B916)</f>
        <v>0.44000000000000006</v>
      </c>
      <c r="AJ916" s="86">
        <f>AVERAGEIFS($J$2:J916, $B$2:B916, B916)</f>
        <v>0.4474999999999999</v>
      </c>
      <c r="AK916" s="86">
        <f>AVERAGEIFS($D$2:D916, $B$2:B916, B916)</f>
        <v>0.45</v>
      </c>
    </row>
    <row r="917" spans="1:37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1</v>
      </c>
      <c r="AD917">
        <v>0</v>
      </c>
      <c r="AE917">
        <v>1</v>
      </c>
      <c r="AF917">
        <v>0</v>
      </c>
      <c r="AG917">
        <v>0</v>
      </c>
      <c r="AH917" s="86">
        <f>AVERAGEIFS($C$2:C917, $B$2:B917, B917)</f>
        <v>19.794117647058822</v>
      </c>
      <c r="AI917" s="86">
        <f>AVERAGEIFS($I$2:I917, $B$2:B917, B917)</f>
        <v>0.5167647058823529</v>
      </c>
      <c r="AJ917" s="86">
        <f>AVERAGEIFS($J$2:J917, $B$2:B917, B917)</f>
        <v>0.49088235294117649</v>
      </c>
      <c r="AK917" s="86">
        <f>AVERAGEIFS($D$2:D917, $B$2:B917, B917)</f>
        <v>0.52941176470588236</v>
      </c>
    </row>
    <row r="918" spans="1:37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1</v>
      </c>
      <c r="AD918">
        <v>0</v>
      </c>
      <c r="AE918">
        <v>1</v>
      </c>
      <c r="AF918">
        <v>0</v>
      </c>
      <c r="AG918">
        <v>0</v>
      </c>
      <c r="AH918" s="86">
        <f>AVERAGEIFS($C$2:C918, $B$2:B918, B918)</f>
        <v>18.135135135135137</v>
      </c>
      <c r="AI918" s="86">
        <f>AVERAGEIFS($I$2:I918, $B$2:B918, B918)</f>
        <v>0.52243243243243254</v>
      </c>
      <c r="AJ918" s="86">
        <f>AVERAGEIFS($J$2:J918, $B$2:B918, B918)</f>
        <v>0.52054054054054044</v>
      </c>
      <c r="AK918" s="86">
        <f>AVERAGEIFS($D$2:D918, $B$2:B918, B918)</f>
        <v>0.54054054054054057</v>
      </c>
    </row>
    <row r="919" spans="1:37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1</v>
      </c>
      <c r="AD919">
        <v>0</v>
      </c>
      <c r="AE919">
        <v>1</v>
      </c>
      <c r="AF919">
        <v>0</v>
      </c>
      <c r="AG919">
        <v>0</v>
      </c>
      <c r="AH919" s="86">
        <f>AVERAGEIFS($C$2:C919, $B$2:B919, B919)</f>
        <v>16.048780487804876</v>
      </c>
      <c r="AI919" s="86">
        <f>AVERAGEIFS($I$2:I919, $B$2:B919, B919)</f>
        <v>0.52682926829268295</v>
      </c>
      <c r="AJ919" s="86">
        <f>AVERAGEIFS($J$2:J919, $B$2:B919, B919)</f>
        <v>0.52048780487804869</v>
      </c>
      <c r="AK919" s="86">
        <f>AVERAGEIFS($D$2:D919, $B$2:B919, B919)</f>
        <v>0.58536585365853655</v>
      </c>
    </row>
    <row r="920" spans="1:37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 s="86">
        <f>AVERAGEIFS($C$2:C920, $B$2:B920, B920)</f>
        <v>26.647058823529413</v>
      </c>
      <c r="AI920" s="86">
        <f>AVERAGEIFS($I$2:I920, $B$2:B920, B920)</f>
        <v>0.49558823529411766</v>
      </c>
      <c r="AJ920" s="86">
        <f>AVERAGEIFS($J$2:J920, $B$2:B920, B920)</f>
        <v>0.49500000000000016</v>
      </c>
      <c r="AK920" s="86">
        <f>AVERAGEIFS($D$2:D920, $B$2:B920, B920)</f>
        <v>0.52941176470588236</v>
      </c>
    </row>
    <row r="921" spans="1:37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 s="86">
        <f>AVERAGEIFS($C$2:C921, $B$2:B921, B921)</f>
        <v>20</v>
      </c>
      <c r="AI921" s="86">
        <f>AVERAGEIFS($I$2:I921, $B$2:B921, B921)</f>
        <v>0.60076923076923072</v>
      </c>
      <c r="AJ921" s="86">
        <f>AVERAGEIFS($J$2:J921, $B$2:B921, B921)</f>
        <v>0.54846153846153856</v>
      </c>
      <c r="AK921" s="86">
        <f>AVERAGEIFS($D$2:D921, $B$2:B921, B921)</f>
        <v>0.69230769230769229</v>
      </c>
    </row>
    <row r="922" spans="1:37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 s="86">
        <f>AVERAGEIFS($C$2:C922, $B$2:B922, B922)</f>
        <v>18.517241379310345</v>
      </c>
      <c r="AI922" s="86">
        <f>AVERAGEIFS($I$2:I922, $B$2:B922, B922)</f>
        <v>0.48965517241379297</v>
      </c>
      <c r="AJ922" s="86">
        <f>AVERAGEIFS($J$2:J922, $B$2:B922, B922)</f>
        <v>0.48448275862068974</v>
      </c>
      <c r="AK922" s="86">
        <f>AVERAGEIFS($D$2:D922, $B$2:B922, B922)</f>
        <v>0.43103448275862066</v>
      </c>
    </row>
    <row r="923" spans="1:37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 s="86">
        <f>AVERAGEIFS($C$2:C923, $B$2:B923, B923)</f>
        <v>16.414634146341463</v>
      </c>
      <c r="AI923" s="86">
        <f>AVERAGEIFS($I$2:I923, $B$2:B923, B923)</f>
        <v>0.5329268292682926</v>
      </c>
      <c r="AJ923" s="86">
        <f>AVERAGEIFS($J$2:J923, $B$2:B923, B923)</f>
        <v>0.53756097560975613</v>
      </c>
      <c r="AK923" s="86">
        <f>AVERAGEIFS($D$2:D923, $B$2:B923, B923)</f>
        <v>0.63414634146341464</v>
      </c>
    </row>
    <row r="924" spans="1:37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 s="86">
        <f>AVERAGEIFS($C$2:C924, $B$2:B924, B924)</f>
        <v>17.916666666666668</v>
      </c>
      <c r="AI924" s="86">
        <f>AVERAGEIFS($I$2:I924, $B$2:B924, B924)</f>
        <v>0.56527777777777777</v>
      </c>
      <c r="AJ924" s="86">
        <f>AVERAGEIFS($J$2:J924, $B$2:B924, B924)</f>
        <v>0.53027777777777796</v>
      </c>
      <c r="AK924" s="86">
        <f>AVERAGEIFS($D$2:D924, $B$2:B924, B924)</f>
        <v>0.52777777777777779</v>
      </c>
    </row>
    <row r="925" spans="1:37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 s="86">
        <f>AVERAGEIFS($C$2:C925, $B$2:B925, B925)</f>
        <v>11.869565217391305</v>
      </c>
      <c r="AI925" s="86">
        <f>AVERAGEIFS($I$2:I925, $B$2:B925, B925)</f>
        <v>0.55000000000000004</v>
      </c>
      <c r="AJ925" s="86">
        <f>AVERAGEIFS($J$2:J925, $B$2:B925, B925)</f>
        <v>0.53304347826086951</v>
      </c>
      <c r="AK925" s="86">
        <f>AVERAGEIFS($D$2:D925, $B$2:B925, B925)</f>
        <v>0.47826086956521741</v>
      </c>
    </row>
    <row r="926" spans="1:37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1</v>
      </c>
      <c r="AH926" s="86">
        <f>AVERAGEIFS($C$2:C926, $B$2:B926, B926)</f>
        <v>21.9</v>
      </c>
      <c r="AI926" s="86">
        <f>AVERAGEIFS($I$2:I926, $B$2:B926, B926)</f>
        <v>0.52216666666666667</v>
      </c>
      <c r="AJ926" s="86">
        <f>AVERAGEIFS($J$2:J926, $B$2:B926, B926)</f>
        <v>0.51883333333333337</v>
      </c>
      <c r="AK926" s="86">
        <f>AVERAGEIFS($D$2:D926, $B$2:B926, B926)</f>
        <v>0.58333333333333337</v>
      </c>
    </row>
    <row r="927" spans="1:37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1</v>
      </c>
      <c r="AH927" s="86">
        <f>AVERAGEIFS($C$2:C927, $B$2:B927, B927)</f>
        <v>19.857142857142858</v>
      </c>
      <c r="AI927" s="86">
        <f>AVERAGEIFS($I$2:I927, $B$2:B927, B927)</f>
        <v>0.52342857142857147</v>
      </c>
      <c r="AJ927" s="86">
        <f>AVERAGEIFS($J$2:J927, $B$2:B927, B927)</f>
        <v>0.49285714285714288</v>
      </c>
      <c r="AK927" s="86">
        <f>AVERAGEIFS($D$2:D927, $B$2:B927, B927)</f>
        <v>0.54285714285714282</v>
      </c>
    </row>
    <row r="928" spans="1:37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1</v>
      </c>
      <c r="AH928" s="86">
        <f>AVERAGEIFS($C$2:C928, $B$2:B928, B928)</f>
        <v>12.291666666666666</v>
      </c>
      <c r="AI928" s="86">
        <f>AVERAGEIFS($I$2:I928, $B$2:B928, B928)</f>
        <v>0.55833333333333335</v>
      </c>
      <c r="AJ928" s="86">
        <f>AVERAGEIFS($J$2:J928, $B$2:B928, B928)</f>
        <v>0.53416666666666657</v>
      </c>
      <c r="AK928" s="86">
        <f>AVERAGEIFS($D$2:D928, $B$2:B928, B928)</f>
        <v>0.5</v>
      </c>
    </row>
    <row r="929" spans="1:37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1</v>
      </c>
      <c r="AH929" s="86">
        <f>AVERAGEIFS($C$2:C929, $B$2:B929, B929)</f>
        <v>18.560975609756099</v>
      </c>
      <c r="AI929" s="86">
        <f>AVERAGEIFS($I$2:I929, $B$2:B929, B929)</f>
        <v>0.44756097560975611</v>
      </c>
      <c r="AJ929" s="86">
        <f>AVERAGEIFS($J$2:J929, $B$2:B929, B929)</f>
        <v>0.45024390243902424</v>
      </c>
      <c r="AK929" s="86">
        <f>AVERAGEIFS($D$2:D929, $B$2:B929, B929)</f>
        <v>0.46341463414634149</v>
      </c>
    </row>
    <row r="930" spans="1:37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1</v>
      </c>
      <c r="AH930" s="86">
        <f>AVERAGEIFS($C$2:C930, $B$2:B930, B930)</f>
        <v>16.705882352941178</v>
      </c>
      <c r="AI930" s="86">
        <f>AVERAGEIFS($I$2:I930, $B$2:B930, B930)</f>
        <v>0.64411764705882346</v>
      </c>
      <c r="AJ930" s="86">
        <f>AVERAGEIFS($J$2:J930, $B$2:B930, B930)</f>
        <v>0.59470588235294131</v>
      </c>
      <c r="AK930" s="86">
        <f>AVERAGEIFS($D$2:D930, $B$2:B930, B930)</f>
        <v>0.6470588235294118</v>
      </c>
    </row>
    <row r="931" spans="1:37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1</v>
      </c>
      <c r="AH931" s="86">
        <f>AVERAGEIFS($C$2:C931, $B$2:B931, B931)</f>
        <v>17.864864864864863</v>
      </c>
      <c r="AI931" s="86">
        <f>AVERAGEIFS($I$2:I931, $B$2:B931, B931)</f>
        <v>0.57027027027027022</v>
      </c>
      <c r="AJ931" s="86">
        <f>AVERAGEIFS($J$2:J931, $B$2:B931, B931)</f>
        <v>0.53108108108108121</v>
      </c>
      <c r="AK931" s="86">
        <f>AVERAGEIFS($D$2:D931, $B$2:B931, B931)</f>
        <v>0.54054054054054057</v>
      </c>
    </row>
    <row r="932" spans="1:37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 s="86">
        <f>AVERAGEIFS($C$2:C932, $B$2:B932, B932)</f>
        <v>26.8</v>
      </c>
      <c r="AI932" s="86">
        <f>AVERAGEIFS($I$2:I932, $B$2:B932, B932)</f>
        <v>0.4885714285714286</v>
      </c>
      <c r="AJ932" s="86">
        <f>AVERAGEIFS($J$2:J932, $B$2:B932, B932)</f>
        <v>0.49342857142857161</v>
      </c>
      <c r="AK932" s="86">
        <f>AVERAGEIFS($D$2:D932, $B$2:B932, B932)</f>
        <v>0.51428571428571423</v>
      </c>
    </row>
    <row r="933" spans="1:37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 s="86">
        <f>AVERAGEIFS($C$2:C933, $B$2:B933, B933)</f>
        <v>18.576271186440678</v>
      </c>
      <c r="AI933" s="86">
        <f>AVERAGEIFS($I$2:I933, $B$2:B933, B933)</f>
        <v>0.48559322033898289</v>
      </c>
      <c r="AJ933" s="86">
        <f>AVERAGEIFS($J$2:J933, $B$2:B933, B933)</f>
        <v>0.48372881355932212</v>
      </c>
      <c r="AK933" s="86">
        <f>AVERAGEIFS($D$2:D933, $B$2:B933, B933)</f>
        <v>0.42372881355932202</v>
      </c>
    </row>
    <row r="934" spans="1:37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 s="86">
        <f>AVERAGEIFS($C$2:C934, $B$2:B934, B934)</f>
        <v>18.210526315789473</v>
      </c>
      <c r="AI934" s="86">
        <f>AVERAGEIFS($I$2:I934, $B$2:B934, B934)</f>
        <v>0.51526315789473698</v>
      </c>
      <c r="AJ934" s="86">
        <f>AVERAGEIFS($J$2:J934, $B$2:B934, B934)</f>
        <v>0.51842105263157878</v>
      </c>
      <c r="AK934" s="86">
        <f>AVERAGEIFS($D$2:D934, $B$2:B934, B934)</f>
        <v>0.52631578947368418</v>
      </c>
    </row>
    <row r="935" spans="1:37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 s="86">
        <f>AVERAGEIFS($C$2:C935, $B$2:B935, B935)</f>
        <v>16.404761904761905</v>
      </c>
      <c r="AI935" s="86">
        <f>AVERAGEIFS($I$2:I935, $B$2:B935, B935)</f>
        <v>0.5261904761904761</v>
      </c>
      <c r="AJ935" s="86">
        <f>AVERAGEIFS($J$2:J935, $B$2:B935, B935)</f>
        <v>0.53523809523809529</v>
      </c>
      <c r="AK935" s="86">
        <f>AVERAGEIFS($D$2:D935, $B$2:B935, B935)</f>
        <v>0.61904761904761907</v>
      </c>
    </row>
    <row r="936" spans="1:37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 s="86">
        <f>AVERAGEIFS($C$2:C936, $B$2:B936, B936)</f>
        <v>16.023809523809526</v>
      </c>
      <c r="AI936" s="86">
        <f>AVERAGEIFS($I$2:I936, $B$2:B936, B936)</f>
        <v>0.52023809523809528</v>
      </c>
      <c r="AJ936" s="86">
        <f>AVERAGEIFS($J$2:J936, $B$2:B936, B936)</f>
        <v>0.51857142857142846</v>
      </c>
      <c r="AK936" s="86">
        <f>AVERAGEIFS($D$2:D936, $B$2:B936, B936)</f>
        <v>0.5714285714285714</v>
      </c>
    </row>
    <row r="937" spans="1:37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 s="86">
        <f>AVERAGEIFS($C$2:C937, $B$2:B937, B937)</f>
        <v>19.74074074074074</v>
      </c>
      <c r="AI937" s="86">
        <f>AVERAGEIFS($I$2:I937, $B$2:B937, B937)</f>
        <v>0.58777777777777773</v>
      </c>
      <c r="AJ937" s="86">
        <f>AVERAGEIFS($J$2:J937, $B$2:B937, B937)</f>
        <v>0.54444444444444451</v>
      </c>
      <c r="AK937" s="86">
        <f>AVERAGEIFS($D$2:D937, $B$2:B937, B937)</f>
        <v>0.66666666666666663</v>
      </c>
    </row>
    <row r="938" spans="1:37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 s="86">
        <f>AVERAGEIFS($C$2:C938, $B$2:B938, B938)</f>
        <v>22.131147540983605</v>
      </c>
      <c r="AI938" s="86">
        <f>AVERAGEIFS($I$2:I938, $B$2:B938, B938)</f>
        <v>0.52344262295081978</v>
      </c>
      <c r="AJ938" s="86">
        <f>AVERAGEIFS($J$2:J938, $B$2:B938, B938)</f>
        <v>0.51918032786885238</v>
      </c>
      <c r="AK938" s="86">
        <f>AVERAGEIFS($D$2:D938, $B$2:B938, B938)</f>
        <v>0.5901639344262295</v>
      </c>
    </row>
    <row r="939" spans="1:37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 s="86">
        <f>AVERAGEIFS($C$2:C939, $B$2:B939, B939)</f>
        <v>20.25</v>
      </c>
      <c r="AI939" s="86">
        <f>AVERAGEIFS($I$2:I939, $B$2:B939, B939)</f>
        <v>0.58821428571428569</v>
      </c>
      <c r="AJ939" s="86">
        <f>AVERAGEIFS($J$2:J939, $B$2:B939, B939)</f>
        <v>0.54428571428571437</v>
      </c>
      <c r="AK939" s="86">
        <f>AVERAGEIFS($D$2:D939, $B$2:B939, B939)</f>
        <v>0.6785714285714286</v>
      </c>
    </row>
    <row r="940" spans="1:37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 s="86">
        <f>AVERAGEIFS($C$2:C940, $B$2:B940, B940)</f>
        <v>16.279069767441861</v>
      </c>
      <c r="AI940" s="86">
        <f>AVERAGEIFS($I$2:I940, $B$2:B940, B940)</f>
        <v>0.52209302325581397</v>
      </c>
      <c r="AJ940" s="86">
        <f>AVERAGEIFS($J$2:J940, $B$2:B940, B940)</f>
        <v>0.5190697674418604</v>
      </c>
      <c r="AK940" s="86">
        <f>AVERAGEIFS($D$2:D940, $B$2:B940, B940)</f>
        <v>0.58139534883720934</v>
      </c>
    </row>
    <row r="941" spans="1:37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 s="86">
        <f>AVERAGEIFS($C$2:C941, $B$2:B941, B941)</f>
        <v>20.083333333333332</v>
      </c>
      <c r="AI941" s="86">
        <f>AVERAGEIFS($I$2:I941, $B$2:B941, B941)</f>
        <v>0.52555555555555555</v>
      </c>
      <c r="AJ941" s="86">
        <f>AVERAGEIFS($J$2:J941, $B$2:B941, B941)</f>
        <v>0.49416666666666664</v>
      </c>
      <c r="AK941" s="86">
        <f>AVERAGEIFS($D$2:D941, $B$2:B941, B941)</f>
        <v>0.55555555555555558</v>
      </c>
    </row>
    <row r="942" spans="1:37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 s="86">
        <f>AVERAGEIFS($C$2:C942, $B$2:B942, B942)</f>
        <v>16.674418604651162</v>
      </c>
      <c r="AI942" s="86">
        <f>AVERAGEIFS($I$2:I942, $B$2:B942, B942)</f>
        <v>0.52790697674418607</v>
      </c>
      <c r="AJ942" s="86">
        <f>AVERAGEIFS($J$2:J942, $B$2:B942, B942)</f>
        <v>0.53534883720930226</v>
      </c>
      <c r="AK942" s="86">
        <f>AVERAGEIFS($D$2:D942, $B$2:B942, B942)</f>
        <v>0.62790697674418605</v>
      </c>
    </row>
    <row r="943" spans="1:37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 s="86">
        <f>AVERAGEIFS($C$2:C943, $B$2:B943, B943)</f>
        <v>12.84</v>
      </c>
      <c r="AI943" s="86">
        <f>AVERAGEIFS($I$2:I943, $B$2:B943, B943)</f>
        <v>0.56000000000000005</v>
      </c>
      <c r="AJ943" s="86">
        <f>AVERAGEIFS($J$2:J943, $B$2:B943, B943)</f>
        <v>0.53439999999999999</v>
      </c>
      <c r="AK943" s="86">
        <f>AVERAGEIFS($D$2:D943, $B$2:B943, B943)</f>
        <v>0.52</v>
      </c>
    </row>
    <row r="944" spans="1:37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 s="86">
        <f>AVERAGEIFS($C$2:C944, $B$2:B944, B944)</f>
        <v>10.463414634146341</v>
      </c>
      <c r="AI944" s="86">
        <f>AVERAGEIFS($I$2:I944, $B$2:B944, B944)</f>
        <v>0.46170731707317081</v>
      </c>
      <c r="AJ944" s="86">
        <f>AVERAGEIFS($J$2:J944, $B$2:B944, B944)</f>
        <v>0.48682926829268286</v>
      </c>
      <c r="AK944" s="86">
        <f>AVERAGEIFS($D$2:D944, $B$2:B944, B944)</f>
        <v>0.43902439024390244</v>
      </c>
    </row>
    <row r="945" spans="1:37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 s="86">
        <f>AVERAGEIFS($C$2:C945, $B$2:B945, B945)</f>
        <v>10</v>
      </c>
      <c r="AI945" s="86">
        <f>AVERAGEIFS($I$2:I945, $B$2:B945, B945)</f>
        <v>0.48750000000000004</v>
      </c>
      <c r="AJ945" s="86">
        <f>AVERAGEIFS($J$2:J945, $B$2:B945, B945)</f>
        <v>0.49249999999999999</v>
      </c>
      <c r="AK945" s="86">
        <f>AVERAGEIFS($D$2:D945, $B$2:B945, B945)</f>
        <v>0.75</v>
      </c>
    </row>
    <row r="946" spans="1:37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1</v>
      </c>
      <c r="AE946">
        <v>0</v>
      </c>
      <c r="AF946">
        <v>0</v>
      </c>
      <c r="AG946">
        <v>0</v>
      </c>
      <c r="AH946" s="86">
        <f>AVERAGEIFS($C$2:C946, $B$2:B946, B946)</f>
        <v>24</v>
      </c>
      <c r="AI946" s="86">
        <f>AVERAGEIFS($I$2:I946, $B$2:B946, B946)</f>
        <v>0.54053571428571434</v>
      </c>
      <c r="AJ946" s="86">
        <f>AVERAGEIFS($J$2:J946, $B$2:B946, B946)</f>
        <v>0.5133928571428571</v>
      </c>
      <c r="AK946" s="86">
        <f>AVERAGEIFS($D$2:D946, $B$2:B946, B946)</f>
        <v>0.5535714285714286</v>
      </c>
    </row>
    <row r="947" spans="1:37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1</v>
      </c>
      <c r="AE947">
        <v>0</v>
      </c>
      <c r="AF947">
        <v>0</v>
      </c>
      <c r="AG947">
        <v>0</v>
      </c>
      <c r="AH947" s="86">
        <f>AVERAGEIFS($C$2:C947, $B$2:B947, B947)</f>
        <v>22.763157894736842</v>
      </c>
      <c r="AI947" s="86">
        <f>AVERAGEIFS($I$2:I947, $B$2:B947, B947)</f>
        <v>0.5428947368421051</v>
      </c>
      <c r="AJ947" s="86">
        <f>AVERAGEIFS($J$2:J947, $B$2:B947, B947)</f>
        <v>0.54105263157894745</v>
      </c>
      <c r="AK947" s="86">
        <f>AVERAGEIFS($D$2:D947, $B$2:B947, B947)</f>
        <v>0.52631578947368418</v>
      </c>
    </row>
    <row r="948" spans="1:37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1</v>
      </c>
      <c r="AE948">
        <v>0</v>
      </c>
      <c r="AF948">
        <v>0</v>
      </c>
      <c r="AG948">
        <v>0</v>
      </c>
      <c r="AH948" s="86">
        <f>AVERAGEIFS($C$2:C948, $B$2:B948, B948)</f>
        <v>17.921052631578949</v>
      </c>
      <c r="AI948" s="86">
        <f>AVERAGEIFS($I$2:I948, $B$2:B948, B948)</f>
        <v>0.5657894736842104</v>
      </c>
      <c r="AJ948" s="86">
        <f>AVERAGEIFS($J$2:J948, $B$2:B948, B948)</f>
        <v>0.52921052631578969</v>
      </c>
      <c r="AK948" s="86">
        <f>AVERAGEIFS($D$2:D948, $B$2:B948, B948)</f>
        <v>0.52631578947368418</v>
      </c>
    </row>
    <row r="949" spans="1:37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1</v>
      </c>
      <c r="AE949">
        <v>0</v>
      </c>
      <c r="AF949">
        <v>0</v>
      </c>
      <c r="AG949">
        <v>0</v>
      </c>
      <c r="AH949" s="86">
        <f>AVERAGEIFS($C$2:C949, $B$2:B949, B949)</f>
        <v>18.307692307692307</v>
      </c>
      <c r="AI949" s="86">
        <f>AVERAGEIFS($I$2:I949, $B$2:B949, B949)</f>
        <v>0.51230769230769246</v>
      </c>
      <c r="AJ949" s="86">
        <f>AVERAGEIFS($J$2:J949, $B$2:B949, B949)</f>
        <v>0.51692307692307682</v>
      </c>
      <c r="AK949" s="86">
        <f>AVERAGEIFS($D$2:D949, $B$2:B949, B949)</f>
        <v>0.51282051282051277</v>
      </c>
    </row>
    <row r="950" spans="1:37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1</v>
      </c>
      <c r="AE950">
        <v>0</v>
      </c>
      <c r="AF950">
        <v>0</v>
      </c>
      <c r="AG950">
        <v>0</v>
      </c>
      <c r="AH950" s="86">
        <f>AVERAGEIFS($C$2:C950, $B$2:B950, B950)</f>
        <v>14.333333333333334</v>
      </c>
      <c r="AI950" s="86">
        <f>AVERAGEIFS($I$2:I950, $B$2:B950, B950)</f>
        <v>0.48333333333333339</v>
      </c>
      <c r="AJ950" s="86">
        <f>AVERAGEIFS($J$2:J950, $B$2:B950, B950)</f>
        <v>0.54666666666666663</v>
      </c>
      <c r="AK950" s="86">
        <f>AVERAGEIFS($D$2:D950, $B$2:B950, B950)</f>
        <v>0.33333333333333331</v>
      </c>
    </row>
    <row r="951" spans="1:37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1</v>
      </c>
      <c r="AE951">
        <v>0</v>
      </c>
      <c r="AF951">
        <v>0</v>
      </c>
      <c r="AG951">
        <v>0</v>
      </c>
      <c r="AH951" s="86">
        <f>AVERAGEIFS($C$2:C951, $B$2:B951, B951)</f>
        <v>12</v>
      </c>
      <c r="AI951" s="86">
        <f>AVERAGEIFS($I$2:I951, $B$2:B951, B951)</f>
        <v>0.33333333333333331</v>
      </c>
      <c r="AJ951" s="86">
        <f>AVERAGEIFS($J$2:J951, $B$2:B951, B951)</f>
        <v>0.37111111111111111</v>
      </c>
      <c r="AK951" s="86">
        <f>AVERAGEIFS($D$2:D951, $B$2:B951, B951)</f>
        <v>0.22222222222222221</v>
      </c>
    </row>
    <row r="952" spans="1:37" x14ac:dyDescent="0.25">
      <c r="A952" s="85">
        <v>46139</v>
      </c>
      <c r="B952" t="s">
        <v>178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1</v>
      </c>
      <c r="AE952">
        <v>0</v>
      </c>
      <c r="AF952">
        <v>0</v>
      </c>
      <c r="AG952">
        <v>0</v>
      </c>
      <c r="AH952" s="86">
        <f>AVERAGEIFS($C$2:C952, $B$2:B952, B952)</f>
        <v>16</v>
      </c>
      <c r="AI952" s="86">
        <f>AVERAGEIFS($I$2:I952, $B$2:B952, B952)</f>
        <v>0.4</v>
      </c>
      <c r="AJ952" s="86">
        <f>AVERAGEIFS($J$2:J952, $B$2:B952, B952)</f>
        <v>0.46</v>
      </c>
      <c r="AK952" s="86">
        <f>AVERAGEIFS($D$2:D952, $B$2:B952, B952)</f>
        <v>0</v>
      </c>
    </row>
    <row r="953" spans="1:37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1</v>
      </c>
      <c r="AE953">
        <v>0</v>
      </c>
      <c r="AF953">
        <v>0</v>
      </c>
      <c r="AG953">
        <v>0</v>
      </c>
      <c r="AH953" s="86">
        <f>AVERAGEIFS($C$2:C953, $B$2:B953, B953)</f>
        <v>7.8571428571428568</v>
      </c>
      <c r="AI953" s="86">
        <f>AVERAGEIFS($I$2:I953, $B$2:B953, B953)</f>
        <v>0.61428571428571421</v>
      </c>
      <c r="AJ953" s="86">
        <f>AVERAGEIFS($J$2:J953, $B$2:B953, B953)</f>
        <v>0.53714285714285714</v>
      </c>
      <c r="AK953" s="86">
        <f>AVERAGEIFS($D$2:D953, $B$2:B953, B953)</f>
        <v>0.5714285714285714</v>
      </c>
    </row>
    <row r="954" spans="1:37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 s="86">
        <f>AVERAGEIFS($C$2:C954, $B$2:B954, B954)</f>
        <v>26.888888888888889</v>
      </c>
      <c r="AI954" s="86">
        <f>AVERAGEIFS($I$2:I954, $B$2:B954, B954)</f>
        <v>0.48194444444444451</v>
      </c>
      <c r="AJ954" s="86">
        <f>AVERAGEIFS($J$2:J954, $B$2:B954, B954)</f>
        <v>0.49277777777777793</v>
      </c>
      <c r="AK954" s="86">
        <f>AVERAGEIFS($D$2:D954, $B$2:B954, B954)</f>
        <v>0.5</v>
      </c>
    </row>
    <row r="955" spans="1:37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 s="86">
        <f>AVERAGEIFS($C$2:C955, $B$2:B955, B955)</f>
        <v>22.589743589743591</v>
      </c>
      <c r="AI955" s="86">
        <f>AVERAGEIFS($I$2:I955, $B$2:B955, B955)</f>
        <v>0.53538461538461524</v>
      </c>
      <c r="AJ955" s="86">
        <f>AVERAGEIFS($J$2:J955, $B$2:B955, B955)</f>
        <v>0.53923076923076929</v>
      </c>
      <c r="AK955" s="86">
        <f>AVERAGEIFS($D$2:D955, $B$2:B955, B955)</f>
        <v>0.51282051282051277</v>
      </c>
    </row>
    <row r="956" spans="1:37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 s="86">
        <f>AVERAGEIFS($C$2:C956, $B$2:B956, B956)</f>
        <v>18.716666666666665</v>
      </c>
      <c r="AI956" s="86">
        <f>AVERAGEIFS($I$2:I956, $B$2:B956, B956)</f>
        <v>0.48166666666666652</v>
      </c>
      <c r="AJ956" s="86">
        <f>AVERAGEIFS($J$2:J956, $B$2:B956, B956)</f>
        <v>0.4835000000000001</v>
      </c>
      <c r="AK956" s="86">
        <f>AVERAGEIFS($D$2:D956, $B$2:B956, B956)</f>
        <v>0.41666666666666669</v>
      </c>
    </row>
    <row r="957" spans="1:37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 s="86">
        <f>AVERAGEIFS($C$2:C957, $B$2:B957, B957)</f>
        <v>14.73076923076923</v>
      </c>
      <c r="AI957" s="86">
        <f>AVERAGEIFS($I$2:I957, $B$2:B957, B957)</f>
        <v>0.48461538461538467</v>
      </c>
      <c r="AJ957" s="86">
        <f>AVERAGEIFS($J$2:J957, $B$2:B957, B957)</f>
        <v>0.49384615384615393</v>
      </c>
      <c r="AK957" s="86">
        <f>AVERAGEIFS($D$2:D957, $B$2:B957, B957)</f>
        <v>0.38461538461538464</v>
      </c>
    </row>
    <row r="958" spans="1:37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 s="86">
        <f>AVERAGEIFS($C$2:C958, $B$2:B958, B958)</f>
        <v>12.884615384615385</v>
      </c>
      <c r="AI958" s="86">
        <f>AVERAGEIFS($I$2:I958, $B$2:B958, B958)</f>
        <v>0.54807692307692313</v>
      </c>
      <c r="AJ958" s="86">
        <f>AVERAGEIFS($J$2:J958, $B$2:B958, B958)</f>
        <v>0.53192307692307694</v>
      </c>
      <c r="AK958" s="86">
        <f>AVERAGEIFS($D$2:D958, $B$2:B958, B958)</f>
        <v>0.5</v>
      </c>
    </row>
    <row r="959" spans="1:37" x14ac:dyDescent="0.25">
      <c r="A959" s="85">
        <v>46140</v>
      </c>
      <c r="B959" t="s">
        <v>178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 s="86">
        <f>AVERAGEIFS($C$2:C959, $B$2:B959, B959)</f>
        <v>13</v>
      </c>
      <c r="AI959" s="86">
        <f>AVERAGEIFS($I$2:I959, $B$2:B959, B959)</f>
        <v>0.32500000000000001</v>
      </c>
      <c r="AJ959" s="86">
        <f>AVERAGEIFS($J$2:J959, $B$2:B959, B959)</f>
        <v>0.46499999999999997</v>
      </c>
      <c r="AK959" s="86">
        <f>AVERAGEIFS($D$2:D959, $B$2:B959, B959)</f>
        <v>0</v>
      </c>
    </row>
    <row r="960" spans="1:37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1</v>
      </c>
      <c r="AD960">
        <v>0</v>
      </c>
      <c r="AE960">
        <v>0</v>
      </c>
      <c r="AF960">
        <v>0</v>
      </c>
      <c r="AG960">
        <v>0</v>
      </c>
      <c r="AH960" s="86">
        <f>AVERAGEIFS($C$2:C960, $B$2:B960, B960)</f>
        <v>24.939393939393938</v>
      </c>
      <c r="AI960" s="86">
        <f>AVERAGEIFS($I$2:I960, $B$2:B960, B960)</f>
        <v>0.44545454545454544</v>
      </c>
      <c r="AJ960" s="86">
        <f>AVERAGEIFS($J$2:J960, $B$2:B960, B960)</f>
        <v>0.46606060606060601</v>
      </c>
      <c r="AK960" s="86">
        <f>AVERAGEIFS($D$2:D960, $B$2:B960, B960)</f>
        <v>0.36363636363636365</v>
      </c>
    </row>
    <row r="961" spans="1:37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1</v>
      </c>
      <c r="AD961">
        <v>0</v>
      </c>
      <c r="AE961">
        <v>0</v>
      </c>
      <c r="AF961">
        <v>0</v>
      </c>
      <c r="AG961">
        <v>0</v>
      </c>
      <c r="AH961" s="86">
        <f>AVERAGEIFS($C$2:C961, $B$2:B961, B961)</f>
        <v>22.193548387096776</v>
      </c>
      <c r="AI961" s="86">
        <f>AVERAGEIFS($I$2:I961, $B$2:B961, B961)</f>
        <v>0.5270967741935485</v>
      </c>
      <c r="AJ961" s="86">
        <f>AVERAGEIFS($J$2:J961, $B$2:B961, B961)</f>
        <v>0.51935483870967736</v>
      </c>
      <c r="AK961" s="86">
        <f>AVERAGEIFS($D$2:D961, $B$2:B961, B961)</f>
        <v>0.59677419354838712</v>
      </c>
    </row>
    <row r="962" spans="1:37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1</v>
      </c>
      <c r="AD962">
        <v>0</v>
      </c>
      <c r="AE962">
        <v>0</v>
      </c>
      <c r="AF962">
        <v>0</v>
      </c>
      <c r="AG962">
        <v>0</v>
      </c>
      <c r="AH962" s="86">
        <f>AVERAGEIFS($C$2:C962, $B$2:B962, B962)</f>
        <v>18.523809523809526</v>
      </c>
      <c r="AI962" s="86">
        <f>AVERAGEIFS($I$2:I962, $B$2:B962, B962)</f>
        <v>0.45476190476190481</v>
      </c>
      <c r="AJ962" s="86">
        <f>AVERAGEIFS($J$2:J962, $B$2:B962, B962)</f>
        <v>0.45214285714285701</v>
      </c>
      <c r="AK962" s="86">
        <f>AVERAGEIFS($D$2:D962, $B$2:B962, B962)</f>
        <v>0.47619047619047616</v>
      </c>
    </row>
    <row r="963" spans="1:37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1</v>
      </c>
      <c r="AD963">
        <v>0</v>
      </c>
      <c r="AE963">
        <v>0</v>
      </c>
      <c r="AF963">
        <v>0</v>
      </c>
      <c r="AG963">
        <v>0</v>
      </c>
      <c r="AH963" s="86">
        <f>AVERAGEIFS($C$2:C963, $B$2:B963, B963)</f>
        <v>13.363636363636363</v>
      </c>
      <c r="AI963" s="86">
        <f>AVERAGEIFS($I$2:I963, $B$2:B963, B963)</f>
        <v>0.48181818181818181</v>
      </c>
      <c r="AJ963" s="86">
        <f>AVERAGEIFS($J$2:J963, $B$2:B963, B963)</f>
        <v>0.50909090909090915</v>
      </c>
      <c r="AK963" s="86">
        <f>AVERAGEIFS($D$2:D963, $B$2:B963, B963)</f>
        <v>0.63636363636363635</v>
      </c>
    </row>
    <row r="964" spans="1:37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1</v>
      </c>
      <c r="AD964">
        <v>0</v>
      </c>
      <c r="AE964">
        <v>0</v>
      </c>
      <c r="AF964">
        <v>0</v>
      </c>
      <c r="AG964">
        <v>0</v>
      </c>
      <c r="AH964" s="86">
        <f>AVERAGEIFS($C$2:C964, $B$2:B964, B964)</f>
        <v>15</v>
      </c>
      <c r="AI964" s="86">
        <f>AVERAGEIFS($I$2:I964, $B$2:B964, B964)</f>
        <v>0.55000000000000004</v>
      </c>
      <c r="AJ964" s="86">
        <f>AVERAGEIFS($J$2:J964, $B$2:B964, B964)</f>
        <v>0.54249999999999998</v>
      </c>
      <c r="AK964" s="86">
        <f>AVERAGEIFS($D$2:D964, $B$2:B964, B964)</f>
        <v>0.5</v>
      </c>
    </row>
    <row r="965" spans="1:37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1</v>
      </c>
      <c r="AD965">
        <v>0</v>
      </c>
      <c r="AE965">
        <v>0</v>
      </c>
      <c r="AF965">
        <v>0</v>
      </c>
      <c r="AG965">
        <v>0</v>
      </c>
      <c r="AH965" s="86">
        <f>AVERAGEIFS($C$2:C965, $B$2:B965, B965)</f>
        <v>12.535714285714286</v>
      </c>
      <c r="AI965" s="86">
        <f>AVERAGEIFS($I$2:I965, $B$2:B965, B965)</f>
        <v>0.46071428571428574</v>
      </c>
      <c r="AJ965" s="86">
        <f>AVERAGEIFS($J$2:J965, $B$2:B965, B965)</f>
        <v>0.47214285714285709</v>
      </c>
      <c r="AK965" s="86">
        <f>AVERAGEIFS($D$2:D965, $B$2:B965, B965)</f>
        <v>0.5</v>
      </c>
    </row>
    <row r="966" spans="1:37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1</v>
      </c>
      <c r="AC966">
        <v>1</v>
      </c>
      <c r="AD966">
        <v>0</v>
      </c>
      <c r="AE966">
        <v>0</v>
      </c>
      <c r="AF966">
        <v>0</v>
      </c>
      <c r="AG966">
        <v>1</v>
      </c>
      <c r="AH966" s="86">
        <f>AVERAGEIFS($C$2:C966, $B$2:B966, B966)</f>
        <v>20.103448275862068</v>
      </c>
      <c r="AI966" s="86">
        <f>AVERAGEIFS($I$2:I966, $B$2:B966, B966)</f>
        <v>0.60241379310344823</v>
      </c>
      <c r="AJ966" s="86">
        <f>AVERAGEIFS($J$2:J966, $B$2:B966, B966)</f>
        <v>0.5475862068965518</v>
      </c>
      <c r="AK966" s="86">
        <f>AVERAGEIFS($D$2:D966, $B$2:B966, B966)</f>
        <v>0.68965517241379315</v>
      </c>
    </row>
    <row r="967" spans="1:37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1</v>
      </c>
      <c r="AC967">
        <v>1</v>
      </c>
      <c r="AD967">
        <v>0</v>
      </c>
      <c r="AE967">
        <v>0</v>
      </c>
      <c r="AF967">
        <v>0</v>
      </c>
      <c r="AG967">
        <v>1</v>
      </c>
      <c r="AH967" s="86">
        <f>AVERAGEIFS($C$2:C967, $B$2:B967, B967)</f>
        <v>16.613636363636363</v>
      </c>
      <c r="AI967" s="86">
        <f>AVERAGEIFS($I$2:I967, $B$2:B967, B967)</f>
        <v>0.53863636363636358</v>
      </c>
      <c r="AJ967" s="86">
        <f>AVERAGEIFS($J$2:J967, $B$2:B967, B967)</f>
        <v>0.53772727272727272</v>
      </c>
      <c r="AK967" s="86">
        <f>AVERAGEIFS($D$2:D967, $B$2:B967, B967)</f>
        <v>0.63636363636363635</v>
      </c>
    </row>
    <row r="968" spans="1:37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1</v>
      </c>
      <c r="AC968">
        <v>1</v>
      </c>
      <c r="AD968">
        <v>0</v>
      </c>
      <c r="AE968">
        <v>0</v>
      </c>
      <c r="AF968">
        <v>0</v>
      </c>
      <c r="AG968">
        <v>1</v>
      </c>
      <c r="AH968" s="86">
        <f>AVERAGEIFS($C$2:C968, $B$2:B968, B968)</f>
        <v>22.158730158730158</v>
      </c>
      <c r="AI968" s="86">
        <f>AVERAGEIFS($I$2:I968, $B$2:B968, B968)</f>
        <v>0.53460317460317475</v>
      </c>
      <c r="AJ968" s="86">
        <f>AVERAGEIFS($J$2:J968, $B$2:B968, B968)</f>
        <v>0.52126984126984122</v>
      </c>
      <c r="AK968" s="86">
        <f>AVERAGEIFS($D$2:D968, $B$2:B968, B968)</f>
        <v>0.60317460317460314</v>
      </c>
    </row>
    <row r="969" spans="1:37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1</v>
      </c>
      <c r="AC969">
        <v>1</v>
      </c>
      <c r="AD969">
        <v>0</v>
      </c>
      <c r="AE969">
        <v>0</v>
      </c>
      <c r="AF969">
        <v>0</v>
      </c>
      <c r="AG969">
        <v>1</v>
      </c>
      <c r="AH969" s="86">
        <f>AVERAGEIFS($C$2:C969, $B$2:B969, B969)</f>
        <v>11.4</v>
      </c>
      <c r="AI969" s="86">
        <f>AVERAGEIFS($I$2:I969, $B$2:B969, B969)</f>
        <v>0.4</v>
      </c>
      <c r="AJ969" s="86">
        <f>AVERAGEIFS($J$2:J969, $B$2:B969, B969)</f>
        <v>0.39800000000000002</v>
      </c>
      <c r="AK969" s="86">
        <f>AVERAGEIFS($D$2:D969, $B$2:B969, B969)</f>
        <v>0.3</v>
      </c>
    </row>
    <row r="970" spans="1:37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1</v>
      </c>
      <c r="AC970">
        <v>1</v>
      </c>
      <c r="AD970">
        <v>0</v>
      </c>
      <c r="AE970">
        <v>0</v>
      </c>
      <c r="AF970">
        <v>0</v>
      </c>
      <c r="AG970">
        <v>1</v>
      </c>
      <c r="AH970" s="86">
        <f>AVERAGEIFS($C$2:C970, $B$2:B970, B970)</f>
        <v>14.555555555555555</v>
      </c>
      <c r="AI970" s="86">
        <f>AVERAGEIFS($I$2:I970, $B$2:B970, B970)</f>
        <v>0.50370370370370376</v>
      </c>
      <c r="AJ970" s="86">
        <f>AVERAGEIFS($J$2:J970, $B$2:B970, B970)</f>
        <v>0.49925925925925935</v>
      </c>
      <c r="AK970" s="86">
        <f>AVERAGEIFS($D$2:D970, $B$2:B970, B970)</f>
        <v>0.40740740740740738</v>
      </c>
    </row>
    <row r="971" spans="1:37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1</v>
      </c>
      <c r="AC971">
        <v>1</v>
      </c>
      <c r="AD971">
        <v>0</v>
      </c>
      <c r="AE971">
        <v>0</v>
      </c>
      <c r="AF971">
        <v>0</v>
      </c>
      <c r="AG971">
        <v>1</v>
      </c>
      <c r="AH971" s="86">
        <f>AVERAGEIFS($C$2:C971, $B$2:B971, B971)</f>
        <v>19.918918918918919</v>
      </c>
      <c r="AI971" s="86">
        <f>AVERAGEIFS($I$2:I971, $B$2:B971, B971)</f>
        <v>0.53837837837837843</v>
      </c>
      <c r="AJ971" s="86">
        <f>AVERAGEIFS($J$2:J971, $B$2:B971, B971)</f>
        <v>0.49810810810810813</v>
      </c>
      <c r="AK971" s="86">
        <f>AVERAGEIFS($D$2:D971, $B$2:B971, B971)</f>
        <v>0.56756756756756754</v>
      </c>
    </row>
    <row r="972" spans="1:37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 s="86">
        <f>AVERAGEIFS($C$2:C972, $B$2:B972, B972)</f>
        <v>22.274999999999999</v>
      </c>
      <c r="AI972" s="86">
        <f>AVERAGEIFS($I$2:I972, $B$2:B972, B972)</f>
        <v>0.52199999999999991</v>
      </c>
      <c r="AJ972" s="86">
        <f>AVERAGEIFS($J$2:J972, $B$2:B972, B972)</f>
        <v>0.53475000000000006</v>
      </c>
      <c r="AK972" s="86">
        <f>AVERAGEIFS($D$2:D972, $B$2:B972, B972)</f>
        <v>0.5</v>
      </c>
    </row>
    <row r="973" spans="1:37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 s="86">
        <f>AVERAGEIFS($C$2:C973, $B$2:B973, B973)</f>
        <v>23.842105263157894</v>
      </c>
      <c r="AI973" s="86">
        <f>AVERAGEIFS($I$2:I973, $B$2:B973, B973)</f>
        <v>0.53105263157894744</v>
      </c>
      <c r="AJ973" s="86">
        <f>AVERAGEIFS($J$2:J973, $B$2:B973, B973)</f>
        <v>0.51070175438596488</v>
      </c>
      <c r="AK973" s="86">
        <f>AVERAGEIFS($D$2:D973, $B$2:B973, B973)</f>
        <v>0.54385964912280704</v>
      </c>
    </row>
    <row r="974" spans="1:37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 s="86">
        <f>AVERAGEIFS($C$2:C974, $B$2:B974, B974)</f>
        <v>18.372093023255815</v>
      </c>
      <c r="AI974" s="86">
        <f>AVERAGEIFS($I$2:I974, $B$2:B974, B974)</f>
        <v>0.44418604651162796</v>
      </c>
      <c r="AJ974" s="86">
        <f>AVERAGEIFS($J$2:J974, $B$2:B974, B974)</f>
        <v>0.44999999999999984</v>
      </c>
      <c r="AK974" s="86">
        <f>AVERAGEIFS($D$2:D974, $B$2:B974, B974)</f>
        <v>0.46511627906976744</v>
      </c>
    </row>
    <row r="975" spans="1:37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 s="86">
        <f>AVERAGEIFS($C$2:C975, $B$2:B975, B975)</f>
        <v>17.846153846153847</v>
      </c>
      <c r="AI975" s="86">
        <f>AVERAGEIFS($I$2:I975, $B$2:B975, B975)</f>
        <v>0.55128205128205121</v>
      </c>
      <c r="AJ975" s="86">
        <f>AVERAGEIFS($J$2:J975, $B$2:B975, B975)</f>
        <v>0.52487179487179503</v>
      </c>
      <c r="AK975" s="86">
        <f>AVERAGEIFS($D$2:D975, $B$2:B975, B975)</f>
        <v>0.51282051282051277</v>
      </c>
    </row>
    <row r="976" spans="1:37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 s="86">
        <f>AVERAGEIFS($C$2:C976, $B$2:B976, B976)</f>
        <v>16.045454545454547</v>
      </c>
      <c r="AI976" s="86">
        <f>AVERAGEIFS($I$2:I976, $B$2:B976, B976)</f>
        <v>0.51022727272727275</v>
      </c>
      <c r="AJ976" s="86">
        <f>AVERAGEIFS($J$2:J976, $B$2:B976, B976)</f>
        <v>0.51545454545454539</v>
      </c>
      <c r="AK976" s="86">
        <f>AVERAGEIFS($D$2:D976, $B$2:B976, B976)</f>
        <v>0.56818181818181823</v>
      </c>
    </row>
    <row r="977" spans="1:37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 s="86">
        <f>AVERAGEIFS($C$2:C977, $B$2:B977, B977)</f>
        <v>12.275862068965518</v>
      </c>
      <c r="AI977" s="86">
        <f>AVERAGEIFS($I$2:I977, $B$2:B977, B977)</f>
        <v>0.44482758620689655</v>
      </c>
      <c r="AJ977" s="86">
        <f>AVERAGEIFS($J$2:J977, $B$2:B977, B977)</f>
        <v>0.46827586206896543</v>
      </c>
      <c r="AK977" s="86">
        <f>AVERAGEIFS($D$2:D977, $B$2:B977, B977)</f>
        <v>0.48275862068965519</v>
      </c>
    </row>
    <row r="978" spans="1:37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 s="86">
        <f>AVERAGEIFS($C$2:C978, $B$2:B978, B978)</f>
        <v>13.066666666666666</v>
      </c>
      <c r="AI978" s="86">
        <f>AVERAGEIFS($I$2:I978, $B$2:B978, B978)</f>
        <v>0.51</v>
      </c>
      <c r="AJ978" s="86">
        <f>AVERAGEIFS($J$2:J978, $B$2:B978, B978)</f>
        <v>0.50266666666666671</v>
      </c>
      <c r="AK978" s="86">
        <f>AVERAGEIFS($D$2:D978, $B$2:B978, B978)</f>
        <v>0.53333333333333333</v>
      </c>
    </row>
    <row r="979" spans="1:37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 s="86">
        <f>AVERAGEIFS($C$2:C979, $B$2:B979, B979)</f>
        <v>22.296875</v>
      </c>
      <c r="AI979" s="86">
        <f>AVERAGEIFS($I$2:I979, $B$2:B979, B979)</f>
        <v>0.53796875000000011</v>
      </c>
      <c r="AJ979" s="86">
        <f>AVERAGEIFS($J$2:J979, $B$2:B979, B979)</f>
        <v>0.52249999999999996</v>
      </c>
      <c r="AK979" s="86">
        <f>AVERAGEIFS($D$2:D979, $B$2:B979, B979)</f>
        <v>0.609375</v>
      </c>
    </row>
    <row r="980" spans="1:37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 s="86">
        <f>AVERAGEIFS($C$2:C980, $B$2:B980, B980)</f>
        <v>19.866666666666667</v>
      </c>
      <c r="AI980" s="86">
        <f>AVERAGEIFS($I$2:I980, $B$2:B980, B980)</f>
        <v>0.60733333333333328</v>
      </c>
      <c r="AJ980" s="86">
        <f>AVERAGEIFS($J$2:J980, $B$2:B980, B980)</f>
        <v>0.54933333333333345</v>
      </c>
      <c r="AK980" s="86">
        <f>AVERAGEIFS($D$2:D980, $B$2:B980, B980)</f>
        <v>0.7</v>
      </c>
    </row>
    <row r="981" spans="1:37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 s="86">
        <f>AVERAGEIFS($C$2:C981, $B$2:B981, B981)</f>
        <v>17.444444444444443</v>
      </c>
      <c r="AI981" s="86">
        <f>AVERAGEIFS($I$2:I981, $B$2:B981, B981)</f>
        <v>0.64999999999999991</v>
      </c>
      <c r="AJ981" s="86">
        <f>AVERAGEIFS($J$2:J981, $B$2:B981, B981)</f>
        <v>0.5950000000000002</v>
      </c>
      <c r="AK981" s="86">
        <f>AVERAGEIFS($D$2:D981, $B$2:B981, B981)</f>
        <v>0.66666666666666663</v>
      </c>
    </row>
    <row r="982" spans="1:37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 s="86">
        <f>AVERAGEIFS($C$2:C982, $B$2:B982, B982)</f>
        <v>18.655737704918032</v>
      </c>
      <c r="AI982" s="86">
        <f>AVERAGEIFS($I$2:I982, $B$2:B982, B982)</f>
        <v>0.48606557377049164</v>
      </c>
      <c r="AJ982" s="86">
        <f>AVERAGEIFS($J$2:J982, $B$2:B982, B982)</f>
        <v>0.48540983606557386</v>
      </c>
      <c r="AK982" s="86">
        <f>AVERAGEIFS($D$2:D982, $B$2:B982, B982)</f>
        <v>0.42622950819672129</v>
      </c>
    </row>
    <row r="983" spans="1:37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 s="86">
        <f>AVERAGEIFS($C$2:C983, $B$2:B983, B983)</f>
        <v>12.5</v>
      </c>
      <c r="AI983" s="86">
        <f>AVERAGEIFS($I$2:I983, $B$2:B983, B983)</f>
        <v>0.45500000000000002</v>
      </c>
      <c r="AJ983" s="86">
        <f>AVERAGEIFS($J$2:J983, $B$2:B983, B983)</f>
        <v>0.47266666666666662</v>
      </c>
      <c r="AK983" s="86">
        <f>AVERAGEIFS($D$2:D983, $B$2:B983, B983)</f>
        <v>0.5</v>
      </c>
    </row>
    <row r="984" spans="1:37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 s="86">
        <f>AVERAGEIFS($C$2:C984, $B$2:B984, B984)</f>
        <v>12.814814814814815</v>
      </c>
      <c r="AI984" s="86">
        <f>AVERAGEIFS($I$2:I984, $B$2:B984, B984)</f>
        <v>0.53703703703703709</v>
      </c>
      <c r="AJ984" s="86">
        <f>AVERAGEIFS($J$2:J984, $B$2:B984, B984)</f>
        <v>0.52703703703703708</v>
      </c>
      <c r="AK984" s="86">
        <f>AVERAGEIFS($D$2:D984, $B$2:B984, B984)</f>
        <v>0.48148148148148145</v>
      </c>
    </row>
    <row r="985" spans="1:37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 s="86">
        <f>AVERAGEIFS($C$2:C985, $B$2:B985, B985)</f>
        <v>27.081081081081081</v>
      </c>
      <c r="AI985" s="86">
        <f>AVERAGEIFS($I$2:I985, $B$2:B985, B985)</f>
        <v>0.4756756756756757</v>
      </c>
      <c r="AJ985" s="86">
        <f>AVERAGEIFS($J$2:J985, $B$2:B985, B985)</f>
        <v>0.49027027027027037</v>
      </c>
      <c r="AK985" s="86">
        <f>AVERAGEIFS($D$2:D985, $B$2:B985, B985)</f>
        <v>0.48648648648648651</v>
      </c>
    </row>
    <row r="986" spans="1:37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 s="86">
        <f>AVERAGEIFS($C$2:C986, $B$2:B986, B986)</f>
        <v>17.975000000000001</v>
      </c>
      <c r="AI986" s="86">
        <f>AVERAGEIFS($I$2:I986, $B$2:B986, B986)</f>
        <v>0.50575000000000014</v>
      </c>
      <c r="AJ986" s="86">
        <f>AVERAGEIFS($J$2:J986, $B$2:B986, B986)</f>
        <v>0.5139999999999999</v>
      </c>
      <c r="AK986" s="86">
        <f>AVERAGEIFS($D$2:D986, $B$2:B986, B986)</f>
        <v>0.5</v>
      </c>
    </row>
    <row r="987" spans="1:37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 s="86">
        <f>AVERAGEIFS($C$2:C987, $B$2:B987, B987)</f>
        <v>18.613636363636363</v>
      </c>
      <c r="AI987" s="86">
        <f>AVERAGEIFS($I$2:I987, $B$2:B987, B987)</f>
        <v>0.43977272727272732</v>
      </c>
      <c r="AJ987" s="86">
        <f>AVERAGEIFS($J$2:J987, $B$2:B987, B987)</f>
        <v>0.44886363636363619</v>
      </c>
      <c r="AK987" s="86">
        <f>AVERAGEIFS($D$2:D987, $B$2:B987, B987)</f>
        <v>0.45454545454545453</v>
      </c>
    </row>
    <row r="988" spans="1:37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 s="86">
        <f>AVERAGEIFS($C$2:C988, $B$2:B988, B988)</f>
        <v>13.916666666666666</v>
      </c>
      <c r="AI988" s="86">
        <f>AVERAGEIFS($I$2:I988, $B$2:B988, B988)</f>
        <v>0.46249999999999997</v>
      </c>
      <c r="AJ988" s="86">
        <f>AVERAGEIFS($J$2:J988, $B$2:B988, B988)</f>
        <v>0.50000000000000011</v>
      </c>
      <c r="AK988" s="86">
        <f>AVERAGEIFS($D$2:D988, $B$2:B988, B988)</f>
        <v>0.58333333333333337</v>
      </c>
    </row>
    <row r="989" spans="1:37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 s="86">
        <f>AVERAGEIFS($C$2:C989, $B$2:B989, B989)</f>
        <v>11.125</v>
      </c>
      <c r="AI989" s="86">
        <f>AVERAGEIFS($I$2:I989, $B$2:B989, B989)</f>
        <v>0.50625000000000009</v>
      </c>
      <c r="AJ989" s="86">
        <f>AVERAGEIFS($J$2:J989, $B$2:B989, B989)</f>
        <v>0.50624999999999998</v>
      </c>
      <c r="AK989" s="86">
        <f>AVERAGEIFS($D$2:D989, $B$2:B989, B989)</f>
        <v>0.625</v>
      </c>
    </row>
    <row r="990" spans="1:37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1</v>
      </c>
      <c r="AD990">
        <v>0</v>
      </c>
      <c r="AE990">
        <v>1</v>
      </c>
      <c r="AF990">
        <v>0</v>
      </c>
      <c r="AG990">
        <v>0</v>
      </c>
      <c r="AH990" s="86">
        <f>AVERAGEIFS($C$2:C990, $B$2:B990, B990)</f>
        <v>27.263157894736842</v>
      </c>
      <c r="AI990" s="86">
        <f>AVERAGEIFS($I$2:I990, $B$2:B990, B990)</f>
        <v>0.48289473684210532</v>
      </c>
      <c r="AJ990" s="86">
        <f>AVERAGEIFS($J$2:J990, $B$2:B990, B990)</f>
        <v>0.4944736842105264</v>
      </c>
      <c r="AK990" s="86">
        <f>AVERAGEIFS($D$2:D990, $B$2:B990, B990)</f>
        <v>0.5</v>
      </c>
    </row>
    <row r="991" spans="1:37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1</v>
      </c>
      <c r="AD991">
        <v>0</v>
      </c>
      <c r="AE991">
        <v>1</v>
      </c>
      <c r="AF991">
        <v>0</v>
      </c>
      <c r="AG991">
        <v>0</v>
      </c>
      <c r="AH991" s="86">
        <f>AVERAGEIFS($C$2:C991, $B$2:B991, B991)</f>
        <v>22.390243902439025</v>
      </c>
      <c r="AI991" s="86">
        <f>AVERAGEIFS($I$2:I991, $B$2:B991, B991)</f>
        <v>0.52756097560975601</v>
      </c>
      <c r="AJ991" s="86">
        <f>AVERAGEIFS($J$2:J991, $B$2:B991, B991)</f>
        <v>0.53756097560975613</v>
      </c>
      <c r="AK991" s="86">
        <f>AVERAGEIFS($D$2:D991, $B$2:B991, B991)</f>
        <v>0.51219512195121952</v>
      </c>
    </row>
    <row r="992" spans="1:37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1</v>
      </c>
      <c r="AD992">
        <v>0</v>
      </c>
      <c r="AE992">
        <v>1</v>
      </c>
      <c r="AF992">
        <v>0</v>
      </c>
      <c r="AG992">
        <v>0</v>
      </c>
      <c r="AH992" s="86">
        <f>AVERAGEIFS($C$2:C992, $B$2:B992, B992)</f>
        <v>18.79032258064516</v>
      </c>
      <c r="AI992" s="86">
        <f>AVERAGEIFS($I$2:I992, $B$2:B992, B992)</f>
        <v>0.49032258064516115</v>
      </c>
      <c r="AJ992" s="86">
        <f>AVERAGEIFS($J$2:J992, $B$2:B992, B992)</f>
        <v>0.48806451612903234</v>
      </c>
      <c r="AK992" s="86">
        <f>AVERAGEIFS($D$2:D992, $B$2:B992, B992)</f>
        <v>0.43548387096774194</v>
      </c>
    </row>
    <row r="993" spans="1:37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1</v>
      </c>
      <c r="AD993">
        <v>0</v>
      </c>
      <c r="AE993">
        <v>1</v>
      </c>
      <c r="AF993">
        <v>0</v>
      </c>
      <c r="AG993">
        <v>0</v>
      </c>
      <c r="AH993" s="86">
        <f>AVERAGEIFS($C$2:C993, $B$2:B993, B993)</f>
        <v>18.533333333333335</v>
      </c>
      <c r="AI993" s="86">
        <f>AVERAGEIFS($I$2:I993, $B$2:B993, B993)</f>
        <v>0.44666666666666671</v>
      </c>
      <c r="AJ993" s="86">
        <f>AVERAGEIFS($J$2:J993, $B$2:B993, B993)</f>
        <v>0.45333333333333314</v>
      </c>
      <c r="AK993" s="86">
        <f>AVERAGEIFS($D$2:D993, $B$2:B993, B993)</f>
        <v>0.46666666666666667</v>
      </c>
    </row>
    <row r="994" spans="1:37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1</v>
      </c>
      <c r="AD994">
        <v>0</v>
      </c>
      <c r="AE994">
        <v>1</v>
      </c>
      <c r="AF994">
        <v>0</v>
      </c>
      <c r="AG994">
        <v>0</v>
      </c>
      <c r="AH994" s="86">
        <f>AVERAGEIFS($C$2:C994, $B$2:B994, B994)</f>
        <v>12.678571428571429</v>
      </c>
      <c r="AI994" s="86">
        <f>AVERAGEIFS($I$2:I994, $B$2:B994, B994)</f>
        <v>0.5446428571428571</v>
      </c>
      <c r="AJ994" s="86">
        <f>AVERAGEIFS($J$2:J994, $B$2:B994, B994)</f>
        <v>0.53142857142857147</v>
      </c>
      <c r="AK994" s="86">
        <f>AVERAGEIFS($D$2:D994, $B$2:B994, B994)</f>
        <v>0.5</v>
      </c>
    </row>
    <row r="995" spans="1:37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1</v>
      </c>
      <c r="AD995">
        <v>0</v>
      </c>
      <c r="AE995">
        <v>1</v>
      </c>
      <c r="AF995">
        <v>0</v>
      </c>
      <c r="AG995">
        <v>0</v>
      </c>
      <c r="AH995" s="86">
        <f>AVERAGEIFS($C$2:C995, $B$2:B995, B995)</f>
        <v>13.724137931034482</v>
      </c>
      <c r="AI995" s="86">
        <f>AVERAGEIFS($I$2:I995, $B$2:B995, B995)</f>
        <v>0.44413793103448274</v>
      </c>
      <c r="AJ995" s="86">
        <f>AVERAGEIFS($J$2:J995, $B$2:B995, B995)</f>
        <v>0.46379310344827579</v>
      </c>
      <c r="AK995" s="86">
        <f>AVERAGEIFS($D$2:D995, $B$2:B995, B995)</f>
        <v>0.41379310344827586</v>
      </c>
    </row>
    <row r="996" spans="1:37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1</v>
      </c>
      <c r="AD996">
        <v>0</v>
      </c>
      <c r="AE996">
        <v>1</v>
      </c>
      <c r="AF996">
        <v>0</v>
      </c>
      <c r="AG996">
        <v>0</v>
      </c>
      <c r="AH996" s="86">
        <f>AVERAGEIFS($C$2:C996, $B$2:B996, B996)</f>
        <v>14</v>
      </c>
      <c r="AI996" s="86">
        <f>AVERAGEIFS($I$2:I996, $B$2:B996, B996)</f>
        <v>0.48461538461538461</v>
      </c>
      <c r="AJ996" s="86">
        <f>AVERAGEIFS($J$2:J996, $B$2:B996, B996)</f>
        <v>0.51153846153846161</v>
      </c>
      <c r="AK996" s="86">
        <f>AVERAGEIFS($D$2:D996, $B$2:B996, B996)</f>
        <v>0.61538461538461542</v>
      </c>
    </row>
    <row r="997" spans="1:37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1</v>
      </c>
      <c r="AG997">
        <v>0</v>
      </c>
      <c r="AH997" s="86">
        <f>AVERAGEIFS($C$2:C997, $B$2:B997, B997)</f>
        <v>24.941176470588236</v>
      </c>
      <c r="AI997" s="86">
        <f>AVERAGEIFS($I$2:I997, $B$2:B997, B997)</f>
        <v>0.43970588235294117</v>
      </c>
      <c r="AJ997" s="86">
        <f>AVERAGEIFS($J$2:J997, $B$2:B997, B997)</f>
        <v>0.46264705882352936</v>
      </c>
      <c r="AK997" s="86">
        <f>AVERAGEIFS($D$2:D997, $B$2:B997, B997)</f>
        <v>0.35294117647058826</v>
      </c>
    </row>
    <row r="998" spans="1:37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1</v>
      </c>
      <c r="AG998">
        <v>0</v>
      </c>
      <c r="AH998" s="86">
        <f>AVERAGEIFS($C$2:C998, $B$2:B998, B998)</f>
        <v>22.323076923076922</v>
      </c>
      <c r="AI998" s="86">
        <f>AVERAGEIFS($I$2:I998, $B$2:B998, B998)</f>
        <v>0.53353846153846163</v>
      </c>
      <c r="AJ998" s="86">
        <f>AVERAGEIFS($J$2:J998, $B$2:B998, B998)</f>
        <v>0.51984615384615385</v>
      </c>
      <c r="AK998" s="86">
        <f>AVERAGEIFS($D$2:D998, $B$2:B998, B998)</f>
        <v>0.6</v>
      </c>
    </row>
    <row r="999" spans="1:37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1</v>
      </c>
      <c r="AG999">
        <v>0</v>
      </c>
      <c r="AH999" s="86">
        <f>AVERAGEIFS($C$2:C999, $B$2:B999, B999)</f>
        <v>14.75</v>
      </c>
      <c r="AI999" s="86">
        <f>AVERAGEIFS($I$2:I999, $B$2:B999, B999)</f>
        <v>0.49464285714285722</v>
      </c>
      <c r="AJ999" s="86">
        <f>AVERAGEIFS($J$2:J999, $B$2:B999, B999)</f>
        <v>0.49392857142857149</v>
      </c>
      <c r="AK999" s="86">
        <f>AVERAGEIFS($D$2:D999, $B$2:B999, B999)</f>
        <v>0.39285714285714285</v>
      </c>
    </row>
    <row r="1000" spans="1:37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1</v>
      </c>
      <c r="AG1000">
        <v>0</v>
      </c>
      <c r="AH1000" s="86">
        <f>AVERAGEIFS($C$2:C1000, $B$2:B1000, B1000)</f>
        <v>9</v>
      </c>
      <c r="AI1000" s="86">
        <f>AVERAGEIFS($I$2:I1000, $B$2:B1000, B1000)</f>
        <v>0.56874999999999998</v>
      </c>
      <c r="AJ1000" s="86">
        <f>AVERAGEIFS($J$2:J1000, $B$2:B1000, B1000)</f>
        <v>0.51374999999999993</v>
      </c>
      <c r="AK1000" s="86">
        <f>AVERAGEIFS($D$2:D1000, $B$2:B1000, B1000)</f>
        <v>0.5</v>
      </c>
    </row>
    <row r="1001" spans="1:37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1</v>
      </c>
      <c r="AG1001">
        <v>0</v>
      </c>
      <c r="AH1001" s="86">
        <f>AVERAGEIFS($C$2:C1001, $B$2:B1001, B1001)</f>
        <v>14.117647058823529</v>
      </c>
      <c r="AI1001" s="86">
        <f>AVERAGEIFS($I$2:I1001, $B$2:B1001, B1001)</f>
        <v>0.49705882352941172</v>
      </c>
      <c r="AJ1001" s="86">
        <f>AVERAGEIFS($J$2:J1001, $B$2:B1001, B1001)</f>
        <v>0.49705882352941172</v>
      </c>
      <c r="AK1001" s="86">
        <f>AVERAGEIFS($D$2:D1001, $B$2:B1001, B1001)</f>
        <v>0.41176470588235292</v>
      </c>
    </row>
    <row r="1002" spans="1:37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1</v>
      </c>
      <c r="AG1002">
        <v>0</v>
      </c>
      <c r="AH1002" s="86">
        <f>AVERAGEIFS($C$2:C1002, $B$2:B1002, B1002)</f>
        <v>19.710526315789473</v>
      </c>
      <c r="AI1002" s="86">
        <f>AVERAGEIFS($I$2:I1002, $B$2:B1002, B1002)</f>
        <v>0.53078947368421059</v>
      </c>
      <c r="AJ1002" s="86">
        <f>AVERAGEIFS($J$2:J1002, $B$2:B1002, B1002)</f>
        <v>0.49421052631578949</v>
      </c>
      <c r="AK1002" s="86">
        <f>AVERAGEIFS($D$2:D1002, $B$2:B1002, B1002)</f>
        <v>0.55263157894736847</v>
      </c>
    </row>
    <row r="1003" spans="1:37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1</v>
      </c>
      <c r="AG1003">
        <v>0</v>
      </c>
      <c r="AH1003" s="86">
        <f>AVERAGEIFS($C$2:C1003, $B$2:B1003, B1003)</f>
        <v>17.902439024390244</v>
      </c>
      <c r="AI1003" s="86">
        <f>AVERAGEIFS($I$2:I1003, $B$2:B1003, B1003)</f>
        <v>0.49951219512195133</v>
      </c>
      <c r="AJ1003" s="86">
        <f>AVERAGEIFS($J$2:J1003, $B$2:B1003, B1003)</f>
        <v>0.5099999999999999</v>
      </c>
      <c r="AK1003" s="86">
        <f>AVERAGEIFS($D$2:D1003, $B$2:B1003, B1003)</f>
        <v>0.48780487804878048</v>
      </c>
    </row>
    <row r="1004" spans="1:37" x14ac:dyDescent="0.25">
      <c r="A1004" s="85">
        <v>46146</v>
      </c>
      <c r="B1004" t="s">
        <v>17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1</v>
      </c>
      <c r="AD1004">
        <v>0</v>
      </c>
      <c r="AE1004">
        <v>0</v>
      </c>
      <c r="AF1004">
        <v>0</v>
      </c>
      <c r="AG1004">
        <v>1</v>
      </c>
      <c r="AH1004" s="86">
        <f>AVERAGEIFS($C$2:C1004, $B$2:B1004, B1004)</f>
        <v>19.923076923076923</v>
      </c>
      <c r="AI1004" s="86">
        <f>AVERAGEIFS($I$2:I1004, $B$2:B1004, B1004)</f>
        <v>0.53641025641025641</v>
      </c>
      <c r="AJ1004" s="86">
        <f>AVERAGEIFS($J$2:J1004, $B$2:B1004, B1004)</f>
        <v>0.49871794871794878</v>
      </c>
      <c r="AK1004" s="86">
        <f>AVERAGEIFS($D$2:D1004, $B$2:B1004, B1004)</f>
        <v>0.5641025641025641</v>
      </c>
    </row>
    <row r="1005" spans="1:37" x14ac:dyDescent="0.25">
      <c r="A1005" s="85">
        <v>46146</v>
      </c>
      <c r="B1005" t="s">
        <v>50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1</v>
      </c>
      <c r="AD1005">
        <v>0</v>
      </c>
      <c r="AE1005">
        <v>0</v>
      </c>
      <c r="AF1005">
        <v>0</v>
      </c>
      <c r="AG1005">
        <v>1</v>
      </c>
      <c r="AH1005" s="86">
        <f>AVERAGEIFS($C$2:C1005, $B$2:B1005, B1005)</f>
        <v>17.88095238095238</v>
      </c>
      <c r="AI1005" s="86">
        <f>AVERAGEIFS($I$2:I1005, $B$2:B1005, B1005)</f>
        <v>0.50547619047619052</v>
      </c>
      <c r="AJ1005" s="86">
        <f>AVERAGEIFS($J$2:J1005, $B$2:B1005, B1005)</f>
        <v>0.51380952380952372</v>
      </c>
      <c r="AK1005" s="86">
        <f>AVERAGEIFS($D$2:D1005, $B$2:B1005, B1005)</f>
        <v>0.5</v>
      </c>
    </row>
    <row r="1006" spans="1:37" x14ac:dyDescent="0.25">
      <c r="A1006" s="85">
        <v>46146</v>
      </c>
      <c r="B1006" t="s">
        <v>54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1</v>
      </c>
      <c r="AD1006">
        <v>0</v>
      </c>
      <c r="AE1006">
        <v>0</v>
      </c>
      <c r="AF1006">
        <v>0</v>
      </c>
      <c r="AG1006">
        <v>1</v>
      </c>
      <c r="AH1006" s="86">
        <f>AVERAGEIFS($C$2:C1006, $B$2:B1006, B1006)</f>
        <v>23.706896551724139</v>
      </c>
      <c r="AI1006" s="86">
        <f>AVERAGEIFS($I$2:I1006, $B$2:B1006, B1006)</f>
        <v>0.53482758620689663</v>
      </c>
      <c r="AJ1006" s="86">
        <f>AVERAGEIFS($J$2:J1006, $B$2:B1006, B1006)</f>
        <v>0.51344827586206887</v>
      </c>
      <c r="AK1006" s="86">
        <f>AVERAGEIFS($D$2:D1006, $B$2:B1006, B1006)</f>
        <v>0.55172413793103448</v>
      </c>
    </row>
    <row r="1007" spans="1:37" x14ac:dyDescent="0.25">
      <c r="A1007" s="85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1</v>
      </c>
      <c r="AD1007">
        <v>0</v>
      </c>
      <c r="AE1007">
        <v>0</v>
      </c>
      <c r="AF1007">
        <v>0</v>
      </c>
      <c r="AG1007">
        <v>1</v>
      </c>
      <c r="AH1007" s="86">
        <f>AVERAGEIFS($C$2:C1007, $B$2:B1007, B1007)</f>
        <v>19.741935483870968</v>
      </c>
      <c r="AI1007" s="86">
        <f>AVERAGEIFS($I$2:I1007, $B$2:B1007, B1007)</f>
        <v>0.61193548387096774</v>
      </c>
      <c r="AJ1007" s="86">
        <f>AVERAGEIFS($J$2:J1007, $B$2:B1007, B1007)</f>
        <v>0.55322580645161312</v>
      </c>
      <c r="AK1007" s="86">
        <f>AVERAGEIFS($D$2:D1007, $B$2:B1007, B1007)</f>
        <v>0.70967741935483875</v>
      </c>
    </row>
    <row r="1008" spans="1:37" x14ac:dyDescent="0.25">
      <c r="A1008" s="85">
        <v>46146</v>
      </c>
      <c r="B1008" t="s">
        <v>161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1</v>
      </c>
      <c r="AD1008">
        <v>0</v>
      </c>
      <c r="AE1008">
        <v>0</v>
      </c>
      <c r="AF1008">
        <v>0</v>
      </c>
      <c r="AG1008">
        <v>1</v>
      </c>
      <c r="AH1008" s="86">
        <f>AVERAGEIFS($C$2:C1008, $B$2:B1008, B1008)</f>
        <v>9.4444444444444446</v>
      </c>
      <c r="AI1008" s="86">
        <f>AVERAGEIFS($I$2:I1008, $B$2:B1008, B1008)</f>
        <v>0.58888888888888891</v>
      </c>
      <c r="AJ1008" s="86">
        <f>AVERAGEIFS($J$2:J1008, $B$2:B1008, B1008)</f>
        <v>0.53111111111111109</v>
      </c>
      <c r="AK1008" s="86">
        <f>AVERAGEIFS($D$2:D1008, $B$2:B1008, B1008)</f>
        <v>0.55555555555555558</v>
      </c>
    </row>
    <row r="1009" spans="1:37" x14ac:dyDescent="0.25">
      <c r="A1009" s="85">
        <v>46146</v>
      </c>
      <c r="B1009" t="s">
        <v>179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1</v>
      </c>
      <c r="AD1009">
        <v>0</v>
      </c>
      <c r="AE1009">
        <v>0</v>
      </c>
      <c r="AF1009">
        <v>0</v>
      </c>
      <c r="AG1009">
        <v>1</v>
      </c>
      <c r="AH1009" s="86">
        <f>AVERAGEIFS($C$2:C1009, $B$2:B1009, B1009)</f>
        <v>11</v>
      </c>
      <c r="AI1009" s="86">
        <f>AVERAGEIFS($I$2:I1009, $B$2:B1009, B1009)</f>
        <v>0.75</v>
      </c>
      <c r="AJ1009" s="86">
        <f>AVERAGEIFS($J$2:J1009, $B$2:B1009, B1009)</f>
        <v>0.67</v>
      </c>
      <c r="AK1009" s="86">
        <f>AVERAGEIFS($D$2:D1009, $B$2:B1009, B1009)</f>
        <v>1</v>
      </c>
    </row>
    <row r="1010" spans="1:37" x14ac:dyDescent="0.25">
      <c r="A1010" s="85">
        <v>46146</v>
      </c>
      <c r="B1010" t="s">
        <v>141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1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 s="86">
        <f>AVERAGEIFS($C$2:C1010, $B$2:B1010, B1010)</f>
        <v>14.071428571428571</v>
      </c>
      <c r="AI1010" s="86">
        <f>AVERAGEIFS($I$2:I1010, $B$2:B1010, B1010)</f>
        <v>0.46785714285714286</v>
      </c>
      <c r="AJ1010" s="86">
        <f>AVERAGEIFS($J$2:J1010, $B$2:B1010, B1010)</f>
        <v>0.49857142857142867</v>
      </c>
      <c r="AK1010" s="86">
        <f>AVERAGEIFS($D$2:D1010, $B$2:B1010, B1010)</f>
        <v>0.5714285714285714</v>
      </c>
    </row>
    <row r="1011" spans="1:37" x14ac:dyDescent="0.25">
      <c r="A1011" s="85">
        <v>46146</v>
      </c>
      <c r="B1011" t="s">
        <v>147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1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 s="86">
        <f>AVERAGEIFS($C$2:C1011, $B$2:B1011, B1011)</f>
        <v>12.724137931034482</v>
      </c>
      <c r="AI1011" s="86">
        <f>AVERAGEIFS($I$2:I1011, $B$2:B1011, B1011)</f>
        <v>0.53448275862068961</v>
      </c>
      <c r="AJ1011" s="86">
        <f>AVERAGEIFS($J$2:J1011, $B$2:B1011, B1011)</f>
        <v>0.52448275862068972</v>
      </c>
      <c r="AK1011" s="86">
        <f>AVERAGEIFS($D$2:D1011, $B$2:B1011, B1011)</f>
        <v>0.48275862068965519</v>
      </c>
    </row>
    <row r="1012" spans="1:37" x14ac:dyDescent="0.25">
      <c r="A1012" s="85">
        <v>46146</v>
      </c>
      <c r="B1012" t="s">
        <v>150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 s="86">
        <f>AVERAGEIFS($C$2:C1012, $B$2:B1012, B1012)</f>
        <v>17.263157894736842</v>
      </c>
      <c r="AI1012" s="86">
        <f>AVERAGEIFS($I$2:I1012, $B$2:B1012, B1012)</f>
        <v>0.62894736842105259</v>
      </c>
      <c r="AJ1012" s="86">
        <f>AVERAGEIFS($J$2:J1012, $B$2:B1012, B1012)</f>
        <v>0.58105263157894749</v>
      </c>
      <c r="AK1012" s="86">
        <f>AVERAGEIFS($D$2:D1012, $B$2:B1012, B1012)</f>
        <v>0.63157894736842102</v>
      </c>
    </row>
    <row r="1013" spans="1:37" x14ac:dyDescent="0.25">
      <c r="A1013" s="85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1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 s="86">
        <f>AVERAGEIFS($C$2:C1013, $B$2:B1013, B1013)</f>
        <v>24.62857142857143</v>
      </c>
      <c r="AI1013" s="86">
        <f>AVERAGEIFS($I$2:I1013, $B$2:B1013, B1013)</f>
        <v>0.43428571428571427</v>
      </c>
      <c r="AJ1013" s="86">
        <f>AVERAGEIFS($J$2:J1013, $B$2:B1013, B1013)</f>
        <v>0.4588571428571428</v>
      </c>
      <c r="AK1013" s="86">
        <f>AVERAGEIFS($D$2:D1013, $B$2:B1013, B1013)</f>
        <v>0.34285714285714286</v>
      </c>
    </row>
    <row r="1014" spans="1:37" x14ac:dyDescent="0.25">
      <c r="A1014" s="85">
        <v>46146</v>
      </c>
      <c r="B1014" t="s">
        <v>42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1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 s="86">
        <f>AVERAGEIFS($C$2:C1014, $B$2:B1014, B1014)</f>
        <v>18.347826086956523</v>
      </c>
      <c r="AI1014" s="86">
        <f>AVERAGEIFS($I$2:I1014, $B$2:B1014, B1014)</f>
        <v>0.44239130434782614</v>
      </c>
      <c r="AJ1014" s="86">
        <f>AVERAGEIFS($J$2:J1014, $B$2:B1014, B1014)</f>
        <v>0.45065217391304324</v>
      </c>
      <c r="AK1014" s="86">
        <f>AVERAGEIFS($D$2:D1014, $B$2:B1014, B1014)</f>
        <v>0.45652173913043476</v>
      </c>
    </row>
    <row r="1015" spans="1:37" x14ac:dyDescent="0.25">
      <c r="A1015" s="85">
        <v>46146</v>
      </c>
      <c r="B1015" t="s">
        <v>152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 s="86">
        <f>AVERAGEIFS($C$2:C1015, $B$2:B1015, B1015)</f>
        <v>13</v>
      </c>
      <c r="AI1015" s="86">
        <f>AVERAGEIFS($I$2:I1015, $B$2:B1015, B1015)</f>
        <v>0.49000000000000005</v>
      </c>
      <c r="AJ1015" s="86">
        <f>AVERAGEIFS($J$2:J1015, $B$2:B1015, B1015)</f>
        <v>0.5</v>
      </c>
      <c r="AK1015" s="86">
        <f>AVERAGEIFS($D$2:D1015, $B$2:B1015, B1015)</f>
        <v>0.4</v>
      </c>
    </row>
    <row r="1016" spans="1:37" x14ac:dyDescent="0.25">
      <c r="A1016" s="85">
        <v>46147</v>
      </c>
      <c r="B1016" t="s">
        <v>40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 s="86">
        <f>AVERAGEIFS($C$2:C1016, $B$2:B1016, B1016)</f>
        <v>18.777777777777779</v>
      </c>
      <c r="AI1016" s="86">
        <f>AVERAGEIFS($I$2:I1016, $B$2:B1016, B1016)</f>
        <v>0.48253968253968238</v>
      </c>
      <c r="AJ1016" s="86">
        <f>AVERAGEIFS($J$2:J1016, $B$2:B1016, B1016)</f>
        <v>0.4852380952380953</v>
      </c>
      <c r="AK1016" s="86">
        <f>AVERAGEIFS($D$2:D1016, $B$2:B1016, B1016)</f>
        <v>0.42857142857142855</v>
      </c>
    </row>
    <row r="1017" spans="1:37" x14ac:dyDescent="0.25">
      <c r="A1017" s="85">
        <v>46147</v>
      </c>
      <c r="B1017" t="s">
        <v>54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 s="86">
        <f>AVERAGEIFS($C$2:C1017, $B$2:B1017, B1017)</f>
        <v>23.745762711864408</v>
      </c>
      <c r="AI1017" s="86">
        <f>AVERAGEIFS($I$2:I1017, $B$2:B1017, B1017)</f>
        <v>0.52576271186440682</v>
      </c>
      <c r="AJ1017" s="86">
        <f>AVERAGEIFS($J$2:J1017, $B$2:B1017, B1017)</f>
        <v>0.5099999999999999</v>
      </c>
      <c r="AK1017" s="86">
        <f>AVERAGEIFS($D$2:D1017, $B$2:B1017, B1017)</f>
        <v>0.5423728813559322</v>
      </c>
    </row>
    <row r="1018" spans="1:37" x14ac:dyDescent="0.25">
      <c r="A1018" s="85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 s="86">
        <f>AVERAGEIFS($C$2:C1018, $B$2:B1018, B1018)</f>
        <v>22.30952380952381</v>
      </c>
      <c r="AI1018" s="86">
        <f>AVERAGEIFS($I$2:I1018, $B$2:B1018, B1018)</f>
        <v>0.5149999999999999</v>
      </c>
      <c r="AJ1018" s="86">
        <f>AVERAGEIFS($J$2:J1018, $B$2:B1018, B1018)</f>
        <v>0.53214285714285714</v>
      </c>
      <c r="AK1018" s="86">
        <f>AVERAGEIFS($D$2:D1018, $B$2:B1018, B1018)</f>
        <v>0.5</v>
      </c>
    </row>
    <row r="1019" spans="1:37" x14ac:dyDescent="0.25">
      <c r="A1019" s="85">
        <v>46147</v>
      </c>
      <c r="B1019" t="s">
        <v>113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 s="86">
        <f>AVERAGEIFS($C$2:C1019, $B$2:B1019, B1019)</f>
        <v>17.774999999999999</v>
      </c>
      <c r="AI1019" s="86">
        <f>AVERAGEIFS($I$2:I1019, $B$2:B1019, B1019)</f>
        <v>0.53749999999999987</v>
      </c>
      <c r="AJ1019" s="86">
        <f>AVERAGEIFS($J$2:J1019, $B$2:B1019, B1019)</f>
        <v>0.51950000000000007</v>
      </c>
      <c r="AK1019" s="86">
        <f>AVERAGEIFS($D$2:D1019, $B$2:B1019, B1019)</f>
        <v>0.5</v>
      </c>
    </row>
    <row r="1020" spans="1:37" x14ac:dyDescent="0.25">
      <c r="A1020" s="85">
        <v>46147</v>
      </c>
      <c r="B1020" t="s">
        <v>53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 s="86">
        <f>AVERAGEIFS($C$2:C1020, $B$2:B1020, B1020)</f>
        <v>14.793103448275861</v>
      </c>
      <c r="AI1020" s="86">
        <f>AVERAGEIFS($I$2:I1020, $B$2:B1020, B1020)</f>
        <v>0.47758620689655179</v>
      </c>
      <c r="AJ1020" s="86">
        <f>AVERAGEIFS($J$2:J1020, $B$2:B1020, B1020)</f>
        <v>0.4875862068965518</v>
      </c>
      <c r="AK1020" s="86">
        <f>AVERAGEIFS($D$2:D1020, $B$2:B1020, B1020)</f>
        <v>0.37931034482758619</v>
      </c>
    </row>
    <row r="1021" spans="1:37" x14ac:dyDescent="0.25">
      <c r="A1021" s="85">
        <v>46147</v>
      </c>
      <c r="B1021" t="s">
        <v>18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 s="86">
        <f>AVERAGEIFS($C$2:C1021, $B$2:B1021, B1021)</f>
        <v>18.875</v>
      </c>
      <c r="AI1021" s="86">
        <f>AVERAGEIFS($I$2:I1021, $B$2:B1021, B1021)</f>
        <v>0.66874999999999996</v>
      </c>
      <c r="AJ1021" s="86">
        <f>AVERAGEIFS($J$2:J1021, $B$2:B1021, B1021)</f>
        <v>0.58124999999999993</v>
      </c>
      <c r="AK1021" s="86">
        <f>AVERAGEIFS($D$2:D1021, $B$2:B1021, B1021)</f>
        <v>0.75</v>
      </c>
    </row>
    <row r="1022" spans="1:37" x14ac:dyDescent="0.25">
      <c r="A1022" s="85">
        <v>46147</v>
      </c>
      <c r="B1022" t="s">
        <v>50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 s="86">
        <f>AVERAGEIFS($C$2:C1022, $B$2:B1022, B1022)</f>
        <v>17.837209302325583</v>
      </c>
      <c r="AI1022" s="86">
        <f>AVERAGEIFS($I$2:I1022, $B$2:B1022, B1022)</f>
        <v>0.49372093023255825</v>
      </c>
      <c r="AJ1022" s="86">
        <f>AVERAGEIFS($J$2:J1022, $B$2:B1022, B1022)</f>
        <v>0.50906976744186039</v>
      </c>
      <c r="AK1022" s="86">
        <f>AVERAGEIFS($D$2:D1022, $B$2:B1022, B1022)</f>
        <v>0.48837209302325579</v>
      </c>
    </row>
    <row r="1023" spans="1:37" x14ac:dyDescent="0.25">
      <c r="A1023" s="85">
        <v>46147</v>
      </c>
      <c r="B1023" t="s">
        <v>13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 s="86">
        <f>AVERAGEIFS($C$2:C1023, $B$2:B1023, B1023)</f>
        <v>14</v>
      </c>
      <c r="AI1023" s="86">
        <f>AVERAGEIFS($I$2:I1023, $B$2:B1023, B1023)</f>
        <v>0.46944444444444439</v>
      </c>
      <c r="AJ1023" s="86">
        <f>AVERAGEIFS($J$2:J1023, $B$2:B1023, B1023)</f>
        <v>0.48666666666666664</v>
      </c>
      <c r="AK1023" s="86">
        <f>AVERAGEIFS($D$2:D1023, $B$2:B1023, B1023)</f>
        <v>0.3888888888888889</v>
      </c>
    </row>
    <row r="1024" spans="1:37" x14ac:dyDescent="0.25">
      <c r="A1024" s="85">
        <v>46147</v>
      </c>
      <c r="B1024" t="s">
        <v>42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0</v>
      </c>
      <c r="AD1024">
        <v>1</v>
      </c>
      <c r="AE1024">
        <v>0</v>
      </c>
      <c r="AF1024">
        <v>0</v>
      </c>
      <c r="AG1024">
        <v>0</v>
      </c>
      <c r="AH1024" s="86">
        <f>AVERAGEIFS($C$2:C1024, $B$2:B1024, B1024)</f>
        <v>18.170212765957448</v>
      </c>
      <c r="AI1024" s="86">
        <f>AVERAGEIFS($I$2:I1024, $B$2:B1024, B1024)</f>
        <v>0.45425531914893619</v>
      </c>
      <c r="AJ1024" s="86">
        <f>AVERAGEIFS($J$2:J1024, $B$2:B1024, B1024)</f>
        <v>0.45574468085106362</v>
      </c>
      <c r="AK1024" s="86">
        <f>AVERAGEIFS($D$2:D1024, $B$2:B1024, B1024)</f>
        <v>0.46808510638297873</v>
      </c>
    </row>
    <row r="1025" spans="1:37" x14ac:dyDescent="0.25">
      <c r="A1025" s="85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0</v>
      </c>
      <c r="AD1025">
        <v>1</v>
      </c>
      <c r="AE1025">
        <v>0</v>
      </c>
      <c r="AF1025">
        <v>0</v>
      </c>
      <c r="AG1025">
        <v>0</v>
      </c>
      <c r="AH1025" s="86">
        <f>AVERAGEIFS($C$2:C1025, $B$2:B1025, B1025)</f>
        <v>27.307692307692307</v>
      </c>
      <c r="AI1025" s="86">
        <f>AVERAGEIFS($I$2:I1025, $B$2:B1025, B1025)</f>
        <v>0.49615384615384617</v>
      </c>
      <c r="AJ1025" s="86">
        <f>AVERAGEIFS($J$2:J1025, $B$2:B1025, B1025)</f>
        <v>0.49948717948717958</v>
      </c>
      <c r="AK1025" s="86">
        <f>AVERAGEIFS($D$2:D1025, $B$2:B1025, B1025)</f>
        <v>0.51282051282051277</v>
      </c>
    </row>
    <row r="1026" spans="1:37" x14ac:dyDescent="0.25">
      <c r="A1026" s="85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1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0</v>
      </c>
      <c r="AD1026">
        <v>1</v>
      </c>
      <c r="AE1026">
        <v>0</v>
      </c>
      <c r="AF1026">
        <v>0</v>
      </c>
      <c r="AG1026">
        <v>0</v>
      </c>
      <c r="AH1026" s="86">
        <f>AVERAGEIFS($C$2:C1026, $B$2:B1026, B1026)</f>
        <v>22.439393939393938</v>
      </c>
      <c r="AI1026" s="86">
        <f>AVERAGEIFS($I$2:I1026, $B$2:B1026, B1026)</f>
        <v>0.54060606060606076</v>
      </c>
      <c r="AJ1026" s="86">
        <f>AVERAGEIFS($J$2:J1026, $B$2:B1026, B1026)</f>
        <v>0.52242424242424235</v>
      </c>
      <c r="AK1026" s="86">
        <f>AVERAGEIFS($D$2:D1026, $B$2:B1026, B1026)</f>
        <v>0.60606060606060608</v>
      </c>
    </row>
    <row r="1027" spans="1:37" x14ac:dyDescent="0.25">
      <c r="A1027" s="85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0</v>
      </c>
      <c r="AD1027">
        <v>1</v>
      </c>
      <c r="AE1027">
        <v>0</v>
      </c>
      <c r="AF1027">
        <v>0</v>
      </c>
      <c r="AG1027">
        <v>0</v>
      </c>
      <c r="AH1027" s="86">
        <f>AVERAGEIFS($C$2:C1027, $B$2:B1027, B1027)</f>
        <v>24.805555555555557</v>
      </c>
      <c r="AI1027" s="86">
        <f>AVERAGEIFS($I$2:I1027, $B$2:B1027, B1027)</f>
        <v>0.44999999999999996</v>
      </c>
      <c r="AJ1027" s="86">
        <f>AVERAGEIFS($J$2:J1027, $B$2:B1027, B1027)</f>
        <v>0.46527777777777779</v>
      </c>
      <c r="AK1027" s="86">
        <f>AVERAGEIFS($D$2:D1027, $B$2:B1027, B1027)</f>
        <v>0.3611111111111111</v>
      </c>
    </row>
    <row r="1028" spans="1:37" x14ac:dyDescent="0.25">
      <c r="A1028" s="85">
        <v>46147</v>
      </c>
      <c r="B1028" t="s">
        <v>17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1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0</v>
      </c>
      <c r="AD1028">
        <v>1</v>
      </c>
      <c r="AE1028">
        <v>0</v>
      </c>
      <c r="AF1028">
        <v>0</v>
      </c>
      <c r="AG1028">
        <v>0</v>
      </c>
      <c r="AH1028" s="86">
        <f>AVERAGEIFS($C$2:C1028, $B$2:B1028, B1028)</f>
        <v>19.824999999999999</v>
      </c>
      <c r="AI1028" s="86">
        <f>AVERAGEIFS($I$2:I1028, $B$2:B1028, B1028)</f>
        <v>0.54800000000000004</v>
      </c>
      <c r="AJ1028" s="86">
        <f>AVERAGEIFS($J$2:J1028, $B$2:B1028, B1028)</f>
        <v>0.50350000000000006</v>
      </c>
      <c r="AK1028" s="86">
        <f>AVERAGEIFS($D$2:D1028, $B$2:B1028, B1028)</f>
        <v>0.57499999999999996</v>
      </c>
    </row>
    <row r="1029" spans="1:37" x14ac:dyDescent="0.25">
      <c r="A1029" s="85">
        <v>46147</v>
      </c>
      <c r="B1029" t="s">
        <v>141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1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D1029">
        <v>1</v>
      </c>
      <c r="AE1029">
        <v>0</v>
      </c>
      <c r="AF1029">
        <v>0</v>
      </c>
      <c r="AG1029">
        <v>0</v>
      </c>
      <c r="AH1029" s="86">
        <f>AVERAGEIFS($C$2:C1029, $B$2:B1029, B1029)</f>
        <v>14.066666666666666</v>
      </c>
      <c r="AI1029" s="86">
        <f>AVERAGEIFS($I$2:I1029, $B$2:B1029, B1029)</f>
        <v>0.5033333333333333</v>
      </c>
      <c r="AJ1029" s="86">
        <f>AVERAGEIFS($J$2:J1029, $B$2:B1029, B1029)</f>
        <v>0.51133333333333342</v>
      </c>
      <c r="AK1029" s="86">
        <f>AVERAGEIFS($D$2:D1029, $B$2:B1029, B1029)</f>
        <v>0.6</v>
      </c>
    </row>
    <row r="1030" spans="1:37" x14ac:dyDescent="0.25">
      <c r="A1030" s="85">
        <v>46147</v>
      </c>
      <c r="B1030" t="s">
        <v>14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1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0</v>
      </c>
      <c r="AD1030">
        <v>1</v>
      </c>
      <c r="AE1030">
        <v>0</v>
      </c>
      <c r="AF1030">
        <v>0</v>
      </c>
      <c r="AG1030">
        <v>0</v>
      </c>
      <c r="AH1030" s="86">
        <f>AVERAGEIFS($C$2:C1030, $B$2:B1030, B1030)</f>
        <v>16.761904761904763</v>
      </c>
      <c r="AI1030" s="86">
        <f>AVERAGEIFS($I$2:I1030, $B$2:B1030, B1030)</f>
        <v>0.48190476190476189</v>
      </c>
      <c r="AJ1030" s="86">
        <f>AVERAGEIFS($J$2:J1030, $B$2:B1030, B1030)</f>
        <v>0.49666666666666665</v>
      </c>
      <c r="AK1030" s="86">
        <f>AVERAGEIFS($D$2:D1030, $B$2:B1030, B1030)</f>
        <v>0.47619047619047616</v>
      </c>
    </row>
    <row r="1031" spans="1:37" x14ac:dyDescent="0.25">
      <c r="A1031" s="85">
        <v>46147</v>
      </c>
      <c r="B1031" t="s">
        <v>44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1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0</v>
      </c>
      <c r="AD1031">
        <v>1</v>
      </c>
      <c r="AE1031">
        <v>0</v>
      </c>
      <c r="AF1031">
        <v>0</v>
      </c>
      <c r="AG1031">
        <v>0</v>
      </c>
      <c r="AH1031" s="86">
        <f>AVERAGEIFS($C$2:C1031, $B$2:B1031, B1031)</f>
        <v>16.666666666666668</v>
      </c>
      <c r="AI1031" s="86">
        <f>AVERAGEIFS($I$2:I1031, $B$2:B1031, B1031)</f>
        <v>0.54888888888888887</v>
      </c>
      <c r="AJ1031" s="86">
        <f>AVERAGEIFS($J$2:J1031, $B$2:B1031, B1031)</f>
        <v>0.5411111111111111</v>
      </c>
      <c r="AK1031" s="86">
        <f>AVERAGEIFS($D$2:D1031, $B$2:B1031, B1031)</f>
        <v>0.64444444444444449</v>
      </c>
    </row>
    <row r="1032" spans="1:37" x14ac:dyDescent="0.25">
      <c r="A1032" s="85">
        <v>46147</v>
      </c>
      <c r="B1032" t="s">
        <v>42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1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0</v>
      </c>
      <c r="AG1032">
        <v>0</v>
      </c>
      <c r="AH1032" s="86">
        <f>AVERAGEIFS($C$2:C1032, $B$2:B1032, B1032)</f>
        <v>18</v>
      </c>
      <c r="AI1032" s="86">
        <f>AVERAGEIFS($I$2:I1032, $B$2:B1032, B1032)</f>
        <v>0.46562500000000001</v>
      </c>
      <c r="AJ1032" s="86">
        <f>AVERAGEIFS($J$2:J1032, $B$2:B1032, B1032)</f>
        <v>0.45958333333333318</v>
      </c>
      <c r="AK1032" s="86">
        <f>AVERAGEIFS($D$2:D1032, $B$2:B1032, B1032)</f>
        <v>0.47916666666666669</v>
      </c>
    </row>
    <row r="1033" spans="1:37" x14ac:dyDescent="0.25">
      <c r="A1033" s="85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1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0</v>
      </c>
      <c r="AG1033">
        <v>0</v>
      </c>
      <c r="AH1033" s="86">
        <f>AVERAGEIFS($C$2:C1033, $B$2:B1033, B1033)</f>
        <v>22.298507462686569</v>
      </c>
      <c r="AI1033" s="86">
        <f>AVERAGEIFS($I$2:I1033, $B$2:B1033, B1033)</f>
        <v>0.54746268656716424</v>
      </c>
      <c r="AJ1033" s="86">
        <f>AVERAGEIFS($J$2:J1033, $B$2:B1033, B1033)</f>
        <v>0.52417910447761196</v>
      </c>
      <c r="AK1033" s="86">
        <f>AVERAGEIFS($D$2:D1033, $B$2:B1033, B1033)</f>
        <v>0.61194029850746268</v>
      </c>
    </row>
    <row r="1034" spans="1:37" x14ac:dyDescent="0.25">
      <c r="A1034" s="85">
        <v>46147</v>
      </c>
      <c r="B1034" t="s">
        <v>113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1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0</v>
      </c>
      <c r="AG1034">
        <v>0</v>
      </c>
      <c r="AH1034" s="86">
        <f>AVERAGEIFS($C$2:C1034, $B$2:B1034, B1034)</f>
        <v>17.707317073170731</v>
      </c>
      <c r="AI1034" s="86">
        <f>AVERAGEIFS($I$2:I1034, $B$2:B1034, B1034)</f>
        <v>0.54878048780487798</v>
      </c>
      <c r="AJ1034" s="86">
        <f>AVERAGEIFS($J$2:J1034, $B$2:B1034, B1034)</f>
        <v>0.52243902439024403</v>
      </c>
      <c r="AK1034" s="86">
        <f>AVERAGEIFS($D$2:D1034, $B$2:B1034, B1034)</f>
        <v>0.51219512195121952</v>
      </c>
    </row>
    <row r="1035" spans="1:37" x14ac:dyDescent="0.25">
      <c r="A1035" s="85">
        <v>46147</v>
      </c>
      <c r="B1035" t="s">
        <v>18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1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0</v>
      </c>
      <c r="AG1035">
        <v>0</v>
      </c>
      <c r="AH1035" s="86">
        <f>AVERAGEIFS($C$2:C1035, $B$2:B1035, B1035)</f>
        <v>17.888888888888889</v>
      </c>
      <c r="AI1035" s="86">
        <f>AVERAGEIFS($I$2:I1035, $B$2:B1035, B1035)</f>
        <v>0.70555555555555549</v>
      </c>
      <c r="AJ1035" s="86">
        <f>AVERAGEIFS($J$2:J1035, $B$2:B1035, B1035)</f>
        <v>0.58777777777777773</v>
      </c>
      <c r="AK1035" s="86">
        <f>AVERAGEIFS($D$2:D1035, $B$2:B1035, B1035)</f>
        <v>0.77777777777777779</v>
      </c>
    </row>
    <row r="1036" spans="1:37" x14ac:dyDescent="0.25">
      <c r="A1036" s="85">
        <v>46147</v>
      </c>
      <c r="B1036" t="s">
        <v>147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1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0</v>
      </c>
      <c r="AG1036">
        <v>0</v>
      </c>
      <c r="AH1036" s="86">
        <f>AVERAGEIFS($C$2:C1036, $B$2:B1036, B1036)</f>
        <v>12.666666666666666</v>
      </c>
      <c r="AI1036" s="86">
        <f>AVERAGEIFS($I$2:I1036, $B$2:B1036, B1036)</f>
        <v>0.55000000000000004</v>
      </c>
      <c r="AJ1036" s="86">
        <f>AVERAGEIFS($J$2:J1036, $B$2:B1036, B1036)</f>
        <v>0.52833333333333343</v>
      </c>
      <c r="AK1036" s="86">
        <f>AVERAGEIFS($D$2:D1036, $B$2:B1036, B1036)</f>
        <v>0.5</v>
      </c>
    </row>
    <row r="1037" spans="1:37" x14ac:dyDescent="0.25">
      <c r="A1037" s="85">
        <v>46147</v>
      </c>
      <c r="B1037" t="s">
        <v>13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1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0</v>
      </c>
      <c r="AG1037">
        <v>0</v>
      </c>
      <c r="AH1037" s="86">
        <f>AVERAGEIFS($C$2:C1037, $B$2:B1037, B1037)</f>
        <v>14.157894736842104</v>
      </c>
      <c r="AI1037" s="86">
        <f>AVERAGEIFS($I$2:I1037, $B$2:B1037, B1037)</f>
        <v>0.49736842105263152</v>
      </c>
      <c r="AJ1037" s="86">
        <f>AVERAGEIFS($J$2:J1037, $B$2:B1037, B1037)</f>
        <v>0.4947368421052632</v>
      </c>
      <c r="AK1037" s="86">
        <f>AVERAGEIFS($D$2:D1037, $B$2:B1037, B1037)</f>
        <v>0.42105263157894735</v>
      </c>
    </row>
    <row r="1038" spans="1:37" x14ac:dyDescent="0.25">
      <c r="A1038" s="85">
        <v>46147</v>
      </c>
      <c r="B1038" t="s">
        <v>40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 s="86">
        <f>AVERAGEIFS($C$2:C1038, $B$2:B1038, B1038)</f>
        <v>18.6875</v>
      </c>
      <c r="AI1038" s="86">
        <f>AVERAGEIFS($I$2:I1038, $B$2:B1038, B1038)</f>
        <v>0.47499999999999987</v>
      </c>
      <c r="AJ1038" s="86">
        <f>AVERAGEIFS($J$2:J1038, $B$2:B1038, B1038)</f>
        <v>0.48328125000000005</v>
      </c>
      <c r="AK1038" s="86">
        <f>AVERAGEIFS($D$2:D1038, $B$2:B1038, B1038)</f>
        <v>0.421875</v>
      </c>
    </row>
    <row r="1039" spans="1:37" x14ac:dyDescent="0.25">
      <c r="A1039" s="85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 s="86">
        <f>AVERAGEIFS($C$2:C1039, $B$2:B1039, B1039)</f>
        <v>19.40625</v>
      </c>
      <c r="AI1039" s="86">
        <f>AVERAGEIFS($I$2:I1039, $B$2:B1039, B1039)</f>
        <v>0.59281249999999996</v>
      </c>
      <c r="AJ1039" s="86">
        <f>AVERAGEIFS($J$2:J1039, $B$2:B1039, B1039)</f>
        <v>0.54718750000000016</v>
      </c>
      <c r="AK1039" s="86">
        <f>AVERAGEIFS($D$2:D1039, $B$2:B1039, B1039)</f>
        <v>0.6875</v>
      </c>
    </row>
    <row r="1040" spans="1:37" x14ac:dyDescent="0.25">
      <c r="A1040" s="85">
        <v>46147</v>
      </c>
      <c r="B1040" t="s">
        <v>150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 s="86">
        <f>AVERAGEIFS($C$2:C1040, $B$2:B1040, B1040)</f>
        <v>17.05</v>
      </c>
      <c r="AI1040" s="86">
        <f>AVERAGEIFS($I$2:I1040, $B$2:B1040, B1040)</f>
        <v>0.59749999999999992</v>
      </c>
      <c r="AJ1040" s="86">
        <f>AVERAGEIFS($J$2:J1040, $B$2:B1040, B1040)</f>
        <v>0.57000000000000006</v>
      </c>
      <c r="AK1040" s="86">
        <f>AVERAGEIFS($D$2:D1040, $B$2:B1040, B1040)</f>
        <v>0.6</v>
      </c>
    </row>
    <row r="1041" spans="1:37" x14ac:dyDescent="0.25">
      <c r="A1041" s="85">
        <v>46147</v>
      </c>
      <c r="B1041" t="s">
        <v>141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 s="86">
        <f>AVERAGEIFS($C$2:C1041, $B$2:B1041, B1041)</f>
        <v>14.0625</v>
      </c>
      <c r="AI1041" s="86">
        <f>AVERAGEIFS($I$2:I1041, $B$2:B1041, B1041)</f>
        <v>0.47187499999999999</v>
      </c>
      <c r="AJ1041" s="86">
        <f>AVERAGEIFS($J$2:J1041, $B$2:B1041, B1041)</f>
        <v>0.50187500000000007</v>
      </c>
      <c r="AK1041" s="86">
        <f>AVERAGEIFS($D$2:D1041, $B$2:B1041, B1041)</f>
        <v>0.5625</v>
      </c>
    </row>
    <row r="1042" spans="1:37" x14ac:dyDescent="0.25">
      <c r="A1042" s="85">
        <v>46147</v>
      </c>
      <c r="B1042" t="s">
        <v>179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 s="86">
        <f>AVERAGEIFS($C$2:C1042, $B$2:B1042, B1042)</f>
        <v>9.5</v>
      </c>
      <c r="AI1042" s="86">
        <f>AVERAGEIFS($I$2:I1042, $B$2:B1042, B1042)</f>
        <v>0.375</v>
      </c>
      <c r="AJ1042" s="86">
        <f>AVERAGEIFS($J$2:J1042, $B$2:B1042, B1042)</f>
        <v>0.51500000000000001</v>
      </c>
      <c r="AK1042" s="86">
        <f>AVERAGEIFS($D$2:D1042, $B$2:B1042, B1042)</f>
        <v>0.5</v>
      </c>
    </row>
    <row r="1043" spans="1:37" x14ac:dyDescent="0.25">
      <c r="A1043" s="85">
        <v>46147</v>
      </c>
      <c r="B1043" t="s">
        <v>146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 s="86">
        <f>AVERAGEIFS($C$2:C1043, $B$2:B1043, B1043)</f>
        <v>8.75</v>
      </c>
      <c r="AI1043" s="86">
        <f>AVERAGEIFS($I$2:I1043, $B$2:B1043, B1043)</f>
        <v>0.21875</v>
      </c>
      <c r="AJ1043" s="86">
        <f>AVERAGEIFS($J$2:J1043, $B$2:B1043, B1043)</f>
        <v>0.33875</v>
      </c>
      <c r="AK1043" s="86">
        <f>AVERAGEIFS($D$2:D1043, $B$2:B1043, B1043)</f>
        <v>0.125</v>
      </c>
    </row>
    <row r="1044" spans="1:37" x14ac:dyDescent="0.25">
      <c r="A1044" s="85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1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1</v>
      </c>
      <c r="AB1044">
        <v>0</v>
      </c>
      <c r="AC1044">
        <v>1</v>
      </c>
      <c r="AD1044">
        <v>0</v>
      </c>
      <c r="AE1044">
        <v>0</v>
      </c>
      <c r="AF1044">
        <v>0</v>
      </c>
      <c r="AG1044">
        <v>0</v>
      </c>
      <c r="AH1044" s="86">
        <f>AVERAGEIFS($C$2:C1044, $B$2:B1044, B1044)</f>
        <v>22.465116279069768</v>
      </c>
      <c r="AI1044" s="86">
        <f>AVERAGEIFS($I$2:I1044, $B$2:B1044, B1044)</f>
        <v>0.51697674418604644</v>
      </c>
      <c r="AJ1044" s="86">
        <f>AVERAGEIFS($J$2:J1044, $B$2:B1044, B1044)</f>
        <v>0.53488372093023251</v>
      </c>
      <c r="AK1044" s="86">
        <f>AVERAGEIFS($D$2:D1044, $B$2:B1044, B1044)</f>
        <v>0.51162790697674421</v>
      </c>
    </row>
    <row r="1045" spans="1:37" x14ac:dyDescent="0.25">
      <c r="A1045" s="85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1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1</v>
      </c>
      <c r="AB1045">
        <v>0</v>
      </c>
      <c r="AC1045">
        <v>1</v>
      </c>
      <c r="AD1045">
        <v>0</v>
      </c>
      <c r="AE1045">
        <v>0</v>
      </c>
      <c r="AF1045">
        <v>0</v>
      </c>
      <c r="AG1045">
        <v>0</v>
      </c>
      <c r="AH1045" s="86">
        <f>AVERAGEIFS($C$2:C1045, $B$2:B1045, B1045)</f>
        <v>22.426470588235293</v>
      </c>
      <c r="AI1045" s="86">
        <f>AVERAGEIFS($I$2:I1045, $B$2:B1045, B1045)</f>
        <v>0.54823529411764715</v>
      </c>
      <c r="AJ1045" s="86">
        <f>AVERAGEIFS($J$2:J1045, $B$2:B1045, B1045)</f>
        <v>0.52602941176470586</v>
      </c>
      <c r="AK1045" s="86">
        <f>AVERAGEIFS($D$2:D1045, $B$2:B1045, B1045)</f>
        <v>0.61764705882352944</v>
      </c>
    </row>
    <row r="1046" spans="1:37" x14ac:dyDescent="0.25">
      <c r="A1046" s="85">
        <v>46151</v>
      </c>
      <c r="B1046" t="s">
        <v>161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1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1</v>
      </c>
      <c r="AB1046">
        <v>0</v>
      </c>
      <c r="AC1046">
        <v>1</v>
      </c>
      <c r="AD1046">
        <v>0</v>
      </c>
      <c r="AE1046">
        <v>0</v>
      </c>
      <c r="AF1046">
        <v>0</v>
      </c>
      <c r="AG1046">
        <v>0</v>
      </c>
      <c r="AH1046" s="86">
        <f>AVERAGEIFS($C$2:C1046, $B$2:B1046, B1046)</f>
        <v>9.3000000000000007</v>
      </c>
      <c r="AI1046" s="86">
        <f>AVERAGEIFS($I$2:I1046, $B$2:B1046, B1046)</f>
        <v>0.59</v>
      </c>
      <c r="AJ1046" s="86">
        <f>AVERAGEIFS($J$2:J1046, $B$2:B1046, B1046)</f>
        <v>0.54299999999999993</v>
      </c>
      <c r="AK1046" s="86">
        <f>AVERAGEIFS($D$2:D1046, $B$2:B1046, B1046)</f>
        <v>0.6</v>
      </c>
    </row>
    <row r="1047" spans="1:37" x14ac:dyDescent="0.25">
      <c r="A1047" s="85">
        <v>46151</v>
      </c>
      <c r="B1047" t="s">
        <v>150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1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1</v>
      </c>
      <c r="AB1047">
        <v>0</v>
      </c>
      <c r="AC1047">
        <v>1</v>
      </c>
      <c r="AD1047">
        <v>0</v>
      </c>
      <c r="AE1047">
        <v>0</v>
      </c>
      <c r="AF1047">
        <v>0</v>
      </c>
      <c r="AG1047">
        <v>0</v>
      </c>
      <c r="AH1047" s="86">
        <f>AVERAGEIFS($C$2:C1047, $B$2:B1047, B1047)</f>
        <v>17.238095238095237</v>
      </c>
      <c r="AI1047" s="86">
        <f>AVERAGEIFS($I$2:I1047, $B$2:B1047, B1047)</f>
        <v>0.59761904761904761</v>
      </c>
      <c r="AJ1047" s="86">
        <f>AVERAGEIFS($J$2:J1047, $B$2:B1047, B1047)</f>
        <v>0.57380952380952388</v>
      </c>
      <c r="AK1047" s="86">
        <f>AVERAGEIFS($D$2:D1047, $B$2:B1047, B1047)</f>
        <v>0.61904761904761907</v>
      </c>
    </row>
    <row r="1048" spans="1:37" x14ac:dyDescent="0.25">
      <c r="A1048" s="85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1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1</v>
      </c>
      <c r="AB1048">
        <v>0</v>
      </c>
      <c r="AC1048">
        <v>1</v>
      </c>
      <c r="AD1048">
        <v>0</v>
      </c>
      <c r="AE1048">
        <v>0</v>
      </c>
      <c r="AF1048">
        <v>0</v>
      </c>
      <c r="AG1048">
        <v>0</v>
      </c>
      <c r="AH1048" s="86">
        <f>AVERAGEIFS($C$2:C1048, $B$2:B1048, B1048)</f>
        <v>24.297297297297298</v>
      </c>
      <c r="AI1048" s="86">
        <f>AVERAGEIFS($I$2:I1048, $B$2:B1048, B1048)</f>
        <v>0.45405405405405408</v>
      </c>
      <c r="AJ1048" s="86">
        <f>AVERAGEIFS($J$2:J1048, $B$2:B1048, B1048)</f>
        <v>0.47027027027027024</v>
      </c>
      <c r="AK1048" s="86">
        <f>AVERAGEIFS($D$2:D1048, $B$2:B1048, B1048)</f>
        <v>0.3783783783783784</v>
      </c>
    </row>
    <row r="1049" spans="1:37" x14ac:dyDescent="0.25">
      <c r="A1049" s="85">
        <v>46151</v>
      </c>
      <c r="B1049" t="s">
        <v>107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1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1</v>
      </c>
      <c r="AB1049">
        <v>0</v>
      </c>
      <c r="AC1049">
        <v>1</v>
      </c>
      <c r="AD1049">
        <v>0</v>
      </c>
      <c r="AE1049">
        <v>0</v>
      </c>
      <c r="AF1049">
        <v>0</v>
      </c>
      <c r="AG1049">
        <v>0</v>
      </c>
      <c r="AH1049" s="86">
        <f>AVERAGEIFS($C$2:C1049, $B$2:B1049, B1049)</f>
        <v>15.955555555555556</v>
      </c>
      <c r="AI1049" s="86">
        <f>AVERAGEIFS($I$2:I1049, $B$2:B1049, B1049)</f>
        <v>0.51222222222222236</v>
      </c>
      <c r="AJ1049" s="86">
        <f>AVERAGEIFS($J$2:J1049, $B$2:B1049, B1049)</f>
        <v>0.51844444444444437</v>
      </c>
      <c r="AK1049" s="86">
        <f>AVERAGEIFS($D$2:D1049, $B$2:B1049, B1049)</f>
        <v>0.57777777777777772</v>
      </c>
    </row>
    <row r="1050" spans="1:37" x14ac:dyDescent="0.25">
      <c r="A1050" s="85">
        <v>46151</v>
      </c>
      <c r="B1050" t="s">
        <v>152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1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1</v>
      </c>
      <c r="AB1050">
        <v>0</v>
      </c>
      <c r="AC1050">
        <v>1</v>
      </c>
      <c r="AD1050">
        <v>0</v>
      </c>
      <c r="AE1050">
        <v>0</v>
      </c>
      <c r="AF1050">
        <v>0</v>
      </c>
      <c r="AG1050">
        <v>0</v>
      </c>
      <c r="AH1050" s="86">
        <f>AVERAGEIFS($C$2:C1050, $B$2:B1050, B1050)</f>
        <v>11.166666666666666</v>
      </c>
      <c r="AI1050" s="86">
        <f>AVERAGEIFS($I$2:I1050, $B$2:B1050, B1050)</f>
        <v>0.50833333333333341</v>
      </c>
      <c r="AJ1050" s="86">
        <f>AVERAGEIFS($J$2:J1050, $B$2:B1050, B1050)</f>
        <v>0.52500000000000002</v>
      </c>
      <c r="AK1050" s="86">
        <f>AVERAGEIFS($D$2:D1050, $B$2:B1050, B1050)</f>
        <v>0.5</v>
      </c>
    </row>
    <row r="1051" spans="1:37" x14ac:dyDescent="0.25">
      <c r="A1051" s="85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1</v>
      </c>
      <c r="AF1051">
        <v>0</v>
      </c>
      <c r="AG1051">
        <v>0</v>
      </c>
      <c r="AH1051" s="86">
        <f>AVERAGEIFS($C$2:C1051, $B$2:B1051, B1051)</f>
        <v>19.333333333333332</v>
      </c>
      <c r="AI1051" s="86">
        <f>AVERAGEIFS($I$2:I1051, $B$2:B1051, B1051)</f>
        <v>0.58696969696969692</v>
      </c>
      <c r="AJ1051" s="86">
        <f>AVERAGEIFS($J$2:J1051, $B$2:B1051, B1051)</f>
        <v>0.54121212121212137</v>
      </c>
      <c r="AK1051" s="86">
        <f>AVERAGEIFS($D$2:D1051, $B$2:B1051, B1051)</f>
        <v>0.66666666666666663</v>
      </c>
    </row>
    <row r="1052" spans="1:37" x14ac:dyDescent="0.25">
      <c r="A1052" s="85">
        <v>46151</v>
      </c>
      <c r="B1052" t="s">
        <v>54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1</v>
      </c>
      <c r="AF1052">
        <v>0</v>
      </c>
      <c r="AG1052">
        <v>0</v>
      </c>
      <c r="AH1052" s="86">
        <f>AVERAGEIFS($C$2:C1052, $B$2:B1052, B1052)</f>
        <v>23.7</v>
      </c>
      <c r="AI1052" s="86">
        <f>AVERAGEIFS($I$2:I1052, $B$2:B1052, B1052)</f>
        <v>0.52366666666666672</v>
      </c>
      <c r="AJ1052" s="86">
        <f>AVERAGEIFS($J$2:J1052, $B$2:B1052, B1052)</f>
        <v>0.5073333333333333</v>
      </c>
      <c r="AK1052" s="86">
        <f>AVERAGEIFS($D$2:D1052, $B$2:B1052, B1052)</f>
        <v>0.53333333333333333</v>
      </c>
    </row>
    <row r="1053" spans="1:37" x14ac:dyDescent="0.25">
      <c r="A1053" s="85">
        <v>46151</v>
      </c>
      <c r="B1053" t="s">
        <v>40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1</v>
      </c>
      <c r="AF1053">
        <v>0</v>
      </c>
      <c r="AG1053">
        <v>0</v>
      </c>
      <c r="AH1053" s="86">
        <f>AVERAGEIFS($C$2:C1053, $B$2:B1053, B1053)</f>
        <v>18.661538461538463</v>
      </c>
      <c r="AI1053" s="86">
        <f>AVERAGEIFS($I$2:I1053, $B$2:B1053, B1053)</f>
        <v>0.47384615384615369</v>
      </c>
      <c r="AJ1053" s="86">
        <f>AVERAGEIFS($J$2:J1053, $B$2:B1053, B1053)</f>
        <v>0.4812307692307693</v>
      </c>
      <c r="AK1053" s="86">
        <f>AVERAGEIFS($D$2:D1053, $B$2:B1053, B1053)</f>
        <v>0.41538461538461541</v>
      </c>
    </row>
    <row r="1054" spans="1:37" x14ac:dyDescent="0.25">
      <c r="A1054" s="85">
        <v>46151</v>
      </c>
      <c r="B1054" t="s">
        <v>179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1</v>
      </c>
      <c r="AF1054">
        <v>0</v>
      </c>
      <c r="AG1054">
        <v>0</v>
      </c>
      <c r="AH1054" s="86">
        <f>AVERAGEIFS($C$2:C1054, $B$2:B1054, B1054)</f>
        <v>12.666666666666666</v>
      </c>
      <c r="AI1054" s="86">
        <f>AVERAGEIFS($I$2:I1054, $B$2:B1054, B1054)</f>
        <v>0.3833333333333333</v>
      </c>
      <c r="AJ1054" s="86">
        <f>AVERAGEIFS($J$2:J1054, $B$2:B1054, B1054)</f>
        <v>0.45999999999999996</v>
      </c>
      <c r="AK1054" s="86">
        <f>AVERAGEIFS($D$2:D1054, $B$2:B1054, B1054)</f>
        <v>0.33333333333333331</v>
      </c>
    </row>
    <row r="1055" spans="1:37" x14ac:dyDescent="0.25">
      <c r="A1055" s="85">
        <v>46151</v>
      </c>
      <c r="B1055" t="s">
        <v>35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1</v>
      </c>
      <c r="AF1055">
        <v>0</v>
      </c>
      <c r="AG1055">
        <v>0</v>
      </c>
      <c r="AH1055" s="86">
        <f>AVERAGEIFS($C$2:C1055, $B$2:B1055, B1055)</f>
        <v>10.476190476190476</v>
      </c>
      <c r="AI1055" s="86">
        <f>AVERAGEIFS($I$2:I1055, $B$2:B1055, B1055)</f>
        <v>0.46023809523809528</v>
      </c>
      <c r="AJ1055" s="86">
        <f>AVERAGEIFS($J$2:J1055, $B$2:B1055, B1055)</f>
        <v>0.48357142857142854</v>
      </c>
      <c r="AK1055" s="86">
        <f>AVERAGEIFS($D$2:D1055, $B$2:B1055, B1055)</f>
        <v>0.42857142857142855</v>
      </c>
    </row>
    <row r="1056" spans="1:37" x14ac:dyDescent="0.25">
      <c r="A1056" s="85">
        <v>46151</v>
      </c>
      <c r="B1056" t="s">
        <v>44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1</v>
      </c>
      <c r="AF1056">
        <v>0</v>
      </c>
      <c r="AG1056">
        <v>0</v>
      </c>
      <c r="AH1056" s="86">
        <f>AVERAGEIFS($C$2:C1056, $B$2:B1056, B1056)</f>
        <v>16.434782608695652</v>
      </c>
      <c r="AI1056" s="86">
        <f>AVERAGEIFS($I$2:I1056, $B$2:B1056, B1056)</f>
        <v>0.54565217391304344</v>
      </c>
      <c r="AJ1056" s="86">
        <f>AVERAGEIFS($J$2:J1056, $B$2:B1056, B1056)</f>
        <v>0.53695652173913044</v>
      </c>
      <c r="AK1056" s="86">
        <f>AVERAGEIFS($D$2:D1056, $B$2:B1056, B1056)</f>
        <v>0.63043478260869568</v>
      </c>
    </row>
    <row r="1057" spans="1:37" x14ac:dyDescent="0.25">
      <c r="A1057" s="85">
        <v>46151</v>
      </c>
      <c r="B1057" t="s">
        <v>150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 s="86">
        <f>AVERAGEIFS($C$2:C1057, $B$2:B1057, B1057)</f>
        <v>17.818181818181817</v>
      </c>
      <c r="AI1057" s="86">
        <f>AVERAGEIFS($I$2:I1057, $B$2:B1057, B1057)</f>
        <v>0.61590909090909085</v>
      </c>
      <c r="AJ1057" s="86">
        <f>AVERAGEIFS($J$2:J1057, $B$2:B1057, B1057)</f>
        <v>0.5818181818181819</v>
      </c>
      <c r="AK1057" s="86">
        <f>AVERAGEIFS($D$2:D1057, $B$2:B1057, B1057)</f>
        <v>0.63636363636363635</v>
      </c>
    </row>
    <row r="1058" spans="1:37" x14ac:dyDescent="0.25">
      <c r="A1058" s="85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1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 s="86">
        <f>AVERAGEIFS($C$2:C1058, $B$2:B1058, B1058)</f>
        <v>22.478260869565219</v>
      </c>
      <c r="AI1058" s="86">
        <f>AVERAGEIFS($I$2:I1058, $B$2:B1058, B1058)</f>
        <v>0.55478260869565232</v>
      </c>
      <c r="AJ1058" s="86">
        <f>AVERAGEIFS($J$2:J1058, $B$2:B1058, B1058)</f>
        <v>0.52927536231884054</v>
      </c>
      <c r="AK1058" s="86">
        <f>AVERAGEIFS($D$2:D1058, $B$2:B1058, B1058)</f>
        <v>0.62318840579710144</v>
      </c>
    </row>
    <row r="1059" spans="1:37" x14ac:dyDescent="0.25">
      <c r="A1059" s="85">
        <v>46151</v>
      </c>
      <c r="B1059" t="s">
        <v>179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1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 s="86">
        <f>AVERAGEIFS($C$2:C1059, $B$2:B1059, B1059)</f>
        <v>14.75</v>
      </c>
      <c r="AI1059" s="86">
        <f>AVERAGEIFS($I$2:I1059, $B$2:B1059, B1059)</f>
        <v>0.53749999999999998</v>
      </c>
      <c r="AJ1059" s="86">
        <f>AVERAGEIFS($J$2:J1059, $B$2:B1059, B1059)</f>
        <v>0.53249999999999997</v>
      </c>
      <c r="AK1059" s="86">
        <f>AVERAGEIFS($D$2:D1059, $B$2:B1059, B1059)</f>
        <v>0.5</v>
      </c>
    </row>
    <row r="1060" spans="1:37" x14ac:dyDescent="0.25">
      <c r="A1060" s="85">
        <v>46151</v>
      </c>
      <c r="B1060" t="s">
        <v>18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1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 s="86">
        <f>AVERAGEIFS($C$2:C1060, $B$2:B1060, B1060)</f>
        <v>17.399999999999999</v>
      </c>
      <c r="AI1060" s="86">
        <f>AVERAGEIFS($I$2:I1060, $B$2:B1060, B1060)</f>
        <v>0.73499999999999999</v>
      </c>
      <c r="AJ1060" s="86">
        <f>AVERAGEIFS($J$2:J1060, $B$2:B1060, B1060)</f>
        <v>0.60399999999999987</v>
      </c>
      <c r="AK1060" s="86">
        <f>AVERAGEIFS($D$2:D1060, $B$2:B1060, B1060)</f>
        <v>0.8</v>
      </c>
    </row>
    <row r="1061" spans="1:37" x14ac:dyDescent="0.25">
      <c r="A1061" s="85">
        <v>46151</v>
      </c>
      <c r="B1061" t="s">
        <v>216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1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 s="86">
        <f>AVERAGEIFS($C$2:C1061, $B$2:B1061, B1061)</f>
        <v>1</v>
      </c>
      <c r="AI1061" s="86">
        <f>AVERAGEIFS($I$2:I1061, $B$2:B1061, B1061)</f>
        <v>1</v>
      </c>
      <c r="AJ1061" s="86">
        <f>AVERAGEIFS($J$2:J1061, $B$2:B1061, B1061)</f>
        <v>0.75</v>
      </c>
      <c r="AK1061" s="86">
        <f>AVERAGEIFS($D$2:D1061, $B$2:B1061, B1061)</f>
        <v>1</v>
      </c>
    </row>
    <row r="1062" spans="1:37" x14ac:dyDescent="0.25">
      <c r="A1062" s="85">
        <v>46151</v>
      </c>
      <c r="B1062" t="s">
        <v>141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1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 s="86">
        <f>AVERAGEIFS($C$2:C1062, $B$2:B1062, B1062)</f>
        <v>13.705882352941176</v>
      </c>
      <c r="AI1062" s="86">
        <f>AVERAGEIFS($I$2:I1062, $B$2:B1062, B1062)</f>
        <v>0.50294117647058822</v>
      </c>
      <c r="AJ1062" s="86">
        <f>AVERAGEIFS($J$2:J1062, $B$2:B1062, B1062)</f>
        <v>0.51647058823529424</v>
      </c>
      <c r="AK1062" s="86">
        <f>AVERAGEIFS($D$2:D1062, $B$2:B1062, B1062)</f>
        <v>0.58823529411764708</v>
      </c>
    </row>
    <row r="1063" spans="1:37" x14ac:dyDescent="0.25">
      <c r="A1063" s="85">
        <v>46151</v>
      </c>
      <c r="B1063" t="s">
        <v>107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 s="86">
        <f>AVERAGEIFS($C$2:C1063, $B$2:B1063, B1063)</f>
        <v>15.847826086956522</v>
      </c>
      <c r="AI1063" s="86">
        <f>AVERAGEIFS($I$2:I1063, $B$2:B1063, B1063)</f>
        <v>0.50108695652173918</v>
      </c>
      <c r="AJ1063" s="86">
        <f>AVERAGEIFS($J$2:J1063, $B$2:B1063, B1063)</f>
        <v>0.51260869565217382</v>
      </c>
      <c r="AK1063" s="86">
        <f>AVERAGEIFS($D$2:D1063, $B$2:B1063, B1063)</f>
        <v>0.56521739130434778</v>
      </c>
    </row>
    <row r="1064" spans="1:37" x14ac:dyDescent="0.25">
      <c r="A1064" s="85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 s="86">
        <f>AVERAGEIFS($C$2:C1064, $B$2:B1064, B1064)</f>
        <v>19.470588235294116</v>
      </c>
      <c r="AI1064" s="86">
        <f>AVERAGEIFS($I$2:I1064, $B$2:B1064, B1064)</f>
        <v>0.56970588235294106</v>
      </c>
      <c r="AJ1064" s="86">
        <f>AVERAGEIFS($J$2:J1064, $B$2:B1064, B1064)</f>
        <v>0.53264705882352958</v>
      </c>
      <c r="AK1064" s="86">
        <f>AVERAGEIFS($D$2:D1064, $B$2:B1064, B1064)</f>
        <v>0.6470588235294118</v>
      </c>
    </row>
    <row r="1065" spans="1:37" x14ac:dyDescent="0.25">
      <c r="A1065" s="85">
        <v>46151</v>
      </c>
      <c r="B1065" t="s">
        <v>40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 s="86">
        <f>AVERAGEIFS($C$2:C1065, $B$2:B1065, B1065)</f>
        <v>18.484848484848484</v>
      </c>
      <c r="AI1065" s="86">
        <f>AVERAGEIFS($I$2:I1065, $B$2:B1065, B1065)</f>
        <v>0.46666666666666651</v>
      </c>
      <c r="AJ1065" s="86">
        <f>AVERAGEIFS($J$2:J1065, $B$2:B1065, B1065)</f>
        <v>0.47772727272727278</v>
      </c>
      <c r="AK1065" s="86">
        <f>AVERAGEIFS($D$2:D1065, $B$2:B1065, B1065)</f>
        <v>0.40909090909090912</v>
      </c>
    </row>
    <row r="1066" spans="1:37" x14ac:dyDescent="0.25">
      <c r="A1066" s="85">
        <v>46151</v>
      </c>
      <c r="B1066" t="s">
        <v>44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 s="86">
        <f>AVERAGEIFS($C$2:C1066, $B$2:B1066, B1066)</f>
        <v>16.425531914893618</v>
      </c>
      <c r="AI1066" s="86">
        <f>AVERAGEIFS($I$2:I1066, $B$2:B1066, B1066)</f>
        <v>0.5340425531914893</v>
      </c>
      <c r="AJ1066" s="86">
        <f>AVERAGEIFS($J$2:J1066, $B$2:B1066, B1066)</f>
        <v>0.53085106382978731</v>
      </c>
      <c r="AK1066" s="86">
        <f>AVERAGEIFS($D$2:D1066, $B$2:B1066, B1066)</f>
        <v>0.61702127659574468</v>
      </c>
    </row>
    <row r="1067" spans="1:37" x14ac:dyDescent="0.25">
      <c r="A1067" s="85">
        <v>46151</v>
      </c>
      <c r="B1067" t="s">
        <v>152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 s="86">
        <f>AVERAGEIFS($C$2:C1067, $B$2:B1067, B1067)</f>
        <v>11.285714285714286</v>
      </c>
      <c r="AI1067" s="86">
        <f>AVERAGEIFS($I$2:I1067, $B$2:B1067, B1067)</f>
        <v>0.43571428571428578</v>
      </c>
      <c r="AJ1067" s="86">
        <f>AVERAGEIFS($J$2:J1067, $B$2:B1067, B1067)</f>
        <v>0.48571428571428571</v>
      </c>
      <c r="AK1067" s="86">
        <f>AVERAGEIFS($D$2:D1067, $B$2:B1067, B1067)</f>
        <v>0.42857142857142855</v>
      </c>
    </row>
    <row r="1068" spans="1:37" x14ac:dyDescent="0.25">
      <c r="A1068" s="85">
        <v>46151</v>
      </c>
      <c r="B1068" t="s">
        <v>161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 s="86">
        <f>AVERAGEIFS($C$2:C1068, $B$2:B1068, B1068)</f>
        <v>8.8181818181818183</v>
      </c>
      <c r="AI1068" s="86">
        <f>AVERAGEIFS($I$2:I1068, $B$2:B1068, B1068)</f>
        <v>0.53636363636363626</v>
      </c>
      <c r="AJ1068" s="86">
        <f>AVERAGEIFS($J$2:J1068, $B$2:B1068, B1068)</f>
        <v>0.51636363636363636</v>
      </c>
      <c r="AK1068" s="86">
        <f>AVERAGEIFS($D$2:D1068, $B$2:B1068, B1068)</f>
        <v>0.54545454545454541</v>
      </c>
    </row>
  </sheetData>
  <autoFilter ref="A1:AK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N39"/>
  <sheetViews>
    <sheetView workbookViewId="0">
      <pane xSplit="1" ySplit="1" topLeftCell="S20" activePane="bottomRight" state="frozen"/>
      <selection pane="topRight" activeCell="B1" sqref="B1"/>
      <selection pane="bottomLeft" activeCell="A2" sqref="A2"/>
      <selection pane="bottomRight" activeCell="AH8" sqref="AH8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4" width="13.140625" style="1" customWidth="1"/>
    <col min="35" max="35" width="9.140625" style="1"/>
    <col min="36" max="36" width="12.85546875" style="1" customWidth="1"/>
    <col min="37" max="37" width="9.140625" style="1"/>
    <col min="38" max="38" width="12.42578125" style="1" bestFit="1" customWidth="1"/>
    <col min="39" max="39" width="12.42578125" style="1" customWidth="1"/>
    <col min="40" max="40" width="9.140625" style="1"/>
  </cols>
  <sheetData>
    <row r="1" spans="1:40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2" t="s">
        <v>220</v>
      </c>
      <c r="AI1" s="91" t="s">
        <v>104</v>
      </c>
      <c r="AJ1" s="91" t="s">
        <v>66</v>
      </c>
      <c r="AK1" s="91" t="s">
        <v>72</v>
      </c>
      <c r="AL1" s="92" t="s">
        <v>68</v>
      </c>
      <c r="AM1" s="92" t="s">
        <v>135</v>
      </c>
      <c r="AN1" s="93" t="s">
        <v>96</v>
      </c>
    </row>
    <row r="2" spans="1:40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50</v>
      </c>
      <c r="G2" s="66">
        <f>AVERAGEIFS('BA History S2'!C:C,'BA History S2'!B:B,A2)</f>
        <v>12.5</v>
      </c>
      <c r="H2" s="35">
        <f t="array" ref="H2">MAX(IF('BA History S2'!B:B=A2, 'BA History S2'!C:C))</f>
        <v>22</v>
      </c>
      <c r="I2" s="34">
        <f>COUNTIFS('BA History S2'!B:B,A2,'BA History S2'!D:D, 1)</f>
        <v>3</v>
      </c>
      <c r="J2" s="2">
        <f>COUNTIFS('BA History S2'!B:B,A2,'BA History S2'!D:D, 0)</f>
        <v>1</v>
      </c>
      <c r="K2" s="75">
        <f>LOOKUP(2, 1/('BA History S2'!$B:$B=A2), 'BA History S2'!$AK:$AK)</f>
        <v>0.75</v>
      </c>
      <c r="L2" s="34">
        <f>SUMIFS('BA History S2'!F:F,'BA History S2'!B:B,A2)</f>
        <v>9</v>
      </c>
      <c r="M2" s="2">
        <f>SUMIFS('BA History S2'!E:E,'BA History S2'!B:B,A2)-L2</f>
        <v>5</v>
      </c>
      <c r="N2" s="75">
        <f>LOOKUP(2, 1/('BA History S2'!$B:$B=A2), 'BA History S2'!$AI:$AI)</f>
        <v>0.625</v>
      </c>
      <c r="O2" s="34">
        <f>SUMIFS('BA History S2'!H:H,'BA History S2'!B:B,A2)</f>
        <v>33</v>
      </c>
      <c r="P2" s="2">
        <f>SUMIFS('BA History S2'!G:G,'BA History S2'!B:B,A2)-O2</f>
        <v>24</v>
      </c>
      <c r="Q2" s="89">
        <f>LOOKUP(2, 1/('BA History S2'!$B:$B=A2), 'BA History S2'!$AJ:$AJ)</f>
        <v>0.58499999999999996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2</v>
      </c>
      <c r="U2" s="2">
        <f>COUNTIFS('BA History S2'!$B:$B,$A$2,'BA History S2'!N:N, 1)</f>
        <v>1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1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0</v>
      </c>
      <c r="AG2" s="2">
        <f>COUNTIFS('BA History S2'!$B:$B,$A$2,'BA History S2'!Z:Z, 1)</f>
        <v>2</v>
      </c>
      <c r="AH2" s="2">
        <f>COUNTIFS('BA History S2'!$B:$B,$A2,'BA History S2'!AA:AA, 1)</f>
        <v>0</v>
      </c>
      <c r="AI2" s="2">
        <f>COUNTIFS('BA History S2'!$B:$B,$A$2,'BA History S2'!AB:AB, 1)</f>
        <v>0</v>
      </c>
      <c r="AJ2" s="2">
        <f>COUNTIFS('BA History S2'!$B:$B,$A$2,'BA History S2'!AC:AC, 1)</f>
        <v>1</v>
      </c>
      <c r="AK2" s="2">
        <f>COUNTIFS('BA History S2'!$B:$B,$A$2,'BA History S2'!AD:AD, 1)</f>
        <v>0</v>
      </c>
      <c r="AL2" s="2">
        <f>COUNTIFS('BA History S2'!$B:$B,$A$2,'BA History S2'!AE:AE, 1)</f>
        <v>1</v>
      </c>
      <c r="AM2" s="2">
        <f>COUNTIFS('BA History S2'!$B:$B,$A$2,'BA History S2'!AF:AF, 1)</f>
        <v>0</v>
      </c>
      <c r="AN2" s="2">
        <f>COUNTIFS('BA History S2'!$B:$B,$A$2,'BA History S2'!AG:AG, 1)</f>
        <v>0</v>
      </c>
    </row>
    <row r="3" spans="1:40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14</v>
      </c>
      <c r="G3" s="66">
        <f>AVERAGEIFS('BA History S2'!C:C,'BA History S2'!B:B,A3)</f>
        <v>14</v>
      </c>
      <c r="H3" s="35">
        <f t="array" ref="H3">MAX(IF('BA History S2'!B:B=A3, 'BA History S2'!C:C))</f>
        <v>14</v>
      </c>
      <c r="I3" s="34">
        <f>COUNTIFS('BA History S2'!B:B,A3,'BA History S2'!D:D, 1)</f>
        <v>1</v>
      </c>
      <c r="J3" s="2">
        <f>COUNTIFS('BA History S2'!B:B,A3,'BA History S2'!D:D, 0)</f>
        <v>0</v>
      </c>
      <c r="K3" s="75">
        <f>LOOKUP(2, 1/('BA History S2'!$B:$B=A3), 'BA History S2'!$AK:$AK)</f>
        <v>1</v>
      </c>
      <c r="L3" s="34">
        <f>SUMIFS('BA History S2'!F:F,'BA History S2'!B:B,A3)</f>
        <v>3</v>
      </c>
      <c r="M3" s="2">
        <f>SUMIFS('BA History S2'!E:E,'BA History S2'!B:B,A3)-L3</f>
        <v>1</v>
      </c>
      <c r="N3" s="75">
        <f>LOOKUP(2, 1/('BA History S2'!$B:$B=A3), 'BA History S2'!$AI:$AI)</f>
        <v>0.75</v>
      </c>
      <c r="O3" s="34">
        <f>SUMIFS('BA History S2'!H:H,'BA History S2'!B:B,A3)</f>
        <v>10</v>
      </c>
      <c r="P3" s="2">
        <f>SUMIFS('BA History S2'!G:G,'BA History S2'!B:B,A3)-O3</f>
        <v>8</v>
      </c>
      <c r="Q3" s="89">
        <f>LOOKUP(2, 1/('BA History S2'!$B:$B=A3), 'BA History S2'!$AJ:$AJ)</f>
        <v>0.56000000000000005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1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0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1</v>
      </c>
      <c r="AH3" s="2">
        <f>COUNTIFS('BA History S2'!$B:$B,$A3,'BA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0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  <c r="AN3" s="2">
        <f>COUNTIFS('BA History S2'!$B:$B,$A$3,'BA History S2'!AG:AG, 1)</f>
        <v>0</v>
      </c>
    </row>
    <row r="4" spans="1:40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157</v>
      </c>
      <c r="G4" s="66">
        <f>AVERAGEIFS('BA History S2'!C:C,'BA History S2'!B:B,A4)</f>
        <v>12.076923076923077</v>
      </c>
      <c r="H4" s="35">
        <f t="array" ref="H4">MAX(IF('BA History S2'!B:B=A4, 'BA History S2'!C:C))</f>
        <v>23</v>
      </c>
      <c r="I4" s="34">
        <f>COUNTIFS('BA History S2'!B:B,A4,'BA History S2'!D:D, 1)</f>
        <v>5</v>
      </c>
      <c r="J4" s="2">
        <f>COUNTIFS('BA History S2'!B:B,A4,'BA History S2'!D:D, 0)</f>
        <v>8</v>
      </c>
      <c r="K4" s="75">
        <f>LOOKUP(2, 1/('BA History S2'!$B:$B=A4), 'BA History S2'!$AK:$AK)</f>
        <v>0.38461538461538464</v>
      </c>
      <c r="L4" s="34">
        <f>SUMIFS('BA History S2'!F:F,'BA History S2'!B:B,A4)</f>
        <v>24</v>
      </c>
      <c r="M4" s="2">
        <f>SUMIFS('BA History S2'!E:E,'BA History S2'!B:B,A4)-L4</f>
        <v>30</v>
      </c>
      <c r="N4" s="75">
        <f>LOOKUP(2, 1/('BA History S2'!$B:$B=A4), 'BA History S2'!$AI:$AI)</f>
        <v>0.42692307692307691</v>
      </c>
      <c r="O4" s="34">
        <f>SUMIFS('BA History S2'!H:H,'BA History S2'!B:B,A4)</f>
        <v>111</v>
      </c>
      <c r="P4" s="2">
        <f>SUMIFS('BA History S2'!G:G,'BA History S2'!B:B,A4)-O4</f>
        <v>123</v>
      </c>
      <c r="Q4" s="89">
        <f>LOOKUP(2, 1/('BA History S2'!$B:$B=A4), 'BA History S2'!$AJ:$AJ)</f>
        <v>0.46461538461538454</v>
      </c>
      <c r="R4" s="2">
        <f>COUNTIFS('BA History S2'!$B:$B,$A$4,'BA History S2'!K:K, 1)</f>
        <v>3</v>
      </c>
      <c r="S4" s="2">
        <f>COUNTIFS('BA History S2'!$B:$B,$A$4,'BA History S2'!L:L, 1)</f>
        <v>4</v>
      </c>
      <c r="T4" s="2">
        <f>COUNTIFS('BA History S2'!$B:$B,$A$4,'BA History S2'!M:M, 1)</f>
        <v>2</v>
      </c>
      <c r="U4" s="2">
        <f>COUNTIFS('BA History S2'!$B:$B,$A$4,'BA History S2'!N:N, 1)</f>
        <v>2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2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1</v>
      </c>
      <c r="AH4" s="2">
        <f>COUNTIFS('BA History S2'!$B:$B,$A4,'BA History S2'!AA:AA, 1)</f>
        <v>0</v>
      </c>
      <c r="AI4" s="2">
        <f>COUNTIFS('BA History S2'!$B:$B,$A$4,'BA History S2'!AB:AB, 1)</f>
        <v>0</v>
      </c>
      <c r="AJ4" s="2">
        <f>COUNTIFS('BA History S2'!$B:$B,$A$4,'BA History S2'!AC:AC, 1)</f>
        <v>4</v>
      </c>
      <c r="AK4" s="2">
        <f>COUNTIFS('BA History S2'!$B:$B,$A$4,'BA History S2'!AD:AD, 1)</f>
        <v>1</v>
      </c>
      <c r="AL4" s="2">
        <f>COUNTIFS('BA History S2'!$B:$B,$A$4,'BA History S2'!AE:AE, 1)</f>
        <v>1</v>
      </c>
      <c r="AM4" s="2">
        <f>COUNTIFS('BA History S2'!$B:$B,$A$4,'BA History S2'!AF:AF, 1)</f>
        <v>0</v>
      </c>
      <c r="AN4" s="2">
        <f>COUNTIFS('BA History S2'!$B:$B,$A$4,'BA History S2'!AG:AG, 1)</f>
        <v>1</v>
      </c>
    </row>
    <row r="5" spans="1:40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52</v>
      </c>
      <c r="G5" s="66">
        <f>AVERAGEIFS('BA History S2'!C:C,'BA History S2'!B:B,A5)</f>
        <v>7.4285714285714288</v>
      </c>
      <c r="H5" s="35">
        <f t="array" ref="H5">MAX(IF('BA History S2'!B:B=A5, 'BA History S2'!C:C))</f>
        <v>11</v>
      </c>
      <c r="I5" s="34">
        <f>COUNTIFS('BA History S2'!B:B,A5,'BA History S2'!D:D, 1)</f>
        <v>2</v>
      </c>
      <c r="J5" s="2">
        <f>COUNTIFS('BA History S2'!B:B,A5,'BA History S2'!D:D, 0)</f>
        <v>5</v>
      </c>
      <c r="K5" s="75">
        <f>LOOKUP(2, 1/('BA History S2'!$B:$B=A5), 'BA History S2'!$AK:$AK)</f>
        <v>0.2857142857142857</v>
      </c>
      <c r="L5" s="34">
        <f>SUMIFS('BA History S2'!F:F,'BA History S2'!B:B,A5)</f>
        <v>11</v>
      </c>
      <c r="M5" s="2">
        <f>SUMIFS('BA History S2'!E:E,'BA History S2'!B:B,A5)-L5</f>
        <v>17</v>
      </c>
      <c r="N5" s="75">
        <f>LOOKUP(2, 1/('BA History S2'!$B:$B=A5), 'BA History S2'!$AI:$AI)</f>
        <v>0.39285714285714285</v>
      </c>
      <c r="O5" s="34">
        <f>SUMIFS('BA History S2'!H:H,'BA History S2'!B:B,A5)</f>
        <v>47</v>
      </c>
      <c r="P5" s="2">
        <f>SUMIFS('BA History S2'!G:G,'BA History S2'!B:B,A5)-O5</f>
        <v>63</v>
      </c>
      <c r="Q5" s="89">
        <f>LOOKUP(2, 1/('BA History S2'!$B:$B=A5), 'BA History S2'!$AJ:$AJ)</f>
        <v>0.44428571428571434</v>
      </c>
      <c r="R5" s="2">
        <f>COUNTIFS('BA History S2'!$B:$B,$A$5,'BA History S2'!K:K, 1)</f>
        <v>2</v>
      </c>
      <c r="S5" s="2">
        <f>COUNTIFS('BA History S2'!$B:$B,$A$5,'BA History S2'!L:L, 1)</f>
        <v>0</v>
      </c>
      <c r="T5" s="2">
        <f>COUNTIFS('BA History S2'!$B:$B,$A$5,'BA History S2'!M:M, 1)</f>
        <v>1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2</v>
      </c>
      <c r="AH5" s="2">
        <f>COUNTIFS('BA History S2'!$B:$B,$A5,'BA History S2'!AA:AA, 1)</f>
        <v>0</v>
      </c>
      <c r="AI5" s="2">
        <f>COUNTIFS('BA History S2'!$B:$B,$A$5,'BA History S2'!AB:AB, 1)</f>
        <v>0</v>
      </c>
      <c r="AJ5" s="2">
        <f>COUNTIFS('BA History S2'!$B:$B,$A$5,'BA History S2'!AC:AC, 1)</f>
        <v>1</v>
      </c>
      <c r="AK5" s="2">
        <f>COUNTIFS('BA History S2'!$B:$B,$A$5,'BA History S2'!AD:AD, 1)</f>
        <v>1</v>
      </c>
      <c r="AL5" s="2">
        <f>COUNTIFS('BA History S2'!$B:$B,$A$5,'BA History S2'!AE:AE, 1)</f>
        <v>1</v>
      </c>
      <c r="AM5" s="2">
        <f>COUNTIFS('BA History S2'!$B:$B,$A$5,'BA History S2'!AF:AF, 1)</f>
        <v>0</v>
      </c>
      <c r="AN5" s="2">
        <f>COUNTIFS('BA History S2'!$B:$B,$A$5,'BA History S2'!AG:AG, 1)</f>
        <v>1</v>
      </c>
    </row>
    <row r="6" spans="1:40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334</v>
      </c>
      <c r="G6" s="66">
        <f>AVERAGEIFS('BA History S2'!C:C,'BA History S2'!B:B,A6)</f>
        <v>16.7</v>
      </c>
      <c r="H6" s="35">
        <f t="array" ref="H6">MAX(IF('BA History S2'!B:B=A6, 'BA History S2'!C:C))</f>
        <v>40</v>
      </c>
      <c r="I6" s="34">
        <f>COUNTIFS('BA History S2'!B:B,A6,'BA History S2'!D:D, 1)</f>
        <v>10</v>
      </c>
      <c r="J6" s="2">
        <f>COUNTIFS('BA History S2'!B:B,A6,'BA History S2'!D:D, 0)</f>
        <v>10</v>
      </c>
      <c r="K6" s="75">
        <f>LOOKUP(2, 1/('BA History S2'!$B:$B=A6), 'BA History S2'!$AK:$AK)</f>
        <v>0.5</v>
      </c>
      <c r="L6" s="34">
        <f>SUMIFS('BA History S2'!F:F,'BA History S2'!B:B,A6)</f>
        <v>38</v>
      </c>
      <c r="M6" s="2">
        <f>SUMIFS('BA History S2'!E:E,'BA History S2'!B:B,A6)-L6</f>
        <v>39</v>
      </c>
      <c r="N6" s="75">
        <f>LOOKUP(2, 1/('BA History S2'!$B:$B=A6), 'BA History S2'!$AI:$AI)</f>
        <v>0.49249999999999999</v>
      </c>
      <c r="O6" s="34">
        <f>SUMIFS('BA History S2'!H:H,'BA History S2'!B:B,A6)</f>
        <v>152</v>
      </c>
      <c r="P6" s="2">
        <f>SUMIFS('BA History S2'!G:G,'BA History S2'!B:B,A6)-O6</f>
        <v>167</v>
      </c>
      <c r="Q6" s="89">
        <f>LOOKUP(2, 1/('BA History S2'!$B:$B=A6), 'BA History S2'!$AJ:$AJ)</f>
        <v>0.46750000000000008</v>
      </c>
      <c r="R6" s="2">
        <f>COUNTIFS('BA History S2'!$B:$B,$A$6,'BA History S2'!K:K, 1)</f>
        <v>2</v>
      </c>
      <c r="S6" s="2">
        <f>COUNTIFS('BA History S2'!$B:$B,$A$6,'BA History S2'!L:L, 1)</f>
        <v>1</v>
      </c>
      <c r="T6" s="2">
        <f>COUNTIFS('BA History S2'!$B:$B,$A$6,'BA History S2'!M:M, 1)</f>
        <v>4</v>
      </c>
      <c r="U6" s="2">
        <f>COUNTIFS('BA History S2'!$B:$B,$A$6,'BA History S2'!N:N, 1)</f>
        <v>3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2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1</v>
      </c>
      <c r="AD6" s="2">
        <f>COUNTIFS('BA History S2'!$B:$B,$A$6,'BA History S2'!W:W, 1)</f>
        <v>1</v>
      </c>
      <c r="AE6" s="2">
        <f>COUNTIFS('BA History S2'!$B:$B,$A$6,'BA History S2'!X:X, 1)</f>
        <v>0</v>
      </c>
      <c r="AF6" s="2">
        <f>COUNTIFS('BA History S2'!$B:$B,$A$6,'BA History S2'!Y:Y, 1)</f>
        <v>3</v>
      </c>
      <c r="AG6" s="2">
        <f>COUNTIFS('BA History S2'!$B:$B,$A$6,'BA History S2'!Z:Z, 1)</f>
        <v>4</v>
      </c>
      <c r="AH6" s="2">
        <f>COUNTIFS('BA History S2'!$B:$B,$A6,'BA History S2'!AA:AA, 1)</f>
        <v>0</v>
      </c>
      <c r="AI6" s="2">
        <f>COUNTIFS('BA History S2'!$B:$B,$A$6,'BA History S2'!AB:AB, 1)</f>
        <v>0</v>
      </c>
      <c r="AJ6" s="2">
        <f>COUNTIFS('BA History S2'!$B:$B,$A$6,'BA History S2'!AC:AC, 1)</f>
        <v>9</v>
      </c>
      <c r="AK6" s="2">
        <f>COUNTIFS('BA History S2'!$B:$B,$A$6,'BA History S2'!AD:AD, 1)</f>
        <v>1</v>
      </c>
      <c r="AL6" s="2">
        <f>COUNTIFS('BA History S2'!$B:$B,$A$6,'BA History S2'!AE:AE, 1)</f>
        <v>3</v>
      </c>
      <c r="AM6" s="2">
        <f>COUNTIFS('BA History S2'!$B:$B,$A$6,'BA History S2'!AF:AF, 1)</f>
        <v>0</v>
      </c>
      <c r="AN6" s="2">
        <f>COUNTIFS('BA History S2'!$B:$B,$A$6,'BA History S2'!AG:AG, 1)</f>
        <v>3</v>
      </c>
    </row>
    <row r="7" spans="1:40" x14ac:dyDescent="0.25">
      <c r="A7" s="2" t="s">
        <v>179</v>
      </c>
      <c r="B7" s="2" t="s">
        <v>79</v>
      </c>
      <c r="C7" s="2"/>
      <c r="D7" s="2"/>
      <c r="E7" s="2"/>
      <c r="F7" s="34">
        <f>SUMIFS('BA History S2'!C:C,'BA History S2'!B:B,A7)</f>
        <v>59</v>
      </c>
      <c r="G7" s="66">
        <f>AVERAGEIFS('BA History S2'!C:C,'BA History S2'!B:B,A7)</f>
        <v>14.75</v>
      </c>
      <c r="H7" s="35">
        <f t="array" ref="H7">MAX(IF('BA History S2'!B:B=A7, 'BA History S2'!C:C))</f>
        <v>21</v>
      </c>
      <c r="I7" s="34">
        <f>COUNTIFS('BA History S2'!B:B,A7,'BA History S2'!D:D, 1)</f>
        <v>2</v>
      </c>
      <c r="J7" s="2">
        <f>COUNTIFS('BA History S2'!B:B,A7,'BA History S2'!D:D, 0)</f>
        <v>2</v>
      </c>
      <c r="K7" s="75">
        <f>LOOKUP(2, 1/('BA History S2'!$B:$B=A7), 'BA History S2'!$AK:$AK)</f>
        <v>0.5</v>
      </c>
      <c r="L7" s="34">
        <f>SUMIFS('BA History S2'!F:F,'BA History S2'!B:B,A7)</f>
        <v>8</v>
      </c>
      <c r="M7" s="2">
        <f>SUMIFS('BA History S2'!E:E,'BA History S2'!B:B,A7)-L7</f>
        <v>7</v>
      </c>
      <c r="N7" s="75">
        <f>LOOKUP(2, 1/('BA History S2'!$B:$B=A7), 'BA History S2'!$AI:$AI)</f>
        <v>0.53749999999999998</v>
      </c>
      <c r="O7" s="34">
        <f>SUMIFS('BA History S2'!H:H,'BA History S2'!B:B,A7)</f>
        <v>30</v>
      </c>
      <c r="P7" s="2">
        <f>SUMIFS('BA History S2'!G:G,'BA History S2'!B:B,A7)-O7</f>
        <v>28</v>
      </c>
      <c r="Q7" s="89">
        <f>LOOKUP(2, 1/('BA History S2'!$B:$B=A7), 'BA History S2'!$AJ:$AJ)</f>
        <v>0.53249999999999997</v>
      </c>
      <c r="R7" s="2">
        <f>COUNTIFS('BA History S2'!$B:$B,$A$7,'BA History S2'!K:K, 1)</f>
        <v>1</v>
      </c>
      <c r="S7" s="2">
        <f>COUNTIFS('BA History S2'!$B:$B,$A$7,'BA History S2'!L:L, 1)</f>
        <v>1</v>
      </c>
      <c r="T7" s="2">
        <f>COUNTIFS('BA History S2'!$B:$B,$A$7,'BA History S2'!M:M, 1)</f>
        <v>0</v>
      </c>
      <c r="U7" s="2">
        <f>COUNTIFS('BA History S2'!$B:$B,$A$7,'BA History S2'!N:N, 1)</f>
        <v>1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1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1</v>
      </c>
      <c r="AH7" s="2">
        <f>COUNTIFS('BA History S2'!$B:$B,$A7,'BA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1</v>
      </c>
      <c r="AK7" s="2">
        <f>COUNTIFS('BA History S2'!$B:$B,$A$7,'BA History S2'!AD:AD, 1)</f>
        <v>0</v>
      </c>
      <c r="AL7" s="2">
        <f>COUNTIFS('BA History S2'!$B:$B,$A$7,'BA History S2'!AE:AE, 1)</f>
        <v>1</v>
      </c>
      <c r="AM7" s="2">
        <f>COUNTIFS('BA History S2'!$B:$B,$A$7,'BA History S2'!AF:AF, 1)</f>
        <v>0</v>
      </c>
      <c r="AN7" s="2">
        <f>COUNTIFS('BA History S2'!$B:$B,$A$7,'BA History S2'!AG:AG, 1)</f>
        <v>1</v>
      </c>
    </row>
    <row r="8" spans="1:40" x14ac:dyDescent="0.25">
      <c r="A8" s="2" t="s">
        <v>216</v>
      </c>
      <c r="B8" s="2" t="s">
        <v>79</v>
      </c>
      <c r="C8" s="2"/>
      <c r="D8" s="2"/>
      <c r="E8" s="2"/>
      <c r="F8" s="34">
        <f>SUMIFS('BA History S2'!C:C,'BA History S2'!B:B,A8)</f>
        <v>1</v>
      </c>
      <c r="G8" s="66">
        <f>AVERAGEIFS('BA History S2'!C:C,'BA History S2'!B:B,A8)</f>
        <v>1</v>
      </c>
      <c r="H8" s="35">
        <f t="array" ref="H8">MAX(IF('BA History S2'!B:B=A8, 'BA History S2'!C:C))</f>
        <v>1</v>
      </c>
      <c r="I8" s="34">
        <f>COUNTIFS('BA History S2'!B:B,A8,'BA History S2'!D:D, 1)</f>
        <v>1</v>
      </c>
      <c r="J8" s="2">
        <f>COUNTIFS('BA History S2'!B:B,A8,'BA History S2'!D:D, 0)</f>
        <v>0</v>
      </c>
      <c r="K8" s="75">
        <f>LOOKUP(2, 1/('BA History S2'!$B:$B=A8), 'BA History S2'!$AK:$AK)</f>
        <v>1</v>
      </c>
      <c r="L8" s="34">
        <f>SUMIFS('BA History S2'!F:F,'BA History S2'!B:B,A8)</f>
        <v>3</v>
      </c>
      <c r="M8" s="2">
        <f>SUMIFS('BA History S2'!E:E,'BA History S2'!B:B,A8)-L8</f>
        <v>0</v>
      </c>
      <c r="N8" s="75">
        <f>LOOKUP(2, 1/('BA History S2'!$B:$B=A8), 'BA History S2'!$AI:$AI)</f>
        <v>1</v>
      </c>
      <c r="O8" s="34">
        <f>SUMIFS('BA History S2'!H:H,'BA History S2'!B:B,A8)</f>
        <v>9</v>
      </c>
      <c r="P8" s="2">
        <f>SUMIFS('BA History S2'!G:G,'BA History S2'!B:B,A8)-O8</f>
        <v>3</v>
      </c>
      <c r="Q8" s="89">
        <f>LOOKUP(2, 1/('BA History S2'!$B:$B=A8), 'BA History S2'!$AJ:$AJ)</f>
        <v>0.75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1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1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1</v>
      </c>
      <c r="AH8" s="2">
        <f>COUNTIFS('BA History S2'!$B:$B,$A$8,'BA History S2'!AA:AA, 1)</f>
        <v>0</v>
      </c>
      <c r="AI8" s="2">
        <f>COUNTIFS('BA History S2'!$B:$B,$A$8,'BA History S2'!AB:AB, 1)</f>
        <v>0</v>
      </c>
      <c r="AJ8" s="2">
        <f>COUNTIFS('BA History S2'!$B:$B,$A$8,'BA History S2'!AC:AC, 1)</f>
        <v>0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  <c r="AN8" s="2">
        <f>COUNTIFS('BA History S2'!$B:$B,$A$8,'BA History S2'!AG:AG, 1)</f>
        <v>0</v>
      </c>
    </row>
    <row r="9" spans="1:40" x14ac:dyDescent="0.25">
      <c r="A9" s="2" t="s">
        <v>146</v>
      </c>
      <c r="B9" s="2" t="s">
        <v>79</v>
      </c>
      <c r="C9" s="2"/>
      <c r="D9" s="2"/>
      <c r="E9" s="2"/>
      <c r="F9" s="34">
        <f>SUMIFS('BA History S2'!C:C,'BA History S2'!B:B,A9)</f>
        <v>27</v>
      </c>
      <c r="G9" s="66">
        <f>AVERAGEIFS('BA History S2'!C:C,'BA History S2'!B:B,A9)</f>
        <v>9</v>
      </c>
      <c r="H9" s="35">
        <f t="array" ref="H9">MAX(IF('BA History S2'!B:B=A9, 'BA History S2'!C:C))</f>
        <v>13</v>
      </c>
      <c r="I9" s="34">
        <f>COUNTIFS('BA History S2'!B:B,A9,'BA History S2'!D:D, 1)</f>
        <v>0</v>
      </c>
      <c r="J9" s="2">
        <f>COUNTIFS('BA History S2'!B:B,A9,'BA History S2'!D:D, 0)</f>
        <v>3</v>
      </c>
      <c r="K9" s="75">
        <f>LOOKUP(2, 1/('BA History S2'!$B:$B=A9), 'BA History S2'!$AK:$AK)</f>
        <v>0</v>
      </c>
      <c r="L9" s="34">
        <f>SUMIFS('BA History S2'!F:F,'BA History S2'!B:B,A9)</f>
        <v>1</v>
      </c>
      <c r="M9" s="2">
        <f>SUMIFS('BA History S2'!E:E,'BA History S2'!B:B,A9)-L9</f>
        <v>9</v>
      </c>
      <c r="N9" s="75">
        <f>LOOKUP(2, 1/('BA History S2'!$B:$B=A9), 'BA History S2'!$AI:$AI)</f>
        <v>8.3333333333333329E-2</v>
      </c>
      <c r="O9" s="34">
        <f>SUMIFS('BA History S2'!H:H,'BA History S2'!B:B,A9)</f>
        <v>14</v>
      </c>
      <c r="P9" s="2">
        <f>SUMIFS('BA History S2'!G:G,'BA History S2'!B:B,A9)-O9</f>
        <v>28</v>
      </c>
      <c r="Q9" s="89">
        <f>LOOKUP(2, 1/('BA History S2'!$B:$B=A9), 'BA History S2'!$AJ:$AJ)</f>
        <v>0.3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0</v>
      </c>
      <c r="U9" s="2">
        <f>COUNTIFS('BA History S2'!$B:$B,$A$9,'BA History S2'!N:N, 1)</f>
        <v>1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0</v>
      </c>
      <c r="AD9" s="2">
        <f>COUNTIFS('BA History S2'!$B:$B,$A$9,'BA History S2'!W:W, 1)</f>
        <v>0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S2'!$B:$B,$A9,'BA History S2'!AA:AA, 1)</f>
        <v>0</v>
      </c>
      <c r="AI9" s="2">
        <f>COUNTIFS('BA History S2'!$B:$B,$A$9,'BA History S2'!AB:AB, 1)</f>
        <v>0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  <c r="AN9" s="2">
        <f>COUNTIFS('BA History S2'!$B:$B,$A$9,'BA History S2'!AG:AG, 1)</f>
        <v>0</v>
      </c>
    </row>
    <row r="10" spans="1:40" x14ac:dyDescent="0.25">
      <c r="A10" s="2" t="s">
        <v>27</v>
      </c>
      <c r="B10" s="2" t="s">
        <v>79</v>
      </c>
      <c r="C10" s="2"/>
      <c r="D10" s="2"/>
      <c r="E10" s="2"/>
      <c r="F10" s="34">
        <f>SUMIFS('BA History S2'!C:C,'BA History S2'!B:B,A10)</f>
        <v>21</v>
      </c>
      <c r="G10" s="66">
        <f>AVERAGEIFS('BA History S2'!C:C,'BA History S2'!B:B,A10)</f>
        <v>10.5</v>
      </c>
      <c r="H10" s="35">
        <f t="array" ref="H10">MAX(IF('BA History S2'!B:B=A10, 'BA History S2'!C:C))</f>
        <v>15</v>
      </c>
      <c r="I10" s="34">
        <f>COUNTIFS('BA History S2'!B:B,A10,'BA History S2'!D:D, 1)</f>
        <v>1</v>
      </c>
      <c r="J10" s="2">
        <f>COUNTIFS('BA History S2'!B:B,A10,'BA History S2'!D:D, 0)</f>
        <v>1</v>
      </c>
      <c r="K10" s="75">
        <f>LOOKUP(2, 1/('BA History S2'!$B:$B=A10), 'BA History S2'!$AK:$AK)</f>
        <v>0.5</v>
      </c>
      <c r="L10" s="34">
        <f>SUMIFS('BA History S2'!F:F,'BA History S2'!B:B,A10)</f>
        <v>5</v>
      </c>
      <c r="M10" s="2">
        <f>SUMIFS('BA History S2'!E:E,'BA History S2'!B:B,A10)-L10</f>
        <v>3</v>
      </c>
      <c r="N10" s="75">
        <f>LOOKUP(2, 1/('BA History S2'!$B:$B=A10), 'BA History S2'!$AI:$AI)</f>
        <v>0.7</v>
      </c>
      <c r="O10" s="34">
        <f>SUMIFS('BA History S2'!H:H,'BA History S2'!B:B,A10)</f>
        <v>20</v>
      </c>
      <c r="P10" s="2">
        <f>SUMIFS('BA History S2'!G:G,'BA History S2'!B:B,A10)-O10</f>
        <v>18</v>
      </c>
      <c r="Q10" s="89">
        <f>LOOKUP(2, 1/('BA History S2'!$B:$B=A10), 'BA History S2'!$AJ:$AJ)</f>
        <v>0.55000000000000004</v>
      </c>
      <c r="R10" s="2">
        <f>COUNTIFS('BA History S2'!$B:$B,$A$10,'BA History S2'!K:K, 1)</f>
        <v>0</v>
      </c>
      <c r="S10" s="2">
        <f>COUNTIFS('BA History S2'!$B:$B,$A$10,'BA History S2'!L:L, 1)</f>
        <v>0</v>
      </c>
      <c r="T10" s="2">
        <f>COUNTIFS('BA History S2'!$B:$B,$A$10,'BA History S2'!M:M, 1)</f>
        <v>0</v>
      </c>
      <c r="U10" s="2">
        <f>COUNTIFS('BA History S2'!$B:$B,$A$10,'BA History S2'!N:N, 1)</f>
        <v>0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1</v>
      </c>
      <c r="AD10" s="2">
        <f>COUNTIFS('BA History S2'!$B:$B,$A$10,'BA History S2'!W:W, 1)</f>
        <v>0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0</v>
      </c>
      <c r="AH10" s="2">
        <f>COUNTIFS('BA History S2'!$B:$B,$A10,'BA History S2'!AA:AA, 1)</f>
        <v>0</v>
      </c>
      <c r="AI10" s="2">
        <f>COUNTIFS('BA History S2'!$B:$B,$A$10,'BA History S2'!AB:AB, 1)</f>
        <v>1</v>
      </c>
      <c r="AJ10" s="2">
        <f>COUNTIFS('BA History S2'!$B:$B,$A$10,'BA History S2'!AC:AC, 1)</f>
        <v>1</v>
      </c>
      <c r="AK10" s="2">
        <f>COUNTIFS('BA History S2'!$B:$B,$A$10,'BA History S2'!AD:AD, 1)</f>
        <v>1</v>
      </c>
      <c r="AL10" s="2">
        <f>COUNTIFS('BA History S2'!$B:$B,$A$10,'BA History S2'!AE:AE, 1)</f>
        <v>0</v>
      </c>
      <c r="AM10" s="2">
        <f>COUNTIFS('BA History S2'!$B:$B,$A$10,'BA History S2'!AF:AF, 1)</f>
        <v>0</v>
      </c>
      <c r="AN10" s="2">
        <f>COUNTIFS('BA History S2'!$B:$B,$A$10,'BA History S2'!AG:AG, 1)</f>
        <v>1</v>
      </c>
    </row>
    <row r="11" spans="1:40" x14ac:dyDescent="0.25">
      <c r="A11" s="2" t="s">
        <v>152</v>
      </c>
      <c r="B11" s="2" t="s">
        <v>79</v>
      </c>
      <c r="C11" s="2"/>
      <c r="D11" s="2"/>
      <c r="E11" s="2"/>
      <c r="F11" s="34">
        <f>SUMIFS('BA History S2'!C:C,'BA History S2'!B:B,A11)</f>
        <v>67</v>
      </c>
      <c r="G11" s="66">
        <f>AVERAGEIFS('BA History S2'!C:C,'BA History S2'!B:B,A11)</f>
        <v>11.166666666666666</v>
      </c>
      <c r="H11" s="35">
        <f t="array" ref="H11">MAX(IF('BA History S2'!B:B=A11, 'BA History S2'!C:C))</f>
        <v>19</v>
      </c>
      <c r="I11" s="34">
        <f>COUNTIFS('BA History S2'!B:B,A11,'BA History S2'!D:D, 1)</f>
        <v>2</v>
      </c>
      <c r="J11" s="2">
        <f>COUNTIFS('BA History S2'!B:B,A11,'BA History S2'!D:D, 0)</f>
        <v>4</v>
      </c>
      <c r="K11" s="75">
        <f>LOOKUP(2, 1/('BA History S2'!$B:$B=A11), 'BA History S2'!$AK:$AK)</f>
        <v>0.33333333333333331</v>
      </c>
      <c r="L11" s="34">
        <f>SUMIFS('BA History S2'!F:F,'BA History S2'!B:B,A11)</f>
        <v>10</v>
      </c>
      <c r="M11" s="2">
        <f>SUMIFS('BA History S2'!E:E,'BA History S2'!B:B,A11)-L11</f>
        <v>15</v>
      </c>
      <c r="N11" s="75">
        <f>LOOKUP(2, 1/('BA History S2'!$B:$B=A11), 'BA History S2'!$AI:$AI)</f>
        <v>0.375</v>
      </c>
      <c r="O11" s="34">
        <f>SUMIFS('BA History S2'!H:H,'BA History S2'!B:B,A11)</f>
        <v>47</v>
      </c>
      <c r="P11" s="2">
        <f>SUMIFS('BA History S2'!G:G,'BA History S2'!B:B,A11)-O11</f>
        <v>56</v>
      </c>
      <c r="Q11" s="89">
        <f>LOOKUP(2, 1/('BA History S2'!$B:$B=A11), 'BA History S2'!$AJ:$AJ)</f>
        <v>0.44333333333333336</v>
      </c>
      <c r="R11" s="2">
        <f>COUNTIFS('BA History S2'!$B:$B,$A$11,'BA History S2'!K:K, 1)</f>
        <v>1</v>
      </c>
      <c r="S11" s="2">
        <f>COUNTIFS('BA History S2'!$B:$B,$A$11,'BA History S2'!L:L, 1)</f>
        <v>0</v>
      </c>
      <c r="T11" s="2">
        <f>COUNTIFS('BA History S2'!$B:$B,$A$11,'BA History S2'!M:M, 1)</f>
        <v>1</v>
      </c>
      <c r="U11" s="2">
        <f>COUNTIFS('BA History S2'!$B:$B,$A$11,'BA History S2'!N:N, 1)</f>
        <v>1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0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1</v>
      </c>
      <c r="AC11" s="2">
        <f>COUNTIFS('BA History S2'!$B:$B,$A$11,'BA History S2'!V:V, 1)</f>
        <v>1</v>
      </c>
      <c r="AD11" s="2">
        <f>COUNTIFS('BA History S2'!$B:$B,$A$11,'BA History S2'!W:W, 1)</f>
        <v>1</v>
      </c>
      <c r="AE11" s="2">
        <f>COUNTIFS('BA History S2'!$B:$B,$A$11,'BA History S2'!X:X, 1)</f>
        <v>0</v>
      </c>
      <c r="AF11" s="2">
        <f>COUNTIFS('BA History S2'!$B:$B,$A$11,'BA History S2'!Y:Y, 1)</f>
        <v>0</v>
      </c>
      <c r="AG11" s="2">
        <f>COUNTIFS('BA History S2'!$B:$B,$A$11,'BA History S2'!Z:Z, 1)</f>
        <v>0</v>
      </c>
      <c r="AH11" s="2">
        <f>COUNTIFS('BA History S2'!$B:$B,$A11,'BA History S2'!AA:AA, 1)</f>
        <v>1</v>
      </c>
      <c r="AI11" s="2">
        <f>COUNTIFS('BA History S2'!$B:$B,$A$11,'BA History S2'!AB:AB, 1)</f>
        <v>0</v>
      </c>
      <c r="AJ11" s="2">
        <f>COUNTIFS('BA History S2'!$B:$B,$A$11,'BA History S2'!AC:AC, 1)</f>
        <v>2</v>
      </c>
      <c r="AK11" s="2">
        <f>COUNTIFS('BA History S2'!$B:$B,$A$11,'BA History S2'!AD:AD, 1)</f>
        <v>1</v>
      </c>
      <c r="AL11" s="2">
        <f>COUNTIFS('BA History S2'!$B:$B,$A$11,'BA History S2'!AE:AE, 1)</f>
        <v>0</v>
      </c>
      <c r="AM11" s="2">
        <f>COUNTIFS('BA History S2'!$B:$B,$A$11,'BA History S2'!AF:AF, 1)</f>
        <v>0</v>
      </c>
      <c r="AN11" s="2">
        <f>COUNTIFS('BA History S2'!$B:$B,$A$11,'BA History S2'!AG:AG, 1)</f>
        <v>0</v>
      </c>
    </row>
    <row r="12" spans="1:40" x14ac:dyDescent="0.25">
      <c r="A12" s="2" t="s">
        <v>50</v>
      </c>
      <c r="B12" s="2" t="s">
        <v>79</v>
      </c>
      <c r="C12" s="2"/>
      <c r="D12" s="2">
        <v>1</v>
      </c>
      <c r="E12" s="2"/>
      <c r="F12" s="34">
        <f>SUMIFS('BA History S2'!C:C,'BA History S2'!B:B,A12)</f>
        <v>155</v>
      </c>
      <c r="G12" s="66">
        <f>AVERAGEIFS('BA History S2'!C:C,'BA History S2'!B:B,A12)</f>
        <v>15.5</v>
      </c>
      <c r="H12" s="35">
        <f t="array" ref="H12">MAX(IF('BA History S2'!B:B=A12, 'BA History S2'!C:C))</f>
        <v>22</v>
      </c>
      <c r="I12" s="34">
        <f>COUNTIFS('BA History S2'!B:B,A12,'BA History S2'!D:D, 1)</f>
        <v>3</v>
      </c>
      <c r="J12" s="2">
        <f>COUNTIFS('BA History S2'!B:B,A12,'BA History S2'!D:D, 0)</f>
        <v>7</v>
      </c>
      <c r="K12" s="75">
        <f>LOOKUP(2, 1/('BA History S2'!$B:$B=A12), 'BA History S2'!$AK:$AK)</f>
        <v>0.3</v>
      </c>
      <c r="L12" s="34">
        <f>SUMIFS('BA History S2'!F:F,'BA History S2'!B:B,A12)</f>
        <v>15</v>
      </c>
      <c r="M12" s="2">
        <f>SUMIFS('BA History S2'!E:E,'BA History S2'!B:B,A12)-L12</f>
        <v>26</v>
      </c>
      <c r="N12" s="75">
        <f>LOOKUP(2, 1/('BA History S2'!$B:$B=A12), 'BA History S2'!$AI:$AI)</f>
        <v>0.33500000000000002</v>
      </c>
      <c r="O12" s="34">
        <f>SUMIFS('BA History S2'!H:H,'BA History S2'!B:B,A12)</f>
        <v>75</v>
      </c>
      <c r="P12" s="2">
        <f>SUMIFS('BA History S2'!G:G,'BA History S2'!B:B,A12)-O12</f>
        <v>96</v>
      </c>
      <c r="Q12" s="89">
        <f>LOOKUP(2, 1/('BA History S2'!$B:$B=A12), 'BA History S2'!$AJ:$AJ)</f>
        <v>0.41999999999999993</v>
      </c>
      <c r="R12" s="2">
        <f>COUNTIFS('BA History S2'!$B:$B,$A$12,'BA History S2'!K:K, 1)</f>
        <v>0</v>
      </c>
      <c r="S12" s="2">
        <f>COUNTIFS('BA History S2'!$B:$B,$A$12,'BA History S2'!L:L, 1)</f>
        <v>1</v>
      </c>
      <c r="T12" s="2">
        <f>COUNTIFS('BA History S2'!$B:$B,$A$12,'BA History S2'!M:M, 1)</f>
        <v>3</v>
      </c>
      <c r="U12" s="2">
        <f>COUNTIFS('BA History S2'!$B:$B,$A$12,'BA History S2'!N:N, 1)</f>
        <v>2</v>
      </c>
      <c r="V12" s="2">
        <f>COUNTIFS('BA History S2'!$B:$B,$A$12,'BA History S2'!O:O, 1)</f>
        <v>0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1</v>
      </c>
      <c r="AD12" s="2">
        <f>COUNTIFS('BA History S2'!$B:$B,$A$12,'BA History S2'!W:W, 1)</f>
        <v>1</v>
      </c>
      <c r="AE12" s="2">
        <f>COUNTIFS('BA History S2'!$B:$B,$A$12,'BA History S2'!X:X, 1)</f>
        <v>0</v>
      </c>
      <c r="AF12" s="2">
        <f>COUNTIFS('BA History S2'!$B:$B,$A$12,'BA History S2'!Y:Y, 1)</f>
        <v>0</v>
      </c>
      <c r="AG12" s="2">
        <f>COUNTIFS('BA History S2'!$B:$B,$A$12,'BA History S2'!Z:Z, 1)</f>
        <v>0</v>
      </c>
      <c r="AH12" s="2">
        <f>COUNTIFS('BA History S2'!$B:$B,$A12,'BA History S2'!AA:AA, 1)</f>
        <v>0</v>
      </c>
      <c r="AI12" s="2">
        <f>COUNTIFS('BA History S2'!$B:$B,$A$12,'BA History S2'!AB:AB, 1)</f>
        <v>0</v>
      </c>
      <c r="AJ12" s="2">
        <f>COUNTIFS('BA History S2'!$B:$B,$A$12,'BA History S2'!AC:AC, 1)</f>
        <v>3</v>
      </c>
      <c r="AK12" s="2">
        <f>COUNTIFS('BA History S2'!$B:$B,$A$12,'BA History S2'!AD:AD, 1)</f>
        <v>1</v>
      </c>
      <c r="AL12" s="2">
        <f>COUNTIFS('BA History S2'!$B:$B,$A$12,'BA History S2'!AE:AE, 1)</f>
        <v>1</v>
      </c>
      <c r="AM12" s="2">
        <f>COUNTIFS('BA History S2'!$B:$B,$A$12,'BA History S2'!AF:AF, 1)</f>
        <v>1</v>
      </c>
      <c r="AN12" s="2">
        <f>COUNTIFS('BA History S2'!$B:$B,$A$12,'BA History S2'!AG:AG, 1)</f>
        <v>1</v>
      </c>
    </row>
    <row r="13" spans="1:40" x14ac:dyDescent="0.25">
      <c r="A13" s="2" t="s">
        <v>52</v>
      </c>
      <c r="B13" s="2" t="s">
        <v>79</v>
      </c>
      <c r="C13" s="2">
        <v>1</v>
      </c>
      <c r="D13" s="2"/>
      <c r="E13" s="2"/>
      <c r="F13" s="34">
        <f>SUMIFS('BA History S2'!C:C,'BA History S2'!B:B,A13)</f>
        <v>27</v>
      </c>
      <c r="G13" s="66">
        <f>AVERAGEIFS('BA History S2'!C:C,'BA History S2'!B:B,A13)</f>
        <v>13.5</v>
      </c>
      <c r="H13" s="35">
        <f t="array" ref="H13">MAX(IF('BA History S2'!B:B=A13, 'BA History S2'!C:C))</f>
        <v>17</v>
      </c>
      <c r="I13" s="34">
        <f>COUNTIFS('BA History S2'!B:B,A13,'BA History S2'!D:D, 1)</f>
        <v>0</v>
      </c>
      <c r="J13" s="2">
        <f>COUNTIFS('BA History S2'!B:B,A13,'BA History S2'!D:D, 0)</f>
        <v>2</v>
      </c>
      <c r="K13" s="75">
        <f>LOOKUP(2, 1/('BA History S2'!$B:$B=A13), 'BA History S2'!$AK:$AK)</f>
        <v>0</v>
      </c>
      <c r="L13" s="34">
        <f>SUMIFS('BA History S2'!F:F,'BA History S2'!B:B,A13)</f>
        <v>3</v>
      </c>
      <c r="M13" s="2">
        <f>SUMIFS('BA History S2'!E:E,'BA History S2'!B:B,A13)-L13</f>
        <v>6</v>
      </c>
      <c r="N13" s="75">
        <f>LOOKUP(2, 1/('BA History S2'!$B:$B=A13), 'BA History S2'!$AI:$AI)</f>
        <v>0.32500000000000001</v>
      </c>
      <c r="O13" s="34">
        <f>SUMIFS('BA History S2'!H:H,'BA History S2'!B:B,A13)</f>
        <v>17</v>
      </c>
      <c r="P13" s="2">
        <f>SUMIFS('BA History S2'!G:G,'BA History S2'!B:B,A13)-O13</f>
        <v>21</v>
      </c>
      <c r="Q13" s="89">
        <f>LOOKUP(2, 1/('BA History S2'!$B:$B=A13), 'BA History S2'!$AJ:$AJ)</f>
        <v>0.44499999999999995</v>
      </c>
      <c r="R13" s="2">
        <f>COUNTIFS('BA History S2'!$B:$B,$A$13,'BA History S2'!K:K, 1)</f>
        <v>0</v>
      </c>
      <c r="S13" s="2">
        <f>COUNTIFS('BA History S2'!$B:$B,$A$13,'BA History S2'!L:L, 1)</f>
        <v>0</v>
      </c>
      <c r="T13" s="2">
        <f>COUNTIFS('BA History S2'!$B:$B,$A$13,'BA History S2'!M:M, 1)</f>
        <v>0</v>
      </c>
      <c r="U13" s="2">
        <f>COUNTIFS('BA History S2'!$B:$B,$A$13,'BA History S2'!N:N, 1)</f>
        <v>1</v>
      </c>
      <c r="V13" s="2">
        <f>COUNTIFS('BA History S2'!$B:$B,$A$13,'BA History S2'!O:O, 1)</f>
        <v>0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0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0</v>
      </c>
      <c r="AC13" s="2">
        <f>COUNTIFS('BA History S2'!$B:$B,$A$13,'BA History S2'!V:V, 1)</f>
        <v>0</v>
      </c>
      <c r="AD13" s="2">
        <f>COUNTIFS('BA History S2'!$B:$B,$A$13,'BA History S2'!W:W, 1)</f>
        <v>0</v>
      </c>
      <c r="AE13" s="2">
        <f>COUNTIFS('BA History S2'!$B:$B,$A$13,'BA History S2'!X:X, 1)</f>
        <v>0</v>
      </c>
      <c r="AF13" s="2">
        <f>COUNTIFS('BA History S2'!$B:$B,$A$13,'BA History S2'!Y:Y, 1)</f>
        <v>0</v>
      </c>
      <c r="AG13" s="2">
        <f>COUNTIFS('BA History S2'!$B:$B,$A$13,'BA History S2'!Z:Z, 1)</f>
        <v>1</v>
      </c>
      <c r="AH13" s="2">
        <f>COUNTIFS('BA History S2'!$B:$B,$A13,'BA History S2'!AA:AA, 1)</f>
        <v>0</v>
      </c>
      <c r="AI13" s="2">
        <f>COUNTIFS('BA History S2'!$B:$B,$A$13,'BA History S2'!AB:AB, 1)</f>
        <v>0</v>
      </c>
      <c r="AJ13" s="2">
        <f>COUNTIFS('BA History S2'!$B:$B,$A$13,'BA History S2'!AC:AC, 1)</f>
        <v>0</v>
      </c>
      <c r="AK13" s="2">
        <f>COUNTIFS('BA History S2'!$B:$B,$A$13,'BA History S2'!AD:AD, 1)</f>
        <v>1</v>
      </c>
      <c r="AL13" s="2">
        <f>COUNTIFS('BA History S2'!$B:$B,$A$13,'BA History S2'!AE:AE, 1)</f>
        <v>0</v>
      </c>
      <c r="AM13" s="2">
        <f>COUNTIFS('BA History S2'!$B:$B,$A$13,'BA History S2'!AF:AF, 1)</f>
        <v>0</v>
      </c>
      <c r="AN13" s="2">
        <f>COUNTIFS('BA History S2'!$B:$B,$A$13,'BA History S2'!AG:AG, 1)</f>
        <v>0</v>
      </c>
    </row>
    <row r="14" spans="1:40" x14ac:dyDescent="0.25">
      <c r="A14" s="2" t="s">
        <v>44</v>
      </c>
      <c r="B14" s="2" t="s">
        <v>79</v>
      </c>
      <c r="C14" s="2">
        <v>1</v>
      </c>
      <c r="D14" s="2"/>
      <c r="E14" s="2"/>
      <c r="F14" s="34">
        <f>SUMIFS('BA History S2'!C:C,'BA History S2'!B:B,A14)</f>
        <v>325</v>
      </c>
      <c r="G14" s="66">
        <f>AVERAGEIFS('BA History S2'!C:C,'BA History S2'!B:B,A14)</f>
        <v>16.25</v>
      </c>
      <c r="H14" s="35">
        <f t="array" ref="H14">MAX(IF('BA History S2'!B:B=A14, 'BA History S2'!C:C))</f>
        <v>28</v>
      </c>
      <c r="I14" s="34">
        <f>COUNTIFS('BA History S2'!B:B,A14,'BA History S2'!D:D, 1)</f>
        <v>12</v>
      </c>
      <c r="J14" s="2">
        <f>COUNTIFS('BA History S2'!B:B,A14,'BA History S2'!D:D, 0)</f>
        <v>8</v>
      </c>
      <c r="K14" s="75">
        <f>LOOKUP(2, 1/('BA History S2'!$B:$B=A14), 'BA History S2'!$AK:$AK)</f>
        <v>0.6</v>
      </c>
      <c r="L14" s="34">
        <f>SUMIFS('BA History S2'!F:F,'BA History S2'!B:B,A14)</f>
        <v>44</v>
      </c>
      <c r="M14" s="2">
        <f>SUMIFS('BA History S2'!E:E,'BA History S2'!B:B,A14)-L14</f>
        <v>36</v>
      </c>
      <c r="N14" s="75">
        <f>LOOKUP(2, 1/('BA History S2'!$B:$B=A14), 'BA History S2'!$AI:$AI)</f>
        <v>0.55999999999999994</v>
      </c>
      <c r="O14" s="34">
        <f>SUMIFS('BA History S2'!H:H,'BA History S2'!B:B,A14)</f>
        <v>173</v>
      </c>
      <c r="P14" s="2">
        <f>SUMIFS('BA History S2'!G:G,'BA History S2'!B:B,A14)-O14</f>
        <v>160</v>
      </c>
      <c r="Q14" s="89">
        <f>LOOKUP(2, 1/('BA History S2'!$B:$B=A14), 'BA History S2'!$AJ:$AJ)</f>
        <v>0.53149999999999997</v>
      </c>
      <c r="R14" s="2">
        <f>COUNTIFS('BA History S2'!$B:$B,$A$14,'BA History S2'!K:K, 1)</f>
        <v>2</v>
      </c>
      <c r="S14" s="2">
        <f>COUNTIFS('BA History S2'!$B:$B,$A$14,'BA History S2'!L:L, 1)</f>
        <v>1</v>
      </c>
      <c r="T14" s="2">
        <f>COUNTIFS('BA History S2'!$B:$B,$A$14,'BA History S2'!M:M, 1)</f>
        <v>6</v>
      </c>
      <c r="U14" s="2">
        <f>COUNTIFS('BA History S2'!$B:$B,$A$14,'BA History S2'!N:N, 1)</f>
        <v>5</v>
      </c>
      <c r="V14" s="2">
        <f>COUNTIFS('BA History S2'!$B:$B,$A$14,'BA History S2'!O:O, 1)</f>
        <v>1</v>
      </c>
      <c r="W14" s="2">
        <f>COUNTIFS('BA History S2'!$B:$B,$A$14,'BA History S2'!P:P, 1)</f>
        <v>0</v>
      </c>
      <c r="X14" s="2">
        <f>COUNTIFS('BA History S2'!$B:$B,$A$14,'BA History S2'!Q:Q, 1)</f>
        <v>1</v>
      </c>
      <c r="Y14" s="2">
        <f>COUNTIFS('BA History S2'!$B:$B,$A$14,'BA History S2'!R:R, 1)</f>
        <v>1</v>
      </c>
      <c r="Z14" s="2">
        <f>COUNTIFS('BA History S2'!$B:$B,$A$14,'BA History S2'!S:S, 1)</f>
        <v>1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1</v>
      </c>
      <c r="AD14" s="2">
        <f>COUNTIFS('BA History S2'!$B:$B,$A$14,'BA History S2'!W:W, 1)</f>
        <v>1</v>
      </c>
      <c r="AE14" s="2">
        <f>COUNTIFS('BA History S2'!$B:$B,$A$14,'BA History S2'!X:X, 1)</f>
        <v>0</v>
      </c>
      <c r="AF14" s="2">
        <f>COUNTIFS('BA History S2'!$B:$B,$A$14,'BA History S2'!Y:Y, 1)</f>
        <v>3</v>
      </c>
      <c r="AG14" s="2">
        <f>COUNTIFS('BA History S2'!$B:$B,$A$14,'BA History S2'!Z:Z, 1)</f>
        <v>4</v>
      </c>
      <c r="AH14" s="2">
        <f>COUNTIFS('BA History S2'!$B:$B,$A14,'BA History S2'!AA:AA, 1)</f>
        <v>0</v>
      </c>
      <c r="AI14" s="2">
        <f>COUNTIFS('BA History S2'!$B:$B,$A$14,'BA History S2'!AB:AB, 1)</f>
        <v>1</v>
      </c>
      <c r="AJ14" s="2">
        <f>COUNTIFS('BA History S2'!$B:$B,$A$14,'BA History S2'!AC:AC, 1)</f>
        <v>6</v>
      </c>
      <c r="AK14" s="2">
        <f>COUNTIFS('BA History S2'!$B:$B,$A$14,'BA History S2'!AD:AD, 1)</f>
        <v>2</v>
      </c>
      <c r="AL14" s="2">
        <f>COUNTIFS('BA History S2'!$B:$B,$A$14,'BA History S2'!AE:AE, 1)</f>
        <v>3</v>
      </c>
      <c r="AM14" s="2">
        <f>COUNTIFS('BA History S2'!$B:$B,$A$14,'BA History S2'!AF:AF, 1)</f>
        <v>0</v>
      </c>
      <c r="AN14" s="2">
        <f>COUNTIFS('BA History S2'!$B:$B,$A$14,'BA History S2'!AG:AG, 1)</f>
        <v>5</v>
      </c>
    </row>
    <row r="15" spans="1:40" x14ac:dyDescent="0.25">
      <c r="A15" s="2" t="s">
        <v>167</v>
      </c>
      <c r="B15" s="2" t="s">
        <v>79</v>
      </c>
      <c r="C15" s="2"/>
      <c r="D15" s="2"/>
      <c r="E15" s="2"/>
      <c r="F15" s="34">
        <f>SUMIFS('BA History S2'!C:C,'BA History S2'!B:B,A15)</f>
        <v>20</v>
      </c>
      <c r="G15" s="66">
        <f>AVERAGEIFS('BA History S2'!C:C,'BA History S2'!B:B,A15)</f>
        <v>10</v>
      </c>
      <c r="H15" s="35">
        <f t="array" ref="H15">MAX(IF('BA History S2'!B:B=A15, 'BA History S2'!C:C))</f>
        <v>14</v>
      </c>
      <c r="I15" s="34">
        <f>COUNTIFS('BA History S2'!B:B,A15,'BA History S2'!D:D, 1)</f>
        <v>1</v>
      </c>
      <c r="J15" s="2">
        <f>COUNTIFS('BA History S2'!B:B,A15,'BA History S2'!D:D, 0)</f>
        <v>1</v>
      </c>
      <c r="K15" s="75">
        <f>LOOKUP(2, 1/('BA History S2'!$B:$B=A15), 'BA History S2'!$AK:$AK)</f>
        <v>0.5</v>
      </c>
      <c r="L15" s="34">
        <f>SUMIFS('BA History S2'!F:F,'BA History S2'!B:B,A15)</f>
        <v>4</v>
      </c>
      <c r="M15" s="2">
        <f>SUMIFS('BA History S2'!E:E,'BA History S2'!B:B,A15)-L15</f>
        <v>4</v>
      </c>
      <c r="N15" s="75">
        <f>LOOKUP(2, 1/('BA History S2'!$B:$B=A15), 'BA History S2'!$AI:$AI)</f>
        <v>0.5</v>
      </c>
      <c r="O15" s="34">
        <f>SUMIFS('BA History S2'!H:H,'BA History S2'!B:B,A15)</f>
        <v>17</v>
      </c>
      <c r="P15" s="2">
        <f>SUMIFS('BA History S2'!G:G,'BA History S2'!B:B,A15)-O15</f>
        <v>17</v>
      </c>
      <c r="Q15" s="89">
        <f>LOOKUP(2, 1/('BA History S2'!$B:$B=A15), 'BA History S2'!$AJ:$AJ)</f>
        <v>0.5</v>
      </c>
      <c r="R15" s="2">
        <f>COUNTIFS('BA History S2'!$B:$B,$A$15,'BA History S2'!K:K, 1)</f>
        <v>0</v>
      </c>
      <c r="S15" s="2">
        <f>COUNTIFS('BA History S2'!$B:$B,$A$15,'BA History S2'!L:L, 1)</f>
        <v>0</v>
      </c>
      <c r="T15" s="2">
        <f>COUNTIFS('BA History S2'!$B:$B,$A$15,'BA History S2'!M:M, 1)</f>
        <v>0</v>
      </c>
      <c r="U15" s="2">
        <f>COUNTIFS('BA History S2'!$B:$B,$A$15,'BA History S2'!N:N, 1)</f>
        <v>0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0</v>
      </c>
      <c r="AE15" s="2">
        <f>COUNTIFS('BA History S2'!$B:$B,$A$15,'BA History S2'!X:X, 1)</f>
        <v>0</v>
      </c>
      <c r="AF15" s="2">
        <f>COUNTIFS('BA History S2'!$B:$B,$A$15,'BA History S2'!Y:Y, 1)</f>
        <v>1</v>
      </c>
      <c r="AG15" s="2">
        <f>COUNTIFS('BA History S2'!$B:$B,$A$15,'BA History S2'!Z:Z, 1)</f>
        <v>1</v>
      </c>
      <c r="AH15" s="2">
        <f>COUNTIFS('BA History S2'!$B:$B,$A15,'BA History S2'!AA:AA, 1)</f>
        <v>0</v>
      </c>
      <c r="AI15" s="2">
        <f>COUNTIFS('BA History S2'!$B:$B,$A$15,'BA History S2'!AB:AB, 1)</f>
        <v>0</v>
      </c>
      <c r="AJ15" s="2">
        <f>COUNTIFS('BA History S2'!$B:$B,$A$15,'BA History S2'!AC:AC, 1)</f>
        <v>2</v>
      </c>
      <c r="AK15" s="2">
        <f>COUNTIFS('BA History S2'!$B:$B,$A$15,'BA History S2'!AD:AD, 1)</f>
        <v>0</v>
      </c>
      <c r="AL15" s="2">
        <f>COUNTIFS('BA History S2'!$B:$B,$A$15,'BA History S2'!AE:AE, 1)</f>
        <v>0</v>
      </c>
      <c r="AM15" s="2">
        <f>COUNTIFS('BA History S2'!$B:$B,$A$15,'BA History S2'!AF:AF, 1)</f>
        <v>0</v>
      </c>
      <c r="AN15" s="2">
        <f>COUNTIFS('BA History S2'!$B:$B,$A$15,'BA History S2'!AG:AG, 1)</f>
        <v>0</v>
      </c>
    </row>
    <row r="16" spans="1:40" x14ac:dyDescent="0.25">
      <c r="A16" s="2" t="s">
        <v>1</v>
      </c>
      <c r="B16" s="1" t="s">
        <v>158</v>
      </c>
      <c r="F16" s="34">
        <f>SUMIFS('BA History S2'!C:C,'BA History S2'!B:B,A16)</f>
        <v>437</v>
      </c>
      <c r="G16" s="66">
        <f>AVERAGEIFS('BA History S2'!C:C,'BA History S2'!B:B,A16)</f>
        <v>27.3125</v>
      </c>
      <c r="H16" s="35">
        <f t="array" ref="H16">MAX(IF('BA History S2'!B:B=A16, 'BA History S2'!C:C))</f>
        <v>49</v>
      </c>
      <c r="I16" s="34">
        <f>COUNTIFS('BA History S2'!B:B,A16,'BA History S2'!D:D, 1)</f>
        <v>9</v>
      </c>
      <c r="J16" s="2">
        <f>COUNTIFS('BA History S2'!B:B,A16,'BA History S2'!D:D, 0)</f>
        <v>7</v>
      </c>
      <c r="K16" s="75">
        <f>LOOKUP(2, 1/('BA History S2'!$B:$B=A16), 'BA History S2'!$AK:$AK)</f>
        <v>0.5625</v>
      </c>
      <c r="L16" s="34">
        <f>SUMIFS('BA History S2'!F:F,'BA History S2'!B:B,A16)</f>
        <v>35</v>
      </c>
      <c r="M16" s="2">
        <f>SUMIFS('BA History S2'!E:E,'BA History S2'!B:B,A16)-L16</f>
        <v>28</v>
      </c>
      <c r="N16" s="75">
        <f>LOOKUP(2, 1/('BA History S2'!$B:$B=A16), 'BA History S2'!$AI:$AI)</f>
        <v>0.57187500000000002</v>
      </c>
      <c r="O16" s="34">
        <f>SUMIFS('BA History S2'!H:H,'BA History S2'!B:B,A16)</f>
        <v>139</v>
      </c>
      <c r="P16" s="2">
        <f>SUMIFS('BA History S2'!G:G,'BA History S2'!B:B,A16)-O16</f>
        <v>121</v>
      </c>
      <c r="Q16" s="89">
        <f>LOOKUP(2, 1/('BA History S2'!$B:$B=A16), 'BA History S2'!$AJ:$AJ)</f>
        <v>0.55562499999999992</v>
      </c>
      <c r="R16" s="2">
        <f>COUNTIFS('BA History S2'!$B:$B,$A$16,'BA History S2'!K:K, 1)</f>
        <v>2</v>
      </c>
      <c r="S16" s="2">
        <f>COUNTIFS('BA History S2'!$B:$B,$A$16,'BA History S2'!L:L, 1)</f>
        <v>2</v>
      </c>
      <c r="T16" s="2">
        <f>COUNTIFS('BA History S2'!$B:$B,$A$16,'BA History S2'!M:M, 1)</f>
        <v>2</v>
      </c>
      <c r="U16" s="2">
        <f>COUNTIFS('BA History S2'!$B:$B,$A$16,'BA History S2'!N:N, 1)</f>
        <v>4</v>
      </c>
      <c r="V16" s="2">
        <f>COUNTIFS('BA History S2'!$B:$B,$A$16,'BA History S2'!O:O, 1)</f>
        <v>1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1</v>
      </c>
      <c r="Z16" s="2">
        <f>COUNTIFS('BA History S2'!$B:$B,$A$16,'BA History S2'!S:S, 1)</f>
        <v>1</v>
      </c>
      <c r="AA16" s="2">
        <f>COUNTIFS('BA History S2'!$B:$B,$A$16,'BA History S2'!T:T, 1)</f>
        <v>0</v>
      </c>
      <c r="AB16" s="2">
        <f>COUNTIFS('BA History S2'!$B:$B,$A$16,'BA History S2'!U:U, 1)</f>
        <v>1</v>
      </c>
      <c r="AC16" s="2">
        <f>COUNTIFS('BA History S2'!$B:$B,$A$16,'BA History S2'!V:V, 1)</f>
        <v>2</v>
      </c>
      <c r="AD16" s="2">
        <f>COUNTIFS('BA History S2'!$B:$B,$A$16,'BA History S2'!W:W, 1)</f>
        <v>1</v>
      </c>
      <c r="AE16" s="2">
        <f>COUNTIFS('BA History S2'!$B:$B,$A$16,'BA History S2'!X:X, 1)</f>
        <v>0</v>
      </c>
      <c r="AF16" s="2">
        <f>COUNTIFS('BA History S2'!$B:$B,$A$16,'BA History S2'!Y:Y, 1)</f>
        <v>3</v>
      </c>
      <c r="AG16" s="2">
        <f>COUNTIFS('BA History S2'!$B:$B,$A$16,'BA History S2'!Z:Z, 1)</f>
        <v>3</v>
      </c>
      <c r="AH16" s="2">
        <f>COUNTIFS('BA History S2'!$B:$B,$A16,'BA History S2'!AA:AA, 1)</f>
        <v>0</v>
      </c>
      <c r="AI16" s="2">
        <f>COUNTIFS('BA History S2'!$B:$B,$A$16,'BA History S2'!AB:AB, 1)</f>
        <v>0</v>
      </c>
      <c r="AJ16" s="2">
        <f>COUNTIFS('BA History S2'!$B:$B,$A$16,'BA History S2'!AC:AC, 1)</f>
        <v>3</v>
      </c>
      <c r="AK16" s="2">
        <f>COUNTIFS('BA History S2'!$B:$B,$A$16,'BA History S2'!AD:AD, 1)</f>
        <v>2</v>
      </c>
      <c r="AL16" s="2">
        <f>COUNTIFS('BA History S2'!$B:$B,$A$16,'BA History S2'!AE:AE, 1)</f>
        <v>4</v>
      </c>
      <c r="AM16" s="2">
        <f>COUNTIFS('BA History S2'!$B:$B,$A$16,'BA History S2'!AF:AF, 1)</f>
        <v>0</v>
      </c>
      <c r="AN16" s="2">
        <f>COUNTIFS('BA History S2'!$B:$B,$A$16,'BA History S2'!AG:AG, 1)</f>
        <v>3</v>
      </c>
    </row>
    <row r="17" spans="1:40" ht="15.75" x14ac:dyDescent="0.25">
      <c r="A17" s="2" t="s">
        <v>150</v>
      </c>
      <c r="B17" s="95" t="s">
        <v>79</v>
      </c>
      <c r="C17" s="95">
        <v>1</v>
      </c>
      <c r="D17" s="95"/>
      <c r="E17" s="95"/>
      <c r="F17" s="34">
        <f>SUMIFS('BA History S2'!C:C,'BA History S2'!B:B,A17)</f>
        <v>312</v>
      </c>
      <c r="G17" s="66">
        <f>AVERAGEIFS('BA History S2'!C:C,'BA History S2'!B:B,A17)</f>
        <v>19.5</v>
      </c>
      <c r="H17" s="35">
        <f t="array" ref="H17">MAX(IF('BA History S2'!B:B=A17, 'BA History S2'!C:C))</f>
        <v>30</v>
      </c>
      <c r="I17" s="34">
        <f>COUNTIFS('BA History S2'!B:B,A17,'BA History S2'!D:D, 1)</f>
        <v>12</v>
      </c>
      <c r="J17" s="2">
        <f>COUNTIFS('BA History S2'!B:B,A17,'BA History S2'!D:D, 0)</f>
        <v>4</v>
      </c>
      <c r="K17" s="75">
        <f>LOOKUP(2, 1/('BA History S2'!$B:$B=A17), 'BA History S2'!$AK:$AK)</f>
        <v>0.75</v>
      </c>
      <c r="L17" s="34">
        <f>SUMIFS('BA History S2'!F:F,'BA History S2'!B:B,A17)</f>
        <v>40</v>
      </c>
      <c r="M17" s="2">
        <f>SUMIFS('BA History S2'!E:E,'BA History S2'!B:B,A17)-L17</f>
        <v>21</v>
      </c>
      <c r="N17" s="75">
        <f>LOOKUP(2, 1/('BA History S2'!$B:$B=A17), 'BA History S2'!$AI:$AI)</f>
        <v>0.671875</v>
      </c>
      <c r="O17" s="34">
        <f>SUMIFS('BA History S2'!H:H,'BA History S2'!B:B,A17)</f>
        <v>143</v>
      </c>
      <c r="P17" s="2">
        <f>SUMIFS('BA History S2'!G:G,'BA History S2'!B:B,A17)-O17</f>
        <v>99</v>
      </c>
      <c r="Q17" s="89">
        <f>LOOKUP(2, 1/('BA History S2'!$B:$B=A17), 'BA History S2'!$AJ:$AJ)</f>
        <v>0.61062499999999997</v>
      </c>
      <c r="R17" s="2">
        <f>COUNTIFS('BA History S2'!$B:$B,$A$17,'BA History S2'!K:K, 1)</f>
        <v>0</v>
      </c>
      <c r="S17" s="2">
        <f>COUNTIFS('BA History S2'!$B:$B,$A$17,'BA History S2'!L:L, 1)</f>
        <v>1</v>
      </c>
      <c r="T17" s="2">
        <f>COUNTIFS('BA History S2'!$B:$B,$A$17,'BA History S2'!M:M, 1)</f>
        <v>4</v>
      </c>
      <c r="U17" s="2">
        <f>COUNTIFS('BA History S2'!$B:$B,$A$17,'BA History S2'!N:N, 1)</f>
        <v>6</v>
      </c>
      <c r="V17" s="2">
        <f>COUNTIFS('BA History S2'!$B:$B,$A$17,'BA History S2'!O:O, 1)</f>
        <v>0</v>
      </c>
      <c r="W17" s="2">
        <f>COUNTIFS('BA History S2'!$B:$B,$A$17,'BA History S2'!P:P, 1)</f>
        <v>1</v>
      </c>
      <c r="X17" s="2">
        <f>COUNTIFS('BA History S2'!$B:$B,$A$17,'BA History S2'!Q:Q, 1)</f>
        <v>2</v>
      </c>
      <c r="Y17" s="2">
        <f>COUNTIFS('BA History S2'!$B:$B,$A$17,'BA History S2'!R:R, 1)</f>
        <v>0</v>
      </c>
      <c r="Z17" s="2">
        <f>COUNTIFS('BA History S2'!$B:$B,$A$17,'BA History S2'!S:S, 1)</f>
        <v>1</v>
      </c>
      <c r="AA17" s="2">
        <f>COUNTIFS('BA History S2'!$B:$B,$A$17,'BA History S2'!T:T, 1)</f>
        <v>0</v>
      </c>
      <c r="AB17" s="2">
        <f>COUNTIFS('BA History S2'!$B:$B,$A$17,'BA History S2'!U:U, 1)</f>
        <v>1</v>
      </c>
      <c r="AC17" s="2">
        <f>COUNTIFS('BA History S2'!$B:$B,$A$17,'BA History S2'!V:V, 1)</f>
        <v>1</v>
      </c>
      <c r="AD17" s="2">
        <f>COUNTIFS('BA History S2'!$B:$B,$A$17,'BA History S2'!W:W, 1)</f>
        <v>1</v>
      </c>
      <c r="AE17" s="2">
        <f>COUNTIFS('BA History S2'!$B:$B,$A$17,'BA History S2'!X:X, 1)</f>
        <v>0</v>
      </c>
      <c r="AF17" s="2">
        <f>COUNTIFS('BA History S2'!$B:$B,$A$17,'BA History S2'!Y:Y, 1)</f>
        <v>2</v>
      </c>
      <c r="AG17" s="2">
        <f>COUNTIFS('BA History S2'!$B:$B,$A$17,'BA History S2'!Z:Z, 1)</f>
        <v>8</v>
      </c>
      <c r="AH17" s="2">
        <f>COUNTIFS('BA History S2'!$B:$B,$A17,'BA History S2'!AA:AA, 1)</f>
        <v>1</v>
      </c>
      <c r="AI17" s="2">
        <f>COUNTIFS('BA History S2'!$B:$B,$A$17,'BA History S2'!AB:AB, 1)</f>
        <v>0</v>
      </c>
      <c r="AJ17" s="2">
        <f>COUNTIFS('BA History S2'!$B:$B,$A$17,'BA History S2'!AC:AC, 1)</f>
        <v>5</v>
      </c>
      <c r="AK17" s="2">
        <f>COUNTIFS('BA History S2'!$B:$B,$A$17,'BA History S2'!AD:AD, 1)</f>
        <v>1</v>
      </c>
      <c r="AL17" s="2">
        <f>COUNTIFS('BA History S2'!$B:$B,$A$17,'BA History S2'!AE:AE, 1)</f>
        <v>2</v>
      </c>
      <c r="AM17" s="2">
        <f>COUNTIFS('BA History S2'!$B:$B,$A$17,'BA History S2'!AF:AF, 1)</f>
        <v>0</v>
      </c>
      <c r="AN17" s="2">
        <f>COUNTIFS('BA History S2'!$B:$B,$A$17,'BA History S2'!AG:AG, 1)</f>
        <v>3</v>
      </c>
    </row>
    <row r="18" spans="1:40" x14ac:dyDescent="0.25">
      <c r="A18" s="2" t="s">
        <v>46</v>
      </c>
      <c r="B18" s="1" t="s">
        <v>158</v>
      </c>
      <c r="F18" s="34">
        <f>SUMIFS('BA History S2'!C:C,'BA History S2'!B:B,A18)</f>
        <v>96</v>
      </c>
      <c r="G18" s="66">
        <f>AVERAGEIFS('BA History S2'!C:C,'BA History S2'!B:B,A18)</f>
        <v>16</v>
      </c>
      <c r="H18" s="35">
        <f t="array" ref="H18">MAX(IF('BA History S2'!B:B=A18, 'BA History S2'!C:C))</f>
        <v>34</v>
      </c>
      <c r="I18" s="34">
        <f>COUNTIFS('BA History S2'!B:B,A18,'BA History S2'!D:D, 1)</f>
        <v>1</v>
      </c>
      <c r="J18" s="2">
        <f>COUNTIFS('BA History S2'!B:B,A18,'BA History S2'!D:D, 0)</f>
        <v>5</v>
      </c>
      <c r="K18" s="75">
        <f>LOOKUP(2, 1/('BA History S2'!$B:$B=A18), 'BA History S2'!$AK:$AK)</f>
        <v>0.16666666666666666</v>
      </c>
      <c r="L18" s="34">
        <f>SUMIFS('BA History S2'!F:F,'BA History S2'!B:B,A18)</f>
        <v>8</v>
      </c>
      <c r="M18" s="2">
        <f>SUMIFS('BA History S2'!E:E,'BA History S2'!B:B,A18)-L18</f>
        <v>17</v>
      </c>
      <c r="N18" s="75">
        <f>LOOKUP(2, 1/('BA History S2'!$B:$B=A18), 'BA History S2'!$AI:$AI)</f>
        <v>0.27499999999999997</v>
      </c>
      <c r="O18" s="34">
        <f>SUMIFS('BA History S2'!H:H,'BA History S2'!B:B,A18)</f>
        <v>41</v>
      </c>
      <c r="P18" s="2">
        <f>SUMIFS('BA History S2'!G:G,'BA History S2'!B:B,A18)-O18</f>
        <v>62</v>
      </c>
      <c r="Q18" s="89">
        <f>LOOKUP(2, 1/('BA History S2'!$B:$B=A18), 'BA History S2'!$AJ:$AJ)</f>
        <v>0.35499999999999998</v>
      </c>
      <c r="R18" s="2">
        <f>COUNTIFS('BA History S2'!$B:$B,$A$18,'BA History S2'!K:K, 1)</f>
        <v>1</v>
      </c>
      <c r="S18" s="2">
        <f>COUNTIFS('BA History S2'!$B:$B,$A$18,'BA History S2'!L:L, 1)</f>
        <v>2</v>
      </c>
      <c r="T18" s="2">
        <f>COUNTIFS('BA History S2'!$B:$B,$A$18,'BA History S2'!M:M, 1)</f>
        <v>0</v>
      </c>
      <c r="U18" s="2">
        <f>COUNTIFS('BA History S2'!$B:$B,$A$18,'BA History S2'!N:N, 1)</f>
        <v>1</v>
      </c>
      <c r="V18" s="2">
        <f>COUNTIFS('BA History S2'!$B:$B,$A$18,'BA History S2'!O:O, 1)</f>
        <v>0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0</v>
      </c>
      <c r="Z18" s="2">
        <f>COUNTIFS('BA History S2'!$B:$B,$A$18,'BA History S2'!S:S, 1)</f>
        <v>0</v>
      </c>
      <c r="AA18" s="2">
        <f>COUNTIFS('BA History S2'!$B:$B,$A$18,'BA History S2'!T:T, 1)</f>
        <v>0</v>
      </c>
      <c r="AB18" s="2">
        <f>COUNTIFS('BA History S2'!$B:$B,$A$18,'BA History S2'!U:U, 1)</f>
        <v>0</v>
      </c>
      <c r="AC18" s="2">
        <f>COUNTIFS('BA History S2'!$B:$B,$A$18,'BA History S2'!V:V, 1)</f>
        <v>0</v>
      </c>
      <c r="AD18" s="2">
        <f>COUNTIFS('BA History S2'!$B:$B,$A$18,'BA History S2'!W:W, 1)</f>
        <v>1</v>
      </c>
      <c r="AE18" s="2">
        <f>COUNTIFS('BA History S2'!$B:$B,$A$18,'BA History S2'!X:X, 1)</f>
        <v>0</v>
      </c>
      <c r="AF18" s="2">
        <f>COUNTIFS('BA History S2'!$B:$B,$A$18,'BA History S2'!Y:Y, 1)</f>
        <v>1</v>
      </c>
      <c r="AG18" s="2">
        <f>COUNTIFS('BA History S2'!$B:$B,$A$18,'BA History S2'!Z:Z, 1)</f>
        <v>0</v>
      </c>
      <c r="AH18" s="2">
        <f>COUNTIFS('BA History S2'!$B:$B,$A18,'BA History S2'!AA:AA, 1)</f>
        <v>0</v>
      </c>
      <c r="AI18" s="2">
        <f>COUNTIFS('BA History S2'!$B:$B,$A$18,'BA History S2'!AB:AB, 1)</f>
        <v>0</v>
      </c>
      <c r="AJ18" s="2">
        <f>COUNTIFS('BA History S2'!$B:$B,$A$18,'BA History S2'!AC:AC, 1)</f>
        <v>1</v>
      </c>
      <c r="AK18" s="2">
        <f>COUNTIFS('BA History S2'!$B:$B,$A$18,'BA History S2'!AD:AD, 1)</f>
        <v>0</v>
      </c>
      <c r="AL18" s="2">
        <f>COUNTIFS('BA History S2'!$B:$B,$A$18,'BA History S2'!AE:AE, 1)</f>
        <v>0</v>
      </c>
      <c r="AM18" s="2">
        <f>COUNTIFS('BA History S2'!$B:$B,$A$18,'BA History S2'!AF:AF, 1)</f>
        <v>0</v>
      </c>
      <c r="AN18" s="2">
        <f>COUNTIFS('BA History S2'!$B:$B,$A$18,'BA History S2'!AG:AG, 1)</f>
        <v>1</v>
      </c>
    </row>
    <row r="19" spans="1:40" x14ac:dyDescent="0.25">
      <c r="A19" s="2" t="s">
        <v>28</v>
      </c>
      <c r="B19" s="1" t="s">
        <v>79</v>
      </c>
      <c r="F19" s="34">
        <f>SUMIFS('BA History S2'!C:C,'BA History S2'!B:B,A19)</f>
        <v>26</v>
      </c>
      <c r="G19" s="66">
        <f>AVERAGEIFS('BA History S2'!C:C,'BA History S2'!B:B,A19)</f>
        <v>13</v>
      </c>
      <c r="H19" s="35">
        <f t="array" ref="H19">MAX(IF('BA History S2'!B:B=A19, 'BA History S2'!C:C))</f>
        <v>17</v>
      </c>
      <c r="I19" s="34">
        <f>COUNTIFS('BA History S2'!B:B,A19,'BA History S2'!D:D, 1)</f>
        <v>1</v>
      </c>
      <c r="J19" s="2">
        <f>COUNTIFS('BA History S2'!B:B,A19,'BA History S2'!D:D, 0)</f>
        <v>1</v>
      </c>
      <c r="K19" s="75">
        <f>LOOKUP(2, 1/('BA History S2'!$B:$B=A19), 'BA History S2'!$AK:$AK)</f>
        <v>0.5</v>
      </c>
      <c r="L19" s="34">
        <f>SUMIFS('BA History S2'!F:F,'BA History S2'!B:B,A19)</f>
        <v>3</v>
      </c>
      <c r="M19" s="2">
        <f>SUMIFS('BA History S2'!E:E,'BA History S2'!B:B,A19)-L19</f>
        <v>4</v>
      </c>
      <c r="N19" s="75">
        <f>LOOKUP(2, 1/('BA History S2'!$B:$B=A19), 'BA History S2'!$AI:$AI)</f>
        <v>0.375</v>
      </c>
      <c r="O19" s="34">
        <f>SUMIFS('BA History S2'!H:H,'BA History S2'!B:B,A19)</f>
        <v>12</v>
      </c>
      <c r="P19" s="2">
        <f>SUMIFS('BA History S2'!G:G,'BA History S2'!B:B,A19)-O19</f>
        <v>15</v>
      </c>
      <c r="Q19" s="89">
        <f>LOOKUP(2, 1/('BA History S2'!$B:$B=A19), 'BA History S2'!$AJ:$AJ)</f>
        <v>0.375</v>
      </c>
      <c r="R19" s="2">
        <f>COUNTIFS('BA History S2'!$B:$B,$A$19,'BA History S2'!K:K, 1)</f>
        <v>0</v>
      </c>
      <c r="S19" s="2">
        <f>COUNTIFS('BA History S2'!$B:$B,$A$19,'BA History S2'!L:L, 1)</f>
        <v>0</v>
      </c>
      <c r="T19" s="2">
        <f>COUNTIFS('BA History S2'!$B:$B,$A$19,'BA History S2'!M:M, 1)</f>
        <v>0</v>
      </c>
      <c r="U19" s="2">
        <f>COUNTIFS('BA History S2'!$B:$B,$A$19,'BA History S2'!N:N, 1)</f>
        <v>0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0</v>
      </c>
      <c r="AE19" s="2">
        <f>COUNTIFS('BA History S2'!$B:$B,$A$19,'BA History S2'!X:X, 1)</f>
        <v>0</v>
      </c>
      <c r="AF19" s="2">
        <f>COUNTIFS('BA History S2'!$B:$B,$A$19,'BA History S2'!Y:Y, 1)</f>
        <v>0</v>
      </c>
      <c r="AG19" s="2">
        <f>COUNTIFS('BA History S2'!$B:$B,$A$19,'BA History S2'!Z:Z, 1)</f>
        <v>0</v>
      </c>
      <c r="AH19" s="2">
        <f>COUNTIFS('BA History S2'!$B:$B,$A19,'BA History S2'!AA:AA, 1)</f>
        <v>0</v>
      </c>
      <c r="AI19" s="2">
        <f>COUNTIFS('BA History S2'!$B:$B,$A$19,'BA History S2'!AB:AB, 1)</f>
        <v>0</v>
      </c>
      <c r="AJ19" s="2">
        <f>COUNTIFS('BA History S2'!$B:$B,$A$19,'BA History S2'!AC:AC, 1)</f>
        <v>1</v>
      </c>
      <c r="AK19" s="2">
        <f>COUNTIFS('BA History S2'!$B:$B,$A$19,'BA History S2'!AD:AD, 1)</f>
        <v>0</v>
      </c>
      <c r="AL19" s="2">
        <f>COUNTIFS('BA History S2'!$B:$B,$A$19,'BA History S2'!AE:AE, 1)</f>
        <v>1</v>
      </c>
      <c r="AM19" s="2">
        <f>COUNTIFS('BA History S2'!$B:$B,$A$19,'BA History S2'!AF:AF, 1)</f>
        <v>0</v>
      </c>
      <c r="AN19" s="2">
        <f>COUNTIFS('BA History S2'!$B:$B,$A$19,'BA History S2'!AG:AG, 1)</f>
        <v>0</v>
      </c>
    </row>
    <row r="20" spans="1:40" x14ac:dyDescent="0.25">
      <c r="A20" s="2" t="s">
        <v>53</v>
      </c>
      <c r="B20" s="2" t="s">
        <v>79</v>
      </c>
      <c r="C20" s="2">
        <v>1</v>
      </c>
      <c r="D20" s="2"/>
      <c r="E20" s="2"/>
      <c r="F20" s="34">
        <f>SUMIFS('BA History S2'!C:C,'BA History S2'!B:B,A20)</f>
        <v>188</v>
      </c>
      <c r="G20" s="66">
        <f>AVERAGEIFS('BA History S2'!C:C,'BA History S2'!B:B,A20)</f>
        <v>13.428571428571429</v>
      </c>
      <c r="H20" s="35">
        <f t="array" ref="H20">MAX(IF('BA History S2'!B:B=A20, 'BA History S2'!C:C))</f>
        <v>27</v>
      </c>
      <c r="I20" s="34">
        <f>COUNTIFS('BA History S2'!B:B,A20,'BA History S2'!D:D, 1)</f>
        <v>3</v>
      </c>
      <c r="J20" s="2">
        <f>COUNTIFS('BA History S2'!B:B,A20,'BA History S2'!D:D, 0)</f>
        <v>11</v>
      </c>
      <c r="K20" s="75">
        <f>LOOKUP(2, 1/('BA History S2'!$B:$B=A20), 'BA History S2'!$AK:$AK)</f>
        <v>0.21428571428571427</v>
      </c>
      <c r="L20" s="34">
        <f>SUMIFS('BA History S2'!F:F,'BA History S2'!B:B,A20)</f>
        <v>21</v>
      </c>
      <c r="M20" s="2">
        <f>SUMIFS('BA History S2'!E:E,'BA History S2'!B:B,A20)-L20</f>
        <v>33</v>
      </c>
      <c r="N20" s="75">
        <f>LOOKUP(2, 1/('BA History S2'!$B:$B=A20), 'BA History S2'!$AI:$AI)</f>
        <v>0.40714285714285708</v>
      </c>
      <c r="O20" s="34">
        <f>SUMIFS('BA History S2'!H:H,'BA History S2'!B:B,A20)</f>
        <v>102</v>
      </c>
      <c r="P20" s="2">
        <f>SUMIFS('BA History S2'!G:G,'BA History S2'!B:B,A20)-O20</f>
        <v>125</v>
      </c>
      <c r="Q20" s="89">
        <f>LOOKUP(2, 1/('BA History S2'!$B:$B=A20), 'BA History S2'!$AJ:$AJ)</f>
        <v>0.45357142857142846</v>
      </c>
      <c r="R20" s="2">
        <f>COUNTIFS('BA History S2'!$B:$B,$A$20,'BA History S2'!K:K, 1)</f>
        <v>1</v>
      </c>
      <c r="S20" s="2">
        <f>COUNTIFS('BA History S2'!$B:$B,$A$20,'BA History S2'!L:L, 1)</f>
        <v>3</v>
      </c>
      <c r="T20" s="2">
        <f>COUNTIFS('BA History S2'!$B:$B,$A$20,'BA History S2'!M:M, 1)</f>
        <v>0</v>
      </c>
      <c r="U20" s="2">
        <f>COUNTIFS('BA History S2'!$B:$B,$A$20,'BA History S2'!N:N, 1)</f>
        <v>3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0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3</v>
      </c>
      <c r="AH20" s="2">
        <f>COUNTIFS('BA History S2'!$B:$B,$A20,'BA History S2'!AA:AA, 1)</f>
        <v>0</v>
      </c>
      <c r="AI20" s="2">
        <f>COUNTIFS('BA History S2'!$B:$B,$A$20,'BA History S2'!AB:AB, 1)</f>
        <v>1</v>
      </c>
      <c r="AJ20" s="2">
        <f>COUNTIFS('BA History S2'!$B:$B,$A$20,'BA History S2'!AC:AC, 1)</f>
        <v>3</v>
      </c>
      <c r="AK20" s="2">
        <f>COUNTIFS('BA History S2'!$B:$B,$A$20,'BA History S2'!AD:AD, 1)</f>
        <v>2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  <c r="AN20" s="2">
        <f>COUNTIFS('BA History S2'!$B:$B,$A$20,'BA History S2'!AG:AG, 1)</f>
        <v>3</v>
      </c>
    </row>
    <row r="21" spans="1:40" x14ac:dyDescent="0.25">
      <c r="A21" s="2" t="s">
        <v>148</v>
      </c>
      <c r="B21" s="2" t="s">
        <v>79</v>
      </c>
      <c r="C21" s="2"/>
      <c r="D21" s="2"/>
      <c r="E21" s="2"/>
      <c r="F21" s="34">
        <f>SUMIFS('BA History S2'!C:C,'BA History S2'!B:B,A21)</f>
        <v>2</v>
      </c>
      <c r="G21" s="66">
        <f>AVERAGEIFS('BA History S2'!C:C,'BA History S2'!B:B,A21)</f>
        <v>2</v>
      </c>
      <c r="H21" s="35">
        <f t="array" ref="H21">MAX(IF('BA History S2'!B:B=A21, 'BA History S2'!C:C))</f>
        <v>2</v>
      </c>
      <c r="I21" s="34">
        <f>COUNTIFS('BA History S2'!B:B,A21,'BA History S2'!D:D, 1)</f>
        <v>1</v>
      </c>
      <c r="J21" s="2">
        <f>COUNTIFS('BA History S2'!B:B,A21,'BA History S2'!D:D, 0)</f>
        <v>0</v>
      </c>
      <c r="K21" s="75">
        <f>LOOKUP(2, 1/('BA History S2'!$B:$B=A21), 'BA History S2'!$AK:$AK)</f>
        <v>1</v>
      </c>
      <c r="L21" s="34">
        <f>SUMIFS('BA History S2'!F:F,'BA History S2'!B:B,A21)</f>
        <v>3</v>
      </c>
      <c r="M21" s="2">
        <f>SUMIFS('BA History S2'!E:E,'BA History S2'!B:B,A21)-L21</f>
        <v>2</v>
      </c>
      <c r="N21" s="75">
        <f>LOOKUP(2, 1/('BA History S2'!$B:$B=A21), 'BA History S2'!$AI:$AI)</f>
        <v>0.6</v>
      </c>
      <c r="O21" s="34">
        <f>SUMIFS('BA History S2'!H:H,'BA History S2'!B:B,A21)</f>
        <v>10</v>
      </c>
      <c r="P21" s="2">
        <f>SUMIFS('BA History S2'!G:G,'BA History S2'!B:B,A21)-O21</f>
        <v>9</v>
      </c>
      <c r="Q21" s="89">
        <f>LOOKUP(2, 1/('BA History S2'!$B:$B=A21), 'BA History S2'!$AJ:$AJ)</f>
        <v>0.53</v>
      </c>
      <c r="R21" s="2">
        <f>COUNTIFS('BA History S2'!$B:$B,$A$21,'BA History S2'!K:K, 1)</f>
        <v>0</v>
      </c>
      <c r="S21" s="2">
        <f>COUNTIFS('BA History S2'!$B:$B,$A$21,'BA History S2'!L:L, 1)</f>
        <v>1</v>
      </c>
      <c r="T21" s="2">
        <f>COUNTIFS('BA History S2'!$B:$B,$A$21,'BA History S2'!M:M, 1)</f>
        <v>0</v>
      </c>
      <c r="U21" s="2">
        <f>COUNTIFS('BA History S2'!$B:$B,$A$21,'BA History S2'!N:N, 1)</f>
        <v>1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0</v>
      </c>
      <c r="Y21" s="2">
        <f>COUNTIFS('BA History S2'!$B:$B,$A$21,'BA History S2'!R:R, 1)</f>
        <v>0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0</v>
      </c>
      <c r="AH21" s="2">
        <f>COUNTIFS('BA History S2'!$B:$B,$A21,'BA History S2'!AA:AA, 1)</f>
        <v>0</v>
      </c>
      <c r="AI21" s="2">
        <f>COUNTIFS('BA History S2'!$B:$B,$A$21,'BA History S2'!AB:AB, 1)</f>
        <v>0</v>
      </c>
      <c r="AJ21" s="2">
        <f>COUNTIFS('BA History S2'!$B:$B,$A$21,'BA History S2'!AC:AC, 1)</f>
        <v>1</v>
      </c>
      <c r="AK21" s="2">
        <f>COUNTIFS('BA History S2'!$B:$B,$A$21,'BA History S2'!AD:AD, 1)</f>
        <v>0</v>
      </c>
      <c r="AL21" s="2">
        <f>COUNTIFS('BA History S2'!$B:$B,$A$21,'BA History S2'!AE:AE, 1)</f>
        <v>0</v>
      </c>
      <c r="AM21" s="2">
        <f>COUNTIFS('BA History S2'!$B:$B,$A$21,'BA History S2'!AF:AF, 1)</f>
        <v>0</v>
      </c>
      <c r="AN21" s="2">
        <f>COUNTIFS('BA History S2'!$B:$B,$A$21,'BA History S2'!AG:AG, 1)</f>
        <v>0</v>
      </c>
    </row>
    <row r="22" spans="1:40" x14ac:dyDescent="0.25">
      <c r="A22" s="2" t="s">
        <v>161</v>
      </c>
      <c r="B22" s="2" t="s">
        <v>79</v>
      </c>
      <c r="C22" s="2"/>
      <c r="D22" s="2"/>
      <c r="E22" s="2"/>
      <c r="F22" s="34">
        <f>SUMIFS('BA History S2'!C:C,'BA History S2'!B:B,A22)</f>
        <v>97</v>
      </c>
      <c r="G22" s="66">
        <f>AVERAGEIFS('BA History S2'!C:C,'BA History S2'!B:B,A22)</f>
        <v>8.8181818181818183</v>
      </c>
      <c r="H22" s="35">
        <f t="array" ref="H22">MAX(IF('BA History S2'!B:B=A22, 'BA History S2'!C:C))</f>
        <v>24</v>
      </c>
      <c r="I22" s="34">
        <f>COUNTIFS('BA History S2'!B:B,A22,'BA History S2'!D:D, 1)</f>
        <v>6</v>
      </c>
      <c r="J22" s="2">
        <f>COUNTIFS('BA History S2'!B:B,A22,'BA History S2'!D:D, 0)</f>
        <v>5</v>
      </c>
      <c r="K22" s="75">
        <f>LOOKUP(2, 1/('BA History S2'!$B:$B=A22), 'BA History S2'!$AK:$AK)</f>
        <v>0.54545454545454541</v>
      </c>
      <c r="L22" s="34">
        <f>SUMIFS('BA History S2'!F:F,'BA History S2'!B:B,A22)</f>
        <v>24</v>
      </c>
      <c r="M22" s="2">
        <f>SUMIFS('BA History S2'!E:E,'BA History S2'!B:B,A22)-L22</f>
        <v>21</v>
      </c>
      <c r="N22" s="75">
        <f>LOOKUP(2, 1/('BA History S2'!$B:$B=A22), 'BA History S2'!$AI:$AI)</f>
        <v>0.53636363636363626</v>
      </c>
      <c r="O22" s="34">
        <f>SUMIFS('BA History S2'!H:H,'BA History S2'!B:B,A22)</f>
        <v>95</v>
      </c>
      <c r="P22" s="2">
        <f>SUMIFS('BA History S2'!G:G,'BA History S2'!B:B,A22)-O22</f>
        <v>91</v>
      </c>
      <c r="Q22" s="89">
        <f>LOOKUP(2, 1/('BA History S2'!$B:$B=A22), 'BA History S2'!$AJ:$AJ)</f>
        <v>0.51636363636363636</v>
      </c>
      <c r="R22" s="2">
        <f>COUNTIFS('BA History S2'!$B:$B,$A$22,'BA History S2'!K:K, 1)</f>
        <v>1</v>
      </c>
      <c r="S22" s="2">
        <f>COUNTIFS('BA History S2'!$B:$B,$A$22,'BA History S2'!L:L, 1)</f>
        <v>2</v>
      </c>
      <c r="T22" s="2">
        <f>COUNTIFS('BA History S2'!$B:$B,$A$22,'BA History S2'!M:M, 1)</f>
        <v>2</v>
      </c>
      <c r="U22" s="2">
        <f>COUNTIFS('BA History S2'!$B:$B,$A$22,'BA History S2'!N:N, 1)</f>
        <v>1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0</v>
      </c>
      <c r="Y22" s="2">
        <f>COUNTIFS('BA History S2'!$B:$B,$A$22,'BA History S2'!R:R, 1)</f>
        <v>0</v>
      </c>
      <c r="Z22" s="2">
        <f>COUNTIFS('BA History S2'!$B:$B,$A$22,'BA History S2'!S:S, 1)</f>
        <v>1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1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1</v>
      </c>
      <c r="AG22" s="2">
        <f>COUNTIFS('BA History S2'!$B:$B,$A$22,'BA History S2'!Z:Z, 1)</f>
        <v>3</v>
      </c>
      <c r="AH22" s="2">
        <f>COUNTIFS('BA History S2'!$B:$B,$A22,'BA History S2'!AA:AA, 1)</f>
        <v>1</v>
      </c>
      <c r="AI22" s="2">
        <f>COUNTIFS('BA History S2'!$B:$B,$A$22,'BA History S2'!AB:AB, 1)</f>
        <v>0</v>
      </c>
      <c r="AJ22" s="2">
        <f>COUNTIFS('BA History S2'!$B:$B,$A$22,'BA History S2'!AC:AC, 1)</f>
        <v>4</v>
      </c>
      <c r="AK22" s="2">
        <f>COUNTIFS('BA History S2'!$B:$B,$A$22,'BA History S2'!AD:AD, 1)</f>
        <v>2</v>
      </c>
      <c r="AL22" s="2">
        <f>COUNTIFS('BA History S2'!$B:$B,$A$22,'BA History S2'!AE:AE, 1)</f>
        <v>1</v>
      </c>
      <c r="AM22" s="2">
        <f>COUNTIFS('BA History S2'!$B:$B,$A$22,'BA History S2'!AF:AF, 1)</f>
        <v>1</v>
      </c>
      <c r="AN22" s="2">
        <f>COUNTIFS('BA History S2'!$B:$B,$A$22,'BA History S2'!AG:AG, 1)</f>
        <v>2</v>
      </c>
    </row>
    <row r="23" spans="1:40" x14ac:dyDescent="0.25">
      <c r="A23" s="2" t="s">
        <v>13</v>
      </c>
      <c r="B23" s="2" t="s">
        <v>79</v>
      </c>
      <c r="C23" s="2"/>
      <c r="D23" s="2"/>
      <c r="E23" s="2"/>
      <c r="F23" s="34">
        <f>SUMIFS('BA History S2'!C:C,'BA History S2'!B:B,A23)</f>
        <v>123</v>
      </c>
      <c r="G23" s="66">
        <f>AVERAGEIFS('BA History S2'!C:C,'BA History S2'!B:B,A23)</f>
        <v>15.375</v>
      </c>
      <c r="H23" s="35">
        <f t="array" ref="H23">MAX(IF('BA History S2'!B:B=A23, 'BA History S2'!C:C))</f>
        <v>23</v>
      </c>
      <c r="I23" s="34">
        <f>COUNTIFS('BA History S2'!B:B,A23,'BA History S2'!D:D, 1)</f>
        <v>4</v>
      </c>
      <c r="J23" s="2">
        <f>COUNTIFS('BA History S2'!B:B,A23,'BA History S2'!D:D, 0)</f>
        <v>4</v>
      </c>
      <c r="K23" s="75">
        <f>LOOKUP(2, 1/('BA History S2'!$B:$B=A23), 'BA History S2'!$AK:$AK)</f>
        <v>0.5</v>
      </c>
      <c r="L23" s="34">
        <f>SUMIFS('BA History S2'!F:F,'BA History S2'!B:B,A23)</f>
        <v>14</v>
      </c>
      <c r="M23" s="2">
        <f>SUMIFS('BA History S2'!E:E,'BA History S2'!B:B,A23)-L23</f>
        <v>14</v>
      </c>
      <c r="N23" s="75">
        <f>LOOKUP(2, 1/('BA History S2'!$B:$B=A23), 'BA History S2'!$AI:$AI)</f>
        <v>0.5</v>
      </c>
      <c r="O23" s="34">
        <f>SUMIFS('BA History S2'!H:H,'BA History S2'!B:B,A23)</f>
        <v>58</v>
      </c>
      <c r="P23" s="2">
        <f>SUMIFS('BA History S2'!G:G,'BA History S2'!B:B,A23)-O23</f>
        <v>64</v>
      </c>
      <c r="Q23" s="89">
        <f>LOOKUP(2, 1/('BA History S2'!$B:$B=A23), 'BA History S2'!$AJ:$AJ)</f>
        <v>0.46625</v>
      </c>
      <c r="R23" s="2">
        <f>COUNTIFS('BA History S2'!$B:$B,$A$23,'BA History S2'!K:K, 1)</f>
        <v>1</v>
      </c>
      <c r="S23" s="2">
        <f>COUNTIFS('BA History S2'!$B:$B,$A$23,'BA History S2'!L:L, 1)</f>
        <v>2</v>
      </c>
      <c r="T23" s="2">
        <f>COUNTIFS('BA History S2'!$B:$B,$A$23,'BA History S2'!M:M, 1)</f>
        <v>0</v>
      </c>
      <c r="U23" s="2">
        <f>COUNTIFS('BA History S2'!$B:$B,$A$23,'BA History S2'!N:N, 1)</f>
        <v>0</v>
      </c>
      <c r="V23" s="2">
        <f>COUNTIFS('BA History S2'!$B:$B,$A$23,'BA History S2'!O:O, 1)</f>
        <v>0</v>
      </c>
      <c r="W23" s="2">
        <f>COUNTIFS('BA History S2'!$B:$B,$A$23,'BA History S2'!P:P, 1)</f>
        <v>0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0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1</v>
      </c>
      <c r="AE23" s="2">
        <f>COUNTIFS('BA History S2'!$B:$B,$A$23,'BA History S2'!X:X, 1)</f>
        <v>0</v>
      </c>
      <c r="AF23" s="2">
        <f>COUNTIFS('BA History S2'!$B:$B,$A$23,'BA History S2'!Y:Y, 1)</f>
        <v>1</v>
      </c>
      <c r="AG23" s="2">
        <f>COUNTIFS('BA History S2'!$B:$B,$A$23,'BA History S2'!Z:Z, 1)</f>
        <v>2</v>
      </c>
      <c r="AH23" s="2">
        <f>COUNTIFS('BA History S2'!$B:$B,$A23,'BA History S2'!AA:AA, 1)</f>
        <v>0</v>
      </c>
      <c r="AI23" s="2">
        <f>COUNTIFS('BA History S2'!$B:$B,$A$23,'BA History S2'!AB:AB, 1)</f>
        <v>0</v>
      </c>
      <c r="AJ23" s="2">
        <f>COUNTIFS('BA History S2'!$B:$B,$A$23,'BA History S2'!AC:AC, 1)</f>
        <v>2</v>
      </c>
      <c r="AK23" s="2">
        <f>COUNTIFS('BA History S2'!$B:$B,$A$23,'BA History S2'!AD:AD, 1)</f>
        <v>2</v>
      </c>
      <c r="AL23" s="2">
        <f>COUNTIFS('BA History S2'!$B:$B,$A$23,'BA History S2'!AE:AE, 1)</f>
        <v>1</v>
      </c>
      <c r="AM23" s="2">
        <f>COUNTIFS('BA History S2'!$B:$B,$A$23,'BA History S2'!AF:AF, 1)</f>
        <v>1</v>
      </c>
      <c r="AN23" s="2">
        <f>COUNTIFS('BA History S2'!$B:$B,$A$23,'BA History S2'!AG:AG, 1)</f>
        <v>1</v>
      </c>
    </row>
    <row r="24" spans="1:40" x14ac:dyDescent="0.25">
      <c r="A24" s="2" t="s">
        <v>2</v>
      </c>
      <c r="B24" s="1" t="s">
        <v>158</v>
      </c>
      <c r="C24" s="1">
        <v>1</v>
      </c>
      <c r="F24" s="34">
        <f>SUMIFS('BA History S2'!C:C,'BA History S2'!B:B,A24)</f>
        <v>236</v>
      </c>
      <c r="G24" s="66">
        <f>AVERAGEIFS('BA History S2'!C:C,'BA History S2'!B:B,A24)</f>
        <v>18.153846153846153</v>
      </c>
      <c r="H24" s="35">
        <f t="array" ref="H24">MAX(IF('BA History S2'!B:B=A24, 'BA History S2'!C:C))</f>
        <v>33</v>
      </c>
      <c r="I24" s="34">
        <f>COUNTIFS('BA History S2'!B:B,A24,'BA History S2'!D:D, 1)</f>
        <v>5</v>
      </c>
      <c r="J24" s="2">
        <f>COUNTIFS('BA History S2'!B:B,A24,'BA History S2'!D:D, 0)</f>
        <v>8</v>
      </c>
      <c r="K24" s="75">
        <f>LOOKUP(2, 1/('BA History S2'!$B:$B=A24), 'BA History S2'!$AK:$AK)</f>
        <v>0.38461538461538464</v>
      </c>
      <c r="L24" s="34">
        <f>SUMIFS('BA History S2'!F:F,'BA History S2'!B:B,A24)</f>
        <v>22</v>
      </c>
      <c r="M24" s="2">
        <f>SUMIFS('BA History S2'!E:E,'BA History S2'!B:B,A24)-L24</f>
        <v>29</v>
      </c>
      <c r="N24" s="75">
        <f>LOOKUP(2, 1/('BA History S2'!$B:$B=A24), 'BA History S2'!$AI:$AI)</f>
        <v>0.41538461538461535</v>
      </c>
      <c r="O24" s="34">
        <f>SUMIFS('BA History S2'!H:H,'BA History S2'!B:B,A24)</f>
        <v>107</v>
      </c>
      <c r="P24" s="2">
        <f>SUMIFS('BA History S2'!G:G,'BA History S2'!B:B,A24)-O24</f>
        <v>106</v>
      </c>
      <c r="Q24" s="89">
        <f>LOOKUP(2, 1/('BA History S2'!$B:$B=A24), 'BA History S2'!$AJ:$AJ)</f>
        <v>0.49384615384615393</v>
      </c>
      <c r="R24" s="2">
        <f>COUNTIFS('BA History S2'!$B:$B,$A$24,'BA History S2'!K:K, 1)</f>
        <v>1</v>
      </c>
      <c r="S24" s="2">
        <f>COUNTIFS('BA History S2'!$B:$B,$A$24,'BA History S2'!L:L, 1)</f>
        <v>1</v>
      </c>
      <c r="T24" s="2">
        <f>COUNTIFS('BA History S2'!$B:$B,$A$24,'BA History S2'!M:M, 1)</f>
        <v>0</v>
      </c>
      <c r="U24" s="2">
        <f>COUNTIFS('BA History S2'!$B:$B,$A$24,'BA History S2'!N:N, 1)</f>
        <v>2</v>
      </c>
      <c r="V24" s="2">
        <f>COUNTIFS('BA History S2'!$B:$B,$A$24,'BA History S2'!O:O, 1)</f>
        <v>0</v>
      </c>
      <c r="W24" s="2">
        <f>COUNTIFS('BA History S2'!$B:$B,$A$24,'BA History S2'!P:P, 1)</f>
        <v>0</v>
      </c>
      <c r="X24" s="2">
        <f>COUNTIFS('BA History S2'!$B:$B,$A$24,'BA History S2'!Q:Q, 1)</f>
        <v>1</v>
      </c>
      <c r="Y24" s="2">
        <f>COUNTIFS('BA History S2'!$B:$B,$A$24,'BA History S2'!R:R, 1)</f>
        <v>0</v>
      </c>
      <c r="Z24" s="2">
        <f>COUNTIFS('BA History S2'!$B:$B,$A$24,'BA History S2'!S:S, 1)</f>
        <v>1</v>
      </c>
      <c r="AA24" s="2">
        <f>COUNTIFS('BA History S2'!$B:$B,$A$24,'BA History S2'!T:T, 1)</f>
        <v>0</v>
      </c>
      <c r="AB24" s="2">
        <f>COUNTIFS('BA History S2'!$B:$B,$A$24,'BA History S2'!U:U, 1)</f>
        <v>1</v>
      </c>
      <c r="AC24" s="2">
        <f>COUNTIFS('BA History S2'!$B:$B,$A$24,'BA History S2'!V:V, 1)</f>
        <v>1</v>
      </c>
      <c r="AD24" s="2">
        <f>COUNTIFS('BA History S2'!$B:$B,$A$24,'BA History S2'!W:W, 1)</f>
        <v>0</v>
      </c>
      <c r="AE24" s="2">
        <f>COUNTIFS('BA History S2'!$B:$B,$A$24,'BA History S2'!X:X, 1)</f>
        <v>0</v>
      </c>
      <c r="AF24" s="2">
        <f>COUNTIFS('BA History S2'!$B:$B,$A$24,'BA History S2'!Y:Y, 1)</f>
        <v>0</v>
      </c>
      <c r="AG24" s="2">
        <f>COUNTIFS('BA History S2'!$B:$B,$A$24,'BA History S2'!Z:Z, 1)</f>
        <v>1</v>
      </c>
      <c r="AH24" s="2">
        <f>COUNTIFS('BA History S2'!$B:$B,$A24,'BA History S2'!AA:AA, 1)</f>
        <v>1</v>
      </c>
      <c r="AI24" s="2">
        <f>COUNTIFS('BA History S2'!$B:$B,$A$24,'BA History S2'!AB:AB, 1)</f>
        <v>0</v>
      </c>
      <c r="AJ24" s="2">
        <f>COUNTIFS('BA History S2'!$B:$B,$A$24,'BA History S2'!AC:AC, 1)</f>
        <v>5</v>
      </c>
      <c r="AK24" s="2">
        <f>COUNTIFS('BA History S2'!$B:$B,$A$24,'BA History S2'!AD:AD, 1)</f>
        <v>2</v>
      </c>
      <c r="AL24" s="2">
        <f>COUNTIFS('BA History S2'!$B:$B,$A$24,'BA History S2'!AE:AE, 1)</f>
        <v>3</v>
      </c>
      <c r="AM24" s="2">
        <f>COUNTIFS('BA History S2'!$B:$B,$A$24,'BA History S2'!AF:AF, 1)</f>
        <v>0</v>
      </c>
      <c r="AN24" s="2">
        <f>COUNTIFS('BA History S2'!$B:$B,$A$24,'BA History S2'!AG:AG, 1)</f>
        <v>2</v>
      </c>
    </row>
    <row r="25" spans="1:40" x14ac:dyDescent="0.25">
      <c r="A25" s="2" t="s">
        <v>54</v>
      </c>
      <c r="B25" s="2" t="s">
        <v>79</v>
      </c>
      <c r="C25" s="2">
        <v>3</v>
      </c>
      <c r="D25" s="2">
        <v>1</v>
      </c>
      <c r="E25" s="2"/>
      <c r="F25" s="34">
        <f>SUMIFS('BA History S2'!C:C,'BA History S2'!B:B,A25)</f>
        <v>289</v>
      </c>
      <c r="G25" s="66">
        <f>AVERAGEIFS('BA History S2'!C:C,'BA History S2'!B:B,A25)</f>
        <v>22.23076923076923</v>
      </c>
      <c r="H25" s="35">
        <f t="array" ref="H25">MAX(IF('BA History S2'!B:B=A25, 'BA History S2'!C:C))</f>
        <v>47</v>
      </c>
      <c r="I25" s="34">
        <f>COUNTIFS('BA History S2'!B:B,A25,'BA History S2'!D:D, 1)</f>
        <v>6</v>
      </c>
      <c r="J25" s="2">
        <f>COUNTIFS('BA History S2'!B:B,A25,'BA History S2'!D:D, 0)</f>
        <v>7</v>
      </c>
      <c r="K25" s="75">
        <f>LOOKUP(2, 1/('BA History S2'!$B:$B=A25), 'BA History S2'!$AK:$AK)</f>
        <v>0.46153846153846156</v>
      </c>
      <c r="L25" s="34">
        <f>SUMIFS('BA History S2'!F:F,'BA History S2'!B:B,A25)</f>
        <v>24</v>
      </c>
      <c r="M25" s="2">
        <f>SUMIFS('BA History S2'!E:E,'BA History S2'!B:B,A25)-L25</f>
        <v>25</v>
      </c>
      <c r="N25" s="75">
        <f>LOOKUP(2, 1/('BA History S2'!$B:$B=A25), 'BA History S2'!$AI:$AI)</f>
        <v>0.49230769230769234</v>
      </c>
      <c r="O25" s="34">
        <f>SUMIFS('BA History S2'!H:H,'BA History S2'!B:B,A25)</f>
        <v>97</v>
      </c>
      <c r="P25" s="2">
        <f>SUMIFS('BA History S2'!G:G,'BA History S2'!B:B,A25)-O25</f>
        <v>100</v>
      </c>
      <c r="Q25" s="89">
        <f>LOOKUP(2, 1/('BA History S2'!$B:$B=A25), 'BA History S2'!$AJ:$AJ)</f>
        <v>0.49461538461538451</v>
      </c>
      <c r="R25" s="2">
        <f>COUNTIFS('BA History S2'!$B:$B,$A$25,'BA History S2'!K:K, 1)</f>
        <v>1</v>
      </c>
      <c r="S25" s="2">
        <f>COUNTIFS('BA History S2'!$B:$B,$A$25,'BA History S2'!L:L, 1)</f>
        <v>3</v>
      </c>
      <c r="T25" s="2">
        <f>COUNTIFS('BA History S2'!$B:$B,$A$25,'BA History S2'!M:M, 1)</f>
        <v>2</v>
      </c>
      <c r="U25" s="2">
        <f>COUNTIFS('BA History S2'!$B:$B,$A$25,'BA History S2'!N:N, 1)</f>
        <v>2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1</v>
      </c>
      <c r="AA25" s="2">
        <f>COUNTIFS('BA History S2'!$B:$B,$A$25,'BA History S2'!T:T, 1)</f>
        <v>0</v>
      </c>
      <c r="AB25" s="2">
        <f>COUNTIFS('BA History S2'!$B:$B,$A$25,'BA History S2'!U:U, 1)</f>
        <v>1</v>
      </c>
      <c r="AC25" s="2">
        <f>COUNTIFS('BA History S2'!$B:$B,$A$25,'BA History S2'!V:V, 1)</f>
        <v>2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2</v>
      </c>
      <c r="AH25" s="2">
        <f>COUNTIFS('BA History S2'!$B:$B,$A25,'BA History S2'!AA:AA, 1)</f>
        <v>0</v>
      </c>
      <c r="AI25" s="2">
        <f>COUNTIFS('BA History S2'!$B:$B,$A$25,'BA History S2'!AB:AB, 1)</f>
        <v>0</v>
      </c>
      <c r="AJ25" s="2">
        <f>COUNTIFS('BA History S2'!$B:$B,$A$25,'BA History S2'!AC:AC, 1)</f>
        <v>2</v>
      </c>
      <c r="AK25" s="2">
        <f>COUNTIFS('BA History S2'!$B:$B,$A$25,'BA History S2'!AD:AD, 1)</f>
        <v>2</v>
      </c>
      <c r="AL25" s="2">
        <f>COUNTIFS('BA History S2'!$B:$B,$A$25,'BA History S2'!AE:AE, 1)</f>
        <v>2</v>
      </c>
      <c r="AM25" s="2">
        <f>COUNTIFS('BA History S2'!$B:$B,$A$25,'BA History S2'!AF:AF, 1)</f>
        <v>0</v>
      </c>
      <c r="AN25" s="2">
        <f>COUNTIFS('BA History S2'!$B:$B,$A$25,'BA History S2'!AG:AG, 1)</f>
        <v>3</v>
      </c>
    </row>
    <row r="26" spans="1:40" x14ac:dyDescent="0.25">
      <c r="A26" s="2" t="s">
        <v>5</v>
      </c>
      <c r="B26" s="1" t="s">
        <v>158</v>
      </c>
      <c r="C26" s="1">
        <v>1</v>
      </c>
      <c r="D26" s="1">
        <v>1</v>
      </c>
      <c r="F26" s="34">
        <f>SUMIFS('BA History S2'!C:C,'BA History S2'!B:B,A26)</f>
        <v>325</v>
      </c>
      <c r="G26" s="66">
        <f>AVERAGEIFS('BA History S2'!C:C,'BA History S2'!B:B,A26)</f>
        <v>18.055555555555557</v>
      </c>
      <c r="H26" s="35">
        <f t="array" ref="H26">MAX(IF('BA History S2'!B:B=A26, 'BA History S2'!C:C))</f>
        <v>37</v>
      </c>
      <c r="I26" s="34">
        <f>COUNTIFS('BA History S2'!B:B,A26,'BA History S2'!D:D, 1)</f>
        <v>9</v>
      </c>
      <c r="J26" s="2">
        <f>COUNTIFS('BA History S2'!B:B,A26,'BA History S2'!D:D, 0)</f>
        <v>9</v>
      </c>
      <c r="K26" s="75">
        <f>LOOKUP(2, 1/('BA History S2'!$B:$B=A26), 'BA History S2'!$AK:$AK)</f>
        <v>0.5</v>
      </c>
      <c r="L26" s="34">
        <f>SUMIFS('BA History S2'!F:F,'BA History S2'!B:B,A26)</f>
        <v>36</v>
      </c>
      <c r="M26" s="2">
        <f>SUMIFS('BA History S2'!E:E,'BA History S2'!B:B,A26)-L26</f>
        <v>37</v>
      </c>
      <c r="N26" s="75">
        <f>LOOKUP(2, 1/('BA History S2'!$B:$B=A26), 'BA History S2'!$AI:$AI)</f>
        <v>0.48611111111111122</v>
      </c>
      <c r="O26" s="34">
        <f>SUMIFS('BA History S2'!H:H,'BA History S2'!B:B,A26)</f>
        <v>147</v>
      </c>
      <c r="P26" s="2">
        <f>SUMIFS('BA History S2'!G:G,'BA History S2'!B:B,A26)-O26</f>
        <v>152</v>
      </c>
      <c r="Q26" s="89">
        <f>LOOKUP(2, 1/('BA History S2'!$B:$B=A26), 'BA History S2'!$AJ:$AJ)</f>
        <v>0.49111111111111111</v>
      </c>
      <c r="R26" s="2">
        <f>COUNTIFS('BA History S2'!$B:$B,$A$26,'BA History S2'!K:K, 1)</f>
        <v>2</v>
      </c>
      <c r="S26" s="2">
        <f>COUNTIFS('BA History S2'!$B:$B,$A$26,'BA History S2'!L:L, 1)</f>
        <v>4</v>
      </c>
      <c r="T26" s="2">
        <f>COUNTIFS('BA History S2'!$B:$B,$A$26,'BA History S2'!M:M, 1)</f>
        <v>5</v>
      </c>
      <c r="U26" s="2">
        <f>COUNTIFS('BA History S2'!$B:$B,$A$26,'BA History S2'!N:N, 1)</f>
        <v>5</v>
      </c>
      <c r="V26" s="2">
        <f>COUNTIFS('BA History S2'!$B:$B,$A$26,'BA History S2'!O:O, 1)</f>
        <v>1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0</v>
      </c>
      <c r="AC26" s="2">
        <f>COUNTIFS('BA History S2'!$B:$B,$A$26,'BA History S2'!V:V, 1)</f>
        <v>1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2</v>
      </c>
      <c r="AG26" s="2">
        <f>COUNTIFS('BA History S2'!$B:$B,$A$26,'BA History S2'!Z:Z, 1)</f>
        <v>4</v>
      </c>
      <c r="AH26" s="2">
        <f>COUNTIFS('BA History S2'!$B:$B,$A26,'BA History S2'!AA:AA, 1)</f>
        <v>0</v>
      </c>
      <c r="AI26" s="2">
        <f>COUNTIFS('BA History S2'!$B:$B,$A$26,'BA History S2'!AB:AB, 1)</f>
        <v>1</v>
      </c>
      <c r="AJ26" s="2">
        <f>COUNTIFS('BA History S2'!$B:$B,$A$26,'BA History S2'!AC:AC, 1)</f>
        <v>7</v>
      </c>
      <c r="AK26" s="2">
        <f>COUNTIFS('BA History S2'!$B:$B,$A$26,'BA History S2'!AD:AD, 1)</f>
        <v>1</v>
      </c>
      <c r="AL26" s="2">
        <f>COUNTIFS('BA History S2'!$B:$B,$A$26,'BA History S2'!AE:AE, 1)</f>
        <v>1</v>
      </c>
      <c r="AM26" s="2">
        <f>COUNTIFS('BA History S2'!$B:$B,$A$26,'BA History S2'!AF:AF, 1)</f>
        <v>0</v>
      </c>
      <c r="AN26" s="2">
        <f>COUNTIFS('BA History S2'!$B:$B,$A$26,'BA History S2'!AG:AG, 1)</f>
        <v>2</v>
      </c>
    </row>
    <row r="27" spans="1:40" x14ac:dyDescent="0.25">
      <c r="A27" s="2" t="s">
        <v>141</v>
      </c>
      <c r="B27" s="2" t="s">
        <v>79</v>
      </c>
      <c r="C27" s="2"/>
      <c r="D27" s="2"/>
      <c r="E27" s="2"/>
      <c r="F27" s="34">
        <f>SUMIFS('BA History S2'!C:C,'BA History S2'!B:B,A27)</f>
        <v>151</v>
      </c>
      <c r="G27" s="66">
        <f>AVERAGEIFS('BA History S2'!C:C,'BA History S2'!B:B,A27)</f>
        <v>13.727272727272727</v>
      </c>
      <c r="H27" s="35">
        <f t="array" ref="H27">MAX(IF('BA History S2'!B:B=A27, 'BA History S2'!C:C))</f>
        <v>20</v>
      </c>
      <c r="I27" s="34">
        <f>COUNTIFS('BA History S2'!B:B,A27,'BA History S2'!D:D, 1)</f>
        <v>7</v>
      </c>
      <c r="J27" s="2">
        <f>COUNTIFS('BA History S2'!B:B,A27,'BA History S2'!D:D, 0)</f>
        <v>4</v>
      </c>
      <c r="K27" s="75">
        <f>LOOKUP(2, 1/('BA History S2'!$B:$B=A27), 'BA History S2'!$AK:$AK)</f>
        <v>0.63636363636363635</v>
      </c>
      <c r="L27" s="34">
        <f>SUMIFS('BA History S2'!F:F,'BA History S2'!B:B,A27)</f>
        <v>23</v>
      </c>
      <c r="M27" s="2">
        <f>SUMIFS('BA History S2'!E:E,'BA History S2'!B:B,A27)-L27</f>
        <v>19</v>
      </c>
      <c r="N27" s="75">
        <f>LOOKUP(2, 1/('BA History S2'!$B:$B=A27), 'BA History S2'!$AI:$AI)</f>
        <v>0.54090909090909089</v>
      </c>
      <c r="O27" s="34">
        <f>SUMIFS('BA History S2'!H:H,'BA History S2'!B:B,A27)</f>
        <v>92</v>
      </c>
      <c r="P27" s="2">
        <f>SUMIFS('BA History S2'!G:G,'BA History S2'!B:B,A27)-O27</f>
        <v>83</v>
      </c>
      <c r="Q27" s="89">
        <f>LOOKUP(2, 1/('BA History S2'!$B:$B=A27), 'BA History S2'!$AJ:$AJ)</f>
        <v>0.52454545454545454</v>
      </c>
      <c r="R27" s="2">
        <f>COUNTIFS('BA History S2'!$B:$B,$A$27,'BA History S2'!K:K, 1)</f>
        <v>1</v>
      </c>
      <c r="S27" s="2">
        <f>COUNTIFS('BA History S2'!$B:$B,$A$27,'BA History S2'!L:L, 1)</f>
        <v>1</v>
      </c>
      <c r="T27" s="2">
        <f>COUNTIFS('BA History S2'!$B:$B,$A$27,'BA History S2'!M:M, 1)</f>
        <v>1</v>
      </c>
      <c r="U27" s="2">
        <f>COUNTIFS('BA History S2'!$B:$B,$A$27,'BA History S2'!N:N, 1)</f>
        <v>3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1</v>
      </c>
      <c r="Y27" s="2">
        <f>COUNTIFS('BA History S2'!$B:$B,$A$27,'BA History S2'!R:R, 1)</f>
        <v>0</v>
      </c>
      <c r="Z27" s="2">
        <f>COUNTIFS('BA History S2'!$B:$B,$A$27,'BA History S2'!S:S, 1)</f>
        <v>1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1</v>
      </c>
      <c r="AD27" s="2">
        <f>COUNTIFS('BA History S2'!$B:$B,$A$27,'BA History S2'!W:W, 1)</f>
        <v>1</v>
      </c>
      <c r="AE27" s="2">
        <f>COUNTIFS('BA History S2'!$B:$B,$A$27,'BA History S2'!X:X, 1)</f>
        <v>0</v>
      </c>
      <c r="AF27" s="2">
        <f>COUNTIFS('BA History S2'!$B:$B,$A$27,'BA History S2'!Y:Y, 1)</f>
        <v>1</v>
      </c>
      <c r="AG27" s="2">
        <f>COUNTIFS('BA History S2'!$B:$B,$A$27,'BA History S2'!Z:Z, 1)</f>
        <v>2</v>
      </c>
      <c r="AH27" s="2">
        <f>COUNTIFS('BA History S2'!$B:$B,$A27,'BA History S2'!AA:AA, 1)</f>
        <v>0</v>
      </c>
      <c r="AI27" s="2">
        <f>COUNTIFS('BA History S2'!$B:$B,$A$27,'BA History S2'!AB:AB, 1)</f>
        <v>0</v>
      </c>
      <c r="AJ27" s="2">
        <f>COUNTIFS('BA History S2'!$B:$B,$A$27,'BA History S2'!AC:AC, 1)</f>
        <v>3</v>
      </c>
      <c r="AK27" s="2">
        <f>COUNTIFS('BA History S2'!$B:$B,$A$27,'BA History S2'!AD:AD, 1)</f>
        <v>2</v>
      </c>
      <c r="AL27" s="2">
        <f>COUNTIFS('BA History S2'!$B:$B,$A$27,'BA History S2'!AE:AE, 1)</f>
        <v>3</v>
      </c>
      <c r="AM27" s="2">
        <f>COUNTIFS('BA History S2'!$B:$B,$A$27,'BA History S2'!AF:AF, 1)</f>
        <v>0</v>
      </c>
      <c r="AN27" s="2">
        <f>COUNTIFS('BA History S2'!$B:$B,$A$27,'BA History S2'!AG:AG, 1)</f>
        <v>2</v>
      </c>
    </row>
    <row r="28" spans="1:40" x14ac:dyDescent="0.25">
      <c r="A28" s="2" t="s">
        <v>40</v>
      </c>
      <c r="B28" s="2" t="s">
        <v>79</v>
      </c>
      <c r="C28" s="2"/>
      <c r="D28" s="2"/>
      <c r="E28" s="2"/>
      <c r="F28" s="34">
        <f>SUMIFS('BA History S2'!C:C,'BA History S2'!B:B,A28)</f>
        <v>406</v>
      </c>
      <c r="G28" s="66">
        <f>AVERAGEIFS('BA History S2'!C:C,'BA History S2'!B:B,A28)</f>
        <v>19.333333333333332</v>
      </c>
      <c r="H28" s="35">
        <f t="array" ref="H28">MAX(IF('BA History S2'!B:B=A28, 'BA History S2'!C:C))</f>
        <v>37</v>
      </c>
      <c r="I28" s="34">
        <f>COUNTIFS('BA History S2'!B:B,A28,'BA History S2'!D:D, 1)</f>
        <v>8</v>
      </c>
      <c r="J28" s="2">
        <f>COUNTIFS('BA History S2'!B:B,A28,'BA History S2'!D:D, 0)</f>
        <v>13</v>
      </c>
      <c r="K28" s="75">
        <f>LOOKUP(2, 1/('BA History S2'!$B:$B=A28), 'BA History S2'!$AK:$AK)</f>
        <v>0.38095238095238093</v>
      </c>
      <c r="L28" s="34">
        <f>SUMIFS('BA History S2'!F:F,'BA History S2'!B:B,A28)</f>
        <v>37</v>
      </c>
      <c r="M28" s="2">
        <f>SUMIFS('BA History S2'!E:E,'BA History S2'!B:B,A28)-L28</f>
        <v>48</v>
      </c>
      <c r="N28" s="75">
        <f>LOOKUP(2, 1/('BA History S2'!$B:$B=A28), 'BA History S2'!$AI:$AI)</f>
        <v>0.41904761904761906</v>
      </c>
      <c r="O28" s="34">
        <f>SUMIFS('BA History S2'!H:H,'BA History S2'!B:B,A28)</f>
        <v>169</v>
      </c>
      <c r="P28" s="2">
        <f>SUMIFS('BA History S2'!G:G,'BA History S2'!B:B,A28)-O28</f>
        <v>185</v>
      </c>
      <c r="Q28" s="89">
        <f>LOOKUP(2, 1/('BA History S2'!$B:$B=A28), 'BA History S2'!$AJ:$AJ)</f>
        <v>0.46761904761904766</v>
      </c>
      <c r="R28" s="2">
        <f>COUNTIFS('BA History S2'!$B:$B,$A$28,'BA History S2'!K:K, 1)</f>
        <v>1</v>
      </c>
      <c r="S28" s="2">
        <f>COUNTIFS('BA History S2'!$B:$B,$A$28,'BA History S2'!L:L, 1)</f>
        <v>4</v>
      </c>
      <c r="T28" s="2">
        <f>COUNTIFS('BA History S2'!$B:$B,$A$28,'BA History S2'!M:M, 1)</f>
        <v>4</v>
      </c>
      <c r="U28" s="2">
        <f>COUNTIFS('BA History S2'!$B:$B,$A$28,'BA History S2'!N:N, 1)</f>
        <v>4</v>
      </c>
      <c r="V28" s="2">
        <f>COUNTIFS('BA History S2'!$B:$B,$A$28,'BA History S2'!O:O, 1)</f>
        <v>1</v>
      </c>
      <c r="W28" s="2">
        <f>COUNTIFS('BA History S2'!$B:$B,$A$28,'BA History S2'!P:P, 1)</f>
        <v>0</v>
      </c>
      <c r="X28" s="2">
        <f>COUNTIFS('BA History S2'!$B:$B,$A$28,'BA History S2'!Q:Q, 1)</f>
        <v>1</v>
      </c>
      <c r="Y28" s="2">
        <f>COUNTIFS('BA History S2'!$B:$B,$A$28,'BA History S2'!R:R, 1)</f>
        <v>0</v>
      </c>
      <c r="Z28" s="2">
        <f>COUNTIFS('BA History S2'!$B:$B,$A$28,'BA History S2'!S:S, 1)</f>
        <v>1</v>
      </c>
      <c r="AA28" s="2">
        <f>COUNTIFS('BA History S2'!$B:$B,$A$28,'BA History S2'!T:T, 1)</f>
        <v>0</v>
      </c>
      <c r="AB28" s="2">
        <f>COUNTIFS('BA History S2'!$B:$B,$A$28,'BA History S2'!U:U, 1)</f>
        <v>1</v>
      </c>
      <c r="AC28" s="2">
        <f>COUNTIFS('BA History S2'!$B:$B,$A$28,'BA History S2'!V:V, 1)</f>
        <v>2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1</v>
      </c>
      <c r="AG28" s="2">
        <f>COUNTIFS('BA History S2'!$B:$B,$A$28,'BA History S2'!Z:Z, 1)</f>
        <v>5</v>
      </c>
      <c r="AH28" s="2">
        <f>COUNTIFS('BA History S2'!$B:$B,$A28,'BA History S2'!AA:AA, 1)</f>
        <v>0</v>
      </c>
      <c r="AI28" s="2">
        <f>COUNTIFS('BA History S2'!$B:$B,$A$28,'BA History S2'!AB:AB, 1)</f>
        <v>0</v>
      </c>
      <c r="AJ28" s="2">
        <f>COUNTIFS('BA History S2'!$B:$B,$A$28,'BA History S2'!AC:AC, 1)</f>
        <v>3</v>
      </c>
      <c r="AK28" s="2">
        <f>COUNTIFS('BA History S2'!$B:$B,$A$28,'BA History S2'!AD:AD, 1)</f>
        <v>3</v>
      </c>
      <c r="AL28" s="2">
        <f>COUNTIFS('BA History S2'!$B:$B,$A$28,'BA History S2'!AE:AE, 1)</f>
        <v>4</v>
      </c>
      <c r="AM28" s="2">
        <f>COUNTIFS('BA History S2'!$B:$B,$A$28,'BA History S2'!AF:AF, 1)</f>
        <v>0</v>
      </c>
      <c r="AN28" s="2">
        <f>COUNTIFS('BA History S2'!$B:$B,$A$28,'BA History S2'!AG:AG, 1)</f>
        <v>2</v>
      </c>
    </row>
    <row r="29" spans="1:40" x14ac:dyDescent="0.25">
      <c r="A29" s="2" t="s">
        <v>166</v>
      </c>
      <c r="B29" s="2" t="s">
        <v>79</v>
      </c>
      <c r="C29" s="2">
        <v>1</v>
      </c>
      <c r="D29" s="2"/>
      <c r="E29" s="2"/>
      <c r="F29" s="34">
        <f>SUMIFS('BA History S2'!C:C,'BA History S2'!B:B,A29)</f>
        <v>40</v>
      </c>
      <c r="G29" s="66">
        <f>AVERAGEIFS('BA History S2'!C:C,'BA History S2'!B:B,A29)</f>
        <v>10</v>
      </c>
      <c r="H29" s="35">
        <f t="array" ref="H29">MAX(IF('BA History S2'!B:B=A29, 'BA History S2'!C:C))</f>
        <v>21</v>
      </c>
      <c r="I29" s="34">
        <f>COUNTIFS('BA History S2'!B:B,A29,'BA History S2'!D:D, 1)</f>
        <v>3</v>
      </c>
      <c r="J29" s="2">
        <f>COUNTIFS('BA History S2'!B:B,A29,'BA History S2'!D:D, 0)</f>
        <v>1</v>
      </c>
      <c r="K29" s="75">
        <f>LOOKUP(2, 1/('BA History S2'!$B:$B=A29), 'BA History S2'!$AK:$AK)</f>
        <v>0.75</v>
      </c>
      <c r="L29" s="34">
        <f>SUMIFS('BA History S2'!F:F,'BA History S2'!B:B,A29)</f>
        <v>9</v>
      </c>
      <c r="M29" s="2">
        <f>SUMIFS('BA History S2'!E:E,'BA History S2'!B:B,A29)-L29</f>
        <v>8</v>
      </c>
      <c r="N29" s="75">
        <f>LOOKUP(2, 1/('BA History S2'!$B:$B=A29), 'BA History S2'!$AI:$AI)</f>
        <v>0.48750000000000004</v>
      </c>
      <c r="O29" s="34">
        <f>SUMIFS('BA History S2'!H:H,'BA History S2'!B:B,A29)</f>
        <v>38</v>
      </c>
      <c r="P29" s="2">
        <f>SUMIFS('BA History S2'!G:G,'BA History S2'!B:B,A29)-O29</f>
        <v>35</v>
      </c>
      <c r="Q29" s="89">
        <f>LOOKUP(2, 1/('BA History S2'!$B:$B=A29), 'BA History S2'!$AJ:$AJ)</f>
        <v>0.49249999999999999</v>
      </c>
      <c r="R29" s="2">
        <f>COUNTIFS('BA History S2'!$B:$B,$A$29,'BA History S2'!K:K, 1)</f>
        <v>1</v>
      </c>
      <c r="S29" s="2">
        <f>COUNTIFS('BA History S2'!$B:$B,$A$29,'BA History S2'!L:L, 1)</f>
        <v>0</v>
      </c>
      <c r="T29" s="2">
        <f>COUNTIFS('BA History S2'!$B:$B,$A$29,'BA History S2'!M:M, 1)</f>
        <v>1</v>
      </c>
      <c r="U29" s="2">
        <f>COUNTIFS('BA History S2'!$B:$B,$A$29,'BA History S2'!N:N, 1)</f>
        <v>1</v>
      </c>
      <c r="V29" s="2">
        <f>COUNTIFS('BA History S2'!$B:$B,$A$29,'BA History S2'!O:O, 1)</f>
        <v>0</v>
      </c>
      <c r="W29" s="2">
        <f>COUNTIFS('BA History S2'!$B:$B,$A$29,'BA History S2'!P:P, 1)</f>
        <v>0</v>
      </c>
      <c r="X29" s="2">
        <f>COUNTIFS('BA History S2'!$B:$B,$A$29,'BA History S2'!Q:Q, 1)</f>
        <v>0</v>
      </c>
      <c r="Y29" s="2">
        <f>COUNTIFS('BA History S2'!$B:$B,$A$29,'BA History S2'!R:R, 1)</f>
        <v>0</v>
      </c>
      <c r="Z29" s="2">
        <f>COUNTIFS('BA History S2'!$B:$B,$A$29,'BA History S2'!S:S, 1)</f>
        <v>0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0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1</v>
      </c>
      <c r="AG29" s="2">
        <f>COUNTIFS('BA History S2'!$B:$B,$A$29,'BA History S2'!Z:Z, 1)</f>
        <v>2</v>
      </c>
      <c r="AH29" s="2">
        <f>COUNTIFS('BA History S2'!$B:$B,$A29,'BA History S2'!AA:AA, 1)</f>
        <v>0</v>
      </c>
      <c r="AI29" s="2">
        <f>COUNTIFS('BA History S2'!$B:$B,$A$29,'BA History S2'!AB:AB, 1)</f>
        <v>0</v>
      </c>
      <c r="AJ29" s="2">
        <f>COUNTIFS('BA History S2'!$B:$B,$A$29,'BA History S2'!AC:AC, 1)</f>
        <v>1</v>
      </c>
      <c r="AK29" s="2">
        <f>COUNTIFS('BA History S2'!$B:$B,$A$29,'BA History S2'!AD:AD, 1)</f>
        <v>0</v>
      </c>
      <c r="AL29" s="2">
        <f>COUNTIFS('BA History S2'!$B:$B,$A$29,'BA History S2'!AE:AE, 1)</f>
        <v>1</v>
      </c>
      <c r="AM29" s="2">
        <f>COUNTIFS('BA History S2'!$B:$B,$A$29,'BA History S2'!AF:AF, 1)</f>
        <v>0</v>
      </c>
      <c r="AN29" s="2">
        <f>COUNTIFS('BA History S2'!$B:$B,$A$29,'BA History S2'!AG:AG, 1)</f>
        <v>1</v>
      </c>
    </row>
    <row r="30" spans="1:40" x14ac:dyDescent="0.25">
      <c r="A30" s="2" t="s">
        <v>147</v>
      </c>
      <c r="B30" s="2" t="s">
        <v>79</v>
      </c>
      <c r="C30" s="2"/>
      <c r="D30" s="2"/>
      <c r="E30" s="2"/>
      <c r="F30" s="34">
        <f>SUMIFS('BA History S2'!C:C,'BA History S2'!B:B,A30)</f>
        <v>186</v>
      </c>
      <c r="G30" s="66">
        <f>AVERAGEIFS('BA History S2'!C:C,'BA History S2'!B:B,A30)</f>
        <v>14.307692307692308</v>
      </c>
      <c r="H30" s="35">
        <f t="array" ref="H30">MAX(IF('BA History S2'!B:B=A30, 'BA History S2'!C:C))</f>
        <v>26</v>
      </c>
      <c r="I30" s="34">
        <f>COUNTIFS('BA History S2'!B:B,A30,'BA History S2'!D:D, 1)</f>
        <v>5</v>
      </c>
      <c r="J30" s="2">
        <f>COUNTIFS('BA History S2'!B:B,A30,'BA History S2'!D:D, 0)</f>
        <v>8</v>
      </c>
      <c r="K30" s="75">
        <f>LOOKUP(2, 1/('BA History S2'!$B:$B=A30), 'BA History S2'!$AK:$AK)</f>
        <v>0.38461538461538464</v>
      </c>
      <c r="L30" s="34">
        <f>SUMIFS('BA History S2'!F:F,'BA History S2'!B:B,A30)</f>
        <v>26</v>
      </c>
      <c r="M30" s="2">
        <f>SUMIFS('BA History S2'!E:E,'BA History S2'!B:B,A30)-L30</f>
        <v>28</v>
      </c>
      <c r="N30" s="75">
        <f>LOOKUP(2, 1/('BA History S2'!$B:$B=A30), 'BA History S2'!$AI:$AI)</f>
        <v>0.50384615384615383</v>
      </c>
      <c r="O30" s="34">
        <f>SUMIFS('BA History S2'!H:H,'BA History S2'!B:B,A30)</f>
        <v>116</v>
      </c>
      <c r="P30" s="2">
        <f>SUMIFS('BA History S2'!G:G,'BA History S2'!B:B,A30)-O30</f>
        <v>112</v>
      </c>
      <c r="Q30" s="89">
        <f>LOOKUP(2, 1/('BA History S2'!$B:$B=A30), 'BA History S2'!$AJ:$AJ)</f>
        <v>0.52076923076923076</v>
      </c>
      <c r="R30" s="2">
        <f>COUNTIFS('BA History S2'!$B:$B,$A$30,'BA History S2'!K:K, 1)</f>
        <v>1</v>
      </c>
      <c r="S30" s="2">
        <f>COUNTIFS('BA History S2'!$B:$B,$A$30,'BA History S2'!L:L, 1)</f>
        <v>3</v>
      </c>
      <c r="T30" s="2">
        <f>COUNTIFS('BA History S2'!$B:$B,$A$30,'BA History S2'!M:M, 1)</f>
        <v>1</v>
      </c>
      <c r="U30" s="2">
        <f>COUNTIFS('BA History S2'!$B:$B,$A$30,'BA History S2'!N:N, 1)</f>
        <v>3</v>
      </c>
      <c r="V30" s="2">
        <f>COUNTIFS('BA History S2'!$B:$B,$A$30,'BA History S2'!O:O, 1)</f>
        <v>1</v>
      </c>
      <c r="W30" s="2">
        <f>COUNTIFS('BA History S2'!$B:$B,$A$30,'BA History S2'!P:P, 1)</f>
        <v>1</v>
      </c>
      <c r="X30" s="2">
        <f>COUNTIFS('BA History S2'!$B:$B,$A$30,'BA History S2'!Q:Q, 1)</f>
        <v>1</v>
      </c>
      <c r="Y30" s="2">
        <f>COUNTIFS('BA History S2'!$B:$B,$A$30,'BA History S2'!R:R, 1)</f>
        <v>0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0</v>
      </c>
      <c r="AC30" s="2">
        <f>COUNTIFS('BA History S2'!$B:$B,$A$30,'BA History S2'!V:V, 1)</f>
        <v>0</v>
      </c>
      <c r="AD30" s="2">
        <f>COUNTIFS('BA History S2'!$B:$B,$A$30,'BA History S2'!W:W, 1)</f>
        <v>1</v>
      </c>
      <c r="AE30" s="2">
        <f>COUNTIFS('BA History S2'!$B:$B,$A$30,'BA History S2'!X:X, 1)</f>
        <v>0</v>
      </c>
      <c r="AF30" s="2">
        <f>COUNTIFS('BA History S2'!$B:$B,$A$30,'BA History S2'!Y:Y, 1)</f>
        <v>1</v>
      </c>
      <c r="AG30" s="2">
        <f>COUNTIFS('BA History S2'!$B:$B,$A$30,'BA History S2'!Z:Z, 1)</f>
        <v>4</v>
      </c>
      <c r="AH30" s="2">
        <f>COUNTIFS('BA History S2'!$B:$B,$A30,'BA History S2'!AA:AA, 1)</f>
        <v>0</v>
      </c>
      <c r="AI30" s="2">
        <f>COUNTIFS('BA History S2'!$B:$B,$A$30,'BA History S2'!AB:AB, 1)</f>
        <v>0</v>
      </c>
      <c r="AJ30" s="2">
        <f>COUNTIFS('BA History S2'!$B:$B,$A$30,'BA History S2'!AC:AC, 1)</f>
        <v>5</v>
      </c>
      <c r="AK30" s="2">
        <f>COUNTIFS('BA History S2'!$B:$B,$A$30,'BA History S2'!AD:AD, 1)</f>
        <v>0</v>
      </c>
      <c r="AL30" s="2">
        <f>COUNTIFS('BA History S2'!$B:$B,$A$30,'BA History S2'!AE:AE, 1)</f>
        <v>1</v>
      </c>
      <c r="AM30" s="2">
        <f>COUNTIFS('BA History S2'!$B:$B,$A$30,'BA History S2'!AF:AF, 1)</f>
        <v>0</v>
      </c>
      <c r="AN30" s="2">
        <f>COUNTIFS('BA History S2'!$B:$B,$A$30,'BA History S2'!AG:AG, 1)</f>
        <v>2</v>
      </c>
    </row>
    <row r="31" spans="1:40" x14ac:dyDescent="0.25">
      <c r="A31" s="2" t="s">
        <v>17</v>
      </c>
      <c r="B31" s="2" t="s">
        <v>79</v>
      </c>
      <c r="C31" s="2">
        <v>1</v>
      </c>
      <c r="D31" s="2">
        <v>1</v>
      </c>
      <c r="E31" s="2"/>
      <c r="F31" s="34">
        <f>SUMIFS('BA History S2'!C:C,'BA History S2'!B:B,A31)</f>
        <v>254</v>
      </c>
      <c r="G31" s="66">
        <f>AVERAGEIFS('BA History S2'!C:C,'BA History S2'!B:B,A31)</f>
        <v>18.142857142857142</v>
      </c>
      <c r="H31" s="35">
        <f t="array" ref="H31">MAX(IF('BA History S2'!B:B=A31, 'BA History S2'!C:C))</f>
        <v>28</v>
      </c>
      <c r="I31" s="34">
        <f>COUNTIFS('BA History S2'!B:B,A31,'BA History S2'!D:D, 1)</f>
        <v>11</v>
      </c>
      <c r="J31" s="2">
        <f>COUNTIFS('BA History S2'!B:B,A31,'BA History S2'!D:D, 0)</f>
        <v>3</v>
      </c>
      <c r="K31" s="75">
        <f>LOOKUP(2, 1/('BA History S2'!$B:$B=A31), 'BA History S2'!$AK:$AK)</f>
        <v>0.7857142857142857</v>
      </c>
      <c r="L31" s="34">
        <f>SUMIFS('BA History S2'!F:F,'BA History S2'!B:B,A31)</f>
        <v>35</v>
      </c>
      <c r="M31" s="2">
        <f>SUMIFS('BA History S2'!E:E,'BA History S2'!B:B,A31)-L31</f>
        <v>20</v>
      </c>
      <c r="N31" s="75">
        <f>LOOKUP(2, 1/('BA History S2'!$B:$B=A31), 'BA History S2'!$AI:$AI)</f>
        <v>0.64642857142857135</v>
      </c>
      <c r="O31" s="34">
        <f>SUMIFS('BA History S2'!H:H,'BA History S2'!B:B,A31)</f>
        <v>124</v>
      </c>
      <c r="P31" s="2">
        <f>SUMIFS('BA History S2'!G:G,'BA History S2'!B:B,A31)-O31</f>
        <v>102</v>
      </c>
      <c r="Q31" s="89">
        <f>LOOKUP(2, 1/('BA History S2'!$B:$B=A31), 'BA History S2'!$AJ:$AJ)</f>
        <v>0.54428571428571426</v>
      </c>
      <c r="R31" s="2">
        <f>COUNTIFS('BA History S2'!$B:$B,$A$31,'BA History S2'!K:K, 1)</f>
        <v>2</v>
      </c>
      <c r="S31" s="2">
        <f>COUNTIFS('BA History S2'!$B:$B,$A$31,'BA History S2'!L:L, 1)</f>
        <v>2</v>
      </c>
      <c r="T31" s="2">
        <f>COUNTIFS('BA History S2'!$B:$B,$A$31,'BA History S2'!M:M, 1)</f>
        <v>4</v>
      </c>
      <c r="U31" s="2">
        <f>COUNTIFS('BA History S2'!$B:$B,$A$31,'BA History S2'!N:N, 1)</f>
        <v>2</v>
      </c>
      <c r="V31" s="2">
        <f>COUNTIFS('BA History S2'!$B:$B,$A$31,'BA History S2'!O:O, 1)</f>
        <v>0</v>
      </c>
      <c r="W31" s="2">
        <f>COUNTIFS('BA History S2'!$B:$B,$A$31,'BA History S2'!P:P, 1)</f>
        <v>1</v>
      </c>
      <c r="X31" s="2">
        <f>COUNTIFS('BA History S2'!$B:$B,$A$31,'BA History S2'!Q:Q, 1)</f>
        <v>2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1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1</v>
      </c>
      <c r="AG31" s="2">
        <f>COUNTIFS('BA History S2'!$B:$B,$A$31,'BA History S2'!Z:Z, 1)</f>
        <v>4</v>
      </c>
      <c r="AH31" s="2">
        <f>COUNTIFS('BA History S2'!$B:$B,$A31,'BA History S2'!AA:AA, 1)</f>
        <v>0</v>
      </c>
      <c r="AI31" s="2">
        <f>COUNTIFS('BA History S2'!$B:$B,$A$31,'BA History S2'!AB:AB, 1)</f>
        <v>1</v>
      </c>
      <c r="AJ31" s="2">
        <f>COUNTIFS('BA History S2'!$B:$B,$A$31,'BA History S2'!AC:AC, 1)</f>
        <v>5</v>
      </c>
      <c r="AK31" s="2">
        <f>COUNTIFS('BA History S2'!$B:$B,$A$31,'BA History S2'!AD:AD, 1)</f>
        <v>3</v>
      </c>
      <c r="AL31" s="2">
        <f>COUNTIFS('BA History S2'!$B:$B,$A$31,'BA History S2'!AE:AE, 1)</f>
        <v>3</v>
      </c>
      <c r="AM31" s="2">
        <f>COUNTIFS('BA History S2'!$B:$B,$A$31,'BA History S2'!AF:AF, 1)</f>
        <v>1</v>
      </c>
      <c r="AN31" s="2">
        <f>COUNTIFS('BA History S2'!$B:$B,$A$31,'BA History S2'!AG:AG, 1)</f>
        <v>3</v>
      </c>
    </row>
    <row r="32" spans="1:40" x14ac:dyDescent="0.25">
      <c r="A32" s="2" t="s">
        <v>6</v>
      </c>
      <c r="B32" s="1" t="s">
        <v>158</v>
      </c>
      <c r="D32" s="1">
        <v>1</v>
      </c>
      <c r="E32" s="1">
        <v>1</v>
      </c>
      <c r="F32" s="34">
        <f>SUMIFS('BA History S2'!C:C,'BA History S2'!B:B,A32)</f>
        <v>527</v>
      </c>
      <c r="G32" s="66">
        <f>AVERAGEIFS('BA History S2'!C:C,'BA History S2'!B:B,A32)</f>
        <v>22.913043478260871</v>
      </c>
      <c r="H32" s="35">
        <f t="array" ref="H32">MAX(IF('BA History S2'!B:B=A32, 'BA History S2'!C:C))</f>
        <v>36</v>
      </c>
      <c r="I32" s="34">
        <f>COUNTIFS('BA History S2'!B:B,A32,'BA History S2'!D:D, 1)</f>
        <v>14</v>
      </c>
      <c r="J32" s="2">
        <f>COUNTIFS('BA History S2'!B:B,A32,'BA History S2'!D:D, 0)</f>
        <v>9</v>
      </c>
      <c r="K32" s="75">
        <f>LOOKUP(2, 1/('BA History S2'!$B:$B=A32), 'BA History S2'!$AK:$AK)</f>
        <v>0.60869565217391308</v>
      </c>
      <c r="L32" s="34">
        <f>SUMIFS('BA History S2'!F:F,'BA History S2'!B:B,A32)</f>
        <v>50</v>
      </c>
      <c r="M32" s="2">
        <f>SUMIFS('BA History S2'!E:E,'BA History S2'!B:B,A32)-L32</f>
        <v>39</v>
      </c>
      <c r="N32" s="75">
        <f>LOOKUP(2, 1/('BA History S2'!$B:$B=A32), 'BA History S2'!$AI:$AI)</f>
        <v>0.56956521739130428</v>
      </c>
      <c r="O32" s="34">
        <f>SUMIFS('BA History S2'!H:H,'BA History S2'!B:B,A32)</f>
        <v>193</v>
      </c>
      <c r="P32" s="2">
        <f>SUMIFS('BA History S2'!G:G,'BA History S2'!B:B,A32)-O32</f>
        <v>174</v>
      </c>
      <c r="Q32" s="89">
        <f>LOOKUP(2, 1/('BA History S2'!$B:$B=A32), 'BA History S2'!$AJ:$AJ)</f>
        <v>0.52478260869565219</v>
      </c>
      <c r="R32" s="2">
        <f>COUNTIFS('BA History S2'!$B:$B,$A$32,'BA History S2'!K:K, 1)</f>
        <v>2</v>
      </c>
      <c r="S32" s="2">
        <f>COUNTIFS('BA History S2'!$B:$B,$A$32,'BA History S2'!L:L, 1)</f>
        <v>3</v>
      </c>
      <c r="T32" s="2">
        <f>COUNTIFS('BA History S2'!$B:$B,$A$32,'BA History S2'!M:M, 1)</f>
        <v>5</v>
      </c>
      <c r="U32" s="2">
        <f>COUNTIFS('BA History S2'!$B:$B,$A$32,'BA History S2'!N:N, 1)</f>
        <v>4</v>
      </c>
      <c r="V32" s="2">
        <f>COUNTIFS('BA History S2'!$B:$B,$A$32,'BA History S2'!O:O, 1)</f>
        <v>0</v>
      </c>
      <c r="W32" s="2">
        <f>COUNTIFS('BA History S2'!$B:$B,$A$32,'BA History S2'!P:P, 1)</f>
        <v>1</v>
      </c>
      <c r="X32" s="2">
        <f>COUNTIFS('BA History S2'!$B:$B,$A$32,'BA History S2'!Q:Q, 1)</f>
        <v>2</v>
      </c>
      <c r="Y32" s="2">
        <f>COUNTIFS('BA History S2'!$B:$B,$A$32,'BA History S2'!R:R, 1)</f>
        <v>1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1</v>
      </c>
      <c r="AC32" s="2">
        <f>COUNTIFS('BA History S2'!$B:$B,$A$32,'BA History S2'!V:V, 1)</f>
        <v>2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2</v>
      </c>
      <c r="AG32" s="2">
        <f>COUNTIFS('BA History S2'!$B:$B,$A$32,'BA History S2'!Z:Z, 1)</f>
        <v>7</v>
      </c>
      <c r="AH32" s="2">
        <f>COUNTIFS('BA History S2'!$B:$B,$A32,'BA History S2'!AA:AA, 1)</f>
        <v>1</v>
      </c>
      <c r="AI32" s="2">
        <f>COUNTIFS('BA History S2'!$B:$B,$A$32,'BA History S2'!AB:AB, 1)</f>
        <v>1</v>
      </c>
      <c r="AJ32" s="2">
        <f>COUNTIFS('BA History S2'!$B:$B,$A$32,'BA History S2'!AC:AC, 1)</f>
        <v>8</v>
      </c>
      <c r="AK32" s="2">
        <f>COUNTIFS('BA History S2'!$B:$B,$A$32,'BA History S2'!AD:AD, 1)</f>
        <v>4</v>
      </c>
      <c r="AL32" s="2">
        <f>COUNTIFS('BA History S2'!$B:$B,$A$32,'BA History S2'!AE:AE, 1)</f>
        <v>1</v>
      </c>
      <c r="AM32" s="2">
        <f>COUNTIFS('BA History S2'!$B:$B,$A$32,'BA History S2'!AF:AF, 1)</f>
        <v>1</v>
      </c>
      <c r="AN32" s="2">
        <f>COUNTIFS('BA History S2'!$B:$B,$A$32,'BA History S2'!AG:AG, 1)</f>
        <v>4</v>
      </c>
    </row>
    <row r="33" spans="1:40" x14ac:dyDescent="0.25">
      <c r="A33" s="2" t="s">
        <v>18</v>
      </c>
      <c r="B33" s="1" t="s">
        <v>79</v>
      </c>
      <c r="F33" s="34">
        <f>SUMIFS('BA History S2'!C:C,'BA History S2'!B:B,A33)</f>
        <v>45</v>
      </c>
      <c r="G33" s="66">
        <f>AVERAGEIFS('BA History S2'!C:C,'BA History S2'!B:B,A33)</f>
        <v>15</v>
      </c>
      <c r="H33" s="35">
        <f t="array" ref="H33">MAX(IF('BA History S2'!B:B=A33, 'BA History S2'!C:C))</f>
        <v>22</v>
      </c>
      <c r="I33" s="34">
        <f>COUNTIFS('BA History S2'!B:B,A33,'BA History S2'!D:D, 1)</f>
        <v>2</v>
      </c>
      <c r="J33" s="2">
        <f>COUNTIFS('BA History S2'!B:B,A33,'BA History S2'!D:D, 0)</f>
        <v>1</v>
      </c>
      <c r="K33" s="75">
        <f>LOOKUP(2, 1/('BA History S2'!$B:$B=A33), 'BA History S2'!$AK:$AK)</f>
        <v>0.66666666666666663</v>
      </c>
      <c r="L33" s="34">
        <f>SUMIFS('BA History S2'!F:F,'BA History S2'!B:B,A33)</f>
        <v>6</v>
      </c>
      <c r="M33" s="2">
        <f>SUMIFS('BA History S2'!E:E,'BA History S2'!B:B,A33)-L33</f>
        <v>3</v>
      </c>
      <c r="N33" s="75">
        <f>LOOKUP(2, 1/('BA History S2'!$B:$B=A33), 'BA History S2'!$AI:$AI)</f>
        <v>0.66666666666666663</v>
      </c>
      <c r="O33" s="34">
        <f>SUMIFS('BA History S2'!H:H,'BA History S2'!B:B,A33)</f>
        <v>22</v>
      </c>
      <c r="P33" s="2">
        <f>SUMIFS('BA History S2'!G:G,'BA History S2'!B:B,A33)-O33</f>
        <v>17</v>
      </c>
      <c r="Q33" s="89">
        <f>LOOKUP(2, 1/('BA History S2'!$B:$B=A33), 'BA History S2'!$AJ:$AJ)</f>
        <v>0.56666666666666665</v>
      </c>
      <c r="R33" s="2">
        <f>COUNTIFS('BA History S2'!$B:$B,$A$33,'BA History S2'!K:K, 1)</f>
        <v>0</v>
      </c>
      <c r="S33" s="2">
        <f>COUNTIFS('BA History S2'!$B:$B,$A$33,'BA History S2'!L:L, 1)</f>
        <v>1</v>
      </c>
      <c r="T33" s="2">
        <f>COUNTIFS('BA History S2'!$B:$B,$A$33,'BA History S2'!M:M, 1)</f>
        <v>0</v>
      </c>
      <c r="U33" s="2">
        <f>COUNTIFS('BA History S2'!$B:$B,$A$33,'BA History S2'!N:N, 1)</f>
        <v>1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1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0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0</v>
      </c>
      <c r="AG33" s="2">
        <f>COUNTIFS('BA History S2'!$B:$B,$A$33,'BA History S2'!Z:Z, 1)</f>
        <v>2</v>
      </c>
      <c r="AH33" s="2">
        <f>COUNTIFS('BA History S2'!$B:$B,$A33,'BA History S2'!AA:AA, 1)</f>
        <v>0</v>
      </c>
      <c r="AI33" s="2">
        <f>COUNTIFS('BA History S2'!$B:$B,$A$33,'BA History S2'!AB:AB, 1)</f>
        <v>0</v>
      </c>
      <c r="AJ33" s="2">
        <f>COUNTIFS('BA History S2'!$B:$B,$A$33,'BA History S2'!AC:AC, 1)</f>
        <v>1</v>
      </c>
      <c r="AK33" s="2">
        <f>COUNTIFS('BA History S2'!$B:$B,$A$33,'BA History S2'!AD:AD, 1)</f>
        <v>0</v>
      </c>
      <c r="AL33" s="2">
        <f>COUNTIFS('BA History S2'!$B:$B,$A$33,'BA History S2'!AE:AE, 1)</f>
        <v>0</v>
      </c>
      <c r="AM33" s="2">
        <f>COUNTIFS('BA History S2'!$B:$B,$A$33,'BA History S2'!AF:AF, 1)</f>
        <v>0</v>
      </c>
      <c r="AN33" s="2">
        <f>COUNTIFS('BA History S2'!$B:$B,$A$33,'BA History S2'!AG:AG, 1)</f>
        <v>0</v>
      </c>
    </row>
    <row r="34" spans="1:40" x14ac:dyDescent="0.25">
      <c r="A34" s="2" t="s">
        <v>178</v>
      </c>
      <c r="B34" s="1" t="s">
        <v>79</v>
      </c>
      <c r="C34" s="1">
        <v>1</v>
      </c>
      <c r="F34" s="34">
        <f>SUMIFS('BA History S2'!C:C,'BA History S2'!B:B,A34)</f>
        <v>26</v>
      </c>
      <c r="G34" s="66">
        <f>AVERAGEIFS('BA History S2'!C:C,'BA History S2'!B:B,A34)</f>
        <v>13</v>
      </c>
      <c r="H34" s="35">
        <f t="array" ref="H34">MAX(IF('BA History S2'!B:B=A34, 'BA History S2'!C:C))</f>
        <v>16</v>
      </c>
      <c r="I34" s="34">
        <f>COUNTIFS('BA History S2'!B:B,A34,'BA History S2'!D:D, 1)</f>
        <v>0</v>
      </c>
      <c r="J34" s="2">
        <f>COUNTIFS('BA History S2'!B:B,A34,'BA History S2'!D:D, 0)</f>
        <v>2</v>
      </c>
      <c r="K34" s="75">
        <f>LOOKUP(2, 1/('BA History S2'!$B:$B=A34), 'BA History S2'!$AK:$AK)</f>
        <v>0</v>
      </c>
      <c r="L34" s="34">
        <f>SUMIFS('BA History S2'!F:F,'BA History S2'!B:B,A34)</f>
        <v>3</v>
      </c>
      <c r="M34" s="2">
        <f>SUMIFS('BA History S2'!E:E,'BA History S2'!B:B,A34)-L34</f>
        <v>6</v>
      </c>
      <c r="N34" s="75">
        <f>LOOKUP(2, 1/('BA History S2'!$B:$B=A34), 'BA History S2'!$AI:$AI)</f>
        <v>0.32500000000000001</v>
      </c>
      <c r="O34" s="34">
        <f>SUMIFS('BA History S2'!H:H,'BA History S2'!B:B,A34)</f>
        <v>19</v>
      </c>
      <c r="P34" s="2">
        <f>SUMIFS('BA History S2'!G:G,'BA History S2'!B:B,A34)-O34</f>
        <v>22</v>
      </c>
      <c r="Q34" s="89">
        <f>LOOKUP(2, 1/('BA History S2'!$B:$B=A34), 'BA History S2'!$AJ:$AJ)</f>
        <v>0.46499999999999997</v>
      </c>
      <c r="R34" s="2">
        <f>COUNTIFS('BA History S2'!$B:$B,$A$34,'BA History S2'!K:K, 1)</f>
        <v>0</v>
      </c>
      <c r="S34" s="2">
        <f>COUNTIFS('BA History S2'!$B:$B,$A$34,'BA History S2'!L:L, 1)</f>
        <v>0</v>
      </c>
      <c r="T34" s="2">
        <f>COUNTIFS('BA History S2'!$B:$B,$A$34,'BA History S2'!M:M, 1)</f>
        <v>0</v>
      </c>
      <c r="U34" s="2">
        <f>COUNTIFS('BA History S2'!$B:$B,$A$34,'BA History S2'!N:N, 1)</f>
        <v>1</v>
      </c>
      <c r="V34" s="2">
        <f>COUNTIFS('BA History S2'!$B:$B,$A$34,'BA History S2'!O:O, 1)</f>
        <v>0</v>
      </c>
      <c r="W34" s="2">
        <f>COUNTIFS('BA History S2'!$B:$B,$A$34,'BA History S2'!P:P, 1)</f>
        <v>0</v>
      </c>
      <c r="X34" s="2">
        <f>COUNTIFS('BA History S2'!$B:$B,$A$34,'BA History S2'!Q:Q, 1)</f>
        <v>0</v>
      </c>
      <c r="Y34" s="2">
        <f>COUNTIFS('BA History S2'!$B:$B,$A$34,'BA History S2'!R:R, 1)</f>
        <v>0</v>
      </c>
      <c r="Z34" s="2">
        <f>COUNTIFS('BA History S2'!$B:$B,$A$34,'BA History S2'!S:S, 1)</f>
        <v>0</v>
      </c>
      <c r="AA34" s="2">
        <f>COUNTIFS('BA History S2'!$B:$B,$A$34,'BA History S2'!T:T, 1)</f>
        <v>0</v>
      </c>
      <c r="AB34" s="2">
        <f>COUNTIFS('BA History S2'!$B:$B,$A$34,'BA History S2'!U:U, 1)</f>
        <v>0</v>
      </c>
      <c r="AC34" s="2">
        <f>COUNTIFS('BA History S2'!$B:$B,$A$34,'BA History S2'!V:V, 1)</f>
        <v>1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0</v>
      </c>
      <c r="AG34" s="2">
        <f>COUNTIFS('BA History S2'!$B:$B,$A$34,'BA History S2'!Z:Z, 1)</f>
        <v>0</v>
      </c>
      <c r="AH34" s="2">
        <f>COUNTIFS('BA History S2'!$B:$B,$A34,'BA History S2'!AA:AA, 1)</f>
        <v>0</v>
      </c>
      <c r="AI34" s="2">
        <f>COUNTIFS('BA History S2'!$B:$B,$A$34,'BA History S2'!AB:AB, 1)</f>
        <v>0</v>
      </c>
      <c r="AJ34" s="2">
        <f>COUNTIFS('BA History S2'!$B:$B,$A$34,'BA History S2'!AC:AC, 1)</f>
        <v>0</v>
      </c>
      <c r="AK34" s="2">
        <f>COUNTIFS('BA History S2'!$B:$B,$A$34,'BA History S2'!AD:AD, 1)</f>
        <v>1</v>
      </c>
      <c r="AL34" s="2">
        <f>COUNTIFS('BA History S2'!$B:$B,$A$34,'BA History S2'!AE:AE, 1)</f>
        <v>0</v>
      </c>
      <c r="AM34" s="2">
        <f>COUNTIFS('BA History S2'!$B:$B,$A$34,'BA History S2'!AF:AF, 1)</f>
        <v>0</v>
      </c>
      <c r="AN34" s="2">
        <f>COUNTIFS('BA History S2'!$B:$B,$A$34,'BA History S2'!AG:AG, 1)</f>
        <v>0</v>
      </c>
    </row>
    <row r="35" spans="1:40" x14ac:dyDescent="0.25">
      <c r="A35" s="2" t="s">
        <v>113</v>
      </c>
      <c r="B35" s="2" t="s">
        <v>79</v>
      </c>
      <c r="C35" s="2">
        <v>1</v>
      </c>
      <c r="D35" s="2">
        <v>1</v>
      </c>
      <c r="E35" s="2"/>
      <c r="F35" s="34">
        <f>SUMIFS('BA History S2'!C:C,'BA History S2'!B:B,A35)</f>
        <v>365</v>
      </c>
      <c r="G35" s="66">
        <f>AVERAGEIFS('BA History S2'!C:C,'BA History S2'!B:B,A35)</f>
        <v>19.210526315789473</v>
      </c>
      <c r="H35" s="35">
        <f t="array" ref="H35">MAX(IF('BA History S2'!B:B=A35, 'BA History S2'!C:C))</f>
        <v>36</v>
      </c>
      <c r="I35" s="34">
        <f>COUNTIFS('BA History S2'!B:B,A35,'BA History S2'!D:D, 1)</f>
        <v>10</v>
      </c>
      <c r="J35" s="2">
        <f>COUNTIFS('BA History S2'!B:B,A35,'BA History S2'!D:D, 0)</f>
        <v>9</v>
      </c>
      <c r="K35" s="75">
        <f>LOOKUP(2, 1/('BA History S2'!$B:$B=A35), 'BA History S2'!$AK:$AK)</f>
        <v>0.52631578947368418</v>
      </c>
      <c r="L35" s="34">
        <f>SUMIFS('BA History S2'!F:F,'BA History S2'!B:B,A35)</f>
        <v>41</v>
      </c>
      <c r="M35" s="2">
        <f>SUMIFS('BA History S2'!E:E,'BA History S2'!B:B,A35)-L35</f>
        <v>34</v>
      </c>
      <c r="N35" s="75">
        <f>LOOKUP(2, 1/('BA History S2'!$B:$B=A35), 'BA History S2'!$AI:$AI)</f>
        <v>0.56842105263157894</v>
      </c>
      <c r="O35" s="34">
        <f>SUMIFS('BA History S2'!H:H,'BA History S2'!B:B,A35)</f>
        <v>165</v>
      </c>
      <c r="P35" s="2">
        <f>SUMIFS('BA History S2'!G:G,'BA History S2'!B:B,A35)-O35</f>
        <v>150</v>
      </c>
      <c r="Q35" s="89">
        <f>LOOKUP(2, 1/('BA History S2'!$B:$B=A35), 'BA History S2'!$AJ:$AJ)</f>
        <v>0.55000000000000004</v>
      </c>
      <c r="R35" s="2">
        <f>COUNTIFS('BA History S2'!$B:$B,$A$35,'BA History S2'!K:K, 1)</f>
        <v>0</v>
      </c>
      <c r="S35" s="2">
        <f>COUNTIFS('BA History S2'!$B:$B,$A$35,'BA History S2'!L:L, 1)</f>
        <v>5</v>
      </c>
      <c r="T35" s="2">
        <f>COUNTIFS('BA History S2'!$B:$B,$A$35,'BA History S2'!M:M, 1)</f>
        <v>2</v>
      </c>
      <c r="U35" s="2">
        <f>COUNTIFS('BA History S2'!$B:$B,$A$35,'BA History S2'!N:N, 1)</f>
        <v>3</v>
      </c>
      <c r="V35" s="2">
        <f>COUNTIFS('BA History S2'!$B:$B,$A$35,'BA History S2'!O:O, 1)</f>
        <v>1</v>
      </c>
      <c r="W35" s="2">
        <f>COUNTIFS('BA History S2'!$B:$B,$A$35,'BA History S2'!P:P, 1)</f>
        <v>1</v>
      </c>
      <c r="X35" s="2">
        <f>COUNTIFS('BA History S2'!$B:$B,$A$35,'BA History S2'!Q:Q, 1)</f>
        <v>1</v>
      </c>
      <c r="Y35" s="2">
        <f>COUNTIFS('BA History S2'!$B:$B,$A$35,'BA History S2'!R:R, 1)</f>
        <v>1</v>
      </c>
      <c r="Z35" s="2">
        <f>COUNTIFS('BA History S2'!$B:$B,$A$35,'BA History S2'!S:S, 1)</f>
        <v>1</v>
      </c>
      <c r="AA35" s="2">
        <f>COUNTIFS('BA History S2'!$B:$B,$A$35,'BA History S2'!T:T, 1)</f>
        <v>0</v>
      </c>
      <c r="AB35" s="2">
        <f>COUNTIFS('BA History S2'!$B:$B,$A$35,'BA History S2'!U:U, 1)</f>
        <v>1</v>
      </c>
      <c r="AC35" s="2">
        <f>COUNTIFS('BA History S2'!$B:$B,$A$35,'BA History S2'!V:V, 1)</f>
        <v>2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2</v>
      </c>
      <c r="AG35" s="2">
        <f>COUNTIFS('BA History S2'!$B:$B,$A$35,'BA History S2'!Z:Z, 1)</f>
        <v>6</v>
      </c>
      <c r="AH35" s="2">
        <f>COUNTIFS('BA History S2'!$B:$B,$A35,'BA History S2'!AA:AA, 1)</f>
        <v>0</v>
      </c>
      <c r="AI35" s="2">
        <f>COUNTIFS('BA History S2'!$B:$B,$A$35,'BA History S2'!AB:AB, 1)</f>
        <v>0</v>
      </c>
      <c r="AJ35" s="2">
        <f>COUNTIFS('BA History S2'!$B:$B,$A$35,'BA History S2'!AC:AC, 1)</f>
        <v>7</v>
      </c>
      <c r="AK35" s="2">
        <f>COUNTIFS('BA History S2'!$B:$B,$A$35,'BA History S2'!AD:AD, 1)</f>
        <v>4</v>
      </c>
      <c r="AL35" s="2">
        <f>COUNTIFS('BA History S2'!$B:$B,$A$35,'BA History S2'!AE:AE, 1)</f>
        <v>0</v>
      </c>
      <c r="AM35" s="2">
        <f>COUNTIFS('BA History S2'!$B:$B,$A$35,'BA History S2'!AF:AF, 1)</f>
        <v>0</v>
      </c>
      <c r="AN35" s="2">
        <f>COUNTIFS('BA History S2'!$B:$B,$A$35,'BA History S2'!AG:AG, 1)</f>
        <v>4</v>
      </c>
    </row>
    <row r="36" spans="1:40" x14ac:dyDescent="0.25">
      <c r="A36" s="2" t="s">
        <v>14</v>
      </c>
      <c r="B36" s="2" t="s">
        <v>79</v>
      </c>
      <c r="C36" s="2">
        <v>1</v>
      </c>
      <c r="D36" s="2"/>
      <c r="E36" s="2"/>
      <c r="F36" s="34">
        <f>SUMIFS('BA History S2'!C:C,'BA History S2'!B:B,A36)</f>
        <v>66</v>
      </c>
      <c r="G36" s="66">
        <f>AVERAGEIFS('BA History S2'!C:C,'BA History S2'!B:B,A36)</f>
        <v>13.2</v>
      </c>
      <c r="H36" s="35">
        <f t="array" ref="H36">MAX(IF('BA History S2'!B:B=A36, 'BA History S2'!C:C))</f>
        <v>21</v>
      </c>
      <c r="I36" s="34">
        <f>COUNTIFS('BA History S2'!B:B,A36,'BA History S2'!D:D, 1)</f>
        <v>2</v>
      </c>
      <c r="J36" s="2">
        <f>COUNTIFS('BA History S2'!B:B,A36,'BA History S2'!D:D, 0)</f>
        <v>3</v>
      </c>
      <c r="K36" s="75">
        <f>LOOKUP(2, 1/('BA History S2'!$B:$B=A36), 'BA History S2'!$AK:$AK)</f>
        <v>0.4</v>
      </c>
      <c r="L36" s="34">
        <f>SUMIFS('BA History S2'!F:F,'BA History S2'!B:B,A36)</f>
        <v>8</v>
      </c>
      <c r="M36" s="2">
        <f>SUMIFS('BA History S2'!E:E,'BA History S2'!B:B,A36)-L36</f>
        <v>11</v>
      </c>
      <c r="N36" s="75">
        <f>LOOKUP(2, 1/('BA History S2'!$B:$B=A36), 'BA History S2'!$AI:$AI)</f>
        <v>0.42000000000000004</v>
      </c>
      <c r="O36" s="34">
        <f>SUMIFS('BA History S2'!H:H,'BA History S2'!B:B,A36)</f>
        <v>34</v>
      </c>
      <c r="P36" s="2">
        <f>SUMIFS('BA History S2'!G:G,'BA History S2'!B:B,A36)-O36</f>
        <v>43</v>
      </c>
      <c r="Q36" s="89">
        <f>LOOKUP(2, 1/('BA History S2'!$B:$B=A36), 'BA History S2'!$AJ:$AJ)</f>
        <v>0.41</v>
      </c>
      <c r="R36" s="2">
        <f>COUNTIFS('BA History S2'!$B:$B,$A$36,'BA History S2'!K:K, 1)</f>
        <v>0</v>
      </c>
      <c r="S36" s="2">
        <f>COUNTIFS('BA History S2'!$B:$B,$A$36,'BA History S2'!L:L, 1)</f>
        <v>1</v>
      </c>
      <c r="T36" s="2">
        <f>COUNTIFS('BA History S2'!$B:$B,$A$36,'BA History S2'!M:M, 1)</f>
        <v>0</v>
      </c>
      <c r="U36" s="2">
        <f>COUNTIFS('BA History S2'!$B:$B,$A$36,'BA History S2'!N:N, 1)</f>
        <v>1</v>
      </c>
      <c r="V36" s="2">
        <f>COUNTIFS('BA History S2'!$B:$B,$A$36,'BA History S2'!O:O, 1)</f>
        <v>0</v>
      </c>
      <c r="W36" s="2">
        <f>COUNTIFS('BA History S2'!$B:$B,$A$36,'BA History S2'!P:P, 1)</f>
        <v>0</v>
      </c>
      <c r="X36" s="2">
        <f>COUNTIFS('BA History S2'!$B:$B,$A$36,'BA History S2'!Q:Q, 1)</f>
        <v>0</v>
      </c>
      <c r="Y36" s="2">
        <f>COUNTIFS('BA History S2'!$B:$B,$A$36,'BA History S2'!R:R, 1)</f>
        <v>0</v>
      </c>
      <c r="Z36" s="2">
        <f>COUNTIFS('BA History S2'!$B:$B,$A$36,'BA History S2'!S:S, 1)</f>
        <v>0</v>
      </c>
      <c r="AA36" s="2">
        <f>COUNTIFS('BA History S2'!$B:$B,$A$36,'BA History S2'!T:T, 1)</f>
        <v>0</v>
      </c>
      <c r="AB36" s="2">
        <f>COUNTIFS('BA History S2'!$B:$B,$A$36,'BA History S2'!U:U, 1)</f>
        <v>0</v>
      </c>
      <c r="AC36" s="2">
        <f>COUNTIFS('BA History S2'!$B:$B,$A$36,'BA History S2'!V:V, 1)</f>
        <v>1</v>
      </c>
      <c r="AD36" s="2">
        <f>COUNTIFS('BA History S2'!$B:$B,$A$36,'BA History S2'!W:W, 1)</f>
        <v>0</v>
      </c>
      <c r="AE36" s="2">
        <f>COUNTIFS('BA History S2'!$B:$B,$A$36,'BA History S2'!X:X, 1)</f>
        <v>0</v>
      </c>
      <c r="AF36" s="2">
        <f>COUNTIFS('BA History S2'!$B:$B,$A$36,'BA History S2'!Y:Y, 1)</f>
        <v>1</v>
      </c>
      <c r="AG36" s="2">
        <f>COUNTIFS('BA History S2'!$B:$B,$A$36,'BA History S2'!Z:Z, 1)</f>
        <v>0</v>
      </c>
      <c r="AH36" s="2">
        <f>COUNTIFS('BA History S2'!$B:$B,$A36,'BA History S2'!AA:AA, 1)</f>
        <v>0</v>
      </c>
      <c r="AI36" s="2">
        <f>COUNTIFS('BA History S2'!$B:$B,$A$36,'BA History S2'!AB:AB, 1)</f>
        <v>0</v>
      </c>
      <c r="AJ36" s="2">
        <f>COUNTIFS('BA History S2'!$B:$B,$A$36,'BA History S2'!AC:AC, 1)</f>
        <v>3</v>
      </c>
      <c r="AK36" s="2">
        <f>COUNTIFS('BA History S2'!$B:$B,$A$36,'BA History S2'!AD:AD, 1)</f>
        <v>1</v>
      </c>
      <c r="AL36" s="2">
        <f>COUNTIFS('BA History S2'!$B:$B,$A$36,'BA History S2'!AE:AE, 1)</f>
        <v>0</v>
      </c>
      <c r="AM36" s="2">
        <f>COUNTIFS('BA History S2'!$B:$B,$A$36,'BA History S2'!AF:AF, 1)</f>
        <v>0</v>
      </c>
      <c r="AN36" s="2">
        <f>COUNTIFS('BA History S2'!$B:$B,$A$36,'BA History S2'!AG:AG, 1)</f>
        <v>0</v>
      </c>
    </row>
    <row r="37" spans="1:40" x14ac:dyDescent="0.25">
      <c r="A37" s="2" t="s">
        <v>70</v>
      </c>
      <c r="B37" s="2" t="s">
        <v>79</v>
      </c>
      <c r="C37" s="2"/>
      <c r="D37" s="2"/>
      <c r="E37" s="2"/>
      <c r="F37" s="34">
        <f>SUMIFS('BA History S2'!C:C,'BA History S2'!B:B,A37)</f>
        <v>16</v>
      </c>
      <c r="G37" s="66">
        <f>AVERAGEIFS('BA History S2'!C:C,'BA History S2'!B:B,A37)</f>
        <v>8</v>
      </c>
      <c r="H37" s="35">
        <f t="array" ref="H37">MAX(IF('BA History S2'!B:B=A37, 'BA History S2'!C:C))</f>
        <v>9</v>
      </c>
      <c r="I37" s="34">
        <f>COUNTIFS('BA History S2'!B:B,A37,'BA History S2'!D:D, 1)</f>
        <v>0</v>
      </c>
      <c r="J37" s="2">
        <f>COUNTIFS('BA History S2'!B:B,A37,'BA History S2'!D:D, 0)</f>
        <v>2</v>
      </c>
      <c r="K37" s="75">
        <f>LOOKUP(2, 1/('BA History S2'!$B:$B=A37), 'BA History S2'!$AK:$AK)</f>
        <v>0</v>
      </c>
      <c r="L37" s="34">
        <f>SUMIFS('BA History S2'!F:F,'BA History S2'!B:B,A37)</f>
        <v>2</v>
      </c>
      <c r="M37" s="2">
        <f>SUMIFS('BA History S2'!E:E,'BA History S2'!B:B,A37)-L37</f>
        <v>6</v>
      </c>
      <c r="N37" s="75">
        <f>LOOKUP(2, 1/('BA History S2'!$B:$B=A37), 'BA History S2'!$AI:$AI)</f>
        <v>0.25</v>
      </c>
      <c r="O37" s="34">
        <f>SUMIFS('BA History S2'!H:H,'BA History S2'!B:B,A37)</f>
        <v>14</v>
      </c>
      <c r="P37" s="2">
        <f>SUMIFS('BA History S2'!G:G,'BA History S2'!B:B,A37)-O37</f>
        <v>19</v>
      </c>
      <c r="Q37" s="89">
        <f>LOOKUP(2, 1/('BA History S2'!$B:$B=A37), 'BA History S2'!$AJ:$AJ)</f>
        <v>0.42000000000000004</v>
      </c>
      <c r="R37" s="2">
        <f>COUNTIFS('BA History S2'!$B:$B,$A$37,'BA History S2'!K:K, 1)</f>
        <v>0</v>
      </c>
      <c r="S37" s="2">
        <f>COUNTIFS('BA History S2'!$B:$B,$A$37,'BA History S2'!L:L, 1)</f>
        <v>0</v>
      </c>
      <c r="T37" s="2">
        <f>COUNTIFS('BA History S2'!$B:$B,$A$37,'BA History S2'!M:M, 1)</f>
        <v>0</v>
      </c>
      <c r="U37" s="2">
        <f>COUNTIFS('BA History S2'!$B:$B,$A$37,'BA History S2'!N:N, 1)</f>
        <v>2</v>
      </c>
      <c r="V37" s="2">
        <f>COUNTIFS('BA History S2'!$B:$B,$A$37,'BA History S2'!O:O, 1)</f>
        <v>0</v>
      </c>
      <c r="W37" s="2">
        <f>COUNTIFS('BA History S2'!$B:$B,$A$37,'BA History S2'!P:P, 1)</f>
        <v>0</v>
      </c>
      <c r="X37" s="2">
        <f>COUNTIFS('BA History S2'!$B:$B,$A$37,'BA History S2'!Q:Q, 1)</f>
        <v>0</v>
      </c>
      <c r="Y37" s="2">
        <f>COUNTIFS('BA History S2'!$B:$B,$A$37,'BA History S2'!R:R, 1)</f>
        <v>0</v>
      </c>
      <c r="Z37" s="2">
        <f>COUNTIFS('BA History S2'!$B:$B,$A$37,'BA History S2'!S:S, 1)</f>
        <v>0</v>
      </c>
      <c r="AA37" s="2">
        <f>COUNTIFS('BA History S2'!$B:$B,$A$37,'BA History S2'!T:T, 1)</f>
        <v>0</v>
      </c>
      <c r="AB37" s="2">
        <f>COUNTIFS('BA History S2'!$B:$B,$A$37,'BA History S2'!U:U, 1)</f>
        <v>0</v>
      </c>
      <c r="AC37" s="2">
        <f>COUNTIFS('BA History S2'!$B:$B,$A$37,'BA History S2'!V:V, 1)</f>
        <v>0</v>
      </c>
      <c r="AD37" s="2">
        <f>COUNTIFS('BA History S2'!$B:$B,$A$37,'BA History S2'!W:W, 1)</f>
        <v>0</v>
      </c>
      <c r="AE37" s="2">
        <f>COUNTIFS('BA History S2'!$B:$B,$A$37,'BA History S2'!X:X, 1)</f>
        <v>0</v>
      </c>
      <c r="AF37" s="2">
        <f>COUNTIFS('BA History S2'!$B:$B,$A$37,'BA History S2'!Y:Y, 1)</f>
        <v>0</v>
      </c>
      <c r="AG37" s="2">
        <f>COUNTIFS('BA History S2'!$B:$B,$A$37,'BA History S2'!Z:Z, 1)</f>
        <v>0</v>
      </c>
      <c r="AH37" s="2">
        <f>COUNTIFS('BA History S2'!$B:$B,$A37,'BA History S2'!AA:AA, 1)</f>
        <v>0</v>
      </c>
      <c r="AI37" s="2">
        <f>COUNTIFS('BA History S2'!$B:$B,$A$37,'BA History S2'!AB:AB, 1)</f>
        <v>0</v>
      </c>
      <c r="AJ37" s="2">
        <f>COUNTIFS('BA History S2'!$B:$B,$A$37,'BA History S2'!AC:AC, 1)</f>
        <v>0</v>
      </c>
      <c r="AK37" s="2">
        <f>COUNTIFS('BA History S2'!$B:$B,$A$37,'BA History S2'!AD:AD, 1)</f>
        <v>0</v>
      </c>
      <c r="AL37" s="2">
        <f>COUNTIFS('BA History S2'!$B:$B,$A$37,'BA History S2'!AE:AE, 1)</f>
        <v>0</v>
      </c>
      <c r="AM37" s="2">
        <f>COUNTIFS('BA History S2'!$B:$B,$A$37,'BA History S2'!AF:AF, 1)</f>
        <v>0</v>
      </c>
      <c r="AN37" s="2">
        <f>COUNTIFS('BA History S2'!$B:$B,$A$37,'BA History S2'!AG:AG, 1)</f>
        <v>0</v>
      </c>
    </row>
    <row r="38" spans="1:40" x14ac:dyDescent="0.25">
      <c r="A38" s="2" t="s">
        <v>4</v>
      </c>
      <c r="B38" s="1" t="s">
        <v>158</v>
      </c>
      <c r="C38" s="1">
        <v>1</v>
      </c>
      <c r="D38" s="1">
        <v>1</v>
      </c>
      <c r="F38" s="34">
        <f>SUMIFS('BA History S2'!C:C,'BA History S2'!B:B,A38)</f>
        <v>352</v>
      </c>
      <c r="G38" s="66">
        <f>AVERAGEIFS('BA History S2'!C:C,'BA History S2'!B:B,A38)</f>
        <v>25.142857142857142</v>
      </c>
      <c r="H38" s="35">
        <f t="array" ref="H38">MAX(IF('BA History S2'!B:B=A38, 'BA History S2'!C:C))</f>
        <v>38</v>
      </c>
      <c r="I38" s="34">
        <f>COUNTIFS('BA History S2'!B:B,A38,'BA History S2'!D:D, 1)</f>
        <v>9</v>
      </c>
      <c r="J38" s="2">
        <f>COUNTIFS('BA History S2'!B:B,A38,'BA History S2'!D:D, 0)</f>
        <v>5</v>
      </c>
      <c r="K38" s="75">
        <f>LOOKUP(2, 1/('BA History S2'!$B:$B=A38), 'BA History S2'!$AK:$AK)</f>
        <v>0.6428571428571429</v>
      </c>
      <c r="L38" s="34">
        <f>SUMIFS('BA History S2'!F:F,'BA History S2'!B:B,A38)</f>
        <v>33</v>
      </c>
      <c r="M38" s="2">
        <f>SUMIFS('BA History S2'!E:E,'BA History S2'!B:B,A38)-L38</f>
        <v>26</v>
      </c>
      <c r="N38" s="75">
        <f>LOOKUP(2, 1/('BA History S2'!$B:$B=A38), 'BA History S2'!$AI:$AI)</f>
        <v>0.57500000000000007</v>
      </c>
      <c r="O38" s="34">
        <f>SUMIFS('BA History S2'!H:H,'BA History S2'!B:B,A38)</f>
        <v>131</v>
      </c>
      <c r="P38" s="2">
        <f>SUMIFS('BA History S2'!G:G,'BA History S2'!B:B,A38)-O38</f>
        <v>118</v>
      </c>
      <c r="Q38" s="89">
        <f>LOOKUP(2, 1/('BA History S2'!$B:$B=A38), 'BA History S2'!$AJ:$AJ)</f>
        <v>0.53071428571428569</v>
      </c>
      <c r="R38" s="2">
        <f>COUNTIFS('BA History S2'!$B:$B,$A$38,'BA History S2'!K:K, 1)</f>
        <v>2</v>
      </c>
      <c r="S38" s="2">
        <f>COUNTIFS('BA History S2'!$B:$B,$A$38,'BA History S2'!L:L, 1)</f>
        <v>3</v>
      </c>
      <c r="T38" s="2">
        <f>COUNTIFS('BA History S2'!$B:$B,$A$38,'BA History S2'!M:M, 1)</f>
        <v>3</v>
      </c>
      <c r="U38" s="2">
        <f>COUNTIFS('BA History S2'!$B:$B,$A$38,'BA History S2'!N:N, 1)</f>
        <v>3</v>
      </c>
      <c r="V38" s="2">
        <f>COUNTIFS('BA History S2'!$B:$B,$A$38,'BA History S2'!O:O, 1)</f>
        <v>0</v>
      </c>
      <c r="W38" s="2">
        <f>COUNTIFS('BA History S2'!$B:$B,$A$38,'BA History S2'!P:P, 1)</f>
        <v>0</v>
      </c>
      <c r="X38" s="2">
        <f>COUNTIFS('BA History S2'!$B:$B,$A$38,'BA History S2'!Q:Q, 1)</f>
        <v>0</v>
      </c>
      <c r="Y38" s="2">
        <f>COUNTIFS('BA History S2'!$B:$B,$A$38,'BA History S2'!R:R, 1)</f>
        <v>0</v>
      </c>
      <c r="Z38" s="2">
        <f>COUNTIFS('BA History S2'!$B:$B,$A$38,'BA History S2'!S:S, 1)</f>
        <v>0</v>
      </c>
      <c r="AA38" s="2">
        <f>COUNTIFS('BA History S2'!$B:$B,$A$38,'BA History S2'!T:T, 1)</f>
        <v>0</v>
      </c>
      <c r="AB38" s="2">
        <f>COUNTIFS('BA History S2'!$B:$B,$A$38,'BA History S2'!U:U, 1)</f>
        <v>1</v>
      </c>
      <c r="AC38" s="2">
        <f>COUNTIFS('BA History S2'!$B:$B,$A$38,'BA History S2'!V:V, 1)</f>
        <v>1</v>
      </c>
      <c r="AD38" s="2">
        <f>COUNTIFS('BA History S2'!$B:$B,$A$38,'BA History S2'!W:W, 1)</f>
        <v>1</v>
      </c>
      <c r="AE38" s="2">
        <f>COUNTIFS('BA History S2'!$B:$B,$A$38,'BA History S2'!X:X, 1)</f>
        <v>0</v>
      </c>
      <c r="AF38" s="2">
        <f>COUNTIFS('BA History S2'!$B:$B,$A$38,'BA History S2'!Y:Y, 1)</f>
        <v>2</v>
      </c>
      <c r="AG38" s="2">
        <f>COUNTIFS('BA History S2'!$B:$B,$A$38,'BA History S2'!Z:Z, 1)</f>
        <v>1</v>
      </c>
      <c r="AH38" s="2">
        <f>COUNTIFS('BA History S2'!$B:$B,$A38,'BA History S2'!AA:AA, 1)</f>
        <v>1</v>
      </c>
      <c r="AI38" s="2">
        <f>COUNTIFS('BA History S2'!$B:$B,$A$38,'BA History S2'!AB:AB, 1)</f>
        <v>0</v>
      </c>
      <c r="AJ38" s="2">
        <f>COUNTIFS('BA History S2'!$B:$B,$A$38,'BA History S2'!AC:AC, 1)</f>
        <v>7</v>
      </c>
      <c r="AK38" s="2">
        <f>COUNTIFS('BA History S2'!$B:$B,$A$38,'BA History S2'!AD:AD, 1)</f>
        <v>4</v>
      </c>
      <c r="AL38" s="2">
        <f>COUNTIFS('BA History S2'!$B:$B,$A$38,'BA History S2'!AE:AE, 1)</f>
        <v>2</v>
      </c>
      <c r="AM38" s="2">
        <f>COUNTIFS('BA History S2'!$B:$B,$A$38,'BA History S2'!AF:AF, 1)</f>
        <v>1</v>
      </c>
      <c r="AN38" s="2">
        <f>COUNTIFS('BA History S2'!$B:$B,$A$38,'BA History S2'!AG:AG, 1)</f>
        <v>1</v>
      </c>
    </row>
    <row r="39" spans="1:40" x14ac:dyDescent="0.25">
      <c r="A39" s="1" t="s">
        <v>107</v>
      </c>
      <c r="B39" s="2" t="s">
        <v>79</v>
      </c>
      <c r="C39" s="2"/>
      <c r="D39" s="2"/>
      <c r="E39" s="2"/>
      <c r="F39" s="34">
        <f>SUMIFS('BA History S2'!C:C,'BA History S2'!B:B,A39)</f>
        <v>270</v>
      </c>
      <c r="G39" s="66">
        <f>AVERAGEIFS('BA History S2'!C:C,'BA History S2'!B:B,A39)</f>
        <v>14.210526315789474</v>
      </c>
      <c r="H39" s="35">
        <f t="array" ref="H39">MAX(IF('BA History S2'!B:B=A39, 'BA History S2'!C:C))</f>
        <v>27</v>
      </c>
      <c r="I39" s="34">
        <f>COUNTIFS('BA History S2'!B:B,A39,'BA History S2'!D:D, 1)</f>
        <v>10</v>
      </c>
      <c r="J39" s="2">
        <f>COUNTIFS('BA History S2'!B:B,A39,'BA History S2'!D:D, 0)</f>
        <v>9</v>
      </c>
      <c r="K39" s="75">
        <f>LOOKUP(2, 1/('BA History S2'!$B:$B=A39), 'BA History S2'!$AK:$AK)</f>
        <v>0.52631578947368418</v>
      </c>
      <c r="L39" s="34">
        <f>SUMIFS('BA History S2'!F:F,'BA History S2'!B:B,A39)</f>
        <v>34</v>
      </c>
      <c r="M39" s="2">
        <f>SUMIFS('BA History S2'!E:E,'BA History S2'!B:B,A39)-L39</f>
        <v>40</v>
      </c>
      <c r="N39" s="75">
        <f>LOOKUP(2, 1/('BA History S2'!$B:$B=A39), 'BA History S2'!$AI:$AI)</f>
        <v>0.42368421052631572</v>
      </c>
      <c r="O39" s="34">
        <f>SUMIFS('BA History S2'!H:H,'BA History S2'!B:B,A39)</f>
        <v>147</v>
      </c>
      <c r="P39" s="2">
        <f>SUMIFS('BA History S2'!G:G,'BA History S2'!B:B,A39)-O39</f>
        <v>154</v>
      </c>
      <c r="Q39" s="89">
        <f>LOOKUP(2, 1/('BA History S2'!$B:$B=A39), 'BA History S2'!$AJ:$AJ)</f>
        <v>0.47263157894736846</v>
      </c>
      <c r="R39" s="2">
        <f>COUNTIFS('BA History S2'!$B:$B,$A$39,'BA History S2'!K:K, 1)</f>
        <v>3</v>
      </c>
      <c r="S39" s="2">
        <f>COUNTIFS('BA History S2'!$B:$B,$A$39,'BA History S2'!L:L, 1)</f>
        <v>1</v>
      </c>
      <c r="T39" s="2">
        <f>COUNTIFS('BA History S2'!$B:$B,$A$39,'BA History S2'!M:M, 1)</f>
        <v>5</v>
      </c>
      <c r="U39" s="2">
        <f>COUNTIFS('BA History S2'!$B:$B,$A$39,'BA History S2'!N:N, 1)</f>
        <v>2</v>
      </c>
      <c r="V39" s="2">
        <f>COUNTIFS('BA History S2'!$B:$B,$A$39,'BA History S2'!O:O, 1)</f>
        <v>0</v>
      </c>
      <c r="W39" s="2">
        <f>COUNTIFS('BA History S2'!$B:$B,$A$39,'BA History S2'!P:P, 1)</f>
        <v>0</v>
      </c>
      <c r="X39" s="2">
        <f>COUNTIFS('BA History S2'!$B:$B,$A$39,'BA History S2'!Q:Q, 1)</f>
        <v>0</v>
      </c>
      <c r="Y39" s="2">
        <f>COUNTIFS('BA History S2'!$B:$B,$A$39,'BA History S2'!R:R, 1)</f>
        <v>1</v>
      </c>
      <c r="Z39" s="2">
        <f>COUNTIFS('BA History S2'!$B:$B,$A$39,'BA History S2'!S:S, 1)</f>
        <v>0</v>
      </c>
      <c r="AA39" s="2">
        <f>COUNTIFS('BA History S2'!$B:$B,$A$39,'BA History S2'!T:T, 1)</f>
        <v>0</v>
      </c>
      <c r="AB39" s="2">
        <f>COUNTIFS('BA History S2'!$B:$B,$A$39,'BA History S2'!U:U, 1)</f>
        <v>2</v>
      </c>
      <c r="AC39" s="2">
        <f>COUNTIFS('BA History S2'!$B:$B,$A$39,'BA History S2'!V:V, 1)</f>
        <v>1</v>
      </c>
      <c r="AD39" s="2">
        <f>COUNTIFS('BA History S2'!$B:$B,$A$39,'BA History S2'!W:W, 1)</f>
        <v>0</v>
      </c>
      <c r="AE39" s="2">
        <f>COUNTIFS('BA History S2'!$B:$B,$A$39,'BA History S2'!X:X, 1)</f>
        <v>0</v>
      </c>
      <c r="AF39" s="2">
        <f>COUNTIFS('BA History S2'!$B:$B,$A$39,'BA History S2'!Y:Y, 1)</f>
        <v>2</v>
      </c>
      <c r="AG39" s="2">
        <f>COUNTIFS('BA History S2'!$B:$B,$A$39,'BA History S2'!Z:Z, 1)</f>
        <v>3</v>
      </c>
      <c r="AH39" s="2">
        <f>COUNTIFS('BA History S2'!$B:$B,$A39,'BA History S2'!AA:AA, 1)</f>
        <v>1</v>
      </c>
      <c r="AI39" s="2">
        <f>COUNTIFS('BA History S2'!$B:$B,$A$39,'BA History S2'!AB:AB, 1)</f>
        <v>0</v>
      </c>
      <c r="AJ39" s="2">
        <f>COUNTIFS('BA History S2'!$B:$B,$A$39,'BA History S2'!AC:AC, 1)</f>
        <v>5</v>
      </c>
      <c r="AK39" s="2">
        <f>COUNTIFS('BA History S2'!$B:$B,$A$39,'BA History S2'!AD:AD, 1)</f>
        <v>2</v>
      </c>
      <c r="AL39" s="2">
        <f>COUNTIFS('BA History S2'!$B:$B,$A$39,'BA History S2'!AE:AE, 1)</f>
        <v>4</v>
      </c>
      <c r="AM39" s="2">
        <f>COUNTIFS('BA History S2'!$B:$B,$A$39,'BA History S2'!AF:AF, 1)</f>
        <v>0</v>
      </c>
      <c r="AN39" s="2">
        <f>COUNTIFS('BA History S2'!$B:$B,$A$39,'BA History S2'!AG:AG, 1)</f>
        <v>2</v>
      </c>
    </row>
  </sheetData>
  <autoFilter ref="A1:AN39" xr:uid="{DA548192-1F03-46EA-8AB8-115EB9A7CE5D}">
    <sortState xmlns:xlrd2="http://schemas.microsoft.com/office/spreadsheetml/2017/richdata2" ref="A2:AN39">
      <sortCondition ref="A1:A39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364"/>
  <sheetViews>
    <sheetView workbookViewId="0">
      <pane xSplit="2" ySplit="1" topLeftCell="M334" activePane="bottomRight" state="frozen"/>
      <selection pane="topRight" activeCell="C1" sqref="C1"/>
      <selection pane="bottomLeft" activeCell="A2" sqref="A2"/>
      <selection pane="bottomRight" activeCell="AH352" sqref="AH352:AK364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220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AVERAGEIFS($C2:C$2, $B2:B$2, B2)</f>
        <v>22</v>
      </c>
      <c r="AI2" s="86">
        <f>AVERAGEIFS($I2:I$2, $B2:B$2, B2)</f>
        <v>0</v>
      </c>
      <c r="AJ2" s="86">
        <f>AVERAGEIFS($J2:J$2, $B2:B$2, B2)</f>
        <v>0.31</v>
      </c>
      <c r="AK2" s="86">
        <f>AVERAGEIFS($D2:D$2, $B2:B$2, B2)</f>
        <v>0</v>
      </c>
    </row>
    <row r="3" spans="1:37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5</v>
      </c>
      <c r="AI3" s="86">
        <f>AVERAGEIFS($I$2:I3, $B$2:B3, B3)</f>
        <v>0</v>
      </c>
      <c r="AJ3" s="86">
        <f>AVERAGEIFS($J$2:J3, $B$2:B3, B3)</f>
        <v>0.31</v>
      </c>
      <c r="AK3" s="86">
        <f>AVERAGEIFS($D$2:D3, $B$2:B3, B3)</f>
        <v>0</v>
      </c>
    </row>
    <row r="4" spans="1:37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7</v>
      </c>
      <c r="AI4" s="86">
        <f>AVERAGEIFS($I$2:I4, $B$2:B4, B4)</f>
        <v>0</v>
      </c>
      <c r="AJ4" s="86">
        <f>AVERAGEIFS($J$2:J4, $B$2:B4, B4)</f>
        <v>0.31</v>
      </c>
      <c r="AK4" s="86">
        <f>AVERAGEIFS($D$2:D4, $B$2:B4, B4)</f>
        <v>0</v>
      </c>
    </row>
    <row r="5" spans="1:37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</v>
      </c>
      <c r="AI5" s="86">
        <f>AVERAGEIFS($I$2:I5, $B$2:B5, B5)</f>
        <v>0</v>
      </c>
      <c r="AJ5" s="86">
        <f>AVERAGEIFS($J$2:J5, $B$2:B5, B5)</f>
        <v>0.31</v>
      </c>
      <c r="AK5" s="86">
        <f>AVERAGEIFS($D$2:D5, $B$2:B5, B5)</f>
        <v>0</v>
      </c>
    </row>
    <row r="6" spans="1:37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9</v>
      </c>
      <c r="AI6" s="86">
        <f>AVERAGEIFS($I$2:I6, $B$2:B6, B6)</f>
        <v>0</v>
      </c>
      <c r="AJ6" s="86">
        <f>AVERAGEIFS($J$2:J6, $B$2:B6, B6)</f>
        <v>0.31</v>
      </c>
      <c r="AK6" s="86">
        <f>AVERAGEIFS($D$2:D6, $B$2:B6, B6)</f>
        <v>0</v>
      </c>
    </row>
    <row r="7" spans="1:37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86">
        <f>AVERAGEIFS($C$2:C7, $B$2:B7, B7)</f>
        <v>16</v>
      </c>
      <c r="AI7" s="86">
        <f>AVERAGEIFS($I$2:I7, $B$2:B7, B7)</f>
        <v>1</v>
      </c>
      <c r="AJ7" s="86">
        <f>AVERAGEIFS($J$2:J7, $B$2:B7, B7)</f>
        <v>0.69</v>
      </c>
      <c r="AK7" s="86">
        <f>AVERAGEIFS($D$2:D7, $B$2:B7, B7)</f>
        <v>1</v>
      </c>
    </row>
    <row r="8" spans="1:37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86">
        <f>AVERAGEIFS($C$2:C8, $B$2:B8, B8)</f>
        <v>16</v>
      </c>
      <c r="AI8" s="86">
        <f>AVERAGEIFS($I$2:I8, $B$2:B8, B8)</f>
        <v>1</v>
      </c>
      <c r="AJ8" s="86">
        <f>AVERAGEIFS($J$2:J8, $B$2:B8, B8)</f>
        <v>0.69</v>
      </c>
      <c r="AK8" s="86">
        <f>AVERAGEIFS($D$2:D8, $B$2:B8, B8)</f>
        <v>1</v>
      </c>
    </row>
    <row r="9" spans="1:37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86">
        <f>AVERAGEIFS($C$2:C9, $B$2:B9, B9)</f>
        <v>11</v>
      </c>
      <c r="AI9" s="86">
        <f>AVERAGEIFS($I$2:I9, $B$2:B9, B9)</f>
        <v>1</v>
      </c>
      <c r="AJ9" s="86">
        <f>AVERAGEIFS($J$2:J9, $B$2:B9, B9)</f>
        <v>0.69</v>
      </c>
      <c r="AK9" s="86">
        <f>AVERAGEIFS($D$2:D9, $B$2:B9, B9)</f>
        <v>1</v>
      </c>
    </row>
    <row r="10" spans="1:37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86">
        <f>AVERAGEIFS($C$2:C10, $B$2:B10, B10)</f>
        <v>11</v>
      </c>
      <c r="AI10" s="86">
        <f>AVERAGEIFS($I$2:I10, $B$2:B10, B10)</f>
        <v>1</v>
      </c>
      <c r="AJ10" s="86">
        <f>AVERAGEIFS($J$2:J10, $B$2:B10, B10)</f>
        <v>0.69</v>
      </c>
      <c r="AK10" s="86">
        <f>AVERAGEIFS($D$2:D10, $B$2:B10, B10)</f>
        <v>1</v>
      </c>
    </row>
    <row r="11" spans="1:37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86">
        <f>AVERAGEIFS($C$2:C11, $B$2:B11, B11)</f>
        <v>14</v>
      </c>
      <c r="AI11" s="86">
        <f>AVERAGEIFS($I$2:I11, $B$2:B11, B11)</f>
        <v>1</v>
      </c>
      <c r="AJ11" s="86">
        <f>AVERAGEIFS($J$2:J11, $B$2:B11, B11)</f>
        <v>0.69</v>
      </c>
      <c r="AK11" s="86">
        <f>AVERAGEIFS($D$2:D11, $B$2:B11, B11)</f>
        <v>1</v>
      </c>
    </row>
    <row r="12" spans="1:37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25</v>
      </c>
      <c r="AI12" s="86">
        <f>AVERAGEIFS($I$2:I12, $B$2:B12, B12)</f>
        <v>0.75</v>
      </c>
      <c r="AJ12" s="86">
        <f>AVERAGEIFS($J$2:J12, $B$2:B12, B12)</f>
        <v>0.56000000000000005</v>
      </c>
      <c r="AK12" s="86">
        <f>AVERAGEIFS($D$2:D12, $B$2:B12, B12)</f>
        <v>1</v>
      </c>
    </row>
    <row r="13" spans="1:37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22</v>
      </c>
      <c r="AI13" s="86">
        <f>AVERAGEIFS($I$2:I13, $B$2:B13, B13)</f>
        <v>0.75</v>
      </c>
      <c r="AJ13" s="86">
        <f>AVERAGEIFS($J$2:J13, $B$2:B13, B13)</f>
        <v>0.56000000000000005</v>
      </c>
      <c r="AK13" s="86">
        <f>AVERAGEIFS($D$2:D13, $B$2:B13, B13)</f>
        <v>1</v>
      </c>
    </row>
    <row r="14" spans="1:37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19</v>
      </c>
      <c r="AI14" s="86">
        <f>AVERAGEIFS($I$2:I14, $B$2:B14, B14)</f>
        <v>0.75</v>
      </c>
      <c r="AJ14" s="86">
        <f>AVERAGEIFS($J$2:J14, $B$2:B14, B14)</f>
        <v>0.56000000000000005</v>
      </c>
      <c r="AK14" s="86">
        <f>AVERAGEIFS($D$2:D14, $B$2:B14, B14)</f>
        <v>1</v>
      </c>
    </row>
    <row r="15" spans="1:37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18</v>
      </c>
      <c r="AI15" s="86">
        <f>AVERAGEIFS($I$2:I15, $B$2:B15, B15)</f>
        <v>0.75</v>
      </c>
      <c r="AJ15" s="86">
        <f>AVERAGEIFS($J$2:J15, $B$2:B15, B15)</f>
        <v>0.56000000000000005</v>
      </c>
      <c r="AK15" s="86">
        <f>AVERAGEIFS($D$2:D15, $B$2:B15, B15)</f>
        <v>1</v>
      </c>
    </row>
    <row r="16" spans="1:37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14</v>
      </c>
      <c r="AI16" s="86">
        <f>AVERAGEIFS($I$2:I16, $B$2:B16, B16)</f>
        <v>0.75</v>
      </c>
      <c r="AJ16" s="86">
        <f>AVERAGEIFS($J$2:J16, $B$2:B16, B16)</f>
        <v>0.56000000000000005</v>
      </c>
      <c r="AK16" s="86">
        <f>AVERAGEIFS($D$2:D16, $B$2:B16, B16)</f>
        <v>1</v>
      </c>
    </row>
    <row r="17" spans="1:37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33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25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15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86">
        <f>AVERAGEIFS($C$2:C20, $B$2:B20, B20)</f>
        <v>10</v>
      </c>
      <c r="AI20" s="86">
        <f>AVERAGEIFS($I$2:I20, $B$2:B20, B20)</f>
        <v>0.25</v>
      </c>
      <c r="AJ20" s="86">
        <f>AVERAGEIFS($J$2:J20, $B$2:B20, B20)</f>
        <v>0.44</v>
      </c>
      <c r="AK20" s="86">
        <f>AVERAGEIFS($D$2:D20, $B$2:B20, B20)</f>
        <v>0</v>
      </c>
    </row>
    <row r="21" spans="1:37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86">
        <f>AVERAGEIFS($C$2:C21, $B$2:B21, B21)</f>
        <v>9</v>
      </c>
      <c r="AI21" s="86">
        <f>AVERAGEIFS($I$2:I21, $B$2:B21, B21)</f>
        <v>0.25</v>
      </c>
      <c r="AJ21" s="86">
        <f>AVERAGEIFS($J$2:J21, $B$2:B21, B21)</f>
        <v>0.44</v>
      </c>
      <c r="AK21" s="86">
        <f>AVERAGEIFS($D$2:D21, $B$2:B21, B21)</f>
        <v>0</v>
      </c>
    </row>
    <row r="22" spans="1:37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86">
        <f>AVERAGEIFS($C$2:C22, $B$2:B22, B22)</f>
        <v>21</v>
      </c>
      <c r="AI22" s="86">
        <f>AVERAGEIFS($I$2:I22, $B$2:B22, B22)</f>
        <v>0.75</v>
      </c>
      <c r="AJ22" s="86">
        <f>AVERAGEIFS($J$2:J22, $B$2:B22, B22)</f>
        <v>0.61</v>
      </c>
      <c r="AK22" s="86">
        <f>AVERAGEIFS($D$2:D22, $B$2:B22, B22)</f>
        <v>1</v>
      </c>
    </row>
    <row r="23" spans="1:37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86">
        <f>AVERAGEIFS($C$2:C23, $B$2:B23, B23)</f>
        <v>19</v>
      </c>
      <c r="AI23" s="86">
        <f>AVERAGEIFS($I$2:I23, $B$2:B23, B23)</f>
        <v>0.75</v>
      </c>
      <c r="AJ23" s="86">
        <f>AVERAGEIFS($J$2:J23, $B$2:B23, B23)</f>
        <v>0.58499999999999996</v>
      </c>
      <c r="AK23" s="86">
        <f>AVERAGEIFS($D$2:D23, $B$2:B23, B23)</f>
        <v>1</v>
      </c>
    </row>
    <row r="24" spans="1:37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86">
        <f>AVERAGEIFS($C$2:C24, $B$2:B24, B24)</f>
        <v>13</v>
      </c>
      <c r="AI24" s="86">
        <f>AVERAGEIFS($I$2:I24, $B$2:B24, B24)</f>
        <v>0.375</v>
      </c>
      <c r="AJ24" s="86">
        <f>AVERAGEIFS($J$2:J24, $B$2:B24, B24)</f>
        <v>0.45999999999999996</v>
      </c>
      <c r="AK24" s="86">
        <f>AVERAGEIFS($D$2:D24, $B$2:B24, B24)</f>
        <v>0.5</v>
      </c>
    </row>
    <row r="25" spans="1:37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86">
        <f>AVERAGEIFS($C$2:C25, $B$2:B25, B25)</f>
        <v>19.5</v>
      </c>
      <c r="AI25" s="86">
        <f>AVERAGEIFS($I$2:I25, $B$2:B25, B25)</f>
        <v>0.75</v>
      </c>
      <c r="AJ25" s="86">
        <f>AVERAGEIFS($J$2:J25, $B$2:B25, B25)</f>
        <v>0.58499999999999996</v>
      </c>
      <c r="AK25" s="86">
        <f>AVERAGEIFS($D$2:D25, $B$2:B25, B25)</f>
        <v>1</v>
      </c>
    </row>
    <row r="26" spans="1:37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86">
        <f>AVERAGEIFS($C$2:C26, $B$2:B26, B26)</f>
        <v>21</v>
      </c>
      <c r="AI26" s="86">
        <f>AVERAGEIFS($I$2:I26, $B$2:B26, B26)</f>
        <v>0.75</v>
      </c>
      <c r="AJ26" s="86">
        <f>AVERAGEIFS($J$2:J26, $B$2:B26, B26)</f>
        <v>0.58499999999999996</v>
      </c>
      <c r="AK26" s="86">
        <f>AVERAGEIFS($D$2:D26, $B$2:B26, B26)</f>
        <v>1</v>
      </c>
    </row>
    <row r="27" spans="1:37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86">
        <f>AVERAGEIFS($C$2:C27, $B$2:B27, B27)</f>
        <v>12</v>
      </c>
      <c r="AI27" s="86">
        <f>AVERAGEIFS($I$2:I27, $B$2:B27, B27)</f>
        <v>0.375</v>
      </c>
      <c r="AJ27" s="86">
        <f>AVERAGEIFS($J$2:J27, $B$2:B27, B27)</f>
        <v>0.45999999999999996</v>
      </c>
      <c r="AK27" s="86">
        <f>AVERAGEIFS($D$2:D27, $B$2:B27, B27)</f>
        <v>0.5</v>
      </c>
    </row>
    <row r="28" spans="1:37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23</v>
      </c>
      <c r="AI28" s="86">
        <f>AVERAGEIFS($I$2:I28, $B$2:B28, B28)</f>
        <v>0.125</v>
      </c>
      <c r="AJ28" s="86">
        <f>AVERAGEIFS($J$2:J28, $B$2:B28, B28)</f>
        <v>0.35</v>
      </c>
      <c r="AK28" s="86">
        <f>AVERAGEIFS($D$2:D28, $B$2:B28, B28)</f>
        <v>0</v>
      </c>
    </row>
    <row r="29" spans="1:37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19</v>
      </c>
      <c r="AI29" s="86">
        <f>AVERAGEIFS($I$2:I29, $B$2:B29, B29)</f>
        <v>0.5</v>
      </c>
      <c r="AJ29" s="86">
        <f>AVERAGEIFS($J$2:J29, $B$2:B29, B29)</f>
        <v>0.47500000000000003</v>
      </c>
      <c r="AK29" s="86">
        <f>AVERAGEIFS($D$2:D29, $B$2:B29, B29)</f>
        <v>0.5</v>
      </c>
    </row>
    <row r="30" spans="1:37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17</v>
      </c>
      <c r="AI30" s="86">
        <f>AVERAGEIFS($I$2:I30, $B$2:B30, B30)</f>
        <v>0.625</v>
      </c>
      <c r="AJ30" s="86">
        <f>AVERAGEIFS($J$2:J30, $B$2:B30, B30)</f>
        <v>0.54</v>
      </c>
      <c r="AK30" s="86">
        <f>AVERAGEIFS($D$2:D30, $B$2:B30, B30)</f>
        <v>0.5</v>
      </c>
    </row>
    <row r="31" spans="1:37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14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8.5</v>
      </c>
      <c r="AI32" s="86">
        <f>AVERAGEIFS($I$2:I32, $B$2:B32, B32)</f>
        <v>0.25</v>
      </c>
      <c r="AJ32" s="86">
        <f>AVERAGEIFS($J$2:J32, $B$2:B32, B32)</f>
        <v>0.41500000000000004</v>
      </c>
      <c r="AK32" s="86">
        <f>AVERAGEIFS($D$2:D32, $B$2:B32, B32)</f>
        <v>0</v>
      </c>
    </row>
    <row r="33" spans="1:37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6</v>
      </c>
      <c r="AI33" s="86">
        <f>AVERAGEIFS($I$2:I33, $B$2:B33, B33)</f>
        <v>0.125</v>
      </c>
      <c r="AJ33" s="86">
        <f>AVERAGEIFS($J$2:J33, $B$2:B33, B33)</f>
        <v>0.35</v>
      </c>
      <c r="AK33" s="86">
        <f>AVERAGEIFS($D$2:D33, $B$2:B33, B33)</f>
        <v>0</v>
      </c>
    </row>
    <row r="34" spans="1:37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3</v>
      </c>
      <c r="AI34" s="86">
        <f>AVERAGEIFS($I$2:I34, $B$2:B34, B34)</f>
        <v>0.25</v>
      </c>
      <c r="AJ34" s="86">
        <f>AVERAGEIFS($J$2:J34, $B$2:B34, B34)</f>
        <v>0.39</v>
      </c>
      <c r="AK34" s="86">
        <f>AVERAGEIFS($D$2:D34, $B$2:B34, B34)</f>
        <v>0</v>
      </c>
    </row>
    <row r="35" spans="1:37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86">
        <f>AVERAGEIFS($C$2:C35, $B$2:B35, B35)</f>
        <v>22</v>
      </c>
      <c r="AI35" s="86">
        <f>AVERAGEIFS($I$2:I35, $B$2:B35, B35)</f>
        <v>0.70000000000000007</v>
      </c>
      <c r="AJ35" s="86">
        <f>AVERAGEIFS($J$2:J35, $B$2:B35, B35)</f>
        <v>0.59</v>
      </c>
      <c r="AK35" s="86">
        <f>AVERAGEIFS($D$2:D35, $B$2:B35, B35)</f>
        <v>1</v>
      </c>
    </row>
    <row r="36" spans="1:37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86">
        <f>AVERAGEIFS($C$2:C36, $B$2:B36, B36)</f>
        <v>18.666666666666668</v>
      </c>
      <c r="AI36" s="86">
        <f>AVERAGEIFS($I$2:I36, $B$2:B36, B36)</f>
        <v>0.70000000000000007</v>
      </c>
      <c r="AJ36" s="86">
        <f>AVERAGEIFS($J$2:J36, $B$2:B36, B36)</f>
        <v>0.59</v>
      </c>
      <c r="AK36" s="86">
        <f>AVERAGEIFS($D$2:D36, $B$2:B36, B36)</f>
        <v>1</v>
      </c>
    </row>
    <row r="37" spans="1:37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86">
        <f>AVERAGEIFS($C$2:C37, $B$2:B37, B37)</f>
        <v>16</v>
      </c>
      <c r="AI37" s="86">
        <f>AVERAGEIFS($I$2:I37, $B$2:B37, B37)</f>
        <v>0.8</v>
      </c>
      <c r="AJ37" s="86">
        <f>AVERAGEIFS($J$2:J37, $B$2:B37, B37)</f>
        <v>0.64500000000000002</v>
      </c>
      <c r="AK37" s="86">
        <f>AVERAGEIFS($D$2:D37, $B$2:B37, B37)</f>
        <v>1</v>
      </c>
    </row>
    <row r="38" spans="1:37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86">
        <f>AVERAGEIFS($C$2:C38, $B$2:B38, B38)</f>
        <v>20.5</v>
      </c>
      <c r="AI38" s="86">
        <f>AVERAGEIFS($I$2:I38, $B$2:B38, B38)</f>
        <v>0.8</v>
      </c>
      <c r="AJ38" s="86">
        <f>AVERAGEIFS($J$2:J38, $B$2:B38, B38)</f>
        <v>0.64500000000000002</v>
      </c>
      <c r="AK38" s="86">
        <f>AVERAGEIFS($D$2:D38, $B$2:B38, B38)</f>
        <v>1</v>
      </c>
    </row>
    <row r="39" spans="1:37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86">
        <f>AVERAGEIFS($C$2:C39, $B$2:B39, B39)</f>
        <v>18.333333333333332</v>
      </c>
      <c r="AI39" s="86">
        <f>AVERAGEIFS($I$2:I39, $B$2:B39, B39)</f>
        <v>0.53333333333333333</v>
      </c>
      <c r="AJ39" s="86">
        <f>AVERAGEIFS($J$2:J39, $B$2:B39, B39)</f>
        <v>0.51666666666666672</v>
      </c>
      <c r="AK39" s="86">
        <f>AVERAGEIFS($D$2:D39, $B$2:B39, B39)</f>
        <v>0.66666666666666663</v>
      </c>
    </row>
    <row r="40" spans="1:37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86">
        <f>AVERAGEIFS($C$2:C40, $B$2:B40, B40)</f>
        <v>7.5</v>
      </c>
      <c r="AI40" s="86">
        <f>AVERAGEIFS($I$2:I40, $B$2:B40, B40)</f>
        <v>0.3</v>
      </c>
      <c r="AJ40" s="86">
        <f>AVERAGEIFS($J$2:J40, $B$2:B40, B40)</f>
        <v>0.45499999999999996</v>
      </c>
      <c r="AK40" s="86">
        <f>AVERAGEIFS($D$2:D40, $B$2:B40, B40)</f>
        <v>0.5</v>
      </c>
    </row>
    <row r="41" spans="1:37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86">
        <f>AVERAGEIFS($C$2:C41, $B$2:B41, B41)</f>
        <v>22.666666666666668</v>
      </c>
      <c r="AI41" s="86">
        <f>AVERAGEIFS($I$2:I41, $B$2:B41, B41)</f>
        <v>0.21666666666666667</v>
      </c>
      <c r="AJ41" s="86">
        <f>AVERAGEIFS($J$2:J41, $B$2:B41, B41)</f>
        <v>0.3666666666666667</v>
      </c>
      <c r="AK41" s="86">
        <f>AVERAGEIFS($D$2:D41, $B$2:B41, B41)</f>
        <v>0</v>
      </c>
    </row>
    <row r="42" spans="1:37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86">
        <f>AVERAGEIFS($C$2:C42, $B$2:B42, B42)</f>
        <v>16</v>
      </c>
      <c r="AI42" s="86">
        <f>AVERAGEIFS($I$2:I42, $B$2:B42, B42)</f>
        <v>0.3833333333333333</v>
      </c>
      <c r="AJ42" s="86">
        <f>AVERAGEIFS($J$2:J42, $B$2:B42, B42)</f>
        <v>0.43999999999999995</v>
      </c>
      <c r="AK42" s="86">
        <f>AVERAGEIFS($D$2:D42, $B$2:B42, B42)</f>
        <v>0.33333333333333331</v>
      </c>
    </row>
    <row r="43" spans="1:37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86">
        <f>AVERAGEIFS($C$2:C43, $B$2:B43, B43)</f>
        <v>8.3333333333333339</v>
      </c>
      <c r="AI43" s="86">
        <f>AVERAGEIFS($I$2:I43, $B$2:B43, B43)</f>
        <v>0.3</v>
      </c>
      <c r="AJ43" s="86">
        <f>AVERAGEIFS($J$2:J43, $B$2:B43, B43)</f>
        <v>0.41</v>
      </c>
      <c r="AK43" s="86">
        <f>AVERAGEIFS($D$2:D43, $B$2:B43, B43)</f>
        <v>0</v>
      </c>
    </row>
    <row r="44" spans="1:37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11.666666666666666</v>
      </c>
      <c r="AI44" s="86">
        <f>AVERAGEIFS($I$2:I44, $B$2:B44, B44)</f>
        <v>0.21666666666666667</v>
      </c>
      <c r="AJ44" s="86">
        <f>AVERAGEIFS($J$2:J44, $B$2:B44, B44)</f>
        <v>0.3666666666666667</v>
      </c>
      <c r="AK44" s="86">
        <f>AVERAGEIFS($D$2:D44, $B$2:B44, B44)</f>
        <v>0</v>
      </c>
    </row>
    <row r="45" spans="1:37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11</v>
      </c>
      <c r="AI45" s="86">
        <f>AVERAGEIFS($I$2:I45, $B$2:B45, B45)</f>
        <v>0.7</v>
      </c>
      <c r="AJ45" s="86">
        <f>AVERAGEIFS($J$2:J45, $B$2:B45, B45)</f>
        <v>0.54499999999999993</v>
      </c>
      <c r="AK45" s="86">
        <f>AVERAGEIFS($D$2:D45, $B$2:B45, B45)</f>
        <v>0.5</v>
      </c>
    </row>
    <row r="46" spans="1:37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23</v>
      </c>
      <c r="AI46" s="86">
        <f>AVERAGEIFS($I$2:I46, $B$2:B46, B46)</f>
        <v>0.32500000000000001</v>
      </c>
      <c r="AJ46" s="86">
        <f>AVERAGEIFS($J$2:J46, $B$2:B46, B46)</f>
        <v>0.42000000000000004</v>
      </c>
      <c r="AK46" s="86">
        <f>AVERAGEIFS($D$2:D46, $B$2:B46, B46)</f>
        <v>0</v>
      </c>
    </row>
    <row r="47" spans="1:37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24</v>
      </c>
      <c r="AI47" s="86">
        <f>AVERAGEIFS($I$2:I47, $B$2:B47, B47)</f>
        <v>0.625</v>
      </c>
      <c r="AJ47" s="86">
        <f>AVERAGEIFS($J$2:J47, $B$2:B47, B47)</f>
        <v>0.67</v>
      </c>
      <c r="AK47" s="86">
        <f>AVERAGEIFS($D$2:D47, $B$2:B47, B47)</f>
        <v>0.5</v>
      </c>
    </row>
    <row r="48" spans="1:37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16</v>
      </c>
      <c r="AI48" s="86">
        <f>AVERAGEIFS($I$2:I48, $B$2:B48, B48)</f>
        <v>1</v>
      </c>
      <c r="AJ48" s="86">
        <f>AVERAGEIFS($J$2:J48, $B$2:B48, B48)</f>
        <v>0.79499999999999993</v>
      </c>
      <c r="AK48" s="86">
        <f>AVERAGEIFS($D$2:D48, $B$2:B48, B48)</f>
        <v>1</v>
      </c>
    </row>
    <row r="49" spans="1:37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13.5</v>
      </c>
      <c r="AI49" s="86">
        <f>AVERAGEIFS($I$2:I49, $B$2:B49, B49)</f>
        <v>0.625</v>
      </c>
      <c r="AJ49" s="86">
        <f>AVERAGEIFS($J$2:J49, $B$2:B49, B49)</f>
        <v>0.67</v>
      </c>
      <c r="AK49" s="86">
        <f>AVERAGEIFS($D$2:D49, $B$2:B49, B49)</f>
        <v>0.5</v>
      </c>
    </row>
    <row r="50" spans="1:37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16.333333333333332</v>
      </c>
      <c r="AI50" s="86">
        <f>AVERAGEIFS($I$2:I50, $B$2:B50, B50)</f>
        <v>0.83333333333333337</v>
      </c>
      <c r="AJ50" s="86">
        <f>AVERAGEIFS($J$2:J50, $B$2:B50, B50)</f>
        <v>0.69</v>
      </c>
      <c r="AK50" s="86">
        <f>AVERAGEIFS($D$2:D50, $B$2:B50, B50)</f>
        <v>1</v>
      </c>
    </row>
    <row r="51" spans="1:37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17.5</v>
      </c>
      <c r="AI51" s="86">
        <f>AVERAGEIFS($I$2:I51, $B$2:B51, B51)</f>
        <v>0.875</v>
      </c>
      <c r="AJ51" s="86">
        <f>AVERAGEIFS($J$2:J51, $B$2:B51, B51)</f>
        <v>0.755</v>
      </c>
      <c r="AK51" s="86">
        <f>AVERAGEIFS($D$2:D51, $B$2:B51, B51)</f>
        <v>1</v>
      </c>
    </row>
    <row r="52" spans="1:37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16.666666666666668</v>
      </c>
      <c r="AI52" s="86">
        <f>AVERAGEIFS($I$2:I52, $B$2:B52, B52)</f>
        <v>0.8666666666666667</v>
      </c>
      <c r="AJ52" s="86">
        <f>AVERAGEIFS($J$2:J52, $B$2:B52, B52)</f>
        <v>0.73</v>
      </c>
      <c r="AK52" s="86">
        <f>AVERAGEIFS($D$2:D52, $B$2:B52, B52)</f>
        <v>1</v>
      </c>
    </row>
    <row r="53" spans="1:37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86">
        <f>AVERAGEIFS($C$2:C53, $B$2:B53, B53)</f>
        <v>19</v>
      </c>
      <c r="AI53" s="86">
        <f>AVERAGEIFS($I$2:I53, $B$2:B53, B53)</f>
        <v>0.52500000000000002</v>
      </c>
      <c r="AJ53" s="86">
        <f>AVERAGEIFS($J$2:J53, $B$2:B53, B53)</f>
        <v>0.46750000000000003</v>
      </c>
      <c r="AK53" s="86">
        <f>AVERAGEIFS($D$2:D53, $B$2:B53, B53)</f>
        <v>0.75</v>
      </c>
    </row>
    <row r="54" spans="1:37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86">
        <f>AVERAGEIFS($C$2:C54, $B$2:B54, B54)</f>
        <v>4</v>
      </c>
      <c r="AI54" s="86">
        <f>AVERAGEIFS($I$2:I54, $B$2:B54, B54)</f>
        <v>0</v>
      </c>
      <c r="AJ54" s="86">
        <f>AVERAGEIFS($J$2:J54, $B$2:B54, B54)</f>
        <v>0.1</v>
      </c>
      <c r="AK54" s="86">
        <f>AVERAGEIFS($D$2:D54, $B$2:B54, B54)</f>
        <v>0</v>
      </c>
    </row>
    <row r="55" spans="1:37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86">
        <f>AVERAGEIFS($C$2:C55, $B$2:B55, B55)</f>
        <v>13.5</v>
      </c>
      <c r="AI55" s="86">
        <f>AVERAGEIFS($I$2:I55, $B$2:B55, B55)</f>
        <v>0.125</v>
      </c>
      <c r="AJ55" s="86">
        <f>AVERAGEIFS($J$2:J55, $B$2:B55, B55)</f>
        <v>0.245</v>
      </c>
      <c r="AK55" s="86">
        <f>AVERAGEIFS($D$2:D55, $B$2:B55, B55)</f>
        <v>0</v>
      </c>
    </row>
    <row r="56" spans="1:37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86">
        <f>AVERAGEIFS($C$2:C56, $B$2:B56, B56)</f>
        <v>9</v>
      </c>
      <c r="AI56" s="86">
        <f>AVERAGEIFS($I$2:I56, $B$2:B56, B56)</f>
        <v>0</v>
      </c>
      <c r="AJ56" s="86">
        <f>AVERAGEIFS($J$2:J56, $B$2:B56, B56)</f>
        <v>0.1</v>
      </c>
      <c r="AK56" s="86">
        <f>AVERAGEIFS($D$2:D56, $B$2:B56, B56)</f>
        <v>0</v>
      </c>
    </row>
    <row r="57" spans="1:37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86">
        <f>AVERAGEIFS($C$2:C57, $B$2:B57, B57)</f>
        <v>16.5</v>
      </c>
      <c r="AI57" s="86">
        <f>AVERAGEIFS($I$2:I57, $B$2:B57, B57)</f>
        <v>0.52500000000000002</v>
      </c>
      <c r="AJ57" s="86">
        <f>AVERAGEIFS($J$2:J57, $B$2:B57, B57)</f>
        <v>0.46750000000000003</v>
      </c>
      <c r="AK57" s="86">
        <f>AVERAGEIFS($D$2:D57, $B$2:B57, B57)</f>
        <v>0.75</v>
      </c>
    </row>
    <row r="58" spans="1:37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86">
        <f>AVERAGEIFS($C$2:C58, $B$2:B58, B58)</f>
        <v>15</v>
      </c>
      <c r="AI58" s="86">
        <f>AVERAGEIFS($I$2:I58, $B$2:B58, B58)</f>
        <v>0.28749999999999998</v>
      </c>
      <c r="AJ58" s="86">
        <f>AVERAGEIFS($J$2:J58, $B$2:B58, B58)</f>
        <v>0.35499999999999998</v>
      </c>
      <c r="AK58" s="86">
        <f>AVERAGEIFS($D$2:D58, $B$2:B58, B58)</f>
        <v>0.25</v>
      </c>
    </row>
    <row r="59" spans="1:37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26.333333333333332</v>
      </c>
      <c r="AI59" s="86">
        <f>AVERAGEIFS($I$2:I59, $B$2:B59, B59)</f>
        <v>0.73333333333333339</v>
      </c>
      <c r="AJ59" s="86">
        <f>AVERAGEIFS($J$2:J59, $B$2:B59, B59)</f>
        <v>0.59666666666666668</v>
      </c>
      <c r="AK59" s="86">
        <f>AVERAGEIFS($D$2:D59, $B$2:B59, B59)</f>
        <v>1</v>
      </c>
    </row>
    <row r="60" spans="1:37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28.666666666666668</v>
      </c>
      <c r="AI60" s="86">
        <f>AVERAGEIFS($I$2:I60, $B$2:B60, B60)</f>
        <v>0.41666666666666669</v>
      </c>
      <c r="AJ60" s="86">
        <f>AVERAGEIFS($J$2:J60, $B$2:B60, B60)</f>
        <v>0.44666666666666671</v>
      </c>
      <c r="AK60" s="86">
        <f>AVERAGEIFS($D$2:D60, $B$2:B60, B60)</f>
        <v>0.33333333333333331</v>
      </c>
    </row>
    <row r="61" spans="1:37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19.75</v>
      </c>
      <c r="AI61" s="86">
        <f>AVERAGEIFS($I$2:I61, $B$2:B61, B61)</f>
        <v>0.55000000000000004</v>
      </c>
      <c r="AJ61" s="86">
        <f>AVERAGEIFS($J$2:J61, $B$2:B61, B61)</f>
        <v>0.51249999999999996</v>
      </c>
      <c r="AK61" s="86">
        <f>AVERAGEIFS($D$2:D61, $B$2:B61, B61)</f>
        <v>0.75</v>
      </c>
    </row>
    <row r="62" spans="1:37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17.75</v>
      </c>
      <c r="AI62" s="86">
        <f>AVERAGEIFS($I$2:I62, $B$2:B62, B62)</f>
        <v>0.8</v>
      </c>
      <c r="AJ62" s="86">
        <f>AVERAGEIFS($J$2:J62, $B$2:B62, B62)</f>
        <v>0.67249999999999999</v>
      </c>
      <c r="AK62" s="86">
        <f>AVERAGEIFS($D$2:D62, $B$2:B62, B62)</f>
        <v>1</v>
      </c>
    </row>
    <row r="63" spans="1:37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19</v>
      </c>
      <c r="AI63" s="86">
        <f>AVERAGEIFS($I$2:I63, $B$2:B63, B63)</f>
        <v>0.6</v>
      </c>
      <c r="AJ63" s="86">
        <f>AVERAGEIFS($J$2:J63, $B$2:B63, B63)</f>
        <v>0.5</v>
      </c>
      <c r="AK63" s="86">
        <f>AVERAGEIFS($D$2:D63, $B$2:B63, B63)</f>
        <v>1</v>
      </c>
    </row>
    <row r="64" spans="1:37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13.333333333333334</v>
      </c>
      <c r="AI64" s="86">
        <f>AVERAGEIFS($I$2:I64, $B$2:B64, B64)</f>
        <v>0.28333333333333333</v>
      </c>
      <c r="AJ64" s="86">
        <f>AVERAGEIFS($J$2:J64, $B$2:B64, B64)</f>
        <v>0.33</v>
      </c>
      <c r="AK64" s="86">
        <f>AVERAGEIFS($D$2:D64, $B$2:B64, B64)</f>
        <v>0.33333333333333331</v>
      </c>
    </row>
    <row r="65" spans="1:37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86">
        <f>AVERAGEIFS($C$2:C65, $B$2:B65, B65)</f>
        <v>8.25</v>
      </c>
      <c r="AI65" s="86">
        <f>AVERAGEIFS($I$2:I65, $B$2:B65, B65)</f>
        <v>0.32500000000000001</v>
      </c>
      <c r="AJ65" s="86">
        <f>AVERAGEIFS($J$2:J65, $B$2:B65, B65)</f>
        <v>0.4325</v>
      </c>
      <c r="AK65" s="86">
        <f>AVERAGEIFS($D$2:D65, $B$2:B65, B65)</f>
        <v>0</v>
      </c>
    </row>
    <row r="66" spans="1:37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86">
        <f>AVERAGEIFS($C$2:C66, $B$2:B66, B66)</f>
        <v>21.4</v>
      </c>
      <c r="AI66" s="86">
        <f>AVERAGEIFS($I$2:I66, $B$2:B66, B66)</f>
        <v>0.5</v>
      </c>
      <c r="AJ66" s="86">
        <f>AVERAGEIFS($J$2:J66, $B$2:B66, B66)</f>
        <v>0.47400000000000003</v>
      </c>
      <c r="AK66" s="86">
        <f>AVERAGEIFS($D$2:D66, $B$2:B66, B66)</f>
        <v>0.6</v>
      </c>
    </row>
    <row r="67" spans="1:37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86">
        <f>AVERAGEIFS($C$2:C67, $B$2:B67, B67)</f>
        <v>13.333333333333334</v>
      </c>
      <c r="AI67" s="86">
        <f>AVERAGEIFS($I$2:I67, $B$2:B67, B67)</f>
        <v>0.54999999999999993</v>
      </c>
      <c r="AJ67" s="86">
        <f>AVERAGEIFS($J$2:J67, $B$2:B67, B67)</f>
        <v>0.6133333333333334</v>
      </c>
      <c r="AK67" s="86">
        <f>AVERAGEIFS($D$2:D67, $B$2:B67, B67)</f>
        <v>0.33333333333333331</v>
      </c>
    </row>
    <row r="68" spans="1:37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86">
        <f>AVERAGEIFS($C$2:C68, $B$2:B68, B68)</f>
        <v>17.25</v>
      </c>
      <c r="AI68" s="86">
        <f>AVERAGEIFS($I$2:I68, $B$2:B68, B68)</f>
        <v>0.26250000000000001</v>
      </c>
      <c r="AJ68" s="86">
        <f>AVERAGEIFS($J$2:J68, $B$2:B68, B68)</f>
        <v>0.4</v>
      </c>
      <c r="AK68" s="86">
        <f>AVERAGEIFS($D$2:D68, $B$2:B68, B68)</f>
        <v>0</v>
      </c>
    </row>
    <row r="69" spans="1:37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86">
        <f>AVERAGEIFS($C$2:C69, $B$2:B69, B69)</f>
        <v>16.333333333333332</v>
      </c>
      <c r="AI69" s="86">
        <f>AVERAGEIFS($I$2:I69, $B$2:B69, B69)</f>
        <v>0.6</v>
      </c>
      <c r="AJ69" s="86">
        <f>AVERAGEIFS($J$2:J69, $B$2:B69, B69)</f>
        <v>0.52999999999999992</v>
      </c>
      <c r="AK69" s="86">
        <f>AVERAGEIFS($D$2:D69, $B$2:B69, B69)</f>
        <v>0.33333333333333331</v>
      </c>
    </row>
    <row r="70" spans="1:37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86">
        <f>AVERAGEIFS($C$2:C70, $B$2:B70, B70)</f>
        <v>20.6</v>
      </c>
      <c r="AI70" s="86">
        <f>AVERAGEIFS($I$2:I70, $B$2:B70, B70)</f>
        <v>0.5</v>
      </c>
      <c r="AJ70" s="86">
        <f>AVERAGEIFS($J$2:J70, $B$2:B70, B70)</f>
        <v>0.47400000000000003</v>
      </c>
      <c r="AK70" s="86">
        <f>AVERAGEIFS($D$2:D70, $B$2:B70, B70)</f>
        <v>0.6</v>
      </c>
    </row>
    <row r="71" spans="1:37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86">
        <f>AVERAGEIFS($C$2:C71, $B$2:B71, B71)</f>
        <v>21.666666666666668</v>
      </c>
      <c r="AI71" s="86">
        <f>AVERAGEIFS($I$2:I71, $B$2:B71, B71)</f>
        <v>0.54999999999999993</v>
      </c>
      <c r="AJ71" s="86">
        <f>AVERAGEIFS($J$2:J71, $B$2:B71, B71)</f>
        <v>0.6133333333333334</v>
      </c>
      <c r="AK71" s="86">
        <f>AVERAGEIFS($D$2:D71, $B$2:B71, B71)</f>
        <v>0.33333333333333331</v>
      </c>
    </row>
    <row r="72" spans="1:37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86">
        <f>AVERAGEIFS($C$2:C72, $B$2:B72, B72)</f>
        <v>24</v>
      </c>
      <c r="AI72" s="86">
        <f>AVERAGEIFS($I$2:I72, $B$2:B72, B72)</f>
        <v>0.35</v>
      </c>
      <c r="AJ72" s="86">
        <f>AVERAGEIFS($J$2:J72, $B$2:B72, B72)</f>
        <v>0.42749999999999999</v>
      </c>
      <c r="AK72" s="86">
        <f>AVERAGEIFS($D$2:D72, $B$2:B72, B72)</f>
        <v>0.25</v>
      </c>
    </row>
    <row r="73" spans="1:37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86">
        <f>AVERAGEIFS($C$2:C73, $B$2:B73, B73)</f>
        <v>18.75</v>
      </c>
      <c r="AI73" s="86">
        <f>AVERAGEIFS($I$2:I73, $B$2:B73, B73)</f>
        <v>0.8125</v>
      </c>
      <c r="AJ73" s="86">
        <f>AVERAGEIFS($J$2:J73, $B$2:B73, B73)</f>
        <v>0.66999999999999993</v>
      </c>
      <c r="AK73" s="86">
        <f>AVERAGEIFS($D$2:D73, $B$2:B73, B73)</f>
        <v>1</v>
      </c>
    </row>
    <row r="74" spans="1:37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86">
        <f>AVERAGEIFS($C$2:C74, $B$2:B74, B74)</f>
        <v>26.25</v>
      </c>
      <c r="AI74" s="86">
        <f>AVERAGEIFS($I$2:I74, $B$2:B74, B74)</f>
        <v>0.73750000000000004</v>
      </c>
      <c r="AJ74" s="86">
        <f>AVERAGEIFS($J$2:J74, $B$2:B74, B74)</f>
        <v>0.6</v>
      </c>
      <c r="AK74" s="86">
        <f>AVERAGEIFS($D$2:D74, $B$2:B74, B74)</f>
        <v>1</v>
      </c>
    </row>
    <row r="75" spans="1:37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86">
        <f>AVERAGEIFS($C$2:C75, $B$2:B75, B75)</f>
        <v>20.5</v>
      </c>
      <c r="AI75" s="86">
        <f>AVERAGEIFS($I$2:I75, $B$2:B75, B75)</f>
        <v>0.6</v>
      </c>
      <c r="AJ75" s="86">
        <f>AVERAGEIFS($J$2:J75, $B$2:B75, B75)</f>
        <v>0.61250000000000004</v>
      </c>
      <c r="AK75" s="86">
        <f>AVERAGEIFS($D$2:D75, $B$2:B75, B75)</f>
        <v>0.5</v>
      </c>
    </row>
    <row r="76" spans="1:37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86">
        <f>AVERAGEIFS($C$2:C76, $B$2:B76, B76)</f>
        <v>10</v>
      </c>
      <c r="AI76" s="86">
        <f>AVERAGEIFS($I$2:I76, $B$2:B76, B76)</f>
        <v>0.41</v>
      </c>
      <c r="AJ76" s="86">
        <f>AVERAGEIFS($J$2:J76, $B$2:B76, B76)</f>
        <v>0.46799999999999997</v>
      </c>
      <c r="AK76" s="86">
        <f>AVERAGEIFS($D$2:D76, $B$2:B76, B76)</f>
        <v>0.2</v>
      </c>
    </row>
    <row r="77" spans="1:37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86">
        <f>AVERAGEIFS($C$2:C77, $B$2:B77, B77)</f>
        <v>16.666666666666668</v>
      </c>
      <c r="AI77" s="86">
        <f>AVERAGEIFS($I$2:I77, $B$2:B77, B77)</f>
        <v>0.66666666666666663</v>
      </c>
      <c r="AJ77" s="86">
        <f>AVERAGEIFS($J$2:J77, $B$2:B77, B77)</f>
        <v>0.56333333333333335</v>
      </c>
      <c r="AK77" s="86">
        <f>AVERAGEIFS($D$2:D77, $B$2:B77, B77)</f>
        <v>0.66666666666666663</v>
      </c>
    </row>
    <row r="78" spans="1:37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86">
        <f>AVERAGEIFS($C$2:C78, $B$2:B78, B78)</f>
        <v>15</v>
      </c>
      <c r="AI78" s="86">
        <f>AVERAGEIFS($I$2:I78, $B$2:B78, B78)</f>
        <v>0.38</v>
      </c>
      <c r="AJ78" s="86">
        <f>AVERAGEIFS($J$2:J78, $B$2:B78, B78)</f>
        <v>0.40599999999999997</v>
      </c>
      <c r="AK78" s="86">
        <f>AVERAGEIFS($D$2:D78, $B$2:B78, B78)</f>
        <v>0.4</v>
      </c>
    </row>
    <row r="79" spans="1:37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86">
        <f>AVERAGEIFS($C$2:C79, $B$2:B79, B79)</f>
        <v>4</v>
      </c>
      <c r="AI79" s="86">
        <f>AVERAGEIFS($I$2:I79, $B$2:B79, B79)</f>
        <v>0.75</v>
      </c>
      <c r="AJ79" s="86">
        <f>AVERAGEIFS($J$2:J79, $B$2:B79, B79)</f>
        <v>0.61</v>
      </c>
      <c r="AK79" s="86">
        <f>AVERAGEIFS($D$2:D79, $B$2:B79, B79)</f>
        <v>1</v>
      </c>
    </row>
    <row r="80" spans="1:37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86">
        <f>AVERAGEIFS($C$2:C80, $B$2:B80, B80)</f>
        <v>22.666666666666668</v>
      </c>
      <c r="AI80" s="86">
        <f>AVERAGEIFS($I$2:I80, $B$2:B80, B80)</f>
        <v>0.45833333333333331</v>
      </c>
      <c r="AJ80" s="86">
        <f>AVERAGEIFS($J$2:J80, $B$2:B80, B80)</f>
        <v>0.46</v>
      </c>
      <c r="AK80" s="86">
        <f>AVERAGEIFS($D$2:D80, $B$2:B80, B80)</f>
        <v>0.5</v>
      </c>
    </row>
    <row r="81" spans="1:37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86">
        <f>AVERAGEIFS($C$2:C81, $B$2:B81, B81)</f>
        <v>18.8</v>
      </c>
      <c r="AI81" s="86">
        <f>AVERAGEIFS($I$2:I81, $B$2:B81, B81)</f>
        <v>0.69000000000000006</v>
      </c>
      <c r="AJ81" s="86">
        <f>AVERAGEIFS($J$2:J81, $B$2:B81, B81)</f>
        <v>0.61599999999999999</v>
      </c>
      <c r="AK81" s="86">
        <f>AVERAGEIFS($D$2:D81, $B$2:B81, B81)</f>
        <v>0.8</v>
      </c>
    </row>
    <row r="82" spans="1:37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86">
        <f>AVERAGEIFS($C$2:C82, $B$2:B82, B82)</f>
        <v>19</v>
      </c>
      <c r="AI82" s="86">
        <f>AVERAGEIFS($I$2:I82, $B$2:B82, B82)</f>
        <v>0.42499999999999999</v>
      </c>
      <c r="AJ82" s="86">
        <f>AVERAGEIFS($J$2:J82, $B$2:B82, B82)</f>
        <v>0.44500000000000001</v>
      </c>
      <c r="AK82" s="86">
        <f>AVERAGEIFS($D$2:D82, $B$2:B82, B82)</f>
        <v>0.5</v>
      </c>
    </row>
    <row r="83" spans="1:37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20</v>
      </c>
      <c r="AI83" s="86">
        <f>AVERAGEIFS($I$2:I83, $B$2:B83, B83)</f>
        <v>0.45833333333333331</v>
      </c>
      <c r="AJ83" s="86">
        <f>AVERAGEIFS($J$2:J83, $B$2:B83, B83)</f>
        <v>0.46</v>
      </c>
      <c r="AK83" s="86">
        <f>AVERAGEIFS($D$2:D83, $B$2:B83, B83)</f>
        <v>0.5</v>
      </c>
    </row>
    <row r="84" spans="1:37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25</v>
      </c>
      <c r="AI84" s="86">
        <f>AVERAGEIFS($I$2:I84, $B$2:B84, B84)</f>
        <v>0.375</v>
      </c>
      <c r="AJ84" s="86">
        <f>AVERAGEIFS($J$2:J84, $B$2:B84, B84)</f>
        <v>0.4325</v>
      </c>
      <c r="AK84" s="86">
        <f>AVERAGEIFS($D$2:D84, $B$2:B84, B84)</f>
        <v>0.25</v>
      </c>
    </row>
    <row r="85" spans="1:37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18.600000000000001</v>
      </c>
      <c r="AI85" s="86">
        <f>AVERAGEIFS($I$2:I85, $B$2:B85, B85)</f>
        <v>0.49000000000000005</v>
      </c>
      <c r="AJ85" s="86">
        <f>AVERAGEIFS($J$2:J85, $B$2:B85, B85)</f>
        <v>0.48799999999999999</v>
      </c>
      <c r="AK85" s="86">
        <f>AVERAGEIFS($D$2:D85, $B$2:B85, B85)</f>
        <v>0.6</v>
      </c>
    </row>
    <row r="86" spans="1:37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15.5</v>
      </c>
      <c r="AI86" s="86">
        <f>AVERAGEIFS($I$2:I86, $B$2:B86, B86)</f>
        <v>0.51249999999999996</v>
      </c>
      <c r="AJ86" s="86">
        <f>AVERAGEIFS($J$2:J86, $B$2:B86, B86)</f>
        <v>0.495</v>
      </c>
      <c r="AK86" s="86">
        <f>AVERAGEIFS($D$2:D86, $B$2:B86, B86)</f>
        <v>0.25</v>
      </c>
    </row>
    <row r="87" spans="1:37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10.5</v>
      </c>
      <c r="AI87" s="86">
        <f>AVERAGEIFS($I$2:I87, $B$2:B87, B87)</f>
        <v>0.25</v>
      </c>
      <c r="AJ87" s="86">
        <f>AVERAGEIFS($J$2:J87, $B$2:B87, B87)</f>
        <v>0.41500000000000004</v>
      </c>
      <c r="AK87" s="86">
        <f>AVERAGEIFS($D$2:D87, $B$2:B87, B87)</f>
        <v>0</v>
      </c>
    </row>
    <row r="88" spans="1:37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19.285714285714285</v>
      </c>
      <c r="AI88" s="86">
        <f>AVERAGEIFS($I$2:I88, $B$2:B88, B88)</f>
        <v>0.5357142857142857</v>
      </c>
      <c r="AJ88" s="86">
        <f>AVERAGEIFS($J$2:J88, $B$2:B88, B88)</f>
        <v>0.51142857142857145</v>
      </c>
      <c r="AK88" s="86">
        <f>AVERAGEIFS($D$2:D88, $B$2:B88, B88)</f>
        <v>0.5714285714285714</v>
      </c>
    </row>
    <row r="89" spans="1:37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21.8</v>
      </c>
      <c r="AI89" s="86">
        <f>AVERAGEIFS($I$2:I89, $B$2:B89, B89)</f>
        <v>0.48</v>
      </c>
      <c r="AJ89" s="86">
        <f>AVERAGEIFS($J$2:J89, $B$2:B89, B89)</f>
        <v>0.50600000000000001</v>
      </c>
      <c r="AK89" s="86">
        <f>AVERAGEIFS($D$2:D89, $B$2:B89, B89)</f>
        <v>0.4</v>
      </c>
    </row>
    <row r="90" spans="1:37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17</v>
      </c>
      <c r="AI90" s="86">
        <f>AVERAGEIFS($I$2:I90, $B$2:B90, B90)</f>
        <v>0.6166666666666667</v>
      </c>
      <c r="AJ90" s="86">
        <f>AVERAGEIFS($J$2:J90, $B$2:B90, B90)</f>
        <v>0.56999999999999995</v>
      </c>
      <c r="AK90" s="86">
        <f>AVERAGEIFS($D$2:D90, $B$2:B90, B90)</f>
        <v>0.66666666666666663</v>
      </c>
    </row>
    <row r="91" spans="1:37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15.2</v>
      </c>
      <c r="AI91" s="86">
        <f>AVERAGEIFS($I$2:I91, $B$2:B91, B91)</f>
        <v>0.61</v>
      </c>
      <c r="AJ91" s="86">
        <f>AVERAGEIFS($J$2:J91, $B$2:B91, B91)</f>
        <v>0.55999999999999994</v>
      </c>
      <c r="AK91" s="86">
        <f>AVERAGEIFS($D$2:D91, $B$2:B91, B91)</f>
        <v>0.4</v>
      </c>
    </row>
    <row r="92" spans="1:37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15.333333333333334</v>
      </c>
      <c r="AI92" s="86">
        <f>AVERAGEIFS($I$2:I92, $B$2:B92, B92)</f>
        <v>0.91666666666666663</v>
      </c>
      <c r="AJ92" s="86">
        <f>AVERAGEIFS($J$2:J92, $B$2:B92, B92)</f>
        <v>0.77666666666666673</v>
      </c>
      <c r="AK92" s="86">
        <f>AVERAGEIFS($D$2:D92, $B$2:B92, B92)</f>
        <v>1</v>
      </c>
    </row>
    <row r="93" spans="1:37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9.3333333333333339</v>
      </c>
      <c r="AI93" s="86">
        <f>AVERAGEIFS($I$2:I93, $B$2:B93, B93)</f>
        <v>0.58333333333333337</v>
      </c>
      <c r="AJ93" s="86">
        <f>AVERAGEIFS($J$2:J93, $B$2:B93, B93)</f>
        <v>0.57999999999999996</v>
      </c>
      <c r="AK93" s="86">
        <f>AVERAGEIFS($D$2:D93, $B$2:B93, B93)</f>
        <v>0.66666666666666663</v>
      </c>
    </row>
    <row r="94" spans="1:37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21</v>
      </c>
      <c r="AI94" s="86">
        <f>AVERAGEIFS($I$2:I94, $B$2:B94, B94)</f>
        <v>0.3</v>
      </c>
      <c r="AJ94" s="86">
        <f>AVERAGEIFS($J$2:J94, $B$2:B94, B94)</f>
        <v>0.38200000000000001</v>
      </c>
      <c r="AK94" s="86">
        <f>AVERAGEIFS($D$2:D94, $B$2:B94, B94)</f>
        <v>0.2</v>
      </c>
    </row>
    <row r="95" spans="1:37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21.571428571428573</v>
      </c>
      <c r="AI95" s="86">
        <f>AVERAGEIFS($I$2:I95, $B$2:B95, B95)</f>
        <v>0.39285714285714285</v>
      </c>
      <c r="AJ95" s="86">
        <f>AVERAGEIFS($J$2:J95, $B$2:B95, B95)</f>
        <v>0.42000000000000004</v>
      </c>
      <c r="AK95" s="86">
        <f>AVERAGEIFS($D$2:D95, $B$2:B95, B95)</f>
        <v>0.42857142857142855</v>
      </c>
    </row>
    <row r="96" spans="1:37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13</v>
      </c>
      <c r="AI96" s="86">
        <f>AVERAGEIFS($I$2:I96, $B$2:B96, B96)</f>
        <v>0.31666666666666665</v>
      </c>
      <c r="AJ96" s="86">
        <f>AVERAGEIFS($J$2:J96, $B$2:B96, B96)</f>
        <v>0.36833333333333335</v>
      </c>
      <c r="AK96" s="86">
        <f>AVERAGEIFS($D$2:D96, $B$2:B96, B96)</f>
        <v>0.33333333333333331</v>
      </c>
    </row>
    <row r="97" spans="1:37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16.833333333333332</v>
      </c>
      <c r="AI97" s="86">
        <f>AVERAGEIFS($I$2:I97, $B$2:B97, B97)</f>
        <v>0.40833333333333338</v>
      </c>
      <c r="AJ97" s="86">
        <f>AVERAGEIFS($J$2:J97, $B$2:B97, B97)</f>
        <v>0.4366666666666667</v>
      </c>
      <c r="AK97" s="86">
        <f>AVERAGEIFS($D$2:D97, $B$2:B97, B97)</f>
        <v>0.5</v>
      </c>
    </row>
    <row r="98" spans="1:37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14</v>
      </c>
      <c r="AI98" s="86">
        <f>AVERAGEIFS($I$2:I98, $B$2:B98, B98)</f>
        <v>0.5</v>
      </c>
      <c r="AJ98" s="86">
        <f>AVERAGEIFS($J$2:J98, $B$2:B98, B98)</f>
        <v>0.46749999999999997</v>
      </c>
      <c r="AK98" s="86">
        <f>AVERAGEIFS($D$2:D98, $B$2:B98, B98)</f>
        <v>0.5</v>
      </c>
    </row>
    <row r="99" spans="1:37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9.5</v>
      </c>
      <c r="AI99" s="86">
        <f>AVERAGEIFS($I$2:I99, $B$2:B99, B99)</f>
        <v>0.34166666666666662</v>
      </c>
      <c r="AJ99" s="86">
        <f>AVERAGEIFS($J$2:J99, $B$2:B99, B99)</f>
        <v>0.42</v>
      </c>
      <c r="AK99" s="86">
        <f>AVERAGEIFS($D$2:D99, $B$2:B99, B99)</f>
        <v>0.16666666666666666</v>
      </c>
    </row>
    <row r="100" spans="1:37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14</v>
      </c>
      <c r="AI100" s="86">
        <f>AVERAGEIFS($I$2:I100, $B$2:B100, B100)</f>
        <v>0.3666666666666667</v>
      </c>
      <c r="AJ100" s="86">
        <f>AVERAGEIFS($J$2:J100, $B$2:B100, B100)</f>
        <v>0.45333333333333337</v>
      </c>
      <c r="AK100" s="86">
        <f>AVERAGEIFS($D$2:D100, $B$2:B100, B100)</f>
        <v>0.33333333333333331</v>
      </c>
    </row>
    <row r="101" spans="1:37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10.571428571428571</v>
      </c>
      <c r="AI101" s="86">
        <f>AVERAGEIFS($I$2:I101, $B$2:B101, B101)</f>
        <v>0.37857142857142856</v>
      </c>
      <c r="AJ101" s="86">
        <f>AVERAGEIFS($J$2:J101, $B$2:B101, B101)</f>
        <v>0.43571428571428567</v>
      </c>
      <c r="AK101" s="86">
        <f>AVERAGEIFS($D$2:D101, $B$2:B101, B101)</f>
        <v>0.2857142857142857</v>
      </c>
    </row>
    <row r="102" spans="1:37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17.2</v>
      </c>
      <c r="AI102" s="86">
        <f>AVERAGEIFS($I$2:I102, $B$2:B102, B102)</f>
        <v>0.32999999999999996</v>
      </c>
      <c r="AJ102" s="86">
        <f>AVERAGEIFS($J$2:J102, $B$2:B102, B102)</f>
        <v>0.42599999999999999</v>
      </c>
      <c r="AK102" s="86">
        <f>AVERAGEIFS($D$2:D102, $B$2:B102, B102)</f>
        <v>0.2</v>
      </c>
    </row>
    <row r="103" spans="1:37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16.75</v>
      </c>
      <c r="AI103" s="86">
        <f>AVERAGEIFS($I$2:I103, $B$2:B103, B103)</f>
        <v>0.61250000000000004</v>
      </c>
      <c r="AJ103" s="86">
        <f>AVERAGEIFS($J$2:J103, $B$2:B103, B103)</f>
        <v>0.56000000000000005</v>
      </c>
      <c r="AK103" s="86">
        <f>AVERAGEIFS($D$2:D103, $B$2:B103, B103)</f>
        <v>0.75</v>
      </c>
    </row>
    <row r="104" spans="1:37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18.2</v>
      </c>
      <c r="AI104" s="86">
        <f>AVERAGEIFS($I$2:I104, $B$2:B104, B104)</f>
        <v>0.77</v>
      </c>
      <c r="AJ104" s="86">
        <f>AVERAGEIFS($J$2:J104, $B$2:B104, B104)</f>
        <v>0.64200000000000002</v>
      </c>
      <c r="AK104" s="86">
        <f>AVERAGEIFS($D$2:D104, $B$2:B104, B104)</f>
        <v>1</v>
      </c>
    </row>
    <row r="105" spans="1:37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</v>
      </c>
      <c r="AI105" s="86">
        <f>AVERAGEIFS($I$2:I105, $B$2:B105, B105)</f>
        <v>0.6</v>
      </c>
      <c r="AJ105" s="86">
        <f>AVERAGEIFS($J$2:J105, $B$2:B105, B105)</f>
        <v>0.53</v>
      </c>
      <c r="AK105" s="86">
        <f>AVERAGEIFS($D$2:D105, $B$2:B105, B105)</f>
        <v>1</v>
      </c>
    </row>
    <row r="106" spans="1:37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86">
        <f>AVERAGEIFS($C$2:C106, $B$2:B106, B106)</f>
        <v>21.75</v>
      </c>
      <c r="AI106" s="86">
        <f>AVERAGEIFS($I$2:I106, $B$2:B106, B106)</f>
        <v>0.39374999999999999</v>
      </c>
      <c r="AJ106" s="86">
        <f>AVERAGEIFS($J$2:J106, $B$2:B106, B106)</f>
        <v>0.42625000000000002</v>
      </c>
      <c r="AK106" s="86">
        <f>AVERAGEIFS($D$2:D106, $B$2:B106, B106)</f>
        <v>0.375</v>
      </c>
    </row>
    <row r="107" spans="1:37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86">
        <f>AVERAGEIFS($C$2:C107, $B$2:B107, B107)</f>
        <v>18.833333333333332</v>
      </c>
      <c r="AI107" s="86">
        <f>AVERAGEIFS($I$2:I107, $B$2:B107, B107)</f>
        <v>0.64166666666666672</v>
      </c>
      <c r="AJ107" s="86">
        <f>AVERAGEIFS($J$2:J107, $B$2:B107, B107)</f>
        <v>0.59166666666666667</v>
      </c>
      <c r="AK107" s="86">
        <f>AVERAGEIFS($D$2:D107, $B$2:B107, B107)</f>
        <v>0.66666666666666663</v>
      </c>
    </row>
    <row r="108" spans="1:37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86">
        <f>AVERAGEIFS($C$2:C108, $B$2:B108, B108)</f>
        <v>17</v>
      </c>
      <c r="AI108" s="86">
        <f>AVERAGEIFS($I$2:I108, $B$2:B108, B108)</f>
        <v>0.4</v>
      </c>
      <c r="AJ108" s="86">
        <f>AVERAGEIFS($J$2:J108, $B$2:B108, B108)</f>
        <v>0.47</v>
      </c>
      <c r="AK108" s="86">
        <f>AVERAGEIFS($D$2:D108, $B$2:B108, B108)</f>
        <v>0</v>
      </c>
    </row>
    <row r="109" spans="1:37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86">
        <f>AVERAGEIFS($C$2:C109, $B$2:B109, B109)</f>
        <v>18.75</v>
      </c>
      <c r="AI109" s="86">
        <f>AVERAGEIFS($I$2:I109, $B$2:B109, B109)</f>
        <v>0.51875000000000004</v>
      </c>
      <c r="AJ109" s="86">
        <f>AVERAGEIFS($J$2:J109, $B$2:B109, B109)</f>
        <v>0.50624999999999998</v>
      </c>
      <c r="AK109" s="86">
        <f>AVERAGEIFS($D$2:D109, $B$2:B109, B109)</f>
        <v>0.5</v>
      </c>
    </row>
    <row r="110" spans="1:37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86">
        <f>AVERAGEIFS($C$2:C110, $B$2:B110, B110)</f>
        <v>15.25</v>
      </c>
      <c r="AI110" s="86">
        <f>AVERAGEIFS($I$2:I110, $B$2:B110, B110)</f>
        <v>0.78749999999999998</v>
      </c>
      <c r="AJ110" s="86">
        <f>AVERAGEIFS($J$2:J110, $B$2:B110, B110)</f>
        <v>0.7</v>
      </c>
      <c r="AK110" s="86">
        <f>AVERAGEIFS($D$2:D110, $B$2:B110, B110)</f>
        <v>0.75</v>
      </c>
    </row>
    <row r="111" spans="1:37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86">
        <f>AVERAGEIFS($C$2:C111, $B$2:B111, B111)</f>
        <v>13.666666666666666</v>
      </c>
      <c r="AI111" s="86">
        <f>AVERAGEIFS($I$2:I111, $B$2:B111, B111)</f>
        <v>0.57499999999999996</v>
      </c>
      <c r="AJ111" s="86">
        <f>AVERAGEIFS($J$2:J111, $B$2:B111, B111)</f>
        <v>0.54499999999999993</v>
      </c>
      <c r="AK111" s="86">
        <f>AVERAGEIFS($D$2:D111, $B$2:B111, B111)</f>
        <v>0.33333333333333331</v>
      </c>
    </row>
    <row r="112" spans="1:37" x14ac:dyDescent="0.25">
      <c r="A112" s="85">
        <v>46124</v>
      </c>
      <c r="B112" t="s">
        <v>167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86">
        <f>AVERAGEIFS($C$2:C112, $B$2:B112, B112)</f>
        <v>14</v>
      </c>
      <c r="AI112" s="86">
        <f>AVERAGEIFS($I$2:I112, $B$2:B112, B112)</f>
        <v>0.75</v>
      </c>
      <c r="AJ112" s="86">
        <f>AVERAGEIFS($J$2:J112, $B$2:B112, B112)</f>
        <v>0.56000000000000005</v>
      </c>
      <c r="AK112" s="86">
        <f>AVERAGEIFS($D$2:D112, $B$2:B112, B112)</f>
        <v>1</v>
      </c>
    </row>
    <row r="113" spans="1:37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86">
        <f>AVERAGEIFS($C$2:C113, $B$2:B113, B113)</f>
        <v>15.8</v>
      </c>
      <c r="AI113" s="86">
        <f>AVERAGEIFS($I$2:I113, $B$2:B113, B113)</f>
        <v>0.55000000000000004</v>
      </c>
      <c r="AJ113" s="86">
        <f>AVERAGEIFS($J$2:J113, $B$2:B113, B113)</f>
        <v>0.48599999999999993</v>
      </c>
      <c r="AK113" s="86">
        <f>AVERAGEIFS($D$2:D113, $B$2:B113, B113)</f>
        <v>0.6</v>
      </c>
    </row>
    <row r="114" spans="1:37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86">
        <f>AVERAGEIFS($C$2:C114, $B$2:B114, B114)</f>
        <v>7</v>
      </c>
      <c r="AI114" s="86">
        <f>AVERAGEIFS($I$2:I114, $B$2:B114, B114)</f>
        <v>0.75</v>
      </c>
      <c r="AJ114" s="86">
        <f>AVERAGEIFS($J$2:J114, $B$2:B114, B114)</f>
        <v>0.58499999999999996</v>
      </c>
      <c r="AK114" s="86">
        <f>AVERAGEIFS($D$2:D114, $B$2:B114, B114)</f>
        <v>1</v>
      </c>
    </row>
    <row r="115" spans="1:37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86">
        <f>AVERAGEIFS($C$2:C115, $B$2:B115, B115)</f>
        <v>18.5</v>
      </c>
      <c r="AI115" s="86">
        <f>AVERAGEIFS($I$2:I115, $B$2:B115, B115)</f>
        <v>0.375</v>
      </c>
      <c r="AJ115" s="86">
        <f>AVERAGEIFS($J$2:J115, $B$2:B115, B115)</f>
        <v>0.41166666666666663</v>
      </c>
      <c r="AK115" s="86">
        <f>AVERAGEIFS($D$2:D115, $B$2:B115, B115)</f>
        <v>0.33333333333333331</v>
      </c>
    </row>
    <row r="116" spans="1:37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17.8</v>
      </c>
      <c r="AI116" s="86">
        <f>AVERAGEIFS($I$2:I116, $B$2:B116, B116)</f>
        <v>0.78</v>
      </c>
      <c r="AJ116" s="86">
        <f>AVERAGEIFS($J$2:J116, $B$2:B116, B116)</f>
        <v>0.67199999999999993</v>
      </c>
      <c r="AK116" s="86">
        <f>AVERAGEIFS($D$2:D116, $B$2:B116, B116)</f>
        <v>0.8</v>
      </c>
    </row>
    <row r="117" spans="1:37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26.6</v>
      </c>
      <c r="AI117" s="86">
        <f>AVERAGEIFS($I$2:I117, $B$2:B117, B117)</f>
        <v>0.74</v>
      </c>
      <c r="AJ117" s="86">
        <f>AVERAGEIFS($J$2:J117, $B$2:B117, B117)</f>
        <v>0.59199999999999997</v>
      </c>
      <c r="AK117" s="86">
        <f>AVERAGEIFS($D$2:D117, $B$2:B117, B117)</f>
        <v>1</v>
      </c>
    </row>
    <row r="118" spans="1:37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19.142857142857142</v>
      </c>
      <c r="AI118" s="86">
        <f>AVERAGEIFS($I$2:I118, $B$2:B118, B118)</f>
        <v>0.65714285714285714</v>
      </c>
      <c r="AJ118" s="86">
        <f>AVERAGEIFS($J$2:J118, $B$2:B118, B118)</f>
        <v>0.58714285714285708</v>
      </c>
      <c r="AK118" s="86">
        <f>AVERAGEIFS($D$2:D118, $B$2:B118, B118)</f>
        <v>0.7142857142857143</v>
      </c>
    </row>
    <row r="119" spans="1:37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17.333333333333332</v>
      </c>
      <c r="AI119" s="86">
        <f>AVERAGEIFS($I$2:I119, $B$2:B119, B119)</f>
        <v>0.75</v>
      </c>
      <c r="AJ119" s="86">
        <f>AVERAGEIFS($J$2:J119, $B$2:B119, B119)</f>
        <v>0.67666666666666664</v>
      </c>
      <c r="AK119" s="86">
        <f>AVERAGEIFS($D$2:D119, $B$2:B119, B119)</f>
        <v>0.66666666666666663</v>
      </c>
    </row>
    <row r="120" spans="1:37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8.5</v>
      </c>
      <c r="AI120" s="86">
        <f>AVERAGEIFS($I$2:I120, $B$2:B120, B120)</f>
        <v>0.125</v>
      </c>
      <c r="AJ120" s="86">
        <f>AVERAGEIFS($J$2:J120, $B$2:B120, B120)</f>
        <v>0.27</v>
      </c>
      <c r="AK120" s="86">
        <f>AVERAGEIFS($D$2:D120, $B$2:B120, B120)</f>
        <v>0</v>
      </c>
    </row>
    <row r="121" spans="1:37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86">
        <f>AVERAGEIFS($C$2:C121, $B$2:B121, B121)</f>
        <v>12</v>
      </c>
      <c r="AI121" s="86">
        <f>AVERAGEIFS($I$2:I121, $B$2:B121, B121)</f>
        <v>0.25</v>
      </c>
      <c r="AJ121" s="86">
        <f>AVERAGEIFS($J$2:J121, $B$2:B121, B121)</f>
        <v>0.44</v>
      </c>
      <c r="AK121" s="86">
        <f>AVERAGEIFS($D$2:D121, $B$2:B121, B121)</f>
        <v>0</v>
      </c>
    </row>
    <row r="122" spans="1:37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86">
        <f>AVERAGEIFS($C$2:C122, $B$2:B122, B122)</f>
        <v>19</v>
      </c>
      <c r="AI122" s="86">
        <f>AVERAGEIFS($I$2:I122, $B$2:B122, B122)</f>
        <v>0.48888888888888893</v>
      </c>
      <c r="AJ122" s="86">
        <f>AVERAGEIFS($J$2:J122, $B$2:B122, B122)</f>
        <v>0.49888888888888894</v>
      </c>
      <c r="AK122" s="86">
        <f>AVERAGEIFS($D$2:D122, $B$2:B122, B122)</f>
        <v>0.44444444444444442</v>
      </c>
    </row>
    <row r="123" spans="1:37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86">
        <f>AVERAGEIFS($C$2:C123, $B$2:B123, B123)</f>
        <v>7</v>
      </c>
      <c r="AI123" s="86">
        <f>AVERAGEIFS($I$2:I123, $B$2:B123, B123)</f>
        <v>0.25</v>
      </c>
      <c r="AJ123" s="86">
        <f>AVERAGEIFS($J$2:J123, $B$2:B123, B123)</f>
        <v>0.44</v>
      </c>
      <c r="AK123" s="86">
        <f>AVERAGEIFS($D$2:D123, $B$2:B123, B123)</f>
        <v>0</v>
      </c>
    </row>
    <row r="124" spans="1:37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86">
        <f>AVERAGEIFS($C$2:C124, $B$2:B124, B124)</f>
        <v>11</v>
      </c>
      <c r="AI124" s="86">
        <f>AVERAGEIFS($I$2:I124, $B$2:B124, B124)</f>
        <v>0.36249999999999999</v>
      </c>
      <c r="AJ124" s="86">
        <f>AVERAGEIFS($J$2:J124, $B$2:B124, B124)</f>
        <v>0.43624999999999997</v>
      </c>
      <c r="AK124" s="86">
        <f>AVERAGEIFS($D$2:D124, $B$2:B124, B124)</f>
        <v>0.25</v>
      </c>
    </row>
    <row r="125" spans="1:37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86">
        <f>AVERAGEIFS($C$2:C125, $B$2:B125, B125)</f>
        <v>27.666666666666668</v>
      </c>
      <c r="AI125" s="86">
        <f>AVERAGEIFS($I$2:I125, $B$2:B125, B125)</f>
        <v>0.65833333333333333</v>
      </c>
      <c r="AJ125" s="86">
        <f>AVERAGEIFS($J$2:J125, $B$2:B125, B125)</f>
        <v>0.56333333333333335</v>
      </c>
      <c r="AK125" s="86">
        <f>AVERAGEIFS($D$2:D125, $B$2:B125, B125)</f>
        <v>0.83333333333333337</v>
      </c>
    </row>
    <row r="126" spans="1:37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21.333333333333332</v>
      </c>
      <c r="AI126" s="86">
        <f>AVERAGEIFS($I$2:I126, $B$2:B126, B126)</f>
        <v>0.37777777777777777</v>
      </c>
      <c r="AJ126" s="86">
        <f>AVERAGEIFS($J$2:J126, $B$2:B126, B126)</f>
        <v>0.42555555555555558</v>
      </c>
      <c r="AK126" s="86">
        <f>AVERAGEIFS($D$2:D126, $B$2:B126, B126)</f>
        <v>0.33333333333333331</v>
      </c>
    </row>
    <row r="127" spans="1:37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18.857142857142858</v>
      </c>
      <c r="AI127" s="86">
        <f>AVERAGEIFS($I$2:I127, $B$2:B127, B127)</f>
        <v>0.35714285714285715</v>
      </c>
      <c r="AJ127" s="86">
        <f>AVERAGEIFS($J$2:J127, $B$2:B127, B127)</f>
        <v>0.41285714285714281</v>
      </c>
      <c r="AK127" s="86">
        <f>AVERAGEIFS($D$2:D127, $B$2:B127, B127)</f>
        <v>0.2857142857142857</v>
      </c>
    </row>
    <row r="128" spans="1:37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13.5</v>
      </c>
      <c r="AI128" s="86">
        <f>AVERAGEIFS($I$2:I128, $B$2:B128, B128)</f>
        <v>0.32500000000000001</v>
      </c>
      <c r="AJ128" s="86">
        <f>AVERAGEIFS($J$2:J128, $B$2:B128, B128)</f>
        <v>0.44499999999999995</v>
      </c>
      <c r="AK128" s="86">
        <f>AVERAGEIFS($D$2:D128, $B$2:B128, B128)</f>
        <v>0</v>
      </c>
    </row>
    <row r="129" spans="1:37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18.666666666666668</v>
      </c>
      <c r="AI129" s="86">
        <f>AVERAGEIFS($I$2:I129, $B$2:B129, B129)</f>
        <v>0.69166666666666676</v>
      </c>
      <c r="AJ129" s="86">
        <f>AVERAGEIFS($J$2:J129, $B$2:B129, B129)</f>
        <v>0.63</v>
      </c>
      <c r="AK129" s="86">
        <f>AVERAGEIFS($D$2:D129, $B$2:B129, B129)</f>
        <v>0.66666666666666663</v>
      </c>
    </row>
    <row r="130" spans="1:37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18.428571428571427</v>
      </c>
      <c r="AI130" s="86">
        <f>AVERAGEIFS($I$2:I130, $B$2:B130, B130)</f>
        <v>0.38571428571428573</v>
      </c>
      <c r="AJ130" s="86">
        <f>AVERAGEIFS($J$2:J130, $B$2:B130, B130)</f>
        <v>0.43428571428571427</v>
      </c>
      <c r="AK130" s="86">
        <f>AVERAGEIFS($D$2:D130, $B$2:B130, B130)</f>
        <v>0.42857142857142855</v>
      </c>
    </row>
    <row r="131" spans="1:37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12.857142857142858</v>
      </c>
      <c r="AI131" s="86">
        <f>AVERAGEIFS($I$2:I131, $B$2:B131, B131)</f>
        <v>0.52857142857142858</v>
      </c>
      <c r="AJ131" s="86">
        <f>AVERAGEIFS($J$2:J131, $B$2:B131, B131)</f>
        <v>0.52714285714285702</v>
      </c>
      <c r="AK131" s="86">
        <f>AVERAGEIFS($D$2:D131, $B$2:B131, B131)</f>
        <v>0.2857142857142857</v>
      </c>
    </row>
    <row r="132" spans="1:37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23.5</v>
      </c>
      <c r="AI132" s="86">
        <f>AVERAGEIFS($I$2:I132, $B$2:B132, B132)</f>
        <v>0.75</v>
      </c>
      <c r="AJ132" s="86">
        <f>AVERAGEIFS($J$2:J132, $B$2:B132, B132)</f>
        <v>0.65249999999999997</v>
      </c>
      <c r="AK132" s="86">
        <f>AVERAGEIFS($D$2:D132, $B$2:B132, B132)</f>
        <v>0.75</v>
      </c>
    </row>
    <row r="133" spans="1:37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21.5</v>
      </c>
      <c r="AI133" s="86">
        <f>AVERAGEIFS($I$2:I133, $B$2:B133, B133)</f>
        <v>0.52500000000000002</v>
      </c>
      <c r="AJ133" s="86">
        <f>AVERAGEIFS($J$2:J133, $B$2:B133, B133)</f>
        <v>0.51833333333333331</v>
      </c>
      <c r="AK133" s="86">
        <f>AVERAGEIFS($D$2:D133, $B$2:B133, B133)</f>
        <v>0.5</v>
      </c>
    </row>
    <row r="134" spans="1:37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19.600000000000001</v>
      </c>
      <c r="AI134" s="86">
        <f>AVERAGEIFS($I$2:I134, $B$2:B134, B134)</f>
        <v>0.51500000000000001</v>
      </c>
      <c r="AJ134" s="86">
        <f>AVERAGEIFS($J$2:J134, $B$2:B134, B134)</f>
        <v>0.50700000000000001</v>
      </c>
      <c r="AK134" s="86">
        <f>AVERAGEIFS($D$2:D134, $B$2:B134, B134)</f>
        <v>0.5</v>
      </c>
    </row>
    <row r="135" spans="1:37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14.142857142857142</v>
      </c>
      <c r="AI135" s="86">
        <f>AVERAGEIFS($I$2:I135, $B$2:B135, B135)</f>
        <v>0.37857142857142856</v>
      </c>
      <c r="AJ135" s="86">
        <f>AVERAGEIFS($J$2:J135, $B$2:B135, B135)</f>
        <v>0.39857142857142858</v>
      </c>
      <c r="AK135" s="86">
        <f>AVERAGEIFS($D$2:D135, $B$2:B135, B135)</f>
        <v>0.42857142857142855</v>
      </c>
    </row>
    <row r="136" spans="1:37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21.25</v>
      </c>
      <c r="AI136" s="86">
        <f>AVERAGEIFS($I$2:I136, $B$2:B136, B136)</f>
        <v>0.66874999999999996</v>
      </c>
      <c r="AJ136" s="86">
        <f>AVERAGEIFS($J$2:J136, $B$2:B136, B136)</f>
        <v>0.58624999999999994</v>
      </c>
      <c r="AK136" s="86">
        <f>AVERAGEIFS($D$2:D136, $B$2:B136, B136)</f>
        <v>0.75</v>
      </c>
    </row>
    <row r="137" spans="1:37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12.333333333333334</v>
      </c>
      <c r="AI137" s="86">
        <f>AVERAGEIFS($I$2:I137, $B$2:B137, B137)</f>
        <v>0.40555555555555556</v>
      </c>
      <c r="AJ137" s="86">
        <f>AVERAGEIFS($J$2:J137, $B$2:B137, B137)</f>
        <v>0.45222222222222214</v>
      </c>
      <c r="AK137" s="86">
        <f>AVERAGEIFS($D$2:D137, $B$2:B137, B137)</f>
        <v>0.33333333333333331</v>
      </c>
    </row>
    <row r="138" spans="1:37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86">
        <f>AVERAGEIFS($C$2:C138, $B$2:B138, B138)</f>
        <v>18</v>
      </c>
      <c r="AI138" s="86">
        <f>AVERAGEIFS($I$2:I138, $B$2:B138, B138)</f>
        <v>0.4375</v>
      </c>
      <c r="AJ138" s="86">
        <f>AVERAGEIFS($J$2:J138, $B$2:B138, B138)</f>
        <v>0.46374999999999994</v>
      </c>
      <c r="AK138" s="86">
        <f>AVERAGEIFS($D$2:D138, $B$2:B138, B138)</f>
        <v>0.375</v>
      </c>
    </row>
    <row r="139" spans="1:37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86">
        <f>AVERAGEIFS($C$2:C139, $B$2:B139, B139)</f>
        <v>17.375</v>
      </c>
      <c r="AI139" s="86">
        <f>AVERAGEIFS($I$2:I139, $B$2:B139, B139)</f>
        <v>0.46250000000000002</v>
      </c>
      <c r="AJ139" s="86">
        <f>AVERAGEIFS($J$2:J139, $B$2:B139, B139)</f>
        <v>0.48249999999999998</v>
      </c>
      <c r="AK139" s="86">
        <f>AVERAGEIFS($D$2:D139, $B$2:B139, B139)</f>
        <v>0.5</v>
      </c>
    </row>
    <row r="140" spans="1:37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86">
        <f>AVERAGEIFS($C$2:C140, $B$2:B140, B140)</f>
        <v>20.222222222222221</v>
      </c>
      <c r="AI140" s="86">
        <f>AVERAGEIFS($I$2:I140, $B$2:B140, B140)</f>
        <v>0.70555555555555549</v>
      </c>
      <c r="AJ140" s="86">
        <f>AVERAGEIFS($J$2:J140, $B$2:B140, B140)</f>
        <v>0.61222222222222222</v>
      </c>
      <c r="AK140" s="86">
        <f>AVERAGEIFS($D$2:D140, $B$2:B140, B140)</f>
        <v>0.77777777777777779</v>
      </c>
    </row>
    <row r="141" spans="1:37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86">
        <f>AVERAGEIFS($C$2:C141, $B$2:B141, B141)</f>
        <v>6</v>
      </c>
      <c r="AI141" s="86">
        <f>AVERAGEIFS($I$2:I141, $B$2:B141, B141)</f>
        <v>0.83333333333333337</v>
      </c>
      <c r="AJ141" s="86">
        <f>AVERAGEIFS($J$2:J141, $B$2:B141, B141)</f>
        <v>0.66333333333333322</v>
      </c>
      <c r="AK141" s="86">
        <f>AVERAGEIFS($D$2:D141, $B$2:B141, B141)</f>
        <v>1</v>
      </c>
    </row>
    <row r="142" spans="1:37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86">
        <f>AVERAGEIFS($C$2:C142, $B$2:B142, B142)</f>
        <v>18.142857142857142</v>
      </c>
      <c r="AI142" s="86">
        <f>AVERAGEIFS($I$2:I142, $B$2:B142, B142)</f>
        <v>0.73571428571428577</v>
      </c>
      <c r="AJ142" s="86">
        <f>AVERAGEIFS($J$2:J142, $B$2:B142, B142)</f>
        <v>0.65714285714285714</v>
      </c>
      <c r="AK142" s="86">
        <f>AVERAGEIFS($D$2:D142, $B$2:B142, B142)</f>
        <v>0.7142857142857143</v>
      </c>
    </row>
    <row r="143" spans="1:37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86">
        <f>AVERAGEIFS($C$2:C143, $B$2:B143, B143)</f>
        <v>22</v>
      </c>
      <c r="AI143" s="86">
        <f>AVERAGEIFS($I$2:I143, $B$2:B143, B143)</f>
        <v>0.8</v>
      </c>
      <c r="AJ143" s="86">
        <f>AVERAGEIFS($J$2:J143, $B$2:B143, B143)</f>
        <v>0.68599999999999994</v>
      </c>
      <c r="AK143" s="86">
        <f>AVERAGEIFS($D$2:D143, $B$2:B143, B143)</f>
        <v>0.8</v>
      </c>
    </row>
    <row r="144" spans="1:37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15.2</v>
      </c>
      <c r="AI144" s="86">
        <f>AVERAGEIFS($I$2:I144, $B$2:B144, B144)</f>
        <v>0.49000000000000005</v>
      </c>
      <c r="AJ144" s="86">
        <f>AVERAGEIFS($J$2:J144, $B$2:B144, B144)</f>
        <v>0.4840000000000001</v>
      </c>
      <c r="AK144" s="86">
        <f>AVERAGEIFS($D$2:D144, $B$2:B144, B144)</f>
        <v>0.6</v>
      </c>
    </row>
    <row r="145" spans="1:37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20.2</v>
      </c>
      <c r="AI145" s="86">
        <f>AVERAGEIFS($I$2:I145, $B$2:B145, B145)</f>
        <v>0.33999999999999997</v>
      </c>
      <c r="AJ145" s="86">
        <f>AVERAGEIFS($J$2:J145, $B$2:B145, B145)</f>
        <v>0.40099999999999997</v>
      </c>
      <c r="AK145" s="86">
        <f>AVERAGEIFS($D$2:D145, $B$2:B145, B145)</f>
        <v>0.3</v>
      </c>
    </row>
    <row r="146" spans="1:37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13.5</v>
      </c>
      <c r="AI146" s="86">
        <f>AVERAGEIFS($I$2:I146, $B$2:B146, B146)</f>
        <v>0.33124999999999999</v>
      </c>
      <c r="AJ146" s="86">
        <f>AVERAGEIFS($J$2:J146, $B$2:B146, B146)</f>
        <v>0.37125000000000002</v>
      </c>
      <c r="AK146" s="86">
        <f>AVERAGEIFS($D$2:D146, $B$2:B146, B146)</f>
        <v>0.375</v>
      </c>
    </row>
    <row r="147" spans="1:37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3</v>
      </c>
      <c r="AI147" s="86">
        <f>AVERAGEIFS($I$2:I147, $B$2:B147, B147)</f>
        <v>0</v>
      </c>
      <c r="AJ147" s="86">
        <f>AVERAGEIFS($J$2:J147, $B$2:B147, B147)</f>
        <v>0.18</v>
      </c>
      <c r="AK147" s="86">
        <f>AVERAGEIFS($D$2:D147, $B$2:B147, B147)</f>
        <v>0</v>
      </c>
    </row>
    <row r="148" spans="1:37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12.625</v>
      </c>
      <c r="AI148" s="86">
        <f>AVERAGEIFS($I$2:I148, $B$2:B148, B148)</f>
        <v>0.46249999999999997</v>
      </c>
      <c r="AJ148" s="86">
        <f>AVERAGEIFS($J$2:J148, $B$2:B148, B148)</f>
        <v>0.48374999999999996</v>
      </c>
      <c r="AK148" s="86">
        <f>AVERAGEIFS($D$2:D148, $B$2:B148, B148)</f>
        <v>0.25</v>
      </c>
    </row>
    <row r="149" spans="1:37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6</v>
      </c>
      <c r="AI149" s="86">
        <f>AVERAGEIFS($I$2:I149, $B$2:B149, B149)</f>
        <v>0.125</v>
      </c>
      <c r="AJ149" s="86">
        <f>AVERAGEIFS($J$2:J149, $B$2:B149, B149)</f>
        <v>0.28500000000000003</v>
      </c>
      <c r="AK149" s="86">
        <f>AVERAGEIFS($D$2:D149, $B$2:B149, B149)</f>
        <v>0</v>
      </c>
    </row>
    <row r="150" spans="1:37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20</v>
      </c>
      <c r="AI150" s="86">
        <f>AVERAGEIFS($I$2:I150, $B$2:B150, B150)</f>
        <v>0.70833333333333337</v>
      </c>
      <c r="AJ150" s="86">
        <f>AVERAGEIFS($J$2:J150, $B$2:B150, B150)</f>
        <v>0.61666666666666659</v>
      </c>
      <c r="AK150" s="86">
        <f>AVERAGEIFS($D$2:D150, $B$2:B150, B150)</f>
        <v>0.66666666666666663</v>
      </c>
    </row>
    <row r="151" spans="1:37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17.888888888888889</v>
      </c>
      <c r="AI151" s="86">
        <f>AVERAGEIFS($I$2:I151, $B$2:B151, B151)</f>
        <v>0.41666666666666669</v>
      </c>
      <c r="AJ151" s="86">
        <f>AVERAGEIFS($J$2:J151, $B$2:B151, B151)</f>
        <v>0.44222222222222218</v>
      </c>
      <c r="AK151" s="86">
        <f>AVERAGEIFS($D$2:D151, $B$2:B151, B151)</f>
        <v>0.33333333333333331</v>
      </c>
    </row>
    <row r="152" spans="1:37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19.8</v>
      </c>
      <c r="AI152" s="86">
        <f>AVERAGEIFS($I$2:I152, $B$2:B152, B152)</f>
        <v>0.65999999999999992</v>
      </c>
      <c r="AJ152" s="86">
        <f>AVERAGEIFS($J$2:J152, $B$2:B152, B152)</f>
        <v>0.57799999999999996</v>
      </c>
      <c r="AK152" s="86">
        <f>AVERAGEIFS($D$2:D152, $B$2:B152, B152)</f>
        <v>0.7</v>
      </c>
    </row>
    <row r="153" spans="1:37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12.666666666666666</v>
      </c>
      <c r="AI153" s="86">
        <f>AVERAGEIFS($I$2:I153, $B$2:B153, B153)</f>
        <v>0.43888888888888888</v>
      </c>
      <c r="AJ153" s="86">
        <f>AVERAGEIFS($J$2:J153, $B$2:B153, B153)</f>
        <v>0.45999999999999996</v>
      </c>
      <c r="AK153" s="86">
        <f>AVERAGEIFS($D$2:D153, $B$2:B153, B153)</f>
        <v>0.22222222222222221</v>
      </c>
    </row>
    <row r="154" spans="1:37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5.666666666666667</v>
      </c>
      <c r="AI154" s="86">
        <f>AVERAGEIFS($I$2:I154, $B$2:B154, B154)</f>
        <v>0.16666666666666666</v>
      </c>
      <c r="AJ154" s="86">
        <f>AVERAGEIFS($J$2:J154, $B$2:B154, B154)</f>
        <v>0.28000000000000003</v>
      </c>
      <c r="AK154" s="86">
        <f>AVERAGEIFS($D$2:D154, $B$2:B154, B154)</f>
        <v>0</v>
      </c>
    </row>
    <row r="155" spans="1:37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86">
        <f>AVERAGEIFS($C$2:C155, $B$2:B155, B155)</f>
        <v>5.5</v>
      </c>
      <c r="AI155" s="86">
        <f>AVERAGEIFS($I$2:I155, $B$2:B155, B155)</f>
        <v>0.6875</v>
      </c>
      <c r="AJ155" s="86">
        <f>AVERAGEIFS($J$2:J155, $B$2:B155, B155)</f>
        <v>0.56499999999999995</v>
      </c>
      <c r="AK155" s="86">
        <f>AVERAGEIFS($D$2:D155, $B$2:B155, B155)</f>
        <v>0.75</v>
      </c>
    </row>
    <row r="156" spans="1:37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86">
        <f>AVERAGEIFS($C$2:C156, $B$2:B156, B156)</f>
        <v>20.272727272727273</v>
      </c>
      <c r="AI156" s="86">
        <f>AVERAGEIFS($I$2:I156, $B$2:B156, B156)</f>
        <v>0.37727272727272732</v>
      </c>
      <c r="AJ156" s="86">
        <f>AVERAGEIFS($J$2:J156, $B$2:B156, B156)</f>
        <v>0.43090909090909091</v>
      </c>
      <c r="AK156" s="86">
        <f>AVERAGEIFS($D$2:D156, $B$2:B156, B156)</f>
        <v>0.36363636363636365</v>
      </c>
    </row>
    <row r="157" spans="1:37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86">
        <f>AVERAGEIFS($C$2:C157, $B$2:B157, B157)</f>
        <v>15.166666666666666</v>
      </c>
      <c r="AI157" s="86">
        <f>AVERAGEIFS($I$2:I157, $B$2:B157, B157)</f>
        <v>0.53333333333333333</v>
      </c>
      <c r="AJ157" s="86">
        <f>AVERAGEIFS($J$2:J157, $B$2:B157, B157)</f>
        <v>0.52500000000000002</v>
      </c>
      <c r="AK157" s="86">
        <f>AVERAGEIFS($D$2:D157, $B$2:B157, B157)</f>
        <v>0.66666666666666663</v>
      </c>
    </row>
    <row r="158" spans="1:37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86">
        <f>AVERAGEIFS($C$2:C158, $B$2:B158, B158)</f>
        <v>13.777777777777779</v>
      </c>
      <c r="AI158" s="86">
        <f>AVERAGEIFS($I$2:I158, $B$2:B158, B158)</f>
        <v>0.37777777777777777</v>
      </c>
      <c r="AJ158" s="86">
        <f>AVERAGEIFS($J$2:J158, $B$2:B158, B158)</f>
        <v>0.41111111111111115</v>
      </c>
      <c r="AK158" s="86">
        <f>AVERAGEIFS($D$2:D158, $B$2:B158, B158)</f>
        <v>0.44444444444444442</v>
      </c>
    </row>
    <row r="159" spans="1:37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86">
        <f>AVERAGEIFS($C$2:C159, $B$2:B159, B159)</f>
        <v>18.25</v>
      </c>
      <c r="AI159" s="86">
        <f>AVERAGEIFS($I$2:I159, $B$2:B159, B159)</f>
        <v>0.73750000000000004</v>
      </c>
      <c r="AJ159" s="86">
        <f>AVERAGEIFS($J$2:J159, $B$2:B159, B159)</f>
        <v>0.66625000000000001</v>
      </c>
      <c r="AK159" s="86">
        <f>AVERAGEIFS($D$2:D159, $B$2:B159, B159)</f>
        <v>0.75</v>
      </c>
    </row>
    <row r="160" spans="1:37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86">
        <f>AVERAGEIFS($C$2:C160, $B$2:B160, B160)</f>
        <v>16.666666666666668</v>
      </c>
      <c r="AI160" s="86">
        <f>AVERAGEIFS($I$2:I160, $B$2:B160, B160)</f>
        <v>0.49444444444444446</v>
      </c>
      <c r="AJ160" s="86">
        <f>AVERAGEIFS($J$2:J160, $B$2:B160, B160)</f>
        <v>0.51</v>
      </c>
      <c r="AK160" s="86">
        <f>AVERAGEIFS($D$2:D160, $B$2:B160, B160)</f>
        <v>0.55555555555555558</v>
      </c>
    </row>
    <row r="161" spans="1:37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5.5</v>
      </c>
      <c r="AI161" s="86">
        <f>AVERAGEIFS($I$2:I161, $B$2:B161, B161)</f>
        <v>0.375</v>
      </c>
      <c r="AJ161" s="86">
        <f>AVERAGEIFS($J$2:J161, $B$2:B161, B161)</f>
        <v>0.45499999999999996</v>
      </c>
      <c r="AK161" s="86">
        <f>AVERAGEIFS($D$2:D161, $B$2:B161, B161)</f>
        <v>0.5</v>
      </c>
    </row>
    <row r="162" spans="1:37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86">
        <f>AVERAGEIFS($C$2:C162, $B$2:B162, B162)</f>
        <v>20.25</v>
      </c>
      <c r="AI162" s="86">
        <f>AVERAGEIFS($I$2:I162, $B$2:B162, B162)</f>
        <v>0.4291666666666667</v>
      </c>
      <c r="AJ162" s="86">
        <f>AVERAGEIFS($J$2:J162, $B$2:B162, B162)</f>
        <v>0.47833333333333333</v>
      </c>
      <c r="AK162" s="86">
        <f>AVERAGEIFS($D$2:D162, $B$2:B162, B162)</f>
        <v>0.41666666666666669</v>
      </c>
    </row>
    <row r="163" spans="1:37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86">
        <f>AVERAGEIFS($C$2:C163, $B$2:B163, B163)</f>
        <v>21.142857142857142</v>
      </c>
      <c r="AI163" s="86">
        <f>AVERAGEIFS($I$2:I163, $B$2:B163, B163)</f>
        <v>0.59285714285714286</v>
      </c>
      <c r="AJ163" s="86">
        <f>AVERAGEIFS($J$2:J163, $B$2:B163, B163)</f>
        <v>0.58714285714285708</v>
      </c>
      <c r="AK163" s="86">
        <f>AVERAGEIFS($D$2:D163, $B$2:B163, B163)</f>
        <v>0.5714285714285714</v>
      </c>
    </row>
    <row r="164" spans="1:37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86">
        <f>AVERAGEIFS($C$2:C164, $B$2:B164, B164)</f>
        <v>13.9</v>
      </c>
      <c r="AI164" s="86">
        <f>AVERAGEIFS($I$2:I164, $B$2:B164, B164)</f>
        <v>0.44000000000000006</v>
      </c>
      <c r="AJ164" s="86">
        <f>AVERAGEIFS($J$2:J164, $B$2:B164, B164)</f>
        <v>0.47000000000000003</v>
      </c>
      <c r="AK164" s="86">
        <f>AVERAGEIFS($D$2:D164, $B$2:B164, B164)</f>
        <v>0.5</v>
      </c>
    </row>
    <row r="165" spans="1:37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86">
        <f>AVERAGEIFS($C$2:C165, $B$2:B165, B165)</f>
        <v>19.09090909090909</v>
      </c>
      <c r="AI165" s="86">
        <f>AVERAGEIFS($I$2:I165, $B$2:B165, B165)</f>
        <v>0.69090909090909092</v>
      </c>
      <c r="AJ165" s="86">
        <f>AVERAGEIFS($J$2:J165, $B$2:B165, B165)</f>
        <v>0.61636363636363634</v>
      </c>
      <c r="AK165" s="86">
        <f>AVERAGEIFS($D$2:D165, $B$2:B165, B165)</f>
        <v>0.72727272727272729</v>
      </c>
    </row>
    <row r="166" spans="1:37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86">
        <f>AVERAGEIFS($C$2:C166, $B$2:B166, B166)</f>
        <v>15.8</v>
      </c>
      <c r="AI166" s="86">
        <f>AVERAGEIFS($I$2:I166, $B$2:B166, B166)</f>
        <v>0.54500000000000004</v>
      </c>
      <c r="AJ166" s="86">
        <f>AVERAGEIFS($J$2:J166, $B$2:B166, B166)</f>
        <v>0.55899999999999994</v>
      </c>
      <c r="AK166" s="86">
        <f>AVERAGEIFS($D$2:D166, $B$2:B166, B166)</f>
        <v>0.6</v>
      </c>
    </row>
    <row r="167" spans="1:37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86">
        <f>AVERAGEIFS($C$2:C167, $B$2:B167, B167)</f>
        <v>5.75</v>
      </c>
      <c r="AI167" s="86">
        <f>AVERAGEIFS($I$2:I167, $B$2:B167, B167)</f>
        <v>0.375</v>
      </c>
      <c r="AJ167" s="86">
        <f>AVERAGEIFS($J$2:J167, $B$2:B167, B167)</f>
        <v>0.46</v>
      </c>
      <c r="AK167" s="86">
        <f>AVERAGEIFS($D$2:D167, $B$2:B167, B167)</f>
        <v>0.25</v>
      </c>
    </row>
    <row r="168" spans="1:37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17.899999999999999</v>
      </c>
      <c r="AI168" s="86">
        <f>AVERAGEIFS($I$2:I168, $B$2:B168, B168)</f>
        <v>0.375</v>
      </c>
      <c r="AJ168" s="86">
        <f>AVERAGEIFS($J$2:J168, $B$2:B168, B168)</f>
        <v>0.39799999999999996</v>
      </c>
      <c r="AK168" s="86">
        <f>AVERAGEIFS($D$2:D168, $B$2:B168, B168)</f>
        <v>0.3</v>
      </c>
    </row>
    <row r="169" spans="1:37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19.285714285714285</v>
      </c>
      <c r="AI169" s="86">
        <f>AVERAGEIFS($I$2:I169, $B$2:B169, B169)</f>
        <v>0.6071428571428571</v>
      </c>
      <c r="AJ169" s="86">
        <f>AVERAGEIFS($J$2:J169, $B$2:B169, B169)</f>
        <v>0.52857142857142858</v>
      </c>
      <c r="AK169" s="86">
        <f>AVERAGEIFS($D$2:D169, $B$2:B169, B169)</f>
        <v>0.5714285714285714</v>
      </c>
    </row>
    <row r="170" spans="1:37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16</v>
      </c>
      <c r="AI170" s="86">
        <f>AVERAGEIFS($I$2:I170, $B$2:B170, B170)</f>
        <v>0.27499999999999997</v>
      </c>
      <c r="AJ170" s="86">
        <f>AVERAGEIFS($J$2:J170, $B$2:B170, B170)</f>
        <v>0.35499999999999998</v>
      </c>
      <c r="AK170" s="86">
        <f>AVERAGEIFS($D$2:D170, $B$2:B170, B170)</f>
        <v>0.16666666666666666</v>
      </c>
    </row>
    <row r="171" spans="1:37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13</v>
      </c>
      <c r="AI171" s="86">
        <f>AVERAGEIFS($I$2:I171, $B$2:B171, B171)</f>
        <v>0.27500000000000002</v>
      </c>
      <c r="AJ171" s="86">
        <f>AVERAGEIFS($J$2:J171, $B$2:B171, B171)</f>
        <v>0.34</v>
      </c>
      <c r="AK171" s="86">
        <f>AVERAGEIFS($D$2:D171, $B$2:B171, B171)</f>
        <v>0.25</v>
      </c>
    </row>
    <row r="172" spans="1:37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18.2</v>
      </c>
      <c r="AI172" s="86">
        <f>AVERAGEIFS($I$2:I172, $B$2:B172, B172)</f>
        <v>0.48</v>
      </c>
      <c r="AJ172" s="86">
        <f>AVERAGEIFS($J$2:J172, $B$2:B172, B172)</f>
        <v>0.49000000000000005</v>
      </c>
      <c r="AK172" s="86">
        <f>AVERAGEIFS($D$2:D172, $B$2:B172, B172)</f>
        <v>0.4</v>
      </c>
    </row>
    <row r="173" spans="1:37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86">
        <f>AVERAGEIFS($C$2:C173, $B$2:B173, B173)</f>
        <v>16.166666666666668</v>
      </c>
      <c r="AI173" s="86">
        <f>AVERAGEIFS($I$2:I173, $B$2:B173, B173)</f>
        <v>0.64166666666666672</v>
      </c>
      <c r="AJ173" s="86">
        <f>AVERAGEIFS($J$2:J173, $B$2:B173, B173)</f>
        <v>0.53500000000000003</v>
      </c>
      <c r="AK173" s="86">
        <f>AVERAGEIFS($D$2:D173, $B$2:B173, B173)</f>
        <v>0.83333333333333337</v>
      </c>
    </row>
    <row r="174" spans="1:37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86">
        <f>AVERAGEIFS($C$2:C174, $B$2:B174, B174)</f>
        <v>21.625</v>
      </c>
      <c r="AI174" s="86">
        <f>AVERAGEIFS($I$2:I174, $B$2:B174, B174)</f>
        <v>0.61250000000000004</v>
      </c>
      <c r="AJ174" s="86">
        <f>AVERAGEIFS($J$2:J174, $B$2:B174, B174)</f>
        <v>0.59249999999999992</v>
      </c>
      <c r="AK174" s="86">
        <f>AVERAGEIFS($D$2:D174, $B$2:B174, B174)</f>
        <v>0.625</v>
      </c>
    </row>
    <row r="175" spans="1:37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86">
        <f>AVERAGEIFS($C$2:C175, $B$2:B175, B175)</f>
        <v>18.5</v>
      </c>
      <c r="AI175" s="86">
        <f>AVERAGEIFS($I$2:I175, $B$2:B175, B175)</f>
        <v>0.52500000000000002</v>
      </c>
      <c r="AJ175" s="86">
        <f>AVERAGEIFS($J$2:J175, $B$2:B175, B175)</f>
        <v>0.51333333333333331</v>
      </c>
      <c r="AK175" s="86">
        <f>AVERAGEIFS($D$2:D175, $B$2:B175, B175)</f>
        <v>0.5</v>
      </c>
    </row>
    <row r="176" spans="1:37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86">
        <f>AVERAGEIFS($C$2:C176, $B$2:B176, B176)</f>
        <v>18</v>
      </c>
      <c r="AI176" s="86">
        <f>AVERAGEIFS($I$2:I176, $B$2:B176, B176)</f>
        <v>0.73888888888888893</v>
      </c>
      <c r="AJ176" s="86">
        <f>AVERAGEIFS($J$2:J176, $B$2:B176, B176)</f>
        <v>0.66222222222222227</v>
      </c>
      <c r="AK176" s="86">
        <f>AVERAGEIFS($D$2:D176, $B$2:B176, B176)</f>
        <v>0.77777777777777779</v>
      </c>
    </row>
    <row r="177" spans="1:37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86">
        <f>AVERAGEIFS($C$2:C177, $B$2:B177, B177)</f>
        <v>15.636363636363637</v>
      </c>
      <c r="AI177" s="86">
        <f>AVERAGEIFS($I$2:I177, $B$2:B177, B177)</f>
        <v>0.5636363636363636</v>
      </c>
      <c r="AJ177" s="86">
        <f>AVERAGEIFS($J$2:J177, $B$2:B177, B177)</f>
        <v>0.56545454545454543</v>
      </c>
      <c r="AK177" s="86">
        <f>AVERAGEIFS($D$2:D177, $B$2:B177, B177)</f>
        <v>0.63636363636363635</v>
      </c>
    </row>
    <row r="178" spans="1:37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86">
        <f>AVERAGEIFS($C$2:C178, $B$2:B178, B178)</f>
        <v>9</v>
      </c>
      <c r="AI178" s="86">
        <f>AVERAGEIFS($I$2:I178, $B$2:B178, B178)</f>
        <v>0.45</v>
      </c>
      <c r="AJ178" s="86">
        <f>AVERAGEIFS($J$2:J178, $B$2:B178, B178)</f>
        <v>0.51333333333333331</v>
      </c>
      <c r="AK178" s="86">
        <f>AVERAGEIFS($D$2:D178, $B$2:B178, B178)</f>
        <v>0.66666666666666663</v>
      </c>
    </row>
    <row r="179" spans="1:37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86">
        <f>AVERAGEIFS($C$2:C179, $B$2:B179, B179)</f>
        <v>17.181818181818183</v>
      </c>
      <c r="AI179" s="86">
        <f>AVERAGEIFS($I$2:I179, $B$2:B179, B179)</f>
        <v>0.40909090909090912</v>
      </c>
      <c r="AJ179" s="86">
        <f>AVERAGEIFS($J$2:J179, $B$2:B179, B179)</f>
        <v>0.41909090909090901</v>
      </c>
      <c r="AK179" s="86">
        <f>AVERAGEIFS($D$2:D179, $B$2:B179, B179)</f>
        <v>0.36363636363636365</v>
      </c>
    </row>
    <row r="180" spans="1:37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20.46153846153846</v>
      </c>
      <c r="AI180" s="86">
        <f>AVERAGEIFS($I$2:I180, $B$2:B180, B180)</f>
        <v>0.41538461538461541</v>
      </c>
      <c r="AJ180" s="86">
        <f>AVERAGEIFS($J$2:J180, $B$2:B180, B180)</f>
        <v>0.47076923076923077</v>
      </c>
      <c r="AK180" s="86">
        <f>AVERAGEIFS($D$2:D180, $B$2:B180, B180)</f>
        <v>0.38461538461538464</v>
      </c>
    </row>
    <row r="181" spans="1:37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15.571428571428571</v>
      </c>
      <c r="AI181" s="86">
        <f>AVERAGEIFS($I$2:I181, $B$2:B181, B181)</f>
        <v>0.49285714285714288</v>
      </c>
      <c r="AJ181" s="86">
        <f>AVERAGEIFS($J$2:J181, $B$2:B181, B181)</f>
        <v>0.50428571428571434</v>
      </c>
      <c r="AK181" s="86">
        <f>AVERAGEIFS($D$2:D181, $B$2:B181, B181)</f>
        <v>0.5714285714285714</v>
      </c>
    </row>
    <row r="182" spans="1:37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16.142857142857142</v>
      </c>
      <c r="AI182" s="86">
        <f>AVERAGEIFS($I$2:I182, $B$2:B182, B182)</f>
        <v>0.58571428571428563</v>
      </c>
      <c r="AJ182" s="86">
        <f>AVERAGEIFS($J$2:J182, $B$2:B182, B182)</f>
        <v>0.51285714285714279</v>
      </c>
      <c r="AK182" s="86">
        <f>AVERAGEIFS($D$2:D182, $B$2:B182, B182)</f>
        <v>0.7142857142857143</v>
      </c>
    </row>
    <row r="183" spans="1:37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19</v>
      </c>
      <c r="AI183" s="86">
        <f>AVERAGEIFS($I$2:I183, $B$2:B183, B183)</f>
        <v>0.49090909090909096</v>
      </c>
      <c r="AJ183" s="86">
        <f>AVERAGEIFS($J$2:J183, $B$2:B183, B183)</f>
        <v>0.49545454545454548</v>
      </c>
      <c r="AK183" s="86">
        <f>AVERAGEIFS($D$2:D183, $B$2:B183, B183)</f>
        <v>0.45454545454545453</v>
      </c>
    </row>
    <row r="184" spans="1:37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13.636363636363637</v>
      </c>
      <c r="AI184" s="86">
        <f>AVERAGEIFS($I$2:I184, $B$2:B184, B184)</f>
        <v>0.42272727272727278</v>
      </c>
      <c r="AJ184" s="86">
        <f>AVERAGEIFS($J$2:J184, $B$2:B184, B184)</f>
        <v>0.46181818181818185</v>
      </c>
      <c r="AK184" s="86">
        <f>AVERAGEIFS($D$2:D184, $B$2:B184, B184)</f>
        <v>0.45454545454545453</v>
      </c>
    </row>
    <row r="185" spans="1:37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86">
        <f>AVERAGEIFS($C$2:C185, $B$2:B185, B185)</f>
        <v>6.2</v>
      </c>
      <c r="AI185" s="86">
        <f>AVERAGEIFS($I$2:I185, $B$2:B185, B185)</f>
        <v>0.35</v>
      </c>
      <c r="AJ185" s="86">
        <f>AVERAGEIFS($J$2:J185, $B$2:B185, B185)</f>
        <v>0.44400000000000006</v>
      </c>
      <c r="AK185" s="86">
        <f>AVERAGEIFS($D$2:D185, $B$2:B185, B185)</f>
        <v>0.2</v>
      </c>
    </row>
    <row r="186" spans="1:37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15.333333333333334</v>
      </c>
      <c r="AI186" s="86">
        <f>AVERAGEIFS($I$2:I186, $B$2:B186, B186)</f>
        <v>0.57916666666666672</v>
      </c>
      <c r="AJ186" s="86">
        <f>AVERAGEIFS($J$2:J186, $B$2:B186, B186)</f>
        <v>0.56499999999999995</v>
      </c>
      <c r="AK186" s="86">
        <f>AVERAGEIFS($D$2:D186, $B$2:B186, B186)</f>
        <v>0.66666666666666663</v>
      </c>
    </row>
    <row r="187" spans="1:37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22.111111111111111</v>
      </c>
      <c r="AI187" s="86">
        <f>AVERAGEIFS($I$2:I187, $B$2:B187, B187)</f>
        <v>0.62777777777777777</v>
      </c>
      <c r="AJ187" s="86">
        <f>AVERAGEIFS($J$2:J187, $B$2:B187, B187)</f>
        <v>0.5888888888888888</v>
      </c>
      <c r="AK187" s="86">
        <f>AVERAGEIFS($D$2:D187, $B$2:B187, B187)</f>
        <v>0.66666666666666663</v>
      </c>
    </row>
    <row r="188" spans="1:37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15.75</v>
      </c>
      <c r="AI188" s="86">
        <f>AVERAGEIFS($I$2:I188, $B$2:B188, B188)</f>
        <v>0.52500000000000002</v>
      </c>
      <c r="AJ188" s="86">
        <f>AVERAGEIFS($J$2:J188, $B$2:B188, B188)</f>
        <v>0.51124999999999998</v>
      </c>
      <c r="AK188" s="86">
        <f>AVERAGEIFS($D$2:D188, $B$2:B188, B188)</f>
        <v>0.625</v>
      </c>
    </row>
    <row r="189" spans="1:37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18.600000000000001</v>
      </c>
      <c r="AI189" s="86">
        <f>AVERAGEIFS($I$2:I189, $B$2:B189, B189)</f>
        <v>0.74</v>
      </c>
      <c r="AJ189" s="86">
        <f>AVERAGEIFS($J$2:J189, $B$2:B189, B189)</f>
        <v>0.65199999999999991</v>
      </c>
      <c r="AK189" s="86">
        <f>AVERAGEIFS($D$2:D189, $B$2:B189, B189)</f>
        <v>0.8</v>
      </c>
    </row>
    <row r="190" spans="1:37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13.583333333333334</v>
      </c>
      <c r="AI190" s="86">
        <f>AVERAGEIFS($I$2:I190, $B$2:B190, B190)</f>
        <v>0.45</v>
      </c>
      <c r="AJ190" s="86">
        <f>AVERAGEIFS($J$2:J190, $B$2:B190, B190)</f>
        <v>0.47000000000000003</v>
      </c>
      <c r="AK190" s="86">
        <f>AVERAGEIFS($D$2:D190, $B$2:B190, B190)</f>
        <v>0.5</v>
      </c>
    </row>
    <row r="191" spans="1:37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86">
        <f>AVERAGEIFS($C$2:C191, $B$2:B191, B191)</f>
        <v>5</v>
      </c>
      <c r="AI191" s="86">
        <f>AVERAGEIFS($I$2:I191, $B$2:B191, B191)</f>
        <v>0.7</v>
      </c>
      <c r="AJ191" s="86">
        <f>AVERAGEIFS($J$2:J191, $B$2:B191, B191)</f>
        <v>0.56399999999999995</v>
      </c>
      <c r="AK191" s="86">
        <f>AVERAGEIFS($D$2:D191, $B$2:B191, B191)</f>
        <v>0.8</v>
      </c>
    </row>
    <row r="192" spans="1:37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86">
        <f>AVERAGEIFS($C$2:C192, $B$2:B192, B192)</f>
        <v>27.571428571428573</v>
      </c>
      <c r="AI192" s="86">
        <f>AVERAGEIFS($I$2:I192, $B$2:B192, B192)</f>
        <v>0.6</v>
      </c>
      <c r="AJ192" s="86">
        <f>AVERAGEIFS($J$2:J192, $B$2:B192, B192)</f>
        <v>0.54571428571428571</v>
      </c>
      <c r="AK192" s="86">
        <f>AVERAGEIFS($D$2:D192, $B$2:B192, B192)</f>
        <v>0.7142857142857143</v>
      </c>
    </row>
    <row r="193" spans="1:37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86">
        <f>AVERAGEIFS($C$2:C193, $B$2:B193, B193)</f>
        <v>17.285714285714285</v>
      </c>
      <c r="AI193" s="86">
        <f>AVERAGEIFS($I$2:I193, $B$2:B193, B193)</f>
        <v>0.48571428571428571</v>
      </c>
      <c r="AJ193" s="86">
        <f>AVERAGEIFS($J$2:J193, $B$2:B193, B193)</f>
        <v>0.50285714285714289</v>
      </c>
      <c r="AK193" s="86">
        <f>AVERAGEIFS($D$2:D193, $B$2:B193, B193)</f>
        <v>0.42857142857142855</v>
      </c>
    </row>
    <row r="194" spans="1:37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86">
        <f>AVERAGEIFS($C$2:C194, $B$2:B194, B194)</f>
        <v>19.75</v>
      </c>
      <c r="AI194" s="86">
        <f>AVERAGEIFS($I$2:I194, $B$2:B194, B194)</f>
        <v>0.65416666666666667</v>
      </c>
      <c r="AJ194" s="86">
        <f>AVERAGEIFS($J$2:J194, $B$2:B194, B194)</f>
        <v>0.60166666666666668</v>
      </c>
      <c r="AK194" s="86">
        <f>AVERAGEIFS($D$2:D194, $B$2:B194, B194)</f>
        <v>0.66666666666666663</v>
      </c>
    </row>
    <row r="195" spans="1:37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86">
        <f>AVERAGEIFS($C$2:C195, $B$2:B195, B195)</f>
        <v>11.75</v>
      </c>
      <c r="AI195" s="86">
        <f>AVERAGEIFS($I$2:I195, $B$2:B195, B195)</f>
        <v>0.47499999999999998</v>
      </c>
      <c r="AJ195" s="86">
        <f>AVERAGEIFS($J$2:J195, $B$2:B195, B195)</f>
        <v>0.57000000000000006</v>
      </c>
      <c r="AK195" s="86">
        <f>AVERAGEIFS($D$2:D195, $B$2:B195, B195)</f>
        <v>0.25</v>
      </c>
    </row>
    <row r="196" spans="1:37" x14ac:dyDescent="0.25">
      <c r="A196" s="85">
        <v>46130</v>
      </c>
      <c r="B196" t="s">
        <v>167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86">
        <f>AVERAGEIFS($C$2:C196, $B$2:B196, B196)</f>
        <v>10</v>
      </c>
      <c r="AI196" s="86">
        <f>AVERAGEIFS($I$2:I196, $B$2:B196, B196)</f>
        <v>0.5</v>
      </c>
      <c r="AJ196" s="86">
        <f>AVERAGEIFS($J$2:J196, $B$2:B196, B196)</f>
        <v>0.5</v>
      </c>
      <c r="AK196" s="86">
        <f>AVERAGEIFS($D$2:D196, $B$2:B196, B196)</f>
        <v>0.5</v>
      </c>
    </row>
    <row r="197" spans="1:37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86">
        <f>AVERAGEIFS($C$2:C197, $B$2:B197, B197)</f>
        <v>12.7</v>
      </c>
      <c r="AI197" s="86">
        <f>AVERAGEIFS($I$2:I197, $B$2:B197, B197)</f>
        <v>0.41999999999999993</v>
      </c>
      <c r="AJ197" s="86">
        <f>AVERAGEIFS($J$2:J197, $B$2:B197, B197)</f>
        <v>0.45800000000000002</v>
      </c>
      <c r="AK197" s="86">
        <f>AVERAGEIFS($D$2:D197, $B$2:B197, B197)</f>
        <v>0.2</v>
      </c>
    </row>
    <row r="198" spans="1:37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86">
        <f>AVERAGEIFS($C$2:C198, $B$2:B198, B198)</f>
        <v>24.8</v>
      </c>
      <c r="AI198" s="86">
        <f>AVERAGEIFS($I$2:I198, $B$2:B198, B198)</f>
        <v>0.625</v>
      </c>
      <c r="AJ198" s="86">
        <f>AVERAGEIFS($J$2:J198, $B$2:B198, B198)</f>
        <v>0.58199999999999985</v>
      </c>
      <c r="AK198" s="86">
        <f>AVERAGEIFS($D$2:D198, $B$2:B198, B198)</f>
        <v>0.7</v>
      </c>
    </row>
    <row r="199" spans="1:37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86">
        <f>AVERAGEIFS($C$2:C199, $B$2:B199, B199)</f>
        <v>20.083333333333332</v>
      </c>
      <c r="AI199" s="86">
        <f>AVERAGEIFS($I$2:I199, $B$2:B199, B199)</f>
        <v>0.5</v>
      </c>
      <c r="AJ199" s="86">
        <f>AVERAGEIFS($J$2:J199, $B$2:B199, B199)</f>
        <v>0.49750000000000005</v>
      </c>
      <c r="AK199" s="86">
        <f>AVERAGEIFS($D$2:D199, $B$2:B199, B199)</f>
        <v>0.5</v>
      </c>
    </row>
    <row r="200" spans="1:37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86">
        <f>AVERAGEIFS($C$2:C200, $B$2:B200, B200)</f>
        <v>16</v>
      </c>
      <c r="AI200" s="86">
        <f>AVERAGEIFS($I$2:I200, $B$2:B200, B200)</f>
        <v>0.5807692307692307</v>
      </c>
      <c r="AJ200" s="86">
        <f>AVERAGEIFS($J$2:J200, $B$2:B200, B200)</f>
        <v>0.56153846153846143</v>
      </c>
      <c r="AK200" s="86">
        <f>AVERAGEIFS($D$2:D200, $B$2:B200, B200)</f>
        <v>0.69230769230769229</v>
      </c>
    </row>
    <row r="201" spans="1:37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86">
        <f>AVERAGEIFS($C$2:C201, $B$2:B201, B201)</f>
        <v>14.23076923076923</v>
      </c>
      <c r="AI201" s="86">
        <f>AVERAGEIFS($I$2:I201, $B$2:B201, B201)</f>
        <v>0.46153846153846156</v>
      </c>
      <c r="AJ201" s="86">
        <f>AVERAGEIFS($J$2:J201, $B$2:B201, B201)</f>
        <v>0.47384615384615386</v>
      </c>
      <c r="AK201" s="86">
        <f>AVERAGEIFS($D$2:D201, $B$2:B201, B201)</f>
        <v>0.53846153846153844</v>
      </c>
    </row>
    <row r="202" spans="1:37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86">
        <f>AVERAGEIFS($C$2:C202, $B$2:B202, B202)</f>
        <v>11.5</v>
      </c>
      <c r="AI202" s="86">
        <f>AVERAGEIFS($I$2:I202, $B$2:B202, B202)</f>
        <v>0.48750000000000004</v>
      </c>
      <c r="AJ202" s="86">
        <f>AVERAGEIFS($J$2:J202, $B$2:B202, B202)</f>
        <v>0.51500000000000001</v>
      </c>
      <c r="AK202" s="86">
        <f>AVERAGEIFS($D$2:D202, $B$2:B202, B202)</f>
        <v>0.75</v>
      </c>
    </row>
    <row r="203" spans="1:37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86">
        <f>AVERAGEIFS($C$2:C203, $B$2:B203, B203)</f>
        <v>6.333333333333333</v>
      </c>
      <c r="AI203" s="86">
        <f>AVERAGEIFS($I$2:I203, $B$2:B203, B203)</f>
        <v>0.45</v>
      </c>
      <c r="AJ203" s="86">
        <f>AVERAGEIFS($J$2:J203, $B$2:B203, B203)</f>
        <v>0.47666666666666663</v>
      </c>
      <c r="AK203" s="86">
        <f>AVERAGEIFS($D$2:D203, $B$2:B203, B203)</f>
        <v>0.66666666666666663</v>
      </c>
    </row>
    <row r="204" spans="1:37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18.111111111111111</v>
      </c>
      <c r="AI204" s="86">
        <f>AVERAGEIFS($I$2:I204, $B$2:B204, B204)</f>
        <v>0.51111111111111118</v>
      </c>
      <c r="AJ204" s="86">
        <f>AVERAGEIFS($J$2:J204, $B$2:B204, B204)</f>
        <v>0.50777777777777777</v>
      </c>
      <c r="AK204" s="86">
        <f>AVERAGEIFS($D$2:D204, $B$2:B204, B204)</f>
        <v>0.55555555555555558</v>
      </c>
    </row>
    <row r="205" spans="1:37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86">
        <f>AVERAGEIFS($C$2:C205, $B$2:B205, B205)</f>
        <v>28.375</v>
      </c>
      <c r="AI205" s="86">
        <f>AVERAGEIFS($I$2:I205, $B$2:B205, B205)</f>
        <v>0.57500000000000007</v>
      </c>
      <c r="AJ205" s="86">
        <f>AVERAGEIFS($J$2:J205, $B$2:B205, B205)</f>
        <v>0.53749999999999998</v>
      </c>
      <c r="AK205" s="86">
        <f>AVERAGEIFS($D$2:D205, $B$2:B205, B205)</f>
        <v>0.625</v>
      </c>
    </row>
    <row r="206" spans="1:37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86">
        <f>AVERAGEIFS($C$2:C206, $B$2:B206, B206)</f>
        <v>20.53846153846154</v>
      </c>
      <c r="AI206" s="86">
        <f>AVERAGEIFS($I$2:I206, $B$2:B206, B206)</f>
        <v>0.63461538461538458</v>
      </c>
      <c r="AJ206" s="86">
        <f>AVERAGEIFS($J$2:J206, $B$2:B206, B206)</f>
        <v>0.5923076923076922</v>
      </c>
      <c r="AK206" s="86">
        <f>AVERAGEIFS($D$2:D206, $B$2:B206, B206)</f>
        <v>0.61538461538461542</v>
      </c>
    </row>
    <row r="207" spans="1:37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86">
        <f>AVERAGEIFS($C$2:C207, $B$2:B207, B207)</f>
        <v>14.2</v>
      </c>
      <c r="AI207" s="86">
        <f>AVERAGEIFS($I$2:I207, $B$2:B207, B207)</f>
        <v>0.45999999999999996</v>
      </c>
      <c r="AJ207" s="86">
        <f>AVERAGEIFS($J$2:J207, $B$2:B207, B207)</f>
        <v>0.55200000000000005</v>
      </c>
      <c r="AK207" s="86">
        <f>AVERAGEIFS($D$2:D207, $B$2:B207, B207)</f>
        <v>0.2</v>
      </c>
    </row>
    <row r="208" spans="1:37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86">
        <f>AVERAGEIFS($C$2:C208, $B$2:B208, B208)</f>
        <v>12.3</v>
      </c>
      <c r="AI208" s="86">
        <f>AVERAGEIFS($I$2:I208, $B$2:B208, B208)</f>
        <v>0.40499999999999997</v>
      </c>
      <c r="AJ208" s="86">
        <f>AVERAGEIFS($J$2:J208, $B$2:B208, B208)</f>
        <v>0.4549999999999999</v>
      </c>
      <c r="AK208" s="86">
        <f>AVERAGEIFS($D$2:D208, $B$2:B208, B208)</f>
        <v>0.3</v>
      </c>
    </row>
    <row r="209" spans="1:37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86">
        <f>AVERAGEIFS($C$2:C209, $B$2:B209, B209)</f>
        <v>5.166666666666667</v>
      </c>
      <c r="AI209" s="86">
        <f>AVERAGEIFS($I$2:I209, $B$2:B209, B209)</f>
        <v>0.65</v>
      </c>
      <c r="AJ209" s="86">
        <f>AVERAGEIFS($J$2:J209, $B$2:B209, B209)</f>
        <v>0.54999999999999993</v>
      </c>
      <c r="AK209" s="86">
        <f>AVERAGEIFS($D$2:D209, $B$2:B209, B209)</f>
        <v>0.66666666666666663</v>
      </c>
    </row>
    <row r="210" spans="1:37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86">
        <f>AVERAGEIFS($C$2:C210, $B$2:B210, B210)</f>
        <v>20.5</v>
      </c>
      <c r="AI210" s="86">
        <f>AVERAGEIFS($I$2:I210, $B$2:B210, B210)</f>
        <v>0.60624999999999996</v>
      </c>
      <c r="AJ210" s="86">
        <f>AVERAGEIFS($J$2:J210, $B$2:B210, B210)</f>
        <v>0.53499999999999992</v>
      </c>
      <c r="AK210" s="86">
        <f>AVERAGEIFS($D$2:D210, $B$2:B210, B210)</f>
        <v>0.625</v>
      </c>
    </row>
    <row r="211" spans="1:37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86">
        <f>AVERAGEIFS($C$2:C211, $B$2:B211, B211)</f>
        <v>28.222222222222221</v>
      </c>
      <c r="AI211" s="86">
        <f>AVERAGEIFS($I$2:I211, $B$2:B211, B211)</f>
        <v>0.57777777777777783</v>
      </c>
      <c r="AJ211" s="86">
        <f>AVERAGEIFS($J$2:J211, $B$2:B211, B211)</f>
        <v>0.54222222222222216</v>
      </c>
      <c r="AK211" s="86">
        <f>AVERAGEIFS($D$2:D211, $B$2:B211, B211)</f>
        <v>0.66666666666666663</v>
      </c>
    </row>
    <row r="212" spans="1:37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86">
        <f>AVERAGEIFS($C$2:C212, $B$2:B212, B212)</f>
        <v>17.5</v>
      </c>
      <c r="AI212" s="86">
        <f>AVERAGEIFS($I$2:I212, $B$2:B212, B212)</f>
        <v>0.42499999999999999</v>
      </c>
      <c r="AJ212" s="86">
        <f>AVERAGEIFS($J$2:J212, $B$2:B212, B212)</f>
        <v>0.43249999999999994</v>
      </c>
      <c r="AK212" s="86">
        <f>AVERAGEIFS($D$2:D212, $B$2:B212, B212)</f>
        <v>0.41666666666666669</v>
      </c>
    </row>
    <row r="213" spans="1:37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86">
        <f>AVERAGEIFS($C$2:C213, $B$2:B213, B213)</f>
        <v>16.75</v>
      </c>
      <c r="AI213" s="86">
        <f>AVERAGEIFS($I$2:I213, $B$2:B213, B213)</f>
        <v>0.58749999999999991</v>
      </c>
      <c r="AJ213" s="86">
        <f>AVERAGEIFS($J$2:J213, $B$2:B213, B213)</f>
        <v>0.52124999999999999</v>
      </c>
      <c r="AK213" s="86">
        <f>AVERAGEIFS($D$2:D213, $B$2:B213, B213)</f>
        <v>0.75</v>
      </c>
    </row>
    <row r="214" spans="1:37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86">
        <f>AVERAGEIFS($C$2:C214, $B$2:B214, B214)</f>
        <v>14.75</v>
      </c>
      <c r="AI214" s="86">
        <f>AVERAGEIFS($I$2:I214, $B$2:B214, B214)</f>
        <v>0.36249999999999999</v>
      </c>
      <c r="AJ214" s="86">
        <f>AVERAGEIFS($J$2:J214, $B$2:B214, B214)</f>
        <v>0.39249999999999996</v>
      </c>
      <c r="AK214" s="86">
        <f>AVERAGEIFS($D$2:D214, $B$2:B214, B214)</f>
        <v>0.5</v>
      </c>
    </row>
    <row r="215" spans="1:37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14.214285714285714</v>
      </c>
      <c r="AI215" s="86">
        <f>AVERAGEIFS($I$2:I215, $B$2:B215, B215)</f>
        <v>0.47142857142857142</v>
      </c>
      <c r="AJ215" s="86">
        <f>AVERAGEIFS($J$2:J215, $B$2:B215, B215)</f>
        <v>0.48142857142857143</v>
      </c>
      <c r="AK215" s="86">
        <f>AVERAGEIFS($D$2:D215, $B$2:B215, B215)</f>
        <v>0.5714285714285714</v>
      </c>
    </row>
    <row r="216" spans="1:37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86">
        <f>AVERAGEIFS($C$2:C216, $B$2:B216, B216)</f>
        <v>25.272727272727273</v>
      </c>
      <c r="AI216" s="86">
        <f>AVERAGEIFS($I$2:I216, $B$2:B216, B216)</f>
        <v>0.60454545454545461</v>
      </c>
      <c r="AJ216" s="86">
        <f>AVERAGEIFS($J$2:J216, $B$2:B216, B216)</f>
        <v>0.56727272727272715</v>
      </c>
      <c r="AK216" s="86">
        <f>AVERAGEIFS($D$2:D216, $B$2:B216, B216)</f>
        <v>0.63636363636363635</v>
      </c>
    </row>
    <row r="217" spans="1:37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86">
        <f>AVERAGEIFS($C$2:C217, $B$2:B217, B217)</f>
        <v>18.3</v>
      </c>
      <c r="AI217" s="86">
        <f>AVERAGEIFS($I$2:I217, $B$2:B217, B217)</f>
        <v>0.50000000000000011</v>
      </c>
      <c r="AJ217" s="86">
        <f>AVERAGEIFS($J$2:J217, $B$2:B217, B217)</f>
        <v>0.499</v>
      </c>
      <c r="AK217" s="86">
        <f>AVERAGEIFS($D$2:D217, $B$2:B217, B217)</f>
        <v>0.5</v>
      </c>
    </row>
    <row r="218" spans="1:37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86">
        <f>AVERAGEIFS($C$2:C218, $B$2:B218, B218)</f>
        <v>20</v>
      </c>
      <c r="AI218" s="86">
        <f>AVERAGEIFS($I$2:I218, $B$2:B218, B218)</f>
        <v>0.49230769230769234</v>
      </c>
      <c r="AJ218" s="86">
        <f>AVERAGEIFS($J$2:J218, $B$2:B218, B218)</f>
        <v>0.49153846153846159</v>
      </c>
      <c r="AK218" s="86">
        <f>AVERAGEIFS($D$2:D218, $B$2:B218, B218)</f>
        <v>0.46153846153846156</v>
      </c>
    </row>
    <row r="219" spans="1:37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86">
        <f>AVERAGEIFS($C$2:C219, $B$2:B219, B219)</f>
        <v>16.142857142857142</v>
      </c>
      <c r="AI219" s="86">
        <f>AVERAGEIFS($I$2:I219, $B$2:B219, B219)</f>
        <v>0.56785714285714284</v>
      </c>
      <c r="AJ219" s="86">
        <f>AVERAGEIFS($J$2:J219, $B$2:B219, B219)</f>
        <v>0.55142857142857138</v>
      </c>
      <c r="AK219" s="86">
        <f>AVERAGEIFS($D$2:D219, $B$2:B219, B219)</f>
        <v>0.6428571428571429</v>
      </c>
    </row>
    <row r="220" spans="1:37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86">
        <f>AVERAGEIFS($C$2:C220, $B$2:B220, B220)</f>
        <v>20.285714285714285</v>
      </c>
      <c r="AI220" s="86">
        <f>AVERAGEIFS($I$2:I220, $B$2:B220, B220)</f>
        <v>0.61785714285714288</v>
      </c>
      <c r="AJ220" s="86">
        <f>AVERAGEIFS($J$2:J220, $B$2:B220, B220)</f>
        <v>0.57999999999999996</v>
      </c>
      <c r="AK220" s="86">
        <f>AVERAGEIFS($D$2:D220, $B$2:B220, B220)</f>
        <v>0.5714285714285714</v>
      </c>
    </row>
    <row r="221" spans="1:37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86">
        <f>AVERAGEIFS($C$2:C221, $B$2:B221, B221)</f>
        <v>13.166666666666666</v>
      </c>
      <c r="AI221" s="86">
        <f>AVERAGEIFS($I$2:I221, $B$2:B221, B221)</f>
        <v>0.44999999999999996</v>
      </c>
      <c r="AJ221" s="86">
        <f>AVERAGEIFS($J$2:J221, $B$2:B221, B221)</f>
        <v>0.53</v>
      </c>
      <c r="AK221" s="86">
        <f>AVERAGEIFS($D$2:D221, $B$2:B221, B221)</f>
        <v>0.16666666666666666</v>
      </c>
    </row>
    <row r="222" spans="1:37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86">
        <f>AVERAGEIFS($C$2:C222, $B$2:B222, B222)</f>
        <v>20.714285714285715</v>
      </c>
      <c r="AI222" s="86">
        <f>AVERAGEIFS($I$2:I222, $B$2:B222, B222)</f>
        <v>0.43928571428571433</v>
      </c>
      <c r="AJ222" s="86">
        <f>AVERAGEIFS($J$2:J222, $B$2:B222, B222)</f>
        <v>0.47714285714285715</v>
      </c>
      <c r="AK222" s="86">
        <f>AVERAGEIFS($D$2:D222, $B$2:B222, B222)</f>
        <v>0.42857142857142855</v>
      </c>
    </row>
    <row r="223" spans="1:37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86">
        <f>AVERAGEIFS($C$2:C223, $B$2:B223, B223)</f>
        <v>17.333333333333332</v>
      </c>
      <c r="AI223" s="86">
        <f>AVERAGEIFS($I$2:I223, $B$2:B223, B223)</f>
        <v>0.60555555555555551</v>
      </c>
      <c r="AJ223" s="86">
        <f>AVERAGEIFS($J$2:J223, $B$2:B223, B223)</f>
        <v>0.52555555555555555</v>
      </c>
      <c r="AK223" s="86">
        <f>AVERAGEIFS($D$2:D223, $B$2:B223, B223)</f>
        <v>0.77777777777777779</v>
      </c>
    </row>
    <row r="224" spans="1:37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86">
        <f>AVERAGEIFS($C$2:C224, $B$2:B224, B224)</f>
        <v>14.428571428571429</v>
      </c>
      <c r="AI224" s="86">
        <f>AVERAGEIFS($I$2:I224, $B$2:B224, B224)</f>
        <v>0.49285714285714283</v>
      </c>
      <c r="AJ224" s="86">
        <f>AVERAGEIFS($J$2:J224, $B$2:B224, B224)</f>
        <v>0.53428571428571436</v>
      </c>
      <c r="AK224" s="86">
        <f>AVERAGEIFS($D$2:D224, $B$2:B224, B224)</f>
        <v>0.2857142857142857</v>
      </c>
    </row>
    <row r="225" spans="1:37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86">
        <f>AVERAGEIFS($C$2:C225, $B$2:B225, B225)</f>
        <v>17.76923076923077</v>
      </c>
      <c r="AI225" s="86">
        <f>AVERAGEIFS($I$2:I225, $B$2:B225, B225)</f>
        <v>0.44999999999999996</v>
      </c>
      <c r="AJ225" s="86">
        <f>AVERAGEIFS($J$2:J225, $B$2:B225, B225)</f>
        <v>0.44230769230769229</v>
      </c>
      <c r="AK225" s="86">
        <f>AVERAGEIFS($D$2:D225, $B$2:B225, B225)</f>
        <v>0.46153846153846156</v>
      </c>
    </row>
    <row r="226" spans="1:37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86">
        <f>AVERAGEIFS($C$2:C226, $B$2:B226, B226)</f>
        <v>18.545454545454547</v>
      </c>
      <c r="AI226" s="86">
        <f>AVERAGEIFS($I$2:I226, $B$2:B226, B226)</f>
        <v>0.74090909090909096</v>
      </c>
      <c r="AJ226" s="86">
        <f>AVERAGEIFS($J$2:J226, $B$2:B226, B226)</f>
        <v>0.64363636363636367</v>
      </c>
      <c r="AK226" s="86">
        <f>AVERAGEIFS($D$2:D226, $B$2:B226, B226)</f>
        <v>0.81818181818181823</v>
      </c>
    </row>
    <row r="227" spans="1:37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86">
        <f>AVERAGEIFS($C$2:C227, $B$2:B227, B227)</f>
        <v>20</v>
      </c>
      <c r="AI227" s="86">
        <f>AVERAGEIFS($I$2:I227, $B$2:B227, B227)</f>
        <v>0.62666666666666671</v>
      </c>
      <c r="AJ227" s="86">
        <f>AVERAGEIFS($J$2:J227, $B$2:B227, B227)</f>
        <v>0.57866666666666666</v>
      </c>
      <c r="AK227" s="86">
        <f>AVERAGEIFS($D$2:D227, $B$2:B227, B227)</f>
        <v>0.6</v>
      </c>
    </row>
    <row r="228" spans="1:37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86">
        <f>AVERAGEIFS($C$2:C228, $B$2:B228, B228)</f>
        <v>25.833333333333332</v>
      </c>
      <c r="AI228" s="86">
        <f>AVERAGEIFS($I$2:I228, $B$2:B228, B228)</f>
        <v>0.57500000000000007</v>
      </c>
      <c r="AJ228" s="86">
        <f>AVERAGEIFS($J$2:J228, $B$2:B228, B228)</f>
        <v>0.55666666666666653</v>
      </c>
      <c r="AK228" s="86">
        <f>AVERAGEIFS($D$2:D228, $B$2:B228, B228)</f>
        <v>0.58333333333333337</v>
      </c>
    </row>
    <row r="229" spans="1:37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86">
        <f>AVERAGEIFS($C$2:C229, $B$2:B229, B229)</f>
        <v>20.142857142857142</v>
      </c>
      <c r="AI229" s="86">
        <f>AVERAGEIFS($I$2:I229, $B$2:B229, B229)</f>
        <v>0.47500000000000003</v>
      </c>
      <c r="AJ229" s="86">
        <f>AVERAGEIFS($J$2:J229, $B$2:B229, B229)</f>
        <v>0.48785714285714293</v>
      </c>
      <c r="AK229" s="86">
        <f>AVERAGEIFS($D$2:D229, $B$2:B229, B229)</f>
        <v>0.42857142857142855</v>
      </c>
    </row>
    <row r="230" spans="1:37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86">
        <f>AVERAGEIFS($C$2:C230, $B$2:B230, B230)</f>
        <v>16</v>
      </c>
      <c r="AI230" s="86">
        <f>AVERAGEIFS($I$2:I230, $B$2:B230, B230)</f>
        <v>0.33999999999999997</v>
      </c>
      <c r="AJ230" s="86">
        <f>AVERAGEIFS($J$2:J230, $B$2:B230, B230)</f>
        <v>0.40199999999999997</v>
      </c>
      <c r="AK230" s="86">
        <f>AVERAGEIFS($D$2:D230, $B$2:B230, B230)</f>
        <v>0.4</v>
      </c>
    </row>
    <row r="231" spans="1:37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16.133333333333333</v>
      </c>
      <c r="AI231" s="86">
        <f>AVERAGEIFS($I$2:I231, $B$2:B231, B231)</f>
        <v>0.54666666666666663</v>
      </c>
      <c r="AJ231" s="86">
        <f>AVERAGEIFS($J$2:J231, $B$2:B231, B231)</f>
        <v>0.54399999999999993</v>
      </c>
      <c r="AK231" s="86">
        <f>AVERAGEIFS($D$2:D231, $B$2:B231, B231)</f>
        <v>0.6</v>
      </c>
    </row>
    <row r="232" spans="1:37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14.266666666666667</v>
      </c>
      <c r="AI232" s="86">
        <f>AVERAGEIFS($I$2:I232, $B$2:B232, B232)</f>
        <v>0.45666666666666667</v>
      </c>
      <c r="AJ232" s="86">
        <f>AVERAGEIFS($J$2:J232, $B$2:B232, B232)</f>
        <v>0.47866666666666668</v>
      </c>
      <c r="AK232" s="86">
        <f>AVERAGEIFS($D$2:D232, $B$2:B232, B232)</f>
        <v>0.53333333333333333</v>
      </c>
    </row>
    <row r="233" spans="1:37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17.818181818181817</v>
      </c>
      <c r="AI233" s="86">
        <f>AVERAGEIFS($I$2:I233, $B$2:B233, B233)</f>
        <v>0.47727272727272735</v>
      </c>
      <c r="AJ233" s="86">
        <f>AVERAGEIFS($J$2:J233, $B$2:B233, B233)</f>
        <v>0.49363636363636371</v>
      </c>
      <c r="AK233" s="86">
        <f>AVERAGEIFS($D$2:D233, $B$2:B233, B233)</f>
        <v>0.45454545454545453</v>
      </c>
    </row>
    <row r="234" spans="1:37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21.733333333333334</v>
      </c>
      <c r="AI234" s="86">
        <f>AVERAGEIFS($I$2:I234, $B$2:B234, B234)</f>
        <v>0.45</v>
      </c>
      <c r="AJ234" s="86">
        <f>AVERAGEIFS($J$2:J234, $B$2:B234, B234)</f>
        <v>0.48133333333333334</v>
      </c>
      <c r="AK234" s="86">
        <f>AVERAGEIFS($D$2:D234, $B$2:B234, B234)</f>
        <v>0.46666666666666667</v>
      </c>
    </row>
    <row r="235" spans="1:37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19.166666666666668</v>
      </c>
      <c r="AI235" s="86">
        <f>AVERAGEIFS($I$2:I235, $B$2:B235, B235)</f>
        <v>0.48750000000000004</v>
      </c>
      <c r="AJ235" s="86">
        <f>AVERAGEIFS($J$2:J235, $B$2:B235, B235)</f>
        <v>0.49750000000000005</v>
      </c>
      <c r="AK235" s="86">
        <f>AVERAGEIFS($D$2:D235, $B$2:B235, B235)</f>
        <v>0.5</v>
      </c>
    </row>
    <row r="236" spans="1:37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86">
        <f>AVERAGEIFS($C$2:C236, $B$2:B236, B236)</f>
        <v>15.0625</v>
      </c>
      <c r="AI236" s="86">
        <f>AVERAGEIFS($I$2:I236, $B$2:B236, B236)</f>
        <v>0.46562499999999996</v>
      </c>
      <c r="AJ236" s="86">
        <f>AVERAGEIFS($J$2:J236, $B$2:B236, B236)</f>
        <v>0.48250000000000004</v>
      </c>
      <c r="AK236" s="86">
        <f>AVERAGEIFS($D$2:D236, $B$2:B236, B236)</f>
        <v>0.5625</v>
      </c>
    </row>
    <row r="237" spans="1:37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86">
        <f>AVERAGEIFS($C$2:C237, $B$2:B237, B237)</f>
        <v>18.399999999999999</v>
      </c>
      <c r="AI237" s="86">
        <f>AVERAGEIFS($I$2:I237, $B$2:B237, B237)</f>
        <v>0.60499999999999987</v>
      </c>
      <c r="AJ237" s="86">
        <f>AVERAGEIFS($J$2:J237, $B$2:B237, B237)</f>
        <v>0.52700000000000002</v>
      </c>
      <c r="AK237" s="86">
        <f>AVERAGEIFS($D$2:D237, $B$2:B237, B237)</f>
        <v>0.8</v>
      </c>
    </row>
    <row r="238" spans="1:37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86">
        <f>AVERAGEIFS($C$2:C238, $B$2:B238, B238)</f>
        <v>16.875</v>
      </c>
      <c r="AI238" s="86">
        <f>AVERAGEIFS($I$2:I238, $B$2:B238, B238)</f>
        <v>0.54999999999999993</v>
      </c>
      <c r="AJ238" s="86">
        <f>AVERAGEIFS($J$2:J238, $B$2:B238, B238)</f>
        <v>0.54374999999999996</v>
      </c>
      <c r="AK238" s="86">
        <f>AVERAGEIFS($D$2:D238, $B$2:B238, B238)</f>
        <v>0.625</v>
      </c>
    </row>
    <row r="239" spans="1:37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86">
        <f>AVERAGEIFS($C$2:C239, $B$2:B239, B239)</f>
        <v>15.875</v>
      </c>
      <c r="AI239" s="86">
        <f>AVERAGEIFS($I$2:I239, $B$2:B239, B239)</f>
        <v>0.50624999999999998</v>
      </c>
      <c r="AJ239" s="86">
        <f>AVERAGEIFS($J$2:J239, $B$2:B239, B239)</f>
        <v>0.53500000000000003</v>
      </c>
      <c r="AK239" s="86">
        <f>AVERAGEIFS($D$2:D239, $B$2:B239, B239)</f>
        <v>0.375</v>
      </c>
    </row>
    <row r="240" spans="1:37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86">
        <f>AVERAGEIFS($C$2:C240, $B$2:B240, B240)</f>
        <v>6.833333333333333</v>
      </c>
      <c r="AI240" s="86">
        <f>AVERAGEIFS($I$2:I240, $B$2:B240, B240)</f>
        <v>0.39166666666666666</v>
      </c>
      <c r="AJ240" s="86">
        <f>AVERAGEIFS($J$2:J240, $B$2:B240, B240)</f>
        <v>0.46</v>
      </c>
      <c r="AK240" s="86">
        <f>AVERAGEIFS($D$2:D240, $B$2:B240, B240)</f>
        <v>0.33333333333333331</v>
      </c>
    </row>
    <row r="241" spans="1:37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10</v>
      </c>
      <c r="AI241" s="86">
        <f>AVERAGEIFS($I$2:I241, $B$2:B241, B241)</f>
        <v>0.48750000000000004</v>
      </c>
      <c r="AJ241" s="86">
        <f>AVERAGEIFS($J$2:J241, $B$2:B241, B241)</f>
        <v>0.49249999999999999</v>
      </c>
      <c r="AK241" s="86">
        <f>AVERAGEIFS($D$2:D241, $B$2:B241, B241)</f>
        <v>0.75</v>
      </c>
    </row>
    <row r="242" spans="1:37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86">
        <f>AVERAGEIFS($C$2:C242, $B$2:B242, B242)</f>
        <v>23.444444444444443</v>
      </c>
      <c r="AI242" s="86">
        <f>AVERAGEIFS($I$2:I242, $B$2:B242, B242)</f>
        <v>0.58333333333333337</v>
      </c>
      <c r="AJ242" s="86">
        <f>AVERAGEIFS($J$2:J242, $B$2:B242, B242)</f>
        <v>0.52666666666666662</v>
      </c>
      <c r="AK242" s="86">
        <f>AVERAGEIFS($D$2:D242, $B$2:B242, B242)</f>
        <v>0.55555555555555558</v>
      </c>
    </row>
    <row r="243" spans="1:37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86">
        <f>AVERAGEIFS($C$2:C243, $B$2:B243, B243)</f>
        <v>16.875</v>
      </c>
      <c r="AI243" s="86">
        <f>AVERAGEIFS($I$2:I243, $B$2:B243, B243)</f>
        <v>0.47499999999999998</v>
      </c>
      <c r="AJ243" s="86">
        <f>AVERAGEIFS($J$2:J243, $B$2:B243, B243)</f>
        <v>0.4975</v>
      </c>
      <c r="AK243" s="86">
        <f>AVERAGEIFS($D$2:D243, $B$2:B243, B243)</f>
        <v>0.375</v>
      </c>
    </row>
    <row r="244" spans="1:37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86">
        <f>AVERAGEIFS($C$2:C244, $B$2:B244, B244)</f>
        <v>20</v>
      </c>
      <c r="AI244" s="86">
        <f>AVERAGEIFS($I$2:I244, $B$2:B244, B244)</f>
        <v>0.61250000000000004</v>
      </c>
      <c r="AJ244" s="86">
        <f>AVERAGEIFS($J$2:J244, $B$2:B244, B244)</f>
        <v>0.57125000000000004</v>
      </c>
      <c r="AK244" s="86">
        <f>AVERAGEIFS($D$2:D244, $B$2:B244, B244)</f>
        <v>0.5625</v>
      </c>
    </row>
    <row r="245" spans="1:37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86">
        <f>AVERAGEIFS($C$2:C245, $B$2:B245, B245)</f>
        <v>17</v>
      </c>
      <c r="AI245" s="86">
        <f>AVERAGEIFS($I$2:I245, $B$2:B245, B245)</f>
        <v>0.35000000000000003</v>
      </c>
      <c r="AJ245" s="86">
        <f>AVERAGEIFS($J$2:J245, $B$2:B245, B245)</f>
        <v>0.41166666666666663</v>
      </c>
      <c r="AK245" s="86">
        <f>AVERAGEIFS($D$2:D245, $B$2:B245, B245)</f>
        <v>0.33333333333333331</v>
      </c>
    </row>
    <row r="246" spans="1:37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86">
        <f>AVERAGEIFS($C$2:C246, $B$2:B246, B246)</f>
        <v>15.5</v>
      </c>
      <c r="AI246" s="86">
        <f>AVERAGEIFS($I$2:I246, $B$2:B246, B246)</f>
        <v>0.32500000000000001</v>
      </c>
      <c r="AJ246" s="86">
        <f>AVERAGEIFS($J$2:J246, $B$2:B246, B246)</f>
        <v>0.45</v>
      </c>
      <c r="AK246" s="86">
        <f>AVERAGEIFS($D$2:D246, $B$2:B246, B246)</f>
        <v>0</v>
      </c>
    </row>
    <row r="247" spans="1:37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86">
        <f>AVERAGEIFS($C$2:C247, $B$2:B247, B247)</f>
        <v>15</v>
      </c>
      <c r="AI247" s="86">
        <f>AVERAGEIFS($I$2:I247, $B$2:B247, B247)</f>
        <v>0.4</v>
      </c>
      <c r="AJ247" s="86">
        <f>AVERAGEIFS($J$2:J247, $B$2:B247, B247)</f>
        <v>0.46</v>
      </c>
      <c r="AK247" s="86">
        <f>AVERAGEIFS($D$2:D247, $B$2:B247, B247)</f>
        <v>0</v>
      </c>
    </row>
    <row r="248" spans="1:37" x14ac:dyDescent="0.25">
      <c r="A248" s="85">
        <v>46139</v>
      </c>
      <c r="B248" t="s">
        <v>178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86">
        <f>AVERAGEIFS($C$2:C248, $B$2:B248, B248)</f>
        <v>16</v>
      </c>
      <c r="AI248" s="86">
        <f>AVERAGEIFS($I$2:I248, $B$2:B248, B248)</f>
        <v>0.4</v>
      </c>
      <c r="AJ248" s="86">
        <f>AVERAGEIFS($J$2:J248, $B$2:B248, B248)</f>
        <v>0.46</v>
      </c>
      <c r="AK248" s="86">
        <f>AVERAGEIFS($D$2:D248, $B$2:B248, B248)</f>
        <v>0</v>
      </c>
    </row>
    <row r="249" spans="1:37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86">
        <f>AVERAGEIFS($C$2:C249, $B$2:B249, B249)</f>
        <v>7.8571428571428568</v>
      </c>
      <c r="AI249" s="86">
        <f>AVERAGEIFS($I$2:I249, $B$2:B249, B249)</f>
        <v>0.61428571428571421</v>
      </c>
      <c r="AJ249" s="86">
        <f>AVERAGEIFS($J$2:J249, $B$2:B249, B249)</f>
        <v>0.53714285714285714</v>
      </c>
      <c r="AK249" s="86">
        <f>AVERAGEIFS($D$2:D249, $B$2:B249, B249)</f>
        <v>0.5714285714285714</v>
      </c>
    </row>
    <row r="250" spans="1:37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26.153846153846153</v>
      </c>
      <c r="AI250" s="86">
        <f>AVERAGEIFS($I$2:I250, $B$2:B250, B250)</f>
        <v>0.55000000000000004</v>
      </c>
      <c r="AJ250" s="86">
        <f>AVERAGEIFS($J$2:J250, $B$2:B250, B250)</f>
        <v>0.54999999999999993</v>
      </c>
      <c r="AK250" s="86">
        <f>AVERAGEIFS($D$2:D250, $B$2:B250, B250)</f>
        <v>0.53846153846153844</v>
      </c>
    </row>
    <row r="251" spans="1:37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16.777777777777779</v>
      </c>
      <c r="AI251" s="86">
        <f>AVERAGEIFS($I$2:I251, $B$2:B251, B251)</f>
        <v>0.44999999999999996</v>
      </c>
      <c r="AJ251" s="86">
        <f>AVERAGEIFS($J$2:J251, $B$2:B251, B251)</f>
        <v>0.49444444444444446</v>
      </c>
      <c r="AK251" s="86">
        <f>AVERAGEIFS($D$2:D251, $B$2:B251, B251)</f>
        <v>0.33333333333333331</v>
      </c>
    </row>
    <row r="252" spans="1:37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20.6</v>
      </c>
      <c r="AI252" s="86">
        <f>AVERAGEIFS($I$2:I252, $B$2:B252, B252)</f>
        <v>0.46</v>
      </c>
      <c r="AJ252" s="86">
        <f>AVERAGEIFS($J$2:J252, $B$2:B252, B252)</f>
        <v>0.48666666666666669</v>
      </c>
      <c r="AK252" s="86">
        <f>AVERAGEIFS($D$2:D252, $B$2:B252, B252)</f>
        <v>0.4</v>
      </c>
    </row>
    <row r="253" spans="1:37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12.909090909090908</v>
      </c>
      <c r="AI253" s="86">
        <f>AVERAGEIFS($I$2:I253, $B$2:B253, B253)</f>
        <v>0.40454545454545449</v>
      </c>
      <c r="AJ253" s="86">
        <f>AVERAGEIFS($J$2:J253, $B$2:B253, B253)</f>
        <v>0.45909090909090905</v>
      </c>
      <c r="AK253" s="86">
        <f>AVERAGEIFS($D$2:D253, $B$2:B253, B253)</f>
        <v>0.18181818181818182</v>
      </c>
    </row>
    <row r="254" spans="1:37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15.666666666666666</v>
      </c>
      <c r="AI254" s="86">
        <f>AVERAGEIFS($I$2:I254, $B$2:B254, B254)</f>
        <v>0.47777777777777775</v>
      </c>
      <c r="AJ254" s="86">
        <f>AVERAGEIFS($J$2:J254, $B$2:B254, B254)</f>
        <v>0.52777777777777779</v>
      </c>
      <c r="AK254" s="86">
        <f>AVERAGEIFS($D$2:D254, $B$2:B254, B254)</f>
        <v>0.33333333333333331</v>
      </c>
    </row>
    <row r="255" spans="1:37" x14ac:dyDescent="0.25">
      <c r="A255" s="85">
        <v>46140</v>
      </c>
      <c r="B255" t="s">
        <v>178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13</v>
      </c>
      <c r="AI255" s="86">
        <f>AVERAGEIFS($I$2:I255, $B$2:B255, B255)</f>
        <v>0.32500000000000001</v>
      </c>
      <c r="AJ255" s="86">
        <f>AVERAGEIFS($J$2:J255, $B$2:B255, B255)</f>
        <v>0.46499999999999997</v>
      </c>
      <c r="AK255" s="86">
        <f>AVERAGEIFS($D$2:D255, $B$2:B255, B255)</f>
        <v>0</v>
      </c>
    </row>
    <row r="256" spans="1:37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27.6</v>
      </c>
      <c r="AI256" s="86">
        <f>AVERAGEIFS($I$2:I256, $B$2:B256, B256)</f>
        <v>0.59499999999999997</v>
      </c>
      <c r="AJ256" s="86">
        <f>AVERAGEIFS($J$2:J256, $B$2:B256, B256)</f>
        <v>0.54100000000000004</v>
      </c>
      <c r="AK256" s="86">
        <f>AVERAGEIFS($D$2:D256, $B$2:B256, B256)</f>
        <v>0.7</v>
      </c>
    </row>
    <row r="257" spans="1:37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86">
        <f>AVERAGEIFS($C$2:C257, $B$2:B257, B257)</f>
        <v>22</v>
      </c>
      <c r="AI257" s="86">
        <f>AVERAGEIFS($I$2:I257, $B$2:B257, B257)</f>
        <v>0.46875</v>
      </c>
      <c r="AJ257" s="86">
        <f>AVERAGEIFS($J$2:J257, $B$2:B257, B257)</f>
        <v>0.484375</v>
      </c>
      <c r="AK257" s="86">
        <f>AVERAGEIFS($D$2:D257, $B$2:B257, B257)</f>
        <v>0.5</v>
      </c>
    </row>
    <row r="258" spans="1:37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86">
        <f>AVERAGEIFS($C$2:C258, $B$2:B258, B258)</f>
        <v>17.714285714285715</v>
      </c>
      <c r="AI258" s="86">
        <f>AVERAGEIFS($I$2:I258, $B$2:B258, B258)</f>
        <v>0.47142857142857142</v>
      </c>
      <c r="AJ258" s="86">
        <f>AVERAGEIFS($J$2:J258, $B$2:B258, B258)</f>
        <v>0.44857142857142857</v>
      </c>
      <c r="AK258" s="86">
        <f>AVERAGEIFS($D$2:D258, $B$2:B258, B258)</f>
        <v>0.5</v>
      </c>
    </row>
    <row r="259" spans="1:37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86">
        <f>AVERAGEIFS($C$2:C259, $B$2:B259, B259)</f>
        <v>13</v>
      </c>
      <c r="AI259" s="86">
        <f>AVERAGEIFS($I$2:I259, $B$2:B259, B259)</f>
        <v>0.54</v>
      </c>
      <c r="AJ259" s="86">
        <f>AVERAGEIFS($J$2:J259, $B$2:B259, B259)</f>
        <v>0.51800000000000002</v>
      </c>
      <c r="AK259" s="86">
        <f>AVERAGEIFS($D$2:D259, $B$2:B259, B259)</f>
        <v>0.8</v>
      </c>
    </row>
    <row r="260" spans="1:37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86">
        <f>AVERAGEIFS($C$2:C260, $B$2:B260, B260)</f>
        <v>16</v>
      </c>
      <c r="AI260" s="86">
        <f>AVERAGEIFS($I$2:I260, $B$2:B260, B260)</f>
        <v>0.46666666666666662</v>
      </c>
      <c r="AJ260" s="86">
        <f>AVERAGEIFS($J$2:J260, $B$2:B260, B260)</f>
        <v>0.47666666666666674</v>
      </c>
      <c r="AK260" s="86">
        <f>AVERAGEIFS($D$2:D260, $B$2:B260, B260)</f>
        <v>0.33333333333333331</v>
      </c>
    </row>
    <row r="261" spans="1:37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86">
        <f>AVERAGEIFS($C$2:C261, $B$2:B261, B261)</f>
        <v>12.090909090909092</v>
      </c>
      <c r="AI261" s="86">
        <f>AVERAGEIFS($I$2:I261, $B$2:B261, B261)</f>
        <v>0.43636363636363634</v>
      </c>
      <c r="AJ261" s="86">
        <f>AVERAGEIFS($J$2:J261, $B$2:B261, B261)</f>
        <v>0.46181818181818174</v>
      </c>
      <c r="AK261" s="86">
        <f>AVERAGEIFS($D$2:D261, $B$2:B261, B261)</f>
        <v>0.36363636363636365</v>
      </c>
    </row>
    <row r="262" spans="1:37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86">
        <f>AVERAGEIFS($C$2:C262, $B$2:B262, B262)</f>
        <v>18.923076923076923</v>
      </c>
      <c r="AI262" s="86">
        <f>AVERAGEIFS($I$2:I262, $B$2:B262, B262)</f>
        <v>0.52692307692307694</v>
      </c>
      <c r="AJ262" s="86">
        <f>AVERAGEIFS($J$2:J262, $B$2:B262, B262)</f>
        <v>0.50846153846153852</v>
      </c>
      <c r="AK262" s="86">
        <f>AVERAGEIFS($D$2:D262, $B$2:B262, B262)</f>
        <v>0.53846153846153844</v>
      </c>
    </row>
    <row r="263" spans="1:37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86">
        <f>AVERAGEIFS($C$2:C263, $B$2:B263, B263)</f>
        <v>16.705882352941178</v>
      </c>
      <c r="AI263" s="86">
        <f>AVERAGEIFS($I$2:I263, $B$2:B263, B263)</f>
        <v>0.57647058823529407</v>
      </c>
      <c r="AJ263" s="86">
        <f>AVERAGEIFS($J$2:J263, $B$2:B263, B263)</f>
        <v>0.54941176470588238</v>
      </c>
      <c r="AK263" s="86">
        <f>AVERAGEIFS($D$2:D263, $B$2:B263, B263)</f>
        <v>0.6470588235294118</v>
      </c>
    </row>
    <row r="264" spans="1:37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86">
        <f>AVERAGEIFS($C$2:C264, $B$2:B264, B264)</f>
        <v>21.882352941176471</v>
      </c>
      <c r="AI264" s="86">
        <f>AVERAGEIFS($I$2:I264, $B$2:B264, B264)</f>
        <v>0.5</v>
      </c>
      <c r="AJ264" s="86">
        <f>AVERAGEIFS($J$2:J264, $B$2:B264, B264)</f>
        <v>0.49352941176470594</v>
      </c>
      <c r="AK264" s="86">
        <f>AVERAGEIFS($D$2:D264, $B$2:B264, B264)</f>
        <v>0.52941176470588236</v>
      </c>
    </row>
    <row r="265" spans="1:37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86">
        <f>AVERAGEIFS($C$2:C265, $B$2:B265, B265)</f>
        <v>10.5</v>
      </c>
      <c r="AI265" s="86">
        <f>AVERAGEIFS($I$2:I265, $B$2:B265, B265)</f>
        <v>0.7</v>
      </c>
      <c r="AJ265" s="86">
        <f>AVERAGEIFS($J$2:J265, $B$2:B265, B265)</f>
        <v>0.55000000000000004</v>
      </c>
      <c r="AK265" s="86">
        <f>AVERAGEIFS($D$2:D265, $B$2:B265, B265)</f>
        <v>0.5</v>
      </c>
    </row>
    <row r="266" spans="1:37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86">
        <f>AVERAGEIFS($C$2:C266, $B$2:B266, B266)</f>
        <v>12.666666666666666</v>
      </c>
      <c r="AI266" s="86">
        <f>AVERAGEIFS($I$2:I266, $B$2:B266, B266)</f>
        <v>0.45416666666666661</v>
      </c>
      <c r="AJ266" s="86">
        <f>AVERAGEIFS($J$2:J266, $B$2:B266, B266)</f>
        <v>0.47416666666666663</v>
      </c>
      <c r="AK266" s="86">
        <f>AVERAGEIFS($D$2:D266, $B$2:B266, B266)</f>
        <v>0.25</v>
      </c>
    </row>
    <row r="267" spans="1:37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86">
        <f>AVERAGEIFS($C$2:C267, $B$2:B267, B267)</f>
        <v>18</v>
      </c>
      <c r="AI267" s="86">
        <f>AVERAGEIFS($I$2:I267, $B$2:B267, B267)</f>
        <v>0.64090909090909076</v>
      </c>
      <c r="AJ267" s="86">
        <f>AVERAGEIFS($J$2:J267, $B$2:B267, B267)</f>
        <v>0.53727272727272724</v>
      </c>
      <c r="AK267" s="86">
        <f>AVERAGEIFS($D$2:D267, $B$2:B267, B267)</f>
        <v>0.81818181818181823</v>
      </c>
    </row>
    <row r="268" spans="1:37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86">
        <f>AVERAGEIFS($C$2:C268, $B$2:B268, B268)</f>
        <v>16.100000000000001</v>
      </c>
      <c r="AI268" s="86">
        <f>AVERAGEIFS($I$2:I268, $B$2:B268, B268)</f>
        <v>0.40499999999999997</v>
      </c>
      <c r="AJ268" s="86">
        <f>AVERAGEIFS($J$2:J268, $B$2:B268, B268)</f>
        <v>0.48100000000000004</v>
      </c>
      <c r="AK268" s="86">
        <f>AVERAGEIFS($D$2:D268, $B$2:B268, B268)</f>
        <v>0.3</v>
      </c>
    </row>
    <row r="269" spans="1:37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22.6</v>
      </c>
      <c r="AI269" s="86">
        <f>AVERAGEIFS($I$2:I269, $B$2:B269, B269)</f>
        <v>0.52500000000000002</v>
      </c>
      <c r="AJ269" s="86">
        <f>AVERAGEIFS($J$2:J269, $B$2:B269, B269)</f>
        <v>0.51</v>
      </c>
      <c r="AK269" s="86">
        <f>AVERAGEIFS($D$2:D269, $B$2:B269, B269)</f>
        <v>0.5</v>
      </c>
    </row>
    <row r="270" spans="1:37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17.333333333333332</v>
      </c>
      <c r="AI270" s="86">
        <f>AVERAGEIFS($I$2:I270, $B$2:B270, B270)</f>
        <v>0.44</v>
      </c>
      <c r="AJ270" s="86">
        <f>AVERAGEIFS($J$2:J270, $B$2:B270, B270)</f>
        <v>0.44266666666666671</v>
      </c>
      <c r="AK270" s="86">
        <f>AVERAGEIFS($D$2:D270, $B$2:B270, B270)</f>
        <v>0.46666666666666667</v>
      </c>
    </row>
    <row r="271" spans="1:37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19.705882352941178</v>
      </c>
      <c r="AI271" s="86">
        <f>AVERAGEIFS($I$2:I271, $B$2:B271, B271)</f>
        <v>0.57647058823529418</v>
      </c>
      <c r="AJ271" s="86">
        <f>AVERAGEIFS($J$2:J271, $B$2:B271, B271)</f>
        <v>0.55882352941176472</v>
      </c>
      <c r="AK271" s="86">
        <f>AVERAGEIFS($D$2:D271, $B$2:B271, B271)</f>
        <v>0.52941176470588236</v>
      </c>
    </row>
    <row r="272" spans="1:37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14.529411764705882</v>
      </c>
      <c r="AI272" s="86">
        <f>AVERAGEIFS($I$2:I272, $B$2:B272, B272)</f>
        <v>0.438235294117647</v>
      </c>
      <c r="AJ272" s="86">
        <f>AVERAGEIFS($J$2:J272, $B$2:B272, B272)</f>
        <v>0.47529411764705881</v>
      </c>
      <c r="AK272" s="86">
        <f>AVERAGEIFS($D$2:D272, $B$2:B272, B272)</f>
        <v>0.52941176470588236</v>
      </c>
    </row>
    <row r="273" spans="1:37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11.5</v>
      </c>
      <c r="AI273" s="86">
        <f>AVERAGEIFS($I$2:I273, $B$2:B273, B273)</f>
        <v>0.39999999999999997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12.5</v>
      </c>
      <c r="AI274" s="86">
        <f>AVERAGEIFS($I$2:I274, $B$2:B274, B274)</f>
        <v>0.625</v>
      </c>
      <c r="AJ274" s="86">
        <f>AVERAGEIFS($J$2:J274, $B$2:B274, B274)</f>
        <v>0.58499999999999996</v>
      </c>
      <c r="AK274" s="86">
        <f>AVERAGEIFS($D$2:D274, $B$2:B274, B274)</f>
        <v>0.75</v>
      </c>
    </row>
    <row r="275" spans="1:37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86">
        <f>AVERAGEIFS($C$2:C275, $B$2:B275, B275)</f>
        <v>22.388888888888889</v>
      </c>
      <c r="AI275" s="86">
        <f>AVERAGEIFS($I$2:I275, $B$2:B275, B275)</f>
        <v>0.51388888888888884</v>
      </c>
      <c r="AJ275" s="86">
        <f>AVERAGEIFS($J$2:J275, $B$2:B275, B275)</f>
        <v>0.49944444444444447</v>
      </c>
      <c r="AK275" s="86">
        <f>AVERAGEIFS($D$2:D275, $B$2:B275, B275)</f>
        <v>0.55555555555555558</v>
      </c>
    </row>
    <row r="276" spans="1:37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86">
        <f>AVERAGEIFS($C$2:C276, $B$2:B276, B276)</f>
        <v>18.5</v>
      </c>
      <c r="AI276" s="86">
        <f>AVERAGEIFS($I$2:I276, $B$2:B276, B276)</f>
        <v>0.54285714285714293</v>
      </c>
      <c r="AJ276" s="86">
        <f>AVERAGEIFS($J$2:J276, $B$2:B276, B276)</f>
        <v>0.51500000000000001</v>
      </c>
      <c r="AK276" s="86">
        <f>AVERAGEIFS($D$2:D276, $B$2:B276, B276)</f>
        <v>0.5714285714285714</v>
      </c>
    </row>
    <row r="277" spans="1:37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86">
        <f>AVERAGEIFS($C$2:C277, $B$2:B277, B277)</f>
        <v>19.5</v>
      </c>
      <c r="AI277" s="86">
        <f>AVERAGEIFS($I$2:I277, $B$2:B277, B277)</f>
        <v>0.7416666666666667</v>
      </c>
      <c r="AJ277" s="86">
        <f>AVERAGEIFS($J$2:J277, $B$2:B277, B277)</f>
        <v>0.64</v>
      </c>
      <c r="AK277" s="86">
        <f>AVERAGEIFS($D$2:D277, $B$2:B277, B277)</f>
        <v>0.83333333333333337</v>
      </c>
    </row>
    <row r="278" spans="1:37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86">
        <f>AVERAGEIFS($C$2:C278, $B$2:B278, B278)</f>
        <v>20.25</v>
      </c>
      <c r="AI278" s="86">
        <f>AVERAGEIFS($I$2:I278, $B$2:B278, B278)</f>
        <v>0.47812500000000002</v>
      </c>
      <c r="AJ278" s="86">
        <f>AVERAGEIFS($J$2:J278, $B$2:B278, B278)</f>
        <v>0.49375000000000002</v>
      </c>
      <c r="AK278" s="86">
        <f>AVERAGEIFS($D$2:D278, $B$2:B278, B278)</f>
        <v>0.4375</v>
      </c>
    </row>
    <row r="279" spans="1:37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86">
        <f>AVERAGEIFS($C$2:C279, $B$2:B279, B279)</f>
        <v>12.076923076923077</v>
      </c>
      <c r="AI279" s="86">
        <f>AVERAGEIFS($I$2:I279, $B$2:B279, B279)</f>
        <v>0.42692307692307691</v>
      </c>
      <c r="AJ279" s="86">
        <f>AVERAGEIFS($J$2:J279, $B$2:B279, B279)</f>
        <v>0.46461538461538454</v>
      </c>
      <c r="AK279" s="86">
        <f>AVERAGEIFS($D$2:D279, $B$2:B279, B279)</f>
        <v>0.38461538461538464</v>
      </c>
    </row>
    <row r="280" spans="1:37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86">
        <f>AVERAGEIFS($C$2:C280, $B$2:B280, B280)</f>
        <v>15.2</v>
      </c>
      <c r="AI280" s="86">
        <f>AVERAGEIFS($I$2:I280, $B$2:B280, B280)</f>
        <v>0.45499999999999996</v>
      </c>
      <c r="AJ280" s="86">
        <f>AVERAGEIFS($J$2:J280, $B$2:B280, B280)</f>
        <v>0.51500000000000001</v>
      </c>
      <c r="AK280" s="86">
        <f>AVERAGEIFS($D$2:D280, $B$2:B280, B280)</f>
        <v>0.3</v>
      </c>
    </row>
    <row r="281" spans="1:37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26.714285714285715</v>
      </c>
      <c r="AI281" s="86">
        <f>AVERAGEIFS($I$2:I281, $B$2:B281, B281)</f>
        <v>0.52857142857142858</v>
      </c>
      <c r="AJ281" s="86">
        <f>AVERAGEIFS($J$2:J281, $B$2:B281, B281)</f>
        <v>0.53928571428571426</v>
      </c>
      <c r="AK281" s="86">
        <f>AVERAGEIFS($D$2:D281, $B$2:B281, B281)</f>
        <v>0.5</v>
      </c>
    </row>
    <row r="282" spans="1:37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15.285714285714286</v>
      </c>
      <c r="AI282" s="86">
        <f>AVERAGEIFS($I$2:I282, $B$2:B282, B282)</f>
        <v>0.33571428571428574</v>
      </c>
      <c r="AJ282" s="86">
        <f>AVERAGEIFS($J$2:J282, $B$2:B282, B282)</f>
        <v>0.41</v>
      </c>
      <c r="AK282" s="86">
        <f>AVERAGEIFS($D$2:D282, $B$2:B282, B282)</f>
        <v>0.2857142857142857</v>
      </c>
    </row>
    <row r="283" spans="1:37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18.0625</v>
      </c>
      <c r="AI283" s="86">
        <f>AVERAGEIFS($I$2:I283, $B$2:B283, B283)</f>
        <v>0.42812499999999998</v>
      </c>
      <c r="AJ283" s="86">
        <f>AVERAGEIFS($J$2:J283, $B$2:B283, B283)</f>
        <v>0.44000000000000006</v>
      </c>
      <c r="AK283" s="86">
        <f>AVERAGEIFS($D$2:D283, $B$2:B283, B283)</f>
        <v>0.4375</v>
      </c>
    </row>
    <row r="284" spans="1:37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14.166666666666666</v>
      </c>
      <c r="AI284" s="86">
        <f>AVERAGEIFS($I$2:I284, $B$2:B284, B284)</f>
        <v>0.4916666666666667</v>
      </c>
      <c r="AJ284" s="86">
        <f>AVERAGEIFS($J$2:J284, $B$2:B284, B284)</f>
        <v>0.49833333333333329</v>
      </c>
      <c r="AK284" s="86">
        <f>AVERAGEIFS($D$2:D284, $B$2:B284, B284)</f>
        <v>0.66666666666666663</v>
      </c>
    </row>
    <row r="285" spans="1:37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8</v>
      </c>
      <c r="AI285" s="86">
        <f>AVERAGEIFS($I$2:I285, $B$2:B285, B285)</f>
        <v>0.25</v>
      </c>
      <c r="AJ285" s="86">
        <f>AVERAGEIFS($J$2:J285, $B$2:B285, B285)</f>
        <v>0.42000000000000004</v>
      </c>
      <c r="AK285" s="86">
        <f>AVERAGEIFS($D$2:D285, $B$2:B285, B285)</f>
        <v>0</v>
      </c>
    </row>
    <row r="286" spans="1:37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86">
        <f>AVERAGEIFS($C$2:C286, $B$2:B286, B286)</f>
        <v>27.2</v>
      </c>
      <c r="AI286" s="86">
        <f>AVERAGEIFS($I$2:I286, $B$2:B286, B286)</f>
        <v>0.54333333333333333</v>
      </c>
      <c r="AJ286" s="86">
        <f>AVERAGEIFS($J$2:J286, $B$2:B286, B286)</f>
        <v>0.54666666666666663</v>
      </c>
      <c r="AK286" s="86">
        <f>AVERAGEIFS($D$2:D286, $B$2:B286, B286)</f>
        <v>0.53333333333333333</v>
      </c>
    </row>
    <row r="287" spans="1:37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86">
        <f>AVERAGEIFS($C$2:C287, $B$2:B287, B287)</f>
        <v>17.09090909090909</v>
      </c>
      <c r="AI287" s="86">
        <f>AVERAGEIFS($I$2:I287, $B$2:B287, B287)</f>
        <v>0.43636363636363634</v>
      </c>
      <c r="AJ287" s="86">
        <f>AVERAGEIFS($J$2:J287, $B$2:B287, B287)</f>
        <v>0.49636363636363645</v>
      </c>
      <c r="AK287" s="86">
        <f>AVERAGEIFS($D$2:D287, $B$2:B287, B287)</f>
        <v>0.36363636363636365</v>
      </c>
    </row>
    <row r="288" spans="1:37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86">
        <f>AVERAGEIFS($C$2:C288, $B$2:B288, B288)</f>
        <v>20.647058823529413</v>
      </c>
      <c r="AI288" s="86">
        <f>AVERAGEIFS($I$2:I288, $B$2:B288, B288)</f>
        <v>0.49411764705882355</v>
      </c>
      <c r="AJ288" s="86">
        <f>AVERAGEIFS($J$2:J288, $B$2:B288, B288)</f>
        <v>0.50294117647058822</v>
      </c>
      <c r="AK288" s="86">
        <f>AVERAGEIFS($D$2:D288, $B$2:B288, B288)</f>
        <v>0.47058823529411764</v>
      </c>
    </row>
    <row r="289" spans="1:37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86">
        <f>AVERAGEIFS($C$2:C289, $B$2:B289, B289)</f>
        <v>17.882352941176471</v>
      </c>
      <c r="AI289" s="86">
        <f>AVERAGEIFS($I$2:I289, $B$2:B289, B289)</f>
        <v>0.44705882352941173</v>
      </c>
      <c r="AJ289" s="86">
        <f>AVERAGEIFS($J$2:J289, $B$2:B289, B289)</f>
        <v>0.45235294117647068</v>
      </c>
      <c r="AK289" s="86">
        <f>AVERAGEIFS($D$2:D289, $B$2:B289, B289)</f>
        <v>0.47058823529411764</v>
      </c>
    </row>
    <row r="290" spans="1:37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86">
        <f>AVERAGEIFS($C$2:C290, $B$2:B290, B290)</f>
        <v>14.636363636363637</v>
      </c>
      <c r="AI290" s="86">
        <f>AVERAGEIFS($I$2:I290, $B$2:B290, B290)</f>
        <v>0.48181818181818181</v>
      </c>
      <c r="AJ290" s="86">
        <f>AVERAGEIFS($J$2:J290, $B$2:B290, B290)</f>
        <v>0.52727272727272734</v>
      </c>
      <c r="AK290" s="86">
        <f>AVERAGEIFS($D$2:D290, $B$2:B290, B290)</f>
        <v>0.36363636363636365</v>
      </c>
    </row>
    <row r="291" spans="1:37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86">
        <f>AVERAGEIFS($C$2:C291, $B$2:B291, B291)</f>
        <v>13</v>
      </c>
      <c r="AI291" s="86">
        <f>AVERAGEIFS($I$2:I291, $B$2:B291, B291)</f>
        <v>0.375</v>
      </c>
      <c r="AJ291" s="86">
        <f>AVERAGEIFS($J$2:J291, $B$2:B291, B291)</f>
        <v>0.375</v>
      </c>
      <c r="AK291" s="86">
        <f>AVERAGEIFS($D$2:D291, $B$2:B291, B291)</f>
        <v>0.5</v>
      </c>
    </row>
    <row r="292" spans="1:37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86">
        <f>AVERAGEIFS($C$2:C292, $B$2:B292, B292)</f>
        <v>14.285714285714286</v>
      </c>
      <c r="AI292" s="86">
        <f>AVERAGEIFS($I$2:I292, $B$2:B292, B292)</f>
        <v>0.52857142857142858</v>
      </c>
      <c r="AJ292" s="86">
        <f>AVERAGEIFS($J$2:J292, $B$2:B292, B292)</f>
        <v>0.51999999999999991</v>
      </c>
      <c r="AK292" s="86">
        <f>AVERAGEIFS($D$2:D292, $B$2:B292, B292)</f>
        <v>0.7142857142857143</v>
      </c>
    </row>
    <row r="293" spans="1:37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86">
        <f>AVERAGEIFS($C$2:C293, $B$2:B293, B293)</f>
        <v>27.363636363636363</v>
      </c>
      <c r="AI293" s="86">
        <f>AVERAGEIFS($I$2:I293, $B$2:B293, B293)</f>
        <v>0.5636363636363636</v>
      </c>
      <c r="AJ293" s="86">
        <f>AVERAGEIFS($J$2:J293, $B$2:B293, B293)</f>
        <v>0.52363636363636357</v>
      </c>
      <c r="AK293" s="86">
        <f>AVERAGEIFS($D$2:D293, $B$2:B293, B293)</f>
        <v>0.63636363636363635</v>
      </c>
    </row>
    <row r="294" spans="1:37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86">
        <f>AVERAGEIFS($C$2:C294, $B$2:B294, B294)</f>
        <v>22.473684210526315</v>
      </c>
      <c r="AI294" s="86">
        <f>AVERAGEIFS($I$2:I294, $B$2:B294, B294)</f>
        <v>0.5</v>
      </c>
      <c r="AJ294" s="86">
        <f>AVERAGEIFS($J$2:J294, $B$2:B294, B294)</f>
        <v>0.49157894736842106</v>
      </c>
      <c r="AK294" s="86">
        <f>AVERAGEIFS($D$2:D294, $B$2:B294, B294)</f>
        <v>0.52631578947368418</v>
      </c>
    </row>
    <row r="295" spans="1:37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86">
        <f>AVERAGEIFS($C$2:C295, $B$2:B295, B295)</f>
        <v>13.23076923076923</v>
      </c>
      <c r="AI295" s="86">
        <f>AVERAGEIFS($I$2:I295, $B$2:B295, B295)</f>
        <v>0.4384615384615384</v>
      </c>
      <c r="AJ295" s="86">
        <f>AVERAGEIFS($J$2:J295, $B$2:B295, B295)</f>
        <v>0.46461538461538454</v>
      </c>
      <c r="AK295" s="86">
        <f>AVERAGEIFS($D$2:D295, $B$2:B295, B295)</f>
        <v>0.23076923076923078</v>
      </c>
    </row>
    <row r="296" spans="1:37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86">
        <f>AVERAGEIFS($C$2:C296, $B$2:B296, B296)</f>
        <v>9</v>
      </c>
      <c r="AI296" s="86">
        <f>AVERAGEIFS($I$2:I296, $B$2:B296, B296)</f>
        <v>0.56874999999999998</v>
      </c>
      <c r="AJ296" s="86">
        <f>AVERAGEIFS($J$2:J296, $B$2:B296, B296)</f>
        <v>0.51374999999999993</v>
      </c>
      <c r="AK296" s="86">
        <f>AVERAGEIFS($D$2:D296, $B$2:B296, B296)</f>
        <v>0.5</v>
      </c>
    </row>
    <row r="297" spans="1:37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86">
        <f>AVERAGEIFS($C$2:C297, $B$2:B297, B297)</f>
        <v>15.666666666666666</v>
      </c>
      <c r="AI297" s="86">
        <f>AVERAGEIFS($I$2:I297, $B$2:B297, B297)</f>
        <v>0.5</v>
      </c>
      <c r="AJ297" s="86">
        <f>AVERAGEIFS($J$2:J297, $B$2:B297, B297)</f>
        <v>0.46333333333333332</v>
      </c>
      <c r="AK297" s="86">
        <f>AVERAGEIFS($D$2:D297, $B$2:B297, B297)</f>
        <v>0.5</v>
      </c>
    </row>
    <row r="298" spans="1:37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86">
        <f>AVERAGEIFS($C$2:C298, $B$2:B298, B298)</f>
        <v>17.5</v>
      </c>
      <c r="AI298" s="86">
        <f>AVERAGEIFS($I$2:I298, $B$2:B298, B298)</f>
        <v>0.60833333333333328</v>
      </c>
      <c r="AJ298" s="86">
        <f>AVERAGEIFS($J$2:J298, $B$2:B298, B298)</f>
        <v>0.52166666666666661</v>
      </c>
      <c r="AK298" s="86">
        <f>AVERAGEIFS($D$2:D298, $B$2:B298, B298)</f>
        <v>0.75</v>
      </c>
    </row>
    <row r="299" spans="1:37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86">
        <f>AVERAGEIFS($C$2:C299, $B$2:B299, B299)</f>
        <v>15.25</v>
      </c>
      <c r="AI299" s="86">
        <f>AVERAGEIFS($I$2:I299, $B$2:B299, B299)</f>
        <v>0.32500000000000001</v>
      </c>
      <c r="AJ299" s="86">
        <f>AVERAGEIFS($J$2:J299, $B$2:B299, B299)</f>
        <v>0.40249999999999997</v>
      </c>
      <c r="AK299" s="86">
        <f>AVERAGEIFS($D$2:D299, $B$2:B299, B299)</f>
        <v>0.25</v>
      </c>
    </row>
    <row r="300" spans="1:37" x14ac:dyDescent="0.25">
      <c r="A300" s="85">
        <v>46146</v>
      </c>
      <c r="B300" t="s">
        <v>17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86">
        <f>AVERAGEIFS($C$2:C300, $B$2:B300, B300)</f>
        <v>18.307692307692307</v>
      </c>
      <c r="AI300" s="86">
        <f>AVERAGEIFS($I$2:I300, $B$2:B300, B300)</f>
        <v>0.61923076923076914</v>
      </c>
      <c r="AJ300" s="86">
        <f>AVERAGEIFS($J$2:J300, $B$2:B300, B300)</f>
        <v>0.533076923076923</v>
      </c>
      <c r="AK300" s="86">
        <f>AVERAGEIFS($D$2:D300, $B$2:B300, B300)</f>
        <v>0.76923076923076927</v>
      </c>
    </row>
    <row r="301" spans="1:37" x14ac:dyDescent="0.25">
      <c r="A301" s="85">
        <v>46146</v>
      </c>
      <c r="B301" t="s">
        <v>50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86">
        <f>AVERAGEIFS($C$2:C301, $B$2:B301, B301)</f>
        <v>15.444444444444445</v>
      </c>
      <c r="AI301" s="86">
        <f>AVERAGEIFS($I$2:I301, $B$2:B301, B301)</f>
        <v>0.37222222222222223</v>
      </c>
      <c r="AJ301" s="86">
        <f>AVERAGEIFS($J$2:J301, $B$2:B301, B301)</f>
        <v>0.43222222222222217</v>
      </c>
      <c r="AK301" s="86">
        <f>AVERAGEIFS($D$2:D301, $B$2:B301, B301)</f>
        <v>0.33333333333333331</v>
      </c>
    </row>
    <row r="302" spans="1:37" x14ac:dyDescent="0.25">
      <c r="A302" s="85">
        <v>46146</v>
      </c>
      <c r="B302" t="s">
        <v>54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86">
        <f>AVERAGEIFS($C$2:C302, $B$2:B302, B302)</f>
        <v>22</v>
      </c>
      <c r="AI302" s="86">
        <f>AVERAGEIFS($I$2:I302, $B$2:B302, B302)</f>
        <v>0.54545454545454541</v>
      </c>
      <c r="AJ302" s="86">
        <f>AVERAGEIFS($J$2:J302, $B$2:B302, B302)</f>
        <v>0.52454545454545454</v>
      </c>
      <c r="AK302" s="86">
        <f>AVERAGEIFS($D$2:D302, $B$2:B302, B302)</f>
        <v>0.54545454545454541</v>
      </c>
    </row>
    <row r="303" spans="1:37" x14ac:dyDescent="0.25">
      <c r="A303" s="85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86">
        <f>AVERAGEIFS($C$2:C303, $B$2:B303, B303)</f>
        <v>18.333333333333332</v>
      </c>
      <c r="AI303" s="86">
        <f>AVERAGEIFS($I$2:I303, $B$2:B303, B303)</f>
        <v>0.55666666666666675</v>
      </c>
      <c r="AJ303" s="86">
        <f>AVERAGEIFS($J$2:J303, $B$2:B303, B303)</f>
        <v>0.52533333333333332</v>
      </c>
      <c r="AK303" s="86">
        <f>AVERAGEIFS($D$2:D303, $B$2:B303, B303)</f>
        <v>0.6</v>
      </c>
    </row>
    <row r="304" spans="1:37" x14ac:dyDescent="0.25">
      <c r="A304" s="85">
        <v>46146</v>
      </c>
      <c r="B304" t="s">
        <v>161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86">
        <f>AVERAGEIFS($C$2:C304, $B$2:B304, B304)</f>
        <v>9.4444444444444446</v>
      </c>
      <c r="AI304" s="86">
        <f>AVERAGEIFS($I$2:I304, $B$2:B304, B304)</f>
        <v>0.58888888888888891</v>
      </c>
      <c r="AJ304" s="86">
        <f>AVERAGEIFS($J$2:J304, $B$2:B304, B304)</f>
        <v>0.53111111111111109</v>
      </c>
      <c r="AK304" s="86">
        <f>AVERAGEIFS($D$2:D304, $B$2:B304, B304)</f>
        <v>0.55555555555555558</v>
      </c>
    </row>
    <row r="305" spans="1:37" x14ac:dyDescent="0.25">
      <c r="A305" s="85">
        <v>46146</v>
      </c>
      <c r="B305" t="s">
        <v>179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86">
        <f>AVERAGEIFS($C$2:C305, $B$2:B305, B305)</f>
        <v>11</v>
      </c>
      <c r="AI305" s="86">
        <f>AVERAGEIFS($I$2:I305, $B$2:B305, B305)</f>
        <v>0.75</v>
      </c>
      <c r="AJ305" s="86">
        <f>AVERAGEIFS($J$2:J305, $B$2:B305, B305)</f>
        <v>0.67</v>
      </c>
      <c r="AK305" s="86">
        <f>AVERAGEIFS($D$2:D305, $B$2:B305, B305)</f>
        <v>1</v>
      </c>
    </row>
    <row r="306" spans="1:37" x14ac:dyDescent="0.25">
      <c r="A306" s="85">
        <v>46146</v>
      </c>
      <c r="B306" t="s">
        <v>141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86">
        <f>AVERAGEIFS($C$2:C306, $B$2:B306, B306)</f>
        <v>14.375</v>
      </c>
      <c r="AI306" s="86">
        <f>AVERAGEIFS($I$2:I306, $B$2:B306, B306)</f>
        <v>0.49375000000000002</v>
      </c>
      <c r="AJ306" s="86">
        <f>AVERAGEIFS($J$2:J306, $B$2:B306, B306)</f>
        <v>0.49624999999999997</v>
      </c>
      <c r="AK306" s="86">
        <f>AVERAGEIFS($D$2:D306, $B$2:B306, B306)</f>
        <v>0.625</v>
      </c>
    </row>
    <row r="307" spans="1:37" x14ac:dyDescent="0.25">
      <c r="A307" s="85">
        <v>46146</v>
      </c>
      <c r="B307" t="s">
        <v>147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86">
        <f>AVERAGEIFS($C$2:C307, $B$2:B307, B307)</f>
        <v>14.583333333333334</v>
      </c>
      <c r="AI307" s="86">
        <f>AVERAGEIFS($I$2:I307, $B$2:B307, B307)</f>
        <v>0.46249999999999997</v>
      </c>
      <c r="AJ307" s="86">
        <f>AVERAGEIFS($J$2:J307, $B$2:B307, B307)</f>
        <v>0.51083333333333336</v>
      </c>
      <c r="AK307" s="86">
        <f>AVERAGEIFS($D$2:D307, $B$2:B307, B307)</f>
        <v>0.33333333333333331</v>
      </c>
    </row>
    <row r="308" spans="1:37" x14ac:dyDescent="0.25">
      <c r="A308" s="85">
        <v>46146</v>
      </c>
      <c r="B308" t="s">
        <v>150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86">
        <f>AVERAGEIFS($C$2:C308, $B$2:B308, B308)</f>
        <v>19.076923076923077</v>
      </c>
      <c r="AI308" s="86">
        <f>AVERAGEIFS($I$2:I308, $B$2:B308, B308)</f>
        <v>0.7038461538461539</v>
      </c>
      <c r="AJ308" s="86">
        <f>AVERAGEIFS($J$2:J308, $B$2:B308, B308)</f>
        <v>0.61615384615384616</v>
      </c>
      <c r="AK308" s="86">
        <f>AVERAGEIFS($D$2:D308, $B$2:B308, B308)</f>
        <v>0.76923076923076927</v>
      </c>
    </row>
    <row r="309" spans="1:37" x14ac:dyDescent="0.25">
      <c r="A309" s="85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86">
        <f>AVERAGEIFS($C$2:C309, $B$2:B309, B309)</f>
        <v>26.25</v>
      </c>
      <c r="AI309" s="86">
        <f>AVERAGEIFS($I$2:I309, $B$2:B309, B309)</f>
        <v>0.53749999999999998</v>
      </c>
      <c r="AJ309" s="86">
        <f>AVERAGEIFS($J$2:J309, $B$2:B309, B309)</f>
        <v>0.50749999999999995</v>
      </c>
      <c r="AK309" s="86">
        <f>AVERAGEIFS($D$2:D309, $B$2:B309, B309)</f>
        <v>0.58333333333333337</v>
      </c>
    </row>
    <row r="310" spans="1:37" x14ac:dyDescent="0.25">
      <c r="A310" s="85">
        <v>46146</v>
      </c>
      <c r="B310" t="s">
        <v>42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86">
        <f>AVERAGEIFS($C$2:C310, $B$2:B310, B310)</f>
        <v>17.444444444444443</v>
      </c>
      <c r="AI310" s="86">
        <f>AVERAGEIFS($I$2:I310, $B$2:B310, B310)</f>
        <v>0.43611111111111112</v>
      </c>
      <c r="AJ310" s="86">
        <f>AVERAGEIFS($J$2:J310, $B$2:B310, B310)</f>
        <v>0.44555555555555565</v>
      </c>
      <c r="AK310" s="86">
        <f>AVERAGEIFS($D$2:D310, $B$2:B310, B310)</f>
        <v>0.44444444444444442</v>
      </c>
    </row>
    <row r="311" spans="1:37" x14ac:dyDescent="0.25">
      <c r="A311" s="85">
        <v>46146</v>
      </c>
      <c r="B311" t="s">
        <v>152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86">
        <f>AVERAGEIFS($C$2:C311, $B$2:B311, B311)</f>
        <v>13.25</v>
      </c>
      <c r="AI311" s="86">
        <f>AVERAGEIFS($I$2:I311, $B$2:B311, B311)</f>
        <v>0.41249999999999998</v>
      </c>
      <c r="AJ311" s="86">
        <f>AVERAGEIFS($J$2:J311, $B$2:B311, B311)</f>
        <v>0.44000000000000006</v>
      </c>
      <c r="AK311" s="86">
        <f>AVERAGEIFS($D$2:D311, $B$2:B311, B311)</f>
        <v>0.25</v>
      </c>
    </row>
    <row r="312" spans="1:37" x14ac:dyDescent="0.25">
      <c r="A312" s="85">
        <v>46147</v>
      </c>
      <c r="B312" t="s">
        <v>40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20.5</v>
      </c>
      <c r="AI312" s="86">
        <f>AVERAGEIFS($I$2:I312, $B$2:B312, B312)</f>
        <v>0.46666666666666667</v>
      </c>
      <c r="AJ312" s="86">
        <f>AVERAGEIFS($J$2:J312, $B$2:B312, B312)</f>
        <v>0.49222222222222228</v>
      </c>
      <c r="AK312" s="86">
        <f>AVERAGEIFS($D$2:D312, $B$2:B312, B312)</f>
        <v>0.44444444444444442</v>
      </c>
    </row>
    <row r="313" spans="1:37" x14ac:dyDescent="0.25">
      <c r="A313" s="85">
        <v>46147</v>
      </c>
      <c r="B313" t="s">
        <v>54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22.333333333333332</v>
      </c>
      <c r="AI313" s="86">
        <f>AVERAGEIFS($I$2:I313, $B$2:B313, B313)</f>
        <v>0.5</v>
      </c>
      <c r="AJ313" s="86">
        <f>AVERAGEIFS($J$2:J313, $B$2:B313, B313)</f>
        <v>0.5066666666666666</v>
      </c>
      <c r="AK313" s="86">
        <f>AVERAGEIFS($D$2:D313, $B$2:B313, B313)</f>
        <v>0.5</v>
      </c>
    </row>
    <row r="314" spans="1:37" x14ac:dyDescent="0.25">
      <c r="A314" s="85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17.25</v>
      </c>
      <c r="AI314" s="86">
        <f>AVERAGEIFS($I$2:I314, $B$2:B314, B314)</f>
        <v>0.39999999999999997</v>
      </c>
      <c r="AJ314" s="86">
        <f>AVERAGEIFS($J$2:J314, $B$2:B314, B314)</f>
        <v>0.48083333333333339</v>
      </c>
      <c r="AK314" s="86">
        <f>AVERAGEIFS($D$2:D314, $B$2:B314, B314)</f>
        <v>0.33333333333333331</v>
      </c>
    </row>
    <row r="315" spans="1:37" x14ac:dyDescent="0.25">
      <c r="A315" s="85">
        <v>46147</v>
      </c>
      <c r="B315" t="s">
        <v>113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19.444444444444443</v>
      </c>
      <c r="AI315" s="86">
        <f>AVERAGEIFS($I$2:I315, $B$2:B315, B315)</f>
        <v>0.54444444444444451</v>
      </c>
      <c r="AJ315" s="86">
        <f>AVERAGEIFS($J$2:J315, $B$2:B315, B315)</f>
        <v>0.54500000000000004</v>
      </c>
      <c r="AK315" s="86">
        <f>AVERAGEIFS($D$2:D315, $B$2:B315, B315)</f>
        <v>0.5</v>
      </c>
    </row>
    <row r="316" spans="1:37" x14ac:dyDescent="0.25">
      <c r="A316" s="85">
        <v>46147</v>
      </c>
      <c r="B316" t="s">
        <v>53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13.428571428571429</v>
      </c>
      <c r="AI316" s="86">
        <f>AVERAGEIFS($I$2:I316, $B$2:B316, B316)</f>
        <v>0.40714285714285708</v>
      </c>
      <c r="AJ316" s="86">
        <f>AVERAGEIFS($J$2:J316, $B$2:B316, B316)</f>
        <v>0.45357142857142846</v>
      </c>
      <c r="AK316" s="86">
        <f>AVERAGEIFS($D$2:D316, $B$2:B316, B316)</f>
        <v>0.21428571428571427</v>
      </c>
    </row>
    <row r="317" spans="1:37" x14ac:dyDescent="0.25">
      <c r="A317" s="85">
        <v>46147</v>
      </c>
      <c r="B317" t="s">
        <v>18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22</v>
      </c>
      <c r="AI317" s="86">
        <f>AVERAGEIFS($I$2:I317, $B$2:B317, B317)</f>
        <v>0</v>
      </c>
      <c r="AJ317" s="86">
        <f>AVERAGEIFS($J$2:J317, $B$2:B317, B317)</f>
        <v>0.31</v>
      </c>
      <c r="AK317" s="86">
        <f>AVERAGEIFS($D$2:D317, $B$2:B317, B317)</f>
        <v>0</v>
      </c>
    </row>
    <row r="318" spans="1:37" x14ac:dyDescent="0.25">
      <c r="A318" s="85">
        <v>46147</v>
      </c>
      <c r="B318" t="s">
        <v>50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15.5</v>
      </c>
      <c r="AI318" s="86">
        <f>AVERAGEIFS($I$2:I318, $B$2:B318, B318)</f>
        <v>0.33500000000000002</v>
      </c>
      <c r="AJ318" s="86">
        <f>AVERAGEIFS($J$2:J318, $B$2:B318, B318)</f>
        <v>0.41999999999999993</v>
      </c>
      <c r="AK318" s="86">
        <f>AVERAGEIFS($D$2:D318, $B$2:B318, B318)</f>
        <v>0.3</v>
      </c>
    </row>
    <row r="319" spans="1:37" x14ac:dyDescent="0.25">
      <c r="A319" s="85">
        <v>46147</v>
      </c>
      <c r="B319" t="s">
        <v>13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15.142857142857142</v>
      </c>
      <c r="AI319" s="86">
        <f>AVERAGEIFS($I$2:I319, $B$2:B319, B319)</f>
        <v>0.42857142857142855</v>
      </c>
      <c r="AJ319" s="86">
        <f>AVERAGEIFS($J$2:J319, $B$2:B319, B319)</f>
        <v>0.44142857142857139</v>
      </c>
      <c r="AK319" s="86">
        <f>AVERAGEIFS($D$2:D319, $B$2:B319, B319)</f>
        <v>0.42857142857142855</v>
      </c>
    </row>
    <row r="320" spans="1:37" x14ac:dyDescent="0.25">
      <c r="A320" s="85">
        <v>46147</v>
      </c>
      <c r="B320" t="s">
        <v>42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86">
        <f>AVERAGEIFS($C$2:C320, $B$2:B320, B320)</f>
        <v>17.05263157894737</v>
      </c>
      <c r="AI320" s="86">
        <f>AVERAGEIFS($I$2:I320, $B$2:B320, B320)</f>
        <v>0.46578947368421053</v>
      </c>
      <c r="AJ320" s="86">
        <f>AVERAGEIFS($J$2:J320, $B$2:B320, B320)</f>
        <v>0.45842105263157901</v>
      </c>
      <c r="AK320" s="86">
        <f>AVERAGEIFS($D$2:D320, $B$2:B320, B320)</f>
        <v>0.47368421052631576</v>
      </c>
    </row>
    <row r="321" spans="1:37" x14ac:dyDescent="0.25">
      <c r="A321" s="85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86">
        <f>AVERAGEIFS($C$2:C321, $B$2:B321, B321)</f>
        <v>27.3125</v>
      </c>
      <c r="AI321" s="86">
        <f>AVERAGEIFS($I$2:I321, $B$2:B321, B321)</f>
        <v>0.57187500000000002</v>
      </c>
      <c r="AJ321" s="86">
        <f>AVERAGEIFS($J$2:J321, $B$2:B321, B321)</f>
        <v>0.55562499999999992</v>
      </c>
      <c r="AK321" s="86">
        <f>AVERAGEIFS($D$2:D321, $B$2:B321, B321)</f>
        <v>0.5625</v>
      </c>
    </row>
    <row r="322" spans="1:37" x14ac:dyDescent="0.25">
      <c r="A322" s="85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86">
        <f>AVERAGEIFS($C$2:C322, $B$2:B322, B322)</f>
        <v>22.85</v>
      </c>
      <c r="AI322" s="86">
        <f>AVERAGEIFS($I$2:I322, $B$2:B322, B322)</f>
        <v>0.52500000000000002</v>
      </c>
      <c r="AJ322" s="86">
        <f>AVERAGEIFS($J$2:J322, $B$2:B322, B322)</f>
        <v>0.50149999999999995</v>
      </c>
      <c r="AK322" s="86">
        <f>AVERAGEIFS($D$2:D322, $B$2:B322, B322)</f>
        <v>0.55000000000000004</v>
      </c>
    </row>
    <row r="323" spans="1:37" x14ac:dyDescent="0.25">
      <c r="A323" s="85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86">
        <f>AVERAGEIFS($C$2:C323, $B$2:B323, B323)</f>
        <v>26.615384615384617</v>
      </c>
      <c r="AI323" s="86">
        <f>AVERAGEIFS($I$2:I323, $B$2:B323, B323)</f>
        <v>0.57307692307692304</v>
      </c>
      <c r="AJ323" s="86">
        <f>AVERAGEIFS($J$2:J323, $B$2:B323, B323)</f>
        <v>0.52153846153846151</v>
      </c>
      <c r="AK323" s="86">
        <f>AVERAGEIFS($D$2:D323, $B$2:B323, B323)</f>
        <v>0.61538461538461542</v>
      </c>
    </row>
    <row r="324" spans="1:37" x14ac:dyDescent="0.25">
      <c r="A324" s="85">
        <v>46147</v>
      </c>
      <c r="B324" t="s">
        <v>17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86">
        <f>AVERAGEIFS($C$2:C324, $B$2:B324, B324)</f>
        <v>18.142857142857142</v>
      </c>
      <c r="AI324" s="86">
        <f>AVERAGEIFS($I$2:I324, $B$2:B324, B324)</f>
        <v>0.64642857142857135</v>
      </c>
      <c r="AJ324" s="86">
        <f>AVERAGEIFS($J$2:J324, $B$2:B324, B324)</f>
        <v>0.54428571428571426</v>
      </c>
      <c r="AK324" s="86">
        <f>AVERAGEIFS($D$2:D324, $B$2:B324, B324)</f>
        <v>0.7857142857142857</v>
      </c>
    </row>
    <row r="325" spans="1:37" x14ac:dyDescent="0.25">
      <c r="A325" s="85">
        <v>46147</v>
      </c>
      <c r="B325" t="s">
        <v>141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86">
        <f>AVERAGEIFS($C$2:C325, $B$2:B325, B325)</f>
        <v>14.333333333333334</v>
      </c>
      <c r="AI325" s="86">
        <f>AVERAGEIFS($I$2:I325, $B$2:B325, B325)</f>
        <v>0.55000000000000004</v>
      </c>
      <c r="AJ325" s="86">
        <f>AVERAGEIFS($J$2:J325, $B$2:B325, B325)</f>
        <v>0.51777777777777778</v>
      </c>
      <c r="AK325" s="86">
        <f>AVERAGEIFS($D$2:D325, $B$2:B325, B325)</f>
        <v>0.66666666666666663</v>
      </c>
    </row>
    <row r="326" spans="1:37" x14ac:dyDescent="0.25">
      <c r="A326" s="85">
        <v>46147</v>
      </c>
      <c r="B326" t="s">
        <v>14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86">
        <f>AVERAGEIFS($C$2:C326, $B$2:B326, B326)</f>
        <v>13.2</v>
      </c>
      <c r="AI326" s="86">
        <f>AVERAGEIFS($I$2:I326, $B$2:B326, B326)</f>
        <v>0.42000000000000004</v>
      </c>
      <c r="AJ326" s="86">
        <f>AVERAGEIFS($J$2:J326, $B$2:B326, B326)</f>
        <v>0.41</v>
      </c>
      <c r="AK326" s="86">
        <f>AVERAGEIFS($D$2:D326, $B$2:B326, B326)</f>
        <v>0.4</v>
      </c>
    </row>
    <row r="327" spans="1:37" x14ac:dyDescent="0.25">
      <c r="A327" s="85">
        <v>46147</v>
      </c>
      <c r="B327" t="s">
        <v>44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86">
        <f>AVERAGEIFS($C$2:C327, $B$2:B327, B327)</f>
        <v>16.833333333333332</v>
      </c>
      <c r="AI327" s="86">
        <f>AVERAGEIFS($I$2:I327, $B$2:B327, B327)</f>
        <v>0.6</v>
      </c>
      <c r="AJ327" s="86">
        <f>AVERAGEIFS($J$2:J327, $B$2:B327, B327)</f>
        <v>0.55722222222222217</v>
      </c>
      <c r="AK327" s="86">
        <f>AVERAGEIFS($D$2:D327, $B$2:B327, B327)</f>
        <v>0.66666666666666663</v>
      </c>
    </row>
    <row r="328" spans="1:37" x14ac:dyDescent="0.25">
      <c r="A328" s="85">
        <v>46147</v>
      </c>
      <c r="B328" t="s">
        <v>42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86">
        <f>AVERAGEIFS($C$2:C328, $B$2:B328, B328)</f>
        <v>16.7</v>
      </c>
      <c r="AI328" s="86">
        <f>AVERAGEIFS($I$2:I328, $B$2:B328, B328)</f>
        <v>0.49249999999999999</v>
      </c>
      <c r="AJ328" s="86">
        <f>AVERAGEIFS($J$2:J328, $B$2:B328, B328)</f>
        <v>0.46750000000000008</v>
      </c>
      <c r="AK328" s="86">
        <f>AVERAGEIFS($D$2:D328, $B$2:B328, B328)</f>
        <v>0.5</v>
      </c>
    </row>
    <row r="329" spans="1:37" x14ac:dyDescent="0.25">
      <c r="A329" s="85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86">
        <f>AVERAGEIFS($C$2:C329, $B$2:B329, B329)</f>
        <v>22.38095238095238</v>
      </c>
      <c r="AI329" s="86">
        <f>AVERAGEIFS($I$2:I329, $B$2:B329, B329)</f>
        <v>0.54761904761904767</v>
      </c>
      <c r="AJ329" s="86">
        <f>AVERAGEIFS($J$2:J329, $B$2:B329, B329)</f>
        <v>0.50809523809523804</v>
      </c>
      <c r="AK329" s="86">
        <f>AVERAGEIFS($D$2:D329, $B$2:B329, B329)</f>
        <v>0.5714285714285714</v>
      </c>
    </row>
    <row r="330" spans="1:37" x14ac:dyDescent="0.25">
      <c r="A330" s="85">
        <v>46147</v>
      </c>
      <c r="B330" t="s">
        <v>113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86">
        <f>AVERAGEIFS($C$2:C330, $B$2:B330, B330)</f>
        <v>19.210526315789473</v>
      </c>
      <c r="AI330" s="86">
        <f>AVERAGEIFS($I$2:I330, $B$2:B330, B330)</f>
        <v>0.56842105263157894</v>
      </c>
      <c r="AJ330" s="86">
        <f>AVERAGEIFS($J$2:J330, $B$2:B330, B330)</f>
        <v>0.55000000000000004</v>
      </c>
      <c r="AK330" s="86">
        <f>AVERAGEIFS($D$2:D330, $B$2:B330, B330)</f>
        <v>0.52631578947368418</v>
      </c>
    </row>
    <row r="331" spans="1:37" x14ac:dyDescent="0.25">
      <c r="A331" s="85">
        <v>46147</v>
      </c>
      <c r="B331" t="s">
        <v>18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86">
        <f>AVERAGEIFS($C$2:C331, $B$2:B331, B331)</f>
        <v>16</v>
      </c>
      <c r="AI331" s="86">
        <f>AVERAGEIFS($I$2:I331, $B$2:B331, B331)</f>
        <v>0.5</v>
      </c>
      <c r="AJ331" s="86">
        <f>AVERAGEIFS($J$2:J331, $B$2:B331, B331)</f>
        <v>0.47499999999999998</v>
      </c>
      <c r="AK331" s="86">
        <f>AVERAGEIFS($D$2:D331, $B$2:B331, B331)</f>
        <v>0.5</v>
      </c>
    </row>
    <row r="332" spans="1:37" x14ac:dyDescent="0.25">
      <c r="A332" s="85">
        <v>46147</v>
      </c>
      <c r="B332" t="s">
        <v>147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14.307692307692308</v>
      </c>
      <c r="AI332" s="86">
        <f>AVERAGEIFS($I$2:I332, $B$2:B332, B332)</f>
        <v>0.50384615384615383</v>
      </c>
      <c r="AJ332" s="86">
        <f>AVERAGEIFS($J$2:J332, $B$2:B332, B332)</f>
        <v>0.52076923076923076</v>
      </c>
      <c r="AK332" s="86">
        <f>AVERAGEIFS($D$2:D332, $B$2:B332, B332)</f>
        <v>0.38461538461538464</v>
      </c>
    </row>
    <row r="333" spans="1:37" x14ac:dyDescent="0.25">
      <c r="A333" s="85">
        <v>46147</v>
      </c>
      <c r="B333" t="s">
        <v>13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15.375</v>
      </c>
      <c r="AI333" s="86">
        <f>AVERAGEIFS($I$2:I333, $B$2:B333, B333)</f>
        <v>0.5</v>
      </c>
      <c r="AJ333" s="86">
        <f>AVERAGEIFS($J$2:J333, $B$2:B333, B333)</f>
        <v>0.46625</v>
      </c>
      <c r="AK333" s="86">
        <f>AVERAGEIFS($D$2:D333, $B$2:B333, B333)</f>
        <v>0.5</v>
      </c>
    </row>
    <row r="334" spans="1:37" x14ac:dyDescent="0.25">
      <c r="A334" s="85">
        <v>46147</v>
      </c>
      <c r="B334" t="s">
        <v>40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20.105263157894736</v>
      </c>
      <c r="AI334" s="86">
        <f>AVERAGEIFS($I$2:I334, $B$2:B334, B334)</f>
        <v>0.44210526315789478</v>
      </c>
      <c r="AJ334" s="86">
        <f>AVERAGEIFS($J$2:J334, $B$2:B334, B334)</f>
        <v>0.4852631578947369</v>
      </c>
      <c r="AK334" s="86">
        <f>AVERAGEIFS($D$2:D334, $B$2:B334, B334)</f>
        <v>0.42105263157894735</v>
      </c>
    </row>
    <row r="335" spans="1:37" x14ac:dyDescent="0.25">
      <c r="A335" s="85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17.75</v>
      </c>
      <c r="AI335" s="86">
        <f>AVERAGEIFS($I$2:I335, $B$2:B335, B335)</f>
        <v>0.52187500000000009</v>
      </c>
      <c r="AJ335" s="86">
        <f>AVERAGEIFS($J$2:J335, $B$2:B335, B335)</f>
        <v>0.51500000000000001</v>
      </c>
      <c r="AK335" s="86">
        <f>AVERAGEIFS($D$2:D335, $B$2:B335, B335)</f>
        <v>0.5625</v>
      </c>
    </row>
    <row r="336" spans="1:37" x14ac:dyDescent="0.25">
      <c r="A336" s="85">
        <v>46147</v>
      </c>
      <c r="B336" t="s">
        <v>150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18.642857142857142</v>
      </c>
      <c r="AI336" s="86">
        <f>AVERAGEIFS($I$2:I336, $B$2:B336, B336)</f>
        <v>0.65357142857142858</v>
      </c>
      <c r="AJ336" s="86">
        <f>AVERAGEIFS($J$2:J336, $B$2:B336, B336)</f>
        <v>0.59785714285714275</v>
      </c>
      <c r="AK336" s="86">
        <f>AVERAGEIFS($D$2:D336, $B$2:B336, B336)</f>
        <v>0.7142857142857143</v>
      </c>
    </row>
    <row r="337" spans="1:37" x14ac:dyDescent="0.25">
      <c r="A337" s="85">
        <v>46147</v>
      </c>
      <c r="B337" t="s">
        <v>141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14.3</v>
      </c>
      <c r="AI337" s="86">
        <f>AVERAGEIFS($I$2:I337, $B$2:B337, B337)</f>
        <v>0.495</v>
      </c>
      <c r="AJ337" s="86">
        <f>AVERAGEIFS($J$2:J337, $B$2:B337, B337)</f>
        <v>0.502</v>
      </c>
      <c r="AK337" s="86">
        <f>AVERAGEIFS($D$2:D337, $B$2:B337, B337)</f>
        <v>0.6</v>
      </c>
    </row>
    <row r="338" spans="1:37" x14ac:dyDescent="0.25">
      <c r="A338" s="85">
        <v>46147</v>
      </c>
      <c r="B338" t="s">
        <v>179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86">
        <f>AVERAGEIFS($C$2:C338, $B$2:B338, B338)</f>
        <v>9.5</v>
      </c>
      <c r="AI338" s="86">
        <f>AVERAGEIFS($I$2:I338, $B$2:B338, B338)</f>
        <v>0.375</v>
      </c>
      <c r="AJ338" s="86">
        <f>AVERAGEIFS($J$2:J338, $B$2:B338, B338)</f>
        <v>0.51500000000000001</v>
      </c>
      <c r="AK338" s="86">
        <f>AVERAGEIFS($D$2:D338, $B$2:B338, B338)</f>
        <v>0.5</v>
      </c>
    </row>
    <row r="339" spans="1:37" x14ac:dyDescent="0.25">
      <c r="A339" s="85">
        <v>46147</v>
      </c>
      <c r="B339" t="s">
        <v>146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86">
        <f>AVERAGEIFS($C$2:C339, $B$2:B339, B339)</f>
        <v>9</v>
      </c>
      <c r="AI339" s="86">
        <f>AVERAGEIFS($I$2:I339, $B$2:B339, B339)</f>
        <v>8.3333333333333329E-2</v>
      </c>
      <c r="AJ339" s="86">
        <f>AVERAGEIFS($J$2:J339, $B$2:B339, B339)</f>
        <v>0.3</v>
      </c>
      <c r="AK339" s="86">
        <f>AVERAGEIFS($D$2:D339, $B$2:B339, B339)</f>
        <v>0</v>
      </c>
    </row>
    <row r="340" spans="1:37" x14ac:dyDescent="0.25">
      <c r="A340" s="85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86">
        <f>AVERAGEIFS($C$2:C340, $B$2:B340, B340)</f>
        <v>18.153846153846153</v>
      </c>
      <c r="AI340" s="86">
        <f>AVERAGEIFS($I$2:I340, $B$2:B340, B340)</f>
        <v>0.41538461538461535</v>
      </c>
      <c r="AJ340" s="86">
        <f>AVERAGEIFS($J$2:J340, $B$2:B340, B340)</f>
        <v>0.49384615384615393</v>
      </c>
      <c r="AK340" s="86">
        <f>AVERAGEIFS($D$2:D340, $B$2:B340, B340)</f>
        <v>0.38461538461538464</v>
      </c>
    </row>
    <row r="341" spans="1:37" x14ac:dyDescent="0.25">
      <c r="A341" s="85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86">
        <f>AVERAGEIFS($C$2:C341, $B$2:B341, B341)</f>
        <v>22.772727272727273</v>
      </c>
      <c r="AI341" s="86">
        <f>AVERAGEIFS($I$2:I341, $B$2:B341, B341)</f>
        <v>0.54999999999999993</v>
      </c>
      <c r="AJ341" s="86">
        <f>AVERAGEIFS($J$2:J341, $B$2:B341, B341)</f>
        <v>0.51454545454545453</v>
      </c>
      <c r="AK341" s="86">
        <f>AVERAGEIFS($D$2:D341, $B$2:B341, B341)</f>
        <v>0.59090909090909094</v>
      </c>
    </row>
    <row r="342" spans="1:37" x14ac:dyDescent="0.25">
      <c r="A342" s="85">
        <v>46151</v>
      </c>
      <c r="B342" t="s">
        <v>161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86">
        <f>AVERAGEIFS($C$2:C342, $B$2:B342, B342)</f>
        <v>9.3000000000000007</v>
      </c>
      <c r="AI342" s="86">
        <f>AVERAGEIFS($I$2:I342, $B$2:B342, B342)</f>
        <v>0.59</v>
      </c>
      <c r="AJ342" s="86">
        <f>AVERAGEIFS($J$2:J342, $B$2:B342, B342)</f>
        <v>0.54299999999999993</v>
      </c>
      <c r="AK342" s="86">
        <f>AVERAGEIFS($D$2:D342, $B$2:B342, B342)</f>
        <v>0.6</v>
      </c>
    </row>
    <row r="343" spans="1:37" x14ac:dyDescent="0.25">
      <c r="A343" s="85">
        <v>46151</v>
      </c>
      <c r="B343" t="s">
        <v>150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86">
        <f>AVERAGEIFS($C$2:C343, $B$2:B343, B343)</f>
        <v>18.8</v>
      </c>
      <c r="AI343" s="86">
        <f>AVERAGEIFS($I$2:I343, $B$2:B343, B343)</f>
        <v>0.65</v>
      </c>
      <c r="AJ343" s="86">
        <f>AVERAGEIFS($J$2:J343, $B$2:B343, B343)</f>
        <v>0.60133333333333328</v>
      </c>
      <c r="AK343" s="86">
        <f>AVERAGEIFS($D$2:D343, $B$2:B343, B343)</f>
        <v>0.73333333333333328</v>
      </c>
    </row>
    <row r="344" spans="1:37" x14ac:dyDescent="0.25">
      <c r="A344" s="85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25.142857142857142</v>
      </c>
      <c r="AI344" s="86">
        <f>AVERAGEIFS($I$2:I344, $B$2:B344, B344)</f>
        <v>0.57500000000000007</v>
      </c>
      <c r="AJ344" s="86">
        <f>AVERAGEIFS($J$2:J344, $B$2:B344, B344)</f>
        <v>0.53071428571428569</v>
      </c>
      <c r="AK344" s="86">
        <f>AVERAGEIFS($D$2:D344, $B$2:B344, B344)</f>
        <v>0.6428571428571429</v>
      </c>
    </row>
    <row r="345" spans="1:37" x14ac:dyDescent="0.25">
      <c r="A345" s="85">
        <v>46151</v>
      </c>
      <c r="B345" t="s">
        <v>107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14.388888888888889</v>
      </c>
      <c r="AI345" s="86">
        <f>AVERAGEIFS($I$2:I345, $B$2:B345, B345)</f>
        <v>0.44722222222222219</v>
      </c>
      <c r="AJ345" s="86">
        <f>AVERAGEIFS($J$2:J345, $B$2:B345, B345)</f>
        <v>0.48500000000000004</v>
      </c>
      <c r="AK345" s="86">
        <f>AVERAGEIFS($D$2:D345, $B$2:B345, B345)</f>
        <v>0.55555555555555558</v>
      </c>
    </row>
    <row r="346" spans="1:37" x14ac:dyDescent="0.25">
      <c r="A346" s="85">
        <v>46151</v>
      </c>
      <c r="B346" t="s">
        <v>152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11</v>
      </c>
      <c r="AI346" s="86">
        <f>AVERAGEIFS($I$2:I346, $B$2:B346, B346)</f>
        <v>0.45</v>
      </c>
      <c r="AJ346" s="86">
        <f>AVERAGEIFS($J$2:J346, $B$2:B346, B346)</f>
        <v>0.48200000000000004</v>
      </c>
      <c r="AK346" s="86">
        <f>AVERAGEIFS($D$2:D346, $B$2:B346, B346)</f>
        <v>0.4</v>
      </c>
    </row>
    <row r="347" spans="1:37" x14ac:dyDescent="0.25">
      <c r="A347" s="85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86">
        <f>AVERAGEIFS($C$2:C347, $B$2:B347, B347)</f>
        <v>17.705882352941178</v>
      </c>
      <c r="AI347" s="86">
        <f>AVERAGEIFS($I$2:I347, $B$2:B347, B347)</f>
        <v>0.51470588235294124</v>
      </c>
      <c r="AJ347" s="86">
        <f>AVERAGEIFS($J$2:J347, $B$2:B347, B347)</f>
        <v>0.50529411764705878</v>
      </c>
      <c r="AK347" s="86">
        <f>AVERAGEIFS($D$2:D347, $B$2:B347, B347)</f>
        <v>0.52941176470588236</v>
      </c>
    </row>
    <row r="348" spans="1:37" x14ac:dyDescent="0.25">
      <c r="A348" s="85">
        <v>46151</v>
      </c>
      <c r="B348" t="s">
        <v>54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86">
        <f>AVERAGEIFS($C$2:C348, $B$2:B348, B348)</f>
        <v>22.23076923076923</v>
      </c>
      <c r="AI348" s="86">
        <f>AVERAGEIFS($I$2:I348, $B$2:B348, B348)</f>
        <v>0.49230769230769234</v>
      </c>
      <c r="AJ348" s="86">
        <f>AVERAGEIFS($J$2:J348, $B$2:B348, B348)</f>
        <v>0.49461538461538451</v>
      </c>
      <c r="AK348" s="86">
        <f>AVERAGEIFS($D$2:D348, $B$2:B348, B348)</f>
        <v>0.46153846153846156</v>
      </c>
    </row>
    <row r="349" spans="1:37" x14ac:dyDescent="0.25">
      <c r="A349" s="85">
        <v>46151</v>
      </c>
      <c r="B349" t="s">
        <v>40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86">
        <f>AVERAGEIFS($C$2:C349, $B$2:B349, B349)</f>
        <v>19.95</v>
      </c>
      <c r="AI349" s="86">
        <f>AVERAGEIFS($I$2:I349, $B$2:B349, B349)</f>
        <v>0.44000000000000006</v>
      </c>
      <c r="AJ349" s="86">
        <f>AVERAGEIFS($J$2:J349, $B$2:B349, B349)</f>
        <v>0.47850000000000004</v>
      </c>
      <c r="AK349" s="86">
        <f>AVERAGEIFS($D$2:D349, $B$2:B349, B349)</f>
        <v>0.4</v>
      </c>
    </row>
    <row r="350" spans="1:37" x14ac:dyDescent="0.25">
      <c r="A350" s="85">
        <v>46151</v>
      </c>
      <c r="B350" t="s">
        <v>179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86">
        <f>AVERAGEIFS($C$2:C350, $B$2:B350, B350)</f>
        <v>12.666666666666666</v>
      </c>
      <c r="AI350" s="86">
        <f>AVERAGEIFS($I$2:I350, $B$2:B350, B350)</f>
        <v>0.3833333333333333</v>
      </c>
      <c r="AJ350" s="86">
        <f>AVERAGEIFS($J$2:J350, $B$2:B350, B350)</f>
        <v>0.45999999999999996</v>
      </c>
      <c r="AK350" s="86">
        <f>AVERAGEIFS($D$2:D350, $B$2:B350, B350)</f>
        <v>0.33333333333333331</v>
      </c>
    </row>
    <row r="351" spans="1:37" x14ac:dyDescent="0.25">
      <c r="A351" s="85">
        <v>46151</v>
      </c>
      <c r="B351" t="s">
        <v>35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86">
        <f>AVERAGEIFS($C$2:C351, $B$2:B351, B351)</f>
        <v>7.4285714285714288</v>
      </c>
      <c r="AI351" s="86">
        <f>AVERAGEIFS($I$2:I351, $B$2:B351, B351)</f>
        <v>0.39285714285714285</v>
      </c>
      <c r="AJ351" s="86">
        <f>AVERAGEIFS($J$2:J351, $B$2:B351, B351)</f>
        <v>0.44428571428571434</v>
      </c>
      <c r="AK351" s="86">
        <f>AVERAGEIFS($D$2:D351, $B$2:B351, B351)</f>
        <v>0.2857142857142857</v>
      </c>
    </row>
    <row r="352" spans="1:37" x14ac:dyDescent="0.25">
      <c r="A352" s="85">
        <v>46151</v>
      </c>
      <c r="B352" t="s">
        <v>44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86">
        <f>AVERAGEIFS($C$2:C352, $B$2:B352, B352)</f>
        <v>16.263157894736842</v>
      </c>
      <c r="AI352" s="86">
        <f>AVERAGEIFS($I$2:I352, $B$2:B352, B352)</f>
        <v>0.58947368421052626</v>
      </c>
      <c r="AJ352" s="86">
        <f>AVERAGEIFS($J$2:J352, $B$2:B352, B352)</f>
        <v>0.5463157894736842</v>
      </c>
      <c r="AK352" s="86">
        <f>AVERAGEIFS($D$2:D352, $B$2:B352, B352)</f>
        <v>0.63157894736842102</v>
      </c>
    </row>
    <row r="353" spans="1:37" x14ac:dyDescent="0.25">
      <c r="A353" s="85">
        <v>46151</v>
      </c>
      <c r="B353" t="s">
        <v>150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86">
        <f>AVERAGEIFS($C$2:C353, $B$2:B353, B353)</f>
        <v>19.5</v>
      </c>
      <c r="AI353" s="86">
        <f>AVERAGEIFS($I$2:I353, $B$2:B353, B353)</f>
        <v>0.671875</v>
      </c>
      <c r="AJ353" s="86">
        <f>AVERAGEIFS($J$2:J353, $B$2:B353, B353)</f>
        <v>0.61062499999999997</v>
      </c>
      <c r="AK353" s="86">
        <f>AVERAGEIFS($D$2:D353, $B$2:B353, B353)</f>
        <v>0.75</v>
      </c>
    </row>
    <row r="354" spans="1:37" x14ac:dyDescent="0.25">
      <c r="A354" s="85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86">
        <f>AVERAGEIFS($C$2:C354, $B$2:B354, B354)</f>
        <v>22.913043478260871</v>
      </c>
      <c r="AI354" s="86">
        <f>AVERAGEIFS($I$2:I354, $B$2:B354, B354)</f>
        <v>0.56956521739130428</v>
      </c>
      <c r="AJ354" s="86">
        <f>AVERAGEIFS($J$2:J354, $B$2:B354, B354)</f>
        <v>0.52478260869565219</v>
      </c>
      <c r="AK354" s="86">
        <f>AVERAGEIFS($D$2:D354, $B$2:B354, B354)</f>
        <v>0.60869565217391308</v>
      </c>
    </row>
    <row r="355" spans="1:37" x14ac:dyDescent="0.25">
      <c r="A355" s="85">
        <v>46151</v>
      </c>
      <c r="B355" t="s">
        <v>179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14.75</v>
      </c>
      <c r="AI355" s="86">
        <f>AVERAGEIFS($I$2:I355, $B$2:B355, B355)</f>
        <v>0.53749999999999998</v>
      </c>
      <c r="AJ355" s="86">
        <f>AVERAGEIFS($J$2:J355, $B$2:B355, B355)</f>
        <v>0.53249999999999997</v>
      </c>
      <c r="AK355" s="86">
        <f>AVERAGEIFS($D$2:D355, $B$2:B355, B355)</f>
        <v>0.5</v>
      </c>
    </row>
    <row r="356" spans="1:37" x14ac:dyDescent="0.25">
      <c r="A356" s="85">
        <v>46151</v>
      </c>
      <c r="B356" t="s">
        <v>18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15</v>
      </c>
      <c r="AI356" s="86">
        <f>AVERAGEIFS($I$2:I356, $B$2:B356, B356)</f>
        <v>0.66666666666666663</v>
      </c>
      <c r="AJ356" s="86">
        <f>AVERAGEIFS($J$2:J356, $B$2:B356, B356)</f>
        <v>0.56666666666666665</v>
      </c>
      <c r="AK356" s="86">
        <f>AVERAGEIFS($D$2:D356, $B$2:B356, B356)</f>
        <v>0.66666666666666663</v>
      </c>
    </row>
    <row r="357" spans="1:37" x14ac:dyDescent="0.25">
      <c r="A357" s="85">
        <v>46151</v>
      </c>
      <c r="B357" t="s">
        <v>216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1</v>
      </c>
      <c r="AI357" s="86">
        <f>AVERAGEIFS($I$2:I357, $B$2:B357, B357)</f>
        <v>1</v>
      </c>
      <c r="AJ357" s="86">
        <f>AVERAGEIFS($J$2:J357, $B$2:B357, B357)</f>
        <v>0.75</v>
      </c>
      <c r="AK357" s="86">
        <f>AVERAGEIFS($D$2:D357, $B$2:B357, B357)</f>
        <v>1</v>
      </c>
    </row>
    <row r="358" spans="1:37" x14ac:dyDescent="0.25">
      <c r="A358" s="85">
        <v>46151</v>
      </c>
      <c r="B358" t="s">
        <v>141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13.727272727272727</v>
      </c>
      <c r="AI358" s="86">
        <f>AVERAGEIFS($I$2:I358, $B$2:B358, B358)</f>
        <v>0.54090909090909089</v>
      </c>
      <c r="AJ358" s="86">
        <f>AVERAGEIFS($J$2:J358, $B$2:B358, B358)</f>
        <v>0.52454545454545454</v>
      </c>
      <c r="AK358" s="86">
        <f>AVERAGEIFS($D$2:D358, $B$2:B358, B358)</f>
        <v>0.63636363636363635</v>
      </c>
    </row>
    <row r="359" spans="1:37" x14ac:dyDescent="0.25">
      <c r="A359" s="85">
        <v>46151</v>
      </c>
      <c r="B359" t="s">
        <v>107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14.210526315789474</v>
      </c>
      <c r="AI359" s="86">
        <f>AVERAGEIFS($I$2:I359, $B$2:B359, B359)</f>
        <v>0.42368421052631572</v>
      </c>
      <c r="AJ359" s="86">
        <f>AVERAGEIFS($J$2:J359, $B$2:B359, B359)</f>
        <v>0.47263157894736846</v>
      </c>
      <c r="AK359" s="86">
        <f>AVERAGEIFS($D$2:D359, $B$2:B359, B359)</f>
        <v>0.52631578947368418</v>
      </c>
    </row>
    <row r="360" spans="1:37" x14ac:dyDescent="0.25">
      <c r="A360" s="85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86">
        <f>AVERAGEIFS($C$2:C360, $B$2:B360, B360)</f>
        <v>18.055555555555557</v>
      </c>
      <c r="AI360" s="86">
        <f>AVERAGEIFS($I$2:I360, $B$2:B360, B360)</f>
        <v>0.48611111111111122</v>
      </c>
      <c r="AJ360" s="86">
        <f>AVERAGEIFS($J$2:J360, $B$2:B360, B360)</f>
        <v>0.49111111111111111</v>
      </c>
      <c r="AK360" s="86">
        <f>AVERAGEIFS($D$2:D360, $B$2:B360, B360)</f>
        <v>0.5</v>
      </c>
    </row>
    <row r="361" spans="1:37" x14ac:dyDescent="0.25">
      <c r="A361" s="85">
        <v>46151</v>
      </c>
      <c r="B361" t="s">
        <v>40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86">
        <f>AVERAGEIFS($C$2:C361, $B$2:B361, B361)</f>
        <v>19.333333333333332</v>
      </c>
      <c r="AI361" s="86">
        <f>AVERAGEIFS($I$2:I361, $B$2:B361, B361)</f>
        <v>0.41904761904761906</v>
      </c>
      <c r="AJ361" s="86">
        <f>AVERAGEIFS($J$2:J361, $B$2:B361, B361)</f>
        <v>0.46761904761904766</v>
      </c>
      <c r="AK361" s="86">
        <f>AVERAGEIFS($D$2:D361, $B$2:B361, B361)</f>
        <v>0.38095238095238093</v>
      </c>
    </row>
    <row r="362" spans="1:37" x14ac:dyDescent="0.25">
      <c r="A362" s="85">
        <v>46151</v>
      </c>
      <c r="B362" t="s">
        <v>44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86">
        <f>AVERAGEIFS($C$2:C362, $B$2:B362, B362)</f>
        <v>16.25</v>
      </c>
      <c r="AI362" s="86">
        <f>AVERAGEIFS($I$2:I362, $B$2:B362, B362)</f>
        <v>0.55999999999999994</v>
      </c>
      <c r="AJ362" s="86">
        <f>AVERAGEIFS($J$2:J362, $B$2:B362, B362)</f>
        <v>0.53149999999999997</v>
      </c>
      <c r="AK362" s="86">
        <f>AVERAGEIFS($D$2:D362, $B$2:B362, B362)</f>
        <v>0.6</v>
      </c>
    </row>
    <row r="363" spans="1:37" x14ac:dyDescent="0.25">
      <c r="A363" s="85">
        <v>46151</v>
      </c>
      <c r="B363" t="s">
        <v>152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86">
        <f>AVERAGEIFS($C$2:C363, $B$2:B363, B363)</f>
        <v>11.166666666666666</v>
      </c>
      <c r="AI363" s="86">
        <f>AVERAGEIFS($I$2:I363, $B$2:B363, B363)</f>
        <v>0.375</v>
      </c>
      <c r="AJ363" s="86">
        <f>AVERAGEIFS($J$2:J363, $B$2:B363, B363)</f>
        <v>0.44333333333333336</v>
      </c>
      <c r="AK363" s="86">
        <f>AVERAGEIFS($D$2:D363, $B$2:B363, B363)</f>
        <v>0.33333333333333331</v>
      </c>
    </row>
    <row r="364" spans="1:37" x14ac:dyDescent="0.25">
      <c r="A364" s="85">
        <v>46151</v>
      </c>
      <c r="B364" t="s">
        <v>161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86">
        <f>AVERAGEIFS($C$2:C364, $B$2:B364, B364)</f>
        <v>8.8181818181818183</v>
      </c>
      <c r="AI364" s="86">
        <f>AVERAGEIFS($I$2:I364, $B$2:B364, B364)</f>
        <v>0.53636363636363626</v>
      </c>
      <c r="AJ364" s="86">
        <f>AVERAGEIFS($J$2:J364, $B$2:B364, B364)</f>
        <v>0.51636363636363636</v>
      </c>
      <c r="AK364" s="86">
        <f>AVERAGEIFS($D$2:D364, $B$2:B364, B364)</f>
        <v>0.54545454545454541</v>
      </c>
    </row>
  </sheetData>
  <autoFilter ref="A1:AK339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219"/>
  <sheetViews>
    <sheetView topLeftCell="C190" workbookViewId="0">
      <selection activeCell="AA207" sqref="AA207:AD219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  <row r="196" spans="1:30" x14ac:dyDescent="0.25">
      <c r="A196" s="85">
        <v>46149</v>
      </c>
      <c r="B196" t="s">
        <v>6</v>
      </c>
      <c r="C196">
        <v>66</v>
      </c>
      <c r="D196" s="86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32.555555555555557</v>
      </c>
      <c r="AB196" s="86">
        <f>AVERAGEIFS($I$2:I196, $B$2:B196, B196)</f>
        <v>0.63888888888888884</v>
      </c>
      <c r="AC196" s="86">
        <f>AVERAGEIFS($J$2:J196, $B$2:B196, B196)</f>
        <v>0.53999999999999992</v>
      </c>
      <c r="AD196" s="86">
        <f>AVERAGEIFS($D$2:D196, $B$2:B196, B196)</f>
        <v>0.66666666666666663</v>
      </c>
    </row>
    <row r="197" spans="1:30" x14ac:dyDescent="0.25">
      <c r="A197" s="85">
        <v>46149</v>
      </c>
      <c r="B197" t="s">
        <v>113</v>
      </c>
      <c r="C197">
        <v>50</v>
      </c>
      <c r="D197" s="86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49.5</v>
      </c>
      <c r="AB197" s="86">
        <f>AVERAGEIFS($I$2:I197, $B$2:B197, B197)</f>
        <v>0.5</v>
      </c>
      <c r="AC197" s="86">
        <f>AVERAGEIFS($J$2:J197, $B$2:B197, B197)</f>
        <v>0.47499999999999998</v>
      </c>
      <c r="AD197" s="86">
        <f>AVERAGEIFS($D$2:D197, $B$2:B197, B197)</f>
        <v>0.5</v>
      </c>
    </row>
    <row r="198" spans="1:30" x14ac:dyDescent="0.25">
      <c r="A198" s="85">
        <v>46149</v>
      </c>
      <c r="B198" t="s">
        <v>40</v>
      </c>
      <c r="C198">
        <v>40</v>
      </c>
      <c r="D198" s="86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26.8</v>
      </c>
      <c r="AB198" s="86">
        <f>AVERAGEIFS($I$2:I198, $B$2:B198, B198)</f>
        <v>0.45</v>
      </c>
      <c r="AC198" s="86">
        <f>AVERAGEIFS($J$2:J198, $B$2:B198, B198)</f>
        <v>0.47200000000000009</v>
      </c>
      <c r="AD198" s="86">
        <f>AVERAGEIFS($D$2:D198, $B$2:B198, B198)</f>
        <v>0.4</v>
      </c>
    </row>
    <row r="199" spans="1:30" x14ac:dyDescent="0.25">
      <c r="A199" s="85">
        <v>46149</v>
      </c>
      <c r="B199" t="s">
        <v>147</v>
      </c>
      <c r="C199">
        <v>35</v>
      </c>
      <c r="D199" s="86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30.333333333333332</v>
      </c>
      <c r="AB199" s="86">
        <f>AVERAGEIFS($I$2:I199, $B$2:B199, B199)</f>
        <v>0.46666666666666662</v>
      </c>
      <c r="AC199" s="86">
        <f>AVERAGEIFS($J$2:J199, $B$2:B199, B199)</f>
        <v>0.45</v>
      </c>
      <c r="AD199" s="86">
        <f>AVERAGEIFS($D$2:D199, $B$2:B199, B199)</f>
        <v>0.33333333333333331</v>
      </c>
    </row>
    <row r="200" spans="1:30" x14ac:dyDescent="0.25">
      <c r="A200" s="85">
        <v>46149</v>
      </c>
      <c r="B200" t="s">
        <v>154</v>
      </c>
      <c r="C200">
        <v>35</v>
      </c>
      <c r="D200" s="86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28.5</v>
      </c>
      <c r="AB200" s="86">
        <f>AVERAGEIFS($I$2:I200, $B$2:B200, B200)</f>
        <v>0.5</v>
      </c>
      <c r="AC200" s="86">
        <f>AVERAGEIFS($J$2:J200, $B$2:B200, B200)</f>
        <v>0.47499999999999998</v>
      </c>
      <c r="AD200" s="86">
        <f>AVERAGEIFS($D$2:D200, $B$2:B200, B200)</f>
        <v>0.5</v>
      </c>
    </row>
    <row r="201" spans="1:30" x14ac:dyDescent="0.25">
      <c r="A201" s="85">
        <v>46149</v>
      </c>
      <c r="B201" t="s">
        <v>146</v>
      </c>
      <c r="C201">
        <v>22</v>
      </c>
      <c r="D201" s="86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23.333333333333332</v>
      </c>
      <c r="AB201" s="86">
        <f>AVERAGEIFS($I$2:I201, $B$2:B201, B201)</f>
        <v>0.46666666666666662</v>
      </c>
      <c r="AC201" s="86">
        <f>AVERAGEIFS($J$2:J201, $B$2:B201, B201)</f>
        <v>0.45</v>
      </c>
      <c r="AD201" s="86">
        <f>AVERAGEIFS($D$2:D201, $B$2:B201, B201)</f>
        <v>0.33333333333333331</v>
      </c>
    </row>
    <row r="202" spans="1:30" x14ac:dyDescent="0.25">
      <c r="A202" s="85">
        <v>46149</v>
      </c>
      <c r="B202" t="s">
        <v>2</v>
      </c>
      <c r="C202">
        <v>68</v>
      </c>
      <c r="D202" s="86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86">
        <f>AVERAGEIFS($C$2:C202, $B$2:B202, B202)</f>
        <v>38.625</v>
      </c>
      <c r="AB202" s="86">
        <f>AVERAGEIFS($I$2:I202, $B$2:B202, B202)</f>
        <v>0.51249999999999996</v>
      </c>
      <c r="AC202" s="86">
        <f>AVERAGEIFS($J$2:J202, $B$2:B202, B202)</f>
        <v>0.51500000000000001</v>
      </c>
      <c r="AD202" s="86">
        <f>AVERAGEIFS($D$2:D202, $B$2:B202, B202)</f>
        <v>0.375</v>
      </c>
    </row>
    <row r="203" spans="1:30" x14ac:dyDescent="0.25">
      <c r="A203" s="85">
        <v>46149</v>
      </c>
      <c r="B203" t="s">
        <v>18</v>
      </c>
      <c r="C203">
        <v>58</v>
      </c>
      <c r="D203" s="86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86">
        <f>AVERAGEIFS($C$2:C203, $B$2:B203, B203)</f>
        <v>36.299999999999997</v>
      </c>
      <c r="AB203" s="86">
        <f>AVERAGEIFS($I$2:I203, $B$2:B203, B203)</f>
        <v>0.46500000000000002</v>
      </c>
      <c r="AC203" s="86">
        <f>AVERAGEIFS($J$2:J203, $B$2:B203, B203)</f>
        <v>0.48599999999999993</v>
      </c>
      <c r="AD203" s="86">
        <f>AVERAGEIFS($D$2:D203, $B$2:B203, B203)</f>
        <v>0.4</v>
      </c>
    </row>
    <row r="204" spans="1:30" x14ac:dyDescent="0.25">
      <c r="A204" s="85">
        <v>46149</v>
      </c>
      <c r="B204" t="s">
        <v>25</v>
      </c>
      <c r="C204">
        <v>50</v>
      </c>
      <c r="D204" s="86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86">
        <f>AVERAGEIFS($C$2:C204, $B$2:B204, B204)</f>
        <v>29.333333333333332</v>
      </c>
      <c r="AB204" s="86">
        <f>AVERAGEIFS($I$2:I204, $B$2:B204, B204)</f>
        <v>0.40833333333333327</v>
      </c>
      <c r="AC204" s="86">
        <f>AVERAGEIFS($J$2:J204, $B$2:B204, B204)</f>
        <v>0.47166666666666668</v>
      </c>
      <c r="AD204" s="86">
        <f>AVERAGEIFS($D$2:D204, $B$2:B204, B204)</f>
        <v>0.16666666666666666</v>
      </c>
    </row>
    <row r="205" spans="1:30" x14ac:dyDescent="0.25">
      <c r="A205" s="85">
        <v>46149</v>
      </c>
      <c r="B205" t="s">
        <v>150</v>
      </c>
      <c r="C205">
        <v>41</v>
      </c>
      <c r="D205" s="86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86">
        <f>AVERAGEIFS($C$2:C205, $B$2:B205, B205)</f>
        <v>41</v>
      </c>
      <c r="AB205" s="86">
        <f>AVERAGEIFS($I$2:I205, $B$2:B205, B205)</f>
        <v>0.4</v>
      </c>
      <c r="AC205" s="86">
        <f>AVERAGEIFS($J$2:J205, $B$2:B205, B205)</f>
        <v>0.48</v>
      </c>
      <c r="AD205" s="86">
        <f>AVERAGEIFS($D$2:D205, $B$2:B205, B205)</f>
        <v>0</v>
      </c>
    </row>
    <row r="206" spans="1:30" x14ac:dyDescent="0.25">
      <c r="A206" s="85">
        <v>46149</v>
      </c>
      <c r="B206" t="s">
        <v>45</v>
      </c>
      <c r="C206">
        <v>29</v>
      </c>
      <c r="D206" s="86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86">
        <f>AVERAGEIFS($C$2:C206, $B$2:B206, B206)</f>
        <v>16.666666666666668</v>
      </c>
      <c r="AB206" s="86">
        <f>AVERAGEIFS($I$2:I206, $B$2:B206, B206)</f>
        <v>0.42499999999999999</v>
      </c>
      <c r="AC206" s="86">
        <f>AVERAGEIFS($J$2:J206, $B$2:B206, B206)</f>
        <v>0.48499999999999993</v>
      </c>
      <c r="AD206" s="86">
        <f>AVERAGEIFS($D$2:D206, $B$2:B206, B206)</f>
        <v>0.33333333333333331</v>
      </c>
    </row>
    <row r="207" spans="1:30" x14ac:dyDescent="0.25">
      <c r="A207" s="85">
        <v>46149</v>
      </c>
      <c r="B207" t="s">
        <v>140</v>
      </c>
      <c r="C207">
        <v>18</v>
      </c>
      <c r="D207" s="86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86">
        <f>AVERAGEIFS($C$2:C207, $B$2:B207, B207)</f>
        <v>18</v>
      </c>
      <c r="AB207" s="86">
        <f>AVERAGEIFS($I$2:I207, $B$2:B207, B207)</f>
        <v>0.4</v>
      </c>
      <c r="AC207" s="86">
        <f>AVERAGEIFS($J$2:J207, $B$2:B207, B207)</f>
        <v>0.48</v>
      </c>
      <c r="AD207" s="86">
        <f>AVERAGEIFS($D$2:D207, $B$2:B207, B207)</f>
        <v>0</v>
      </c>
    </row>
    <row r="208" spans="1:30" x14ac:dyDescent="0.25">
      <c r="A208" s="85">
        <v>46155</v>
      </c>
      <c r="B208" t="s">
        <v>5</v>
      </c>
      <c r="C208">
        <v>21</v>
      </c>
      <c r="D208" s="86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86">
        <f>AVERAGEIFS($C$2:C208, $B$2:B208, B208)</f>
        <v>31.428571428571427</v>
      </c>
      <c r="AB208" s="86">
        <f>AVERAGEIFS($I$2:I208, $B$2:B208, B208)</f>
        <v>0.61428571428571443</v>
      </c>
      <c r="AC208" s="86">
        <f>AVERAGEIFS($J$2:J208, $B$2:B208, B208)</f>
        <v>0.54714285714285715</v>
      </c>
      <c r="AD208" s="86">
        <f>AVERAGEIFS($D$2:D208, $B$2:B208, B208)</f>
        <v>0.8571428571428571</v>
      </c>
    </row>
    <row r="209" spans="1:30" x14ac:dyDescent="0.25">
      <c r="A209" s="85">
        <v>46155</v>
      </c>
      <c r="B209" t="s">
        <v>4</v>
      </c>
      <c r="C209">
        <v>21</v>
      </c>
      <c r="D209" s="86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86">
        <f>AVERAGEIFS($C$2:C209, $B$2:B209, B209)</f>
        <v>26.666666666666668</v>
      </c>
      <c r="AB209" s="86">
        <f>AVERAGEIFS($I$2:I209, $B$2:B209, B209)</f>
        <v>0.55000000000000004</v>
      </c>
      <c r="AC209" s="86">
        <f>AVERAGEIFS($J$2:J209, $B$2:B209, B209)</f>
        <v>0.51500000000000001</v>
      </c>
      <c r="AD209" s="86">
        <f>AVERAGEIFS($D$2:D209, $B$2:B209, B209)</f>
        <v>0.83333333333333337</v>
      </c>
    </row>
    <row r="210" spans="1:30" x14ac:dyDescent="0.25">
      <c r="A210" s="85">
        <v>46155</v>
      </c>
      <c r="B210" t="s">
        <v>42</v>
      </c>
      <c r="C210">
        <v>12</v>
      </c>
      <c r="D210" s="86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86">
        <f>AVERAGEIFS($C$2:C210, $B$2:B210, B210)</f>
        <v>10</v>
      </c>
      <c r="AB210" s="86">
        <f>AVERAGEIFS($I$2:I210, $B$2:B210, B210)</f>
        <v>0.78333333333333333</v>
      </c>
      <c r="AC210" s="86">
        <f>AVERAGEIFS($J$2:J210, $B$2:B210, B210)</f>
        <v>0.64666666666666661</v>
      </c>
      <c r="AD210" s="86">
        <f>AVERAGEIFS($D$2:D210, $B$2:B210, B210)</f>
        <v>1</v>
      </c>
    </row>
    <row r="211" spans="1:30" x14ac:dyDescent="0.25">
      <c r="A211" s="85">
        <v>46155</v>
      </c>
      <c r="B211" t="s">
        <v>53</v>
      </c>
      <c r="C211">
        <v>12</v>
      </c>
      <c r="D211" s="86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86">
        <f>AVERAGEIFS($C$2:C211, $B$2:B211, B211)</f>
        <v>13.75</v>
      </c>
      <c r="AB211" s="86">
        <f>AVERAGEIFS($I$2:I211, $B$2:B211, B211)</f>
        <v>0.48749999999999999</v>
      </c>
      <c r="AC211" s="86">
        <f>AVERAGEIFS($J$2:J211, $B$2:B211, B211)</f>
        <v>0.51500000000000001</v>
      </c>
      <c r="AD211" s="86">
        <f>AVERAGEIFS($D$2:D211, $B$2:B211, B211)</f>
        <v>0.75</v>
      </c>
    </row>
    <row r="212" spans="1:30" x14ac:dyDescent="0.25">
      <c r="A212" s="85">
        <v>46155</v>
      </c>
      <c r="B212" t="s">
        <v>20</v>
      </c>
      <c r="C212">
        <v>19</v>
      </c>
      <c r="D212" s="86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86">
        <f>AVERAGEIFS($C$2:C212, $B$2:B212, B212)</f>
        <v>18.3</v>
      </c>
      <c r="AB212" s="86">
        <f>AVERAGEIFS($I$2:I212, $B$2:B212, B212)</f>
        <v>0.51</v>
      </c>
      <c r="AC212" s="86">
        <f>AVERAGEIFS($J$2:J212, $B$2:B212, B212)</f>
        <v>0.5159999999999999</v>
      </c>
      <c r="AD212" s="86">
        <f>AVERAGEIFS($D$2:D212, $B$2:B212, B212)</f>
        <v>0.4</v>
      </c>
    </row>
    <row r="213" spans="1:30" x14ac:dyDescent="0.25">
      <c r="A213" s="85">
        <v>46155</v>
      </c>
      <c r="B213" t="s">
        <v>137</v>
      </c>
      <c r="C213">
        <v>14</v>
      </c>
      <c r="D213" s="86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86">
        <f>AVERAGEIFS($C$2:C213, $B$2:B213, B213)</f>
        <v>10.333333333333334</v>
      </c>
      <c r="AB213" s="86">
        <f>AVERAGEIFS($I$2:I213, $B$2:B213, B213)</f>
        <v>0.5</v>
      </c>
      <c r="AC213" s="86">
        <f>AVERAGEIFS($J$2:J213, $B$2:B213, B213)</f>
        <v>0.49500000000000005</v>
      </c>
      <c r="AD213" s="86">
        <f>AVERAGEIFS($D$2:D213, $B$2:B213, B213)</f>
        <v>0.5</v>
      </c>
    </row>
    <row r="214" spans="1:30" x14ac:dyDescent="0.25">
      <c r="A214" s="85">
        <v>46155</v>
      </c>
      <c r="B214" t="s">
        <v>14</v>
      </c>
      <c r="C214">
        <v>20</v>
      </c>
      <c r="D214" s="86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37.299999999999997</v>
      </c>
      <c r="AB214" s="86">
        <f>AVERAGEIFS($I$2:I214, $B$2:B214, B214)</f>
        <v>0.495</v>
      </c>
      <c r="AC214" s="86">
        <f>AVERAGEIFS($J$2:J214, $B$2:B214, B214)</f>
        <v>0.50800000000000001</v>
      </c>
      <c r="AD214" s="86">
        <f>AVERAGEIFS($D$2:D214, $B$2:B214, B214)</f>
        <v>0.5</v>
      </c>
    </row>
    <row r="215" spans="1:30" x14ac:dyDescent="0.25">
      <c r="A215" s="85">
        <v>46155</v>
      </c>
      <c r="B215" t="s">
        <v>15</v>
      </c>
      <c r="C215">
        <v>23</v>
      </c>
      <c r="D215" s="86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32.333333333333336</v>
      </c>
      <c r="AB215" s="86">
        <f>AVERAGEIFS($I$2:I215, $B$2:B215, B215)</f>
        <v>0.45555555555555549</v>
      </c>
      <c r="AC215" s="86">
        <f>AVERAGEIFS($J$2:J215, $B$2:B215, B215)</f>
        <v>0.47555555555555556</v>
      </c>
      <c r="AD215" s="86">
        <f>AVERAGEIFS($D$2:D215, $B$2:B215, B215)</f>
        <v>0.22222222222222221</v>
      </c>
    </row>
    <row r="216" spans="1:30" x14ac:dyDescent="0.25">
      <c r="A216" s="85">
        <v>46155</v>
      </c>
      <c r="B216" t="s">
        <v>155</v>
      </c>
      <c r="C216">
        <v>17</v>
      </c>
      <c r="D216" s="86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86">
        <f>AVERAGEIFS($C$2:C216, $B$2:B216, B216)</f>
        <v>32.333333333333336</v>
      </c>
      <c r="AB216" s="86">
        <f>AVERAGEIFS($I$2:I216, $B$2:B216, B216)</f>
        <v>0.48333333333333334</v>
      </c>
      <c r="AC216" s="86">
        <f>AVERAGEIFS($J$2:J216, $B$2:B216, B216)</f>
        <v>0.51666666666666661</v>
      </c>
      <c r="AD216" s="86">
        <f>AVERAGEIFS($D$2:D216, $B$2:B216, B216)</f>
        <v>0.66666666666666663</v>
      </c>
    </row>
    <row r="217" spans="1:30" x14ac:dyDescent="0.25">
      <c r="A217" s="85">
        <v>46155</v>
      </c>
      <c r="B217" t="s">
        <v>27</v>
      </c>
      <c r="C217">
        <v>10</v>
      </c>
      <c r="D217" s="86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86">
        <f>AVERAGEIFS($C$2:C217, $B$2:B217, B217)</f>
        <v>18.444444444444443</v>
      </c>
      <c r="AB217" s="86">
        <f>AVERAGEIFS($I$2:I217, $B$2:B217, B217)</f>
        <v>0.42777777777777781</v>
      </c>
      <c r="AC217" s="86">
        <f>AVERAGEIFS($J$2:J217, $B$2:B217, B217)</f>
        <v>0.45666666666666672</v>
      </c>
      <c r="AD217" s="86">
        <f>AVERAGEIFS($D$2:D217, $B$2:B217, B217)</f>
        <v>0.44444444444444442</v>
      </c>
    </row>
    <row r="218" spans="1:30" x14ac:dyDescent="0.25">
      <c r="A218" s="85">
        <v>46155</v>
      </c>
      <c r="B218" t="s">
        <v>35</v>
      </c>
      <c r="C218">
        <v>12</v>
      </c>
      <c r="D218" s="86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86">
        <f>AVERAGEIFS($C$2:C218, $B$2:B218, B218)</f>
        <v>15.571428571428571</v>
      </c>
      <c r="AB218" s="86">
        <f>AVERAGEIFS($I$2:I218, $B$2:B218, B218)</f>
        <v>0.45714285714285718</v>
      </c>
      <c r="AC218" s="86">
        <f>AVERAGEIFS($J$2:J218, $B$2:B218, B218)</f>
        <v>0.51142857142857134</v>
      </c>
      <c r="AD218" s="86">
        <f>AVERAGEIFS($D$2:D218, $B$2:B218, B218)</f>
        <v>0.5714285714285714</v>
      </c>
    </row>
    <row r="219" spans="1:30" x14ac:dyDescent="0.25">
      <c r="A219" s="85">
        <v>46155</v>
      </c>
      <c r="B219" t="s">
        <v>19</v>
      </c>
      <c r="C219">
        <v>9</v>
      </c>
      <c r="D219" s="86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86">
        <f>AVERAGEIFS($C$2:C219, $B$2:B219, B219)</f>
        <v>14.4</v>
      </c>
      <c r="AB219" s="86">
        <f>AVERAGEIFS($I$2:I219, $B$2:B219, B219)</f>
        <v>0.43</v>
      </c>
      <c r="AC219" s="86">
        <f>AVERAGEIFS($J$2:J219, $B$2:B219, B219)</f>
        <v>0.45900000000000007</v>
      </c>
      <c r="AD219" s="86">
        <f>AVERAGEIFS($D$2:D219, $B$2:B219, B219)</f>
        <v>0.3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1"/>
  <sheetViews>
    <sheetView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A23" sqref="A2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57</v>
      </c>
      <c r="E2" s="4">
        <f>AVERAGEIFS('Tourney History'!C:C,'Tourney History'!B:B,A2)</f>
        <v>28.5</v>
      </c>
      <c r="F2" s="35">
        <f t="array" ref="F2">MAX(IF('Tourney History'!B:B=A2, 'Tourney History'!C:C))</f>
        <v>35</v>
      </c>
      <c r="G2" s="34">
        <f>COUNTIFS('Tourney History'!B:B,A2,'Tourney History'!D:D, 1)</f>
        <v>1</v>
      </c>
      <c r="H2" s="2">
        <f>COUNTIFS('Tourney History'!B:B,A2,'Tourney History'!D:D, 0)</f>
        <v>1</v>
      </c>
      <c r="I2" s="88">
        <f>LOOKUP(2, 1/('Tourney History'!$B:$B=A2), 'Tourney History'!$AD:$AD)</f>
        <v>0.5</v>
      </c>
      <c r="J2" s="34">
        <f>SUMIFS('Tourney History'!F:F,'Tourney History'!B:B,A2)</f>
        <v>5</v>
      </c>
      <c r="K2" s="2">
        <f>SUMIFS('Tourney History'!E:E,'Tourney History'!B:B,A2)-J2</f>
        <v>5</v>
      </c>
      <c r="L2" s="88">
        <f>LOOKUP(2, 1/('Tourney History'!$B:$B=A2), 'Tourney History'!$AB:$AB)</f>
        <v>0.5</v>
      </c>
      <c r="M2" s="34">
        <f>SUMIFS('Tourney History'!H:H,'Tourney History'!B:B,A2)</f>
        <v>21</v>
      </c>
      <c r="N2" s="2">
        <f>SUMIFS('Tourney History'!G:G,'Tourney History'!B:B,A2)-M2</f>
        <v>23</v>
      </c>
      <c r="O2" s="88">
        <f>LOOKUP(2, 1/('Tourney History'!$B:$B=A2), 'Tourney History'!$AC:$AC)</f>
        <v>0.47499999999999998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1</v>
      </c>
      <c r="S2" s="2">
        <f>COUNTIFS('Tourney History'!$B:$B,$A$2,'Tourney History'!N:N, 1)</f>
        <v>2</v>
      </c>
      <c r="T2" s="2">
        <f>COUNTIFS('Tourney History'!$B:$B,$A$2,'Tourney History'!O:O, 1)</f>
        <v>1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140</v>
      </c>
      <c r="B3" s="3" t="s">
        <v>79</v>
      </c>
      <c r="C3" s="3" t="s">
        <v>79</v>
      </c>
      <c r="D3" s="34">
        <f>SUMIFS('Tourney History'!C:C,'Tourney History'!B:B,A3)</f>
        <v>18</v>
      </c>
      <c r="E3" s="4">
        <f>AVERAGEIFS('Tourney History'!C:C,'Tourney History'!B:B,A3)</f>
        <v>18</v>
      </c>
      <c r="F3" s="35">
        <f t="array" ref="F3">MAX(IF('Tourney History'!B:B=A3, 'Tourney History'!C:C))</f>
        <v>18</v>
      </c>
      <c r="G3" s="34">
        <f>COUNTIFS('Tourney History'!B:B,A3,'Tourney History'!D:D, 1)</f>
        <v>0</v>
      </c>
      <c r="H3" s="2">
        <f>COUNTIFS('Tourney History'!B:B,A3,'Tourney History'!D:D, 0)</f>
        <v>1</v>
      </c>
      <c r="I3" s="88">
        <f>LOOKUP(2, 1/('Tourney History'!$B:$B=A3), 'Tourney History'!$AD:$AD)</f>
        <v>0</v>
      </c>
      <c r="J3" s="34">
        <f>SUMIFS('Tourney History'!F:F,'Tourney History'!B:B,A3)</f>
        <v>2</v>
      </c>
      <c r="K3" s="2">
        <f>SUMIFS('Tourney History'!E:E,'Tourney History'!B:B,A3)-J3</f>
        <v>3</v>
      </c>
      <c r="L3" s="88">
        <f>LOOKUP(2, 1/('Tourney History'!$B:$B=A3), 'Tourney History'!$AB:$AB)</f>
        <v>0.4</v>
      </c>
      <c r="M3" s="34">
        <f>SUMIFS('Tourney History'!H:H,'Tourney History'!B:B,A3)</f>
        <v>10</v>
      </c>
      <c r="N3" s="2">
        <f>SUMIFS('Tourney History'!G:G,'Tourney History'!B:B,A3)-M3</f>
        <v>11</v>
      </c>
      <c r="O3" s="88">
        <f>LOOKUP(2, 1/('Tourney History'!$B:$B=A3), 'Tourney History'!$AC:$AC)</f>
        <v>0.48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0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1</v>
      </c>
      <c r="AD3" s="2">
        <f>COUNTIFS('Tourney History'!$B:$B,$A$3,'Tourney History'!Y:Y, 1)</f>
        <v>0</v>
      </c>
      <c r="AE3" s="2">
        <f>COUNTIFS('Tourney History'!$B:$B,$A$3,'Tourney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SUMIFS('Tourney History'!C:C,'Tourney History'!B:B,A4)</f>
        <v>126</v>
      </c>
      <c r="E4" s="4">
        <f>AVERAGEIFS('Tourney History'!C:C,'Tourney History'!B:B,A4)</f>
        <v>21</v>
      </c>
      <c r="F4" s="35">
        <f t="array" ref="F4">MAX(IF('Tourney History'!B:B=A4, 'Tourney History'!C:C))</f>
        <v>33</v>
      </c>
      <c r="G4" s="34">
        <f>COUNTIFS('Tourney History'!B:B,A4,'Tourney History'!D:D, 1)</f>
        <v>2</v>
      </c>
      <c r="H4" s="2">
        <f>COUNTIFS('Tourney History'!B:B,A4,'Tourney History'!D:D, 0)</f>
        <v>4</v>
      </c>
      <c r="I4" s="88">
        <f>LOOKUP(2, 1/('Tourney History'!$B:$B=A4), 'Tourney History'!$AD:$AD)</f>
        <v>0.33333333333333331</v>
      </c>
      <c r="J4" s="34">
        <f>SUMIFS('Tourney History'!F:F,'Tourney History'!B:B,A4)</f>
        <v>10</v>
      </c>
      <c r="K4" s="2">
        <f>SUMIFS('Tourney History'!E:E,'Tourney History'!B:B,A4)-J4</f>
        <v>15</v>
      </c>
      <c r="L4" s="88">
        <f>LOOKUP(2, 1/('Tourney History'!$B:$B=A4), 'Tourney History'!$AB:$AB)</f>
        <v>0.375</v>
      </c>
      <c r="M4" s="34">
        <f>SUMIFS('Tourney History'!H:H,'Tourney History'!B:B,A4)</f>
        <v>45</v>
      </c>
      <c r="N4" s="2">
        <f>SUMIFS('Tourney History'!G:G,'Tourney History'!B:B,A4)-M4</f>
        <v>55</v>
      </c>
      <c r="O4" s="88">
        <f>LOOKUP(2, 1/('Tourney History'!$B:$B=A4), 'Tourney History'!$AC:$AC)</f>
        <v>0.43333333333333335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1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3</v>
      </c>
      <c r="AD4" s="2">
        <f>COUNTIFS('Tourney History'!$B:$B,$A$4,'Tourney History'!Y:Y, 1)</f>
        <v>0</v>
      </c>
      <c r="AE4" s="2">
        <f>COUNTIFS('Tourney History'!$B:$B,$A$4,'Tourney History'!Z:Z, 1)</f>
        <v>2</v>
      </c>
    </row>
    <row r="5" spans="1:31" ht="15.75" x14ac:dyDescent="0.25">
      <c r="A5" s="2" t="s">
        <v>35</v>
      </c>
      <c r="B5" s="80" t="s">
        <v>174</v>
      </c>
      <c r="C5" s="2" t="s">
        <v>79</v>
      </c>
      <c r="D5" s="34">
        <f>SUMIFS('Tourney History'!C:C,'Tourney History'!B:B,A5)</f>
        <v>109</v>
      </c>
      <c r="E5" s="4">
        <f>AVERAGEIFS('Tourney History'!C:C,'Tourney History'!B:B,A5)</f>
        <v>15.571428571428571</v>
      </c>
      <c r="F5" s="35">
        <f t="array" ref="F5">MAX(IF('Tourney History'!B:B=A5, 'Tourney History'!C:C))</f>
        <v>32</v>
      </c>
      <c r="G5" s="34">
        <f>COUNTIFS('Tourney History'!B:B,A5,'Tourney History'!D:D, 1)</f>
        <v>4</v>
      </c>
      <c r="H5" s="2">
        <f>COUNTIFS('Tourney History'!B:B,A5,'Tourney History'!D:D, 0)</f>
        <v>3</v>
      </c>
      <c r="I5" s="88">
        <f>LOOKUP(2, 1/('Tourney History'!$B:$B=A5), 'Tourney History'!$AD:$AD)</f>
        <v>0.5714285714285714</v>
      </c>
      <c r="J5" s="34">
        <f>SUMIFS('Tourney History'!F:F,'Tourney History'!B:B,A5)</f>
        <v>14</v>
      </c>
      <c r="K5" s="2">
        <f>SUMIFS('Tourney History'!E:E,'Tourney History'!B:B,A5)-J5</f>
        <v>15</v>
      </c>
      <c r="L5" s="88">
        <f>LOOKUP(2, 1/('Tourney History'!$B:$B=A5), 'Tourney History'!$AB:$AB)</f>
        <v>0.45714285714285718</v>
      </c>
      <c r="M5" s="34">
        <f>SUMIFS('Tourney History'!H:H,'Tourney History'!B:B,A5)</f>
        <v>60</v>
      </c>
      <c r="N5" s="2">
        <f>SUMIFS('Tourney History'!G:G,'Tourney History'!B:B,A5)-M5</f>
        <v>55</v>
      </c>
      <c r="O5" s="88">
        <f>LOOKUP(2, 1/('Tourney History'!$B:$B=A5), 'Tourney History'!$AC:$AC)</f>
        <v>0.51142857142857134</v>
      </c>
      <c r="P5" s="2">
        <f>COUNTIFS('Tourney History'!$B:$B,$A$5,'Tourney History'!K:K, 1)</f>
        <v>1</v>
      </c>
      <c r="Q5" s="2">
        <f>COUNTIFS('Tourney History'!$B:$B,$A$5,'Tourney History'!L:L, 1)</f>
        <v>3</v>
      </c>
      <c r="R5" s="2">
        <f>COUNTIFS('Tourney History'!$B:$B,$A$5,'Tourney History'!M:M, 1)</f>
        <v>0</v>
      </c>
      <c r="S5" s="2">
        <f>COUNTIFS('Tourney History'!$B:$B,$A$5,'Tourney History'!N:N, 1)</f>
        <v>3</v>
      </c>
      <c r="T5" s="2">
        <f>COUNTIFS('Tourney History'!$B:$B,$A$5,'Tourney History'!O:O, 1)</f>
        <v>2</v>
      </c>
      <c r="U5" s="2">
        <f>COUNTIFS('Tourney History'!$B:$B,$A$5,'Tourney History'!P:P, 1)</f>
        <v>2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2</v>
      </c>
      <c r="AC5" s="2">
        <f>COUNTIFS('Tourney History'!$B:$B,$A$5,'Tourney History'!X:X, 1)</f>
        <v>0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ht="15.75" x14ac:dyDescent="0.25">
      <c r="A6" s="2" t="s">
        <v>19</v>
      </c>
      <c r="B6" s="95" t="s">
        <v>79</v>
      </c>
      <c r="C6" s="2" t="s">
        <v>79</v>
      </c>
      <c r="D6" s="34">
        <f>SUMIFS('Tourney History'!C:C,'Tourney History'!B:B,A6)</f>
        <v>144</v>
      </c>
      <c r="E6" s="4">
        <f>AVERAGEIFS('Tourney History'!C:C,'Tourney History'!B:B,A6)</f>
        <v>14.4</v>
      </c>
      <c r="F6" s="35">
        <f t="array" ref="F6">MAX(IF('Tourney History'!B:B=A6, 'Tourney History'!C:C))</f>
        <v>26</v>
      </c>
      <c r="G6" s="34">
        <f>COUNTIFS('Tourney History'!B:B,A6,'Tourney History'!D:D, 1)</f>
        <v>3</v>
      </c>
      <c r="H6" s="2">
        <f>COUNTIFS('Tourney History'!B:B,A6,'Tourney History'!D:D, 0)</f>
        <v>7</v>
      </c>
      <c r="I6" s="88">
        <f>LOOKUP(2, 1/('Tourney History'!$B:$B=A6), 'Tourney History'!$AD:$AD)</f>
        <v>0.3</v>
      </c>
      <c r="J6" s="34">
        <f>SUMIFS('Tourney History'!F:F,'Tourney History'!B:B,A6)</f>
        <v>18</v>
      </c>
      <c r="K6" s="2">
        <f>SUMIFS('Tourney History'!E:E,'Tourney History'!B:B,A6)-J6</f>
        <v>24</v>
      </c>
      <c r="L6" s="88">
        <f>LOOKUP(2, 1/('Tourney History'!$B:$B=A6), 'Tourney History'!$AB:$AB)</f>
        <v>0.43</v>
      </c>
      <c r="M6" s="34">
        <f>SUMIFS('Tourney History'!H:H,'Tourney History'!B:B,A6)</f>
        <v>79</v>
      </c>
      <c r="N6" s="2">
        <f>SUMIFS('Tourney History'!G:G,'Tourney History'!B:B,A6)-M6</f>
        <v>91</v>
      </c>
      <c r="O6" s="88">
        <f>LOOKUP(2, 1/('Tourney History'!$B:$B=A6), 'Tourney History'!$AC:$AC)</f>
        <v>0.45900000000000007</v>
      </c>
      <c r="P6" s="2">
        <f>COUNTIFS('Tourney History'!$B:$B,$A$6,'Tourney History'!K:K, 1)</f>
        <v>1</v>
      </c>
      <c r="Q6" s="2">
        <f>COUNTIFS('Tourney History'!$B:$B,$A$6,'Tourney History'!L:L, 1)</f>
        <v>1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1</v>
      </c>
      <c r="U6" s="2">
        <f>COUNTIFS('Tourney History'!$B:$B,$A$6,'Tourney History'!P:P, 1)</f>
        <v>3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3</v>
      </c>
      <c r="AC6" s="2">
        <f>COUNTIFS('Tourney History'!$B:$B,$A$6,'Tourney History'!X:X, 1)</f>
        <v>4</v>
      </c>
      <c r="AD6" s="2">
        <f>COUNTIFS('Tourney History'!$B:$B,$A$6,'Tourney History'!Y:Y, 1)</f>
        <v>1</v>
      </c>
      <c r="AE6" s="2">
        <f>COUNTIFS('Tourney History'!$B:$B,$A$6,'Tourney History'!Z:Z, 1)</f>
        <v>3</v>
      </c>
    </row>
    <row r="7" spans="1:31" x14ac:dyDescent="0.25">
      <c r="A7" s="1" t="s">
        <v>42</v>
      </c>
      <c r="B7" s="6" t="s">
        <v>60</v>
      </c>
      <c r="C7" s="2" t="s">
        <v>79</v>
      </c>
      <c r="D7" s="34">
        <f>SUMIFS('Tourney History'!C:C,'Tourney History'!B:B,A7)</f>
        <v>30</v>
      </c>
      <c r="E7" s="4">
        <f>AVERAGEIFS('Tourney History'!C:C,'Tourney History'!B:B,A7)</f>
        <v>10</v>
      </c>
      <c r="F7" s="35">
        <f t="array" ref="F7">MAX(IF('Tourney History'!B:B=A7, 'Tourney History'!C:C))</f>
        <v>12</v>
      </c>
      <c r="G7" s="34">
        <f>COUNTIFS('Tourney History'!B:B,A7,'Tourney History'!D:D, 1)</f>
        <v>3</v>
      </c>
      <c r="H7" s="2">
        <f>COUNTIFS('Tourney History'!B:B,A7,'Tourney History'!D:D, 0)</f>
        <v>0</v>
      </c>
      <c r="I7" s="88">
        <f>LOOKUP(2, 1/('Tourney History'!$B:$B=A7), 'Tourney History'!$AD:$AD)</f>
        <v>1</v>
      </c>
      <c r="J7" s="34">
        <f>SUMIFS('Tourney History'!F:F,'Tourney History'!B:B,A7)</f>
        <v>9</v>
      </c>
      <c r="K7" s="2">
        <f>SUMIFS('Tourney History'!E:E,'Tourney History'!B:B,A7)-J7</f>
        <v>3</v>
      </c>
      <c r="L7" s="88">
        <f>LOOKUP(2, 1/('Tourney History'!$B:$B=A7), 'Tourney History'!$AB:$AB)</f>
        <v>0.78333333333333333</v>
      </c>
      <c r="M7" s="34">
        <f>SUMIFS('Tourney History'!H:H,'Tourney History'!B:B,A7)</f>
        <v>29</v>
      </c>
      <c r="N7" s="2">
        <f>SUMIFS('Tourney History'!G:G,'Tourney History'!B:B,A7)-M7</f>
        <v>18</v>
      </c>
      <c r="O7" s="88">
        <f>LOOKUP(2, 1/('Tourney History'!$B:$B=A7), 'Tourney History'!$AC:$AC)</f>
        <v>0.64666666666666661</v>
      </c>
      <c r="P7" s="2">
        <f>COUNTIFS('Tourney History'!$B:$B,$A$7,'Tourney History'!K:K, 1)</f>
        <v>1</v>
      </c>
      <c r="Q7" s="2">
        <f>COUNTIFS('Tourney History'!$B:$B,$A$7,'Tourney History'!L:L, 1)</f>
        <v>2</v>
      </c>
      <c r="R7" s="2">
        <f>COUNTIFS('Tourney History'!$B:$B,$A$7,'Tourney History'!M:M, 1)</f>
        <v>1</v>
      </c>
      <c r="S7" s="2">
        <f>COUNTIFS('Tourney History'!$B:$B,$A$7,'Tourney History'!N:N, 1)</f>
        <v>0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2</v>
      </c>
      <c r="AC7" s="2">
        <f>COUNTIFS('Tourney History'!$B:$B,$A$7,'Tourney History'!X:X, 1)</f>
        <v>1</v>
      </c>
      <c r="AD7" s="2">
        <f>COUNTIFS('Tourney History'!$B:$B,$A$7,'Tourney History'!Y:Y, 1)</f>
        <v>0</v>
      </c>
      <c r="AE7" s="2">
        <f>COUNTIFS('Tourney History'!$B:$B,$A$7,'Tourney History'!Z:Z, 1)</f>
        <v>1</v>
      </c>
    </row>
    <row r="8" spans="1:31" x14ac:dyDescent="0.25">
      <c r="A8" s="1" t="s">
        <v>25</v>
      </c>
      <c r="B8" s="6" t="s">
        <v>79</v>
      </c>
      <c r="C8" s="2" t="s">
        <v>79</v>
      </c>
      <c r="D8" s="34">
        <f>SUMIFS('Tourney History'!C:C,'Tourney History'!B:B,A8)</f>
        <v>176</v>
      </c>
      <c r="E8" s="4">
        <f>AVERAGEIFS('Tourney History'!C:C,'Tourney History'!B:B,A8)</f>
        <v>29.333333333333332</v>
      </c>
      <c r="F8" s="35">
        <f t="array" ref="F8">MAX(IF('Tourney History'!B:B=A8, 'Tourney History'!C:C))</f>
        <v>50</v>
      </c>
      <c r="G8" s="34">
        <f>COUNTIFS('Tourney History'!B:B,A8,'Tourney History'!D:D, 1)</f>
        <v>1</v>
      </c>
      <c r="H8" s="2">
        <f>COUNTIFS('Tourney History'!B:B,A8,'Tourney History'!D:D, 0)</f>
        <v>5</v>
      </c>
      <c r="I8" s="88">
        <f>LOOKUP(2, 1/('Tourney History'!$B:$B=A8), 'Tourney History'!$AD:$AD)</f>
        <v>0.16666666666666666</v>
      </c>
      <c r="J8" s="34">
        <f>SUMIFS('Tourney History'!F:F,'Tourney History'!B:B,A8)</f>
        <v>12</v>
      </c>
      <c r="K8" s="2">
        <f>SUMIFS('Tourney History'!E:E,'Tourney History'!B:B,A8)-J8</f>
        <v>17</v>
      </c>
      <c r="L8" s="88">
        <f>LOOKUP(2, 1/('Tourney History'!$B:$B=A8), 'Tourney History'!$AB:$AB)</f>
        <v>0.40833333333333327</v>
      </c>
      <c r="M8" s="34">
        <f>SUMIFS('Tourney History'!H:H,'Tourney History'!B:B,A8)</f>
        <v>59</v>
      </c>
      <c r="N8" s="2">
        <f>SUMIFS('Tourney History'!G:G,'Tourney History'!B:B,A8)-M8</f>
        <v>66</v>
      </c>
      <c r="O8" s="88">
        <f>LOOKUP(2, 1/('Tourney History'!$B:$B=A8), 'Tourney History'!$AC:$AC)</f>
        <v>0.47166666666666668</v>
      </c>
      <c r="P8" s="2">
        <f>COUNTIFS('Tourney History'!$B:$B,$A$8,'Tourney History'!K:K, 1)</f>
        <v>1</v>
      </c>
      <c r="Q8" s="2">
        <f>COUNTIFS('Tourney History'!$B:$B,$A$8,'Tourney History'!L:L, 1)</f>
        <v>0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1</v>
      </c>
      <c r="U8" s="2">
        <f>COUNTIFS('Tourney History'!$B:$B,$A$8,'Tourney History'!P:P, 1)</f>
        <v>1</v>
      </c>
      <c r="V8" s="2">
        <f>COUNTIFS('Tourney History'!$B:$B,$A$8,'Tourney History'!Q:Q, 1)</f>
        <v>0</v>
      </c>
      <c r="W8" s="2">
        <f>COUNTIFS('Tourney History'!$B:$B,$A$8,'Tourney History'!R:R, 1)</f>
        <v>1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146</v>
      </c>
      <c r="B9" s="6" t="s">
        <v>79</v>
      </c>
      <c r="C9" s="2" t="s">
        <v>79</v>
      </c>
      <c r="D9" s="34">
        <f>SUMIFS('Tourney History'!C:C,'Tourney History'!B:B,A9)</f>
        <v>70</v>
      </c>
      <c r="E9" s="4">
        <f>AVERAGEIFS('Tourney History'!C:C,'Tourney History'!B:B,A9)</f>
        <v>23.333333333333332</v>
      </c>
      <c r="F9" s="35">
        <f t="array" ref="F9">MAX(IF('Tourney History'!B:B=A9, 'Tourney History'!C:C))</f>
        <v>27</v>
      </c>
      <c r="G9" s="34">
        <f>COUNTIFS('Tourney History'!B:B,A9,'Tourney History'!D:D, 1)</f>
        <v>1</v>
      </c>
      <c r="H9" s="2">
        <f>COUNTIFS('Tourney History'!B:B,A9,'Tourney History'!D:D, 0)</f>
        <v>2</v>
      </c>
      <c r="I9" s="88">
        <f>LOOKUP(2, 1/('Tourney History'!$B:$B=A9), 'Tourney History'!$AD:$AD)</f>
        <v>0.33333333333333331</v>
      </c>
      <c r="J9" s="34">
        <f>SUMIFS('Tourney History'!F:F,'Tourney History'!B:B,A9)</f>
        <v>7</v>
      </c>
      <c r="K9" s="2">
        <f>SUMIFS('Tourney History'!E:E,'Tourney History'!B:B,A9)-J9</f>
        <v>8</v>
      </c>
      <c r="L9" s="88">
        <f>LOOKUP(2, 1/('Tourney History'!$B:$B=A9), 'Tourney History'!$AB:$AB)</f>
        <v>0.46666666666666662</v>
      </c>
      <c r="M9" s="34">
        <f>SUMIFS('Tourney History'!H:H,'Tourney History'!B:B,A9)</f>
        <v>29</v>
      </c>
      <c r="N9" s="2">
        <f>SUMIFS('Tourney History'!G:G,'Tourney History'!B:B,A9)-M9</f>
        <v>35</v>
      </c>
      <c r="O9" s="88">
        <f>LOOKUP(2, 1/('Tourney History'!$B:$B=A9), 'Tourney History'!$AC:$AC)</f>
        <v>0.45</v>
      </c>
      <c r="P9" s="2">
        <f>COUNTIFS('Tourney History'!$B:$B,$A$9,'Tourney History'!K:K, 1)</f>
        <v>0</v>
      </c>
      <c r="Q9" s="2">
        <f>COUNTIFS('Tourney History'!$B:$B,$A$9,'Tourney History'!L:L, 1)</f>
        <v>1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1</v>
      </c>
      <c r="U9" s="2">
        <f>COUNTIFS('Tourney History'!$B:$B,$A$9,'Tourney History'!P:P, 1)</f>
        <v>0</v>
      </c>
      <c r="V9" s="2">
        <f>COUNTIFS('Tourney History'!$B:$B,$A$9,'Tourney History'!Q:Q, 1)</f>
        <v>0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0</v>
      </c>
      <c r="AC9" s="2">
        <f>COUNTIFS('Tourney History'!$B:$B,$A$9,'Tourney History'!X:X, 1)</f>
        <v>1</v>
      </c>
      <c r="AD9" s="2">
        <f>COUNTIFS('Tourney History'!$B:$B,$A$9,'Tourney History'!Y:Y, 1)</f>
        <v>1</v>
      </c>
      <c r="AE9" s="2">
        <f>COUNTIFS('Tourney History'!$B:$B,$A$9,'Tourney History'!Z:Z, 1)</f>
        <v>0</v>
      </c>
    </row>
    <row r="10" spans="1:31" x14ac:dyDescent="0.25">
      <c r="A10" s="1" t="s">
        <v>27</v>
      </c>
      <c r="B10" s="6" t="s">
        <v>76</v>
      </c>
      <c r="C10" s="6" t="s">
        <v>79</v>
      </c>
      <c r="D10" s="34">
        <f>SUMIFS('Tourney History'!C:C,'Tourney History'!B:B,A10)</f>
        <v>166</v>
      </c>
      <c r="E10" s="4">
        <f>AVERAGEIFS('Tourney History'!C:C,'Tourney History'!B:B,A10)</f>
        <v>18.444444444444443</v>
      </c>
      <c r="F10" s="35">
        <f t="array" ref="F10">MAX(IF('Tourney History'!B:B=A10, 'Tourney History'!C:C))</f>
        <v>44</v>
      </c>
      <c r="G10" s="34">
        <f>COUNTIFS('Tourney History'!B:B,A10,'Tourney History'!D:D, 1)</f>
        <v>4</v>
      </c>
      <c r="H10" s="2">
        <f>COUNTIFS('Tourney History'!B:B,A10,'Tourney History'!D:D, 0)</f>
        <v>5</v>
      </c>
      <c r="I10" s="88">
        <f>LOOKUP(2, 1/('Tourney History'!$B:$B=A10), 'Tourney History'!$AD:$AD)</f>
        <v>0.44444444444444442</v>
      </c>
      <c r="J10" s="34">
        <f>SUMIFS('Tourney History'!F:F,'Tourney History'!B:B,A10)</f>
        <v>18</v>
      </c>
      <c r="K10" s="2">
        <f>SUMIFS('Tourney History'!E:E,'Tourney History'!B:B,A10)-J10</f>
        <v>22</v>
      </c>
      <c r="L10" s="88">
        <f>LOOKUP(2, 1/('Tourney History'!$B:$B=A10), 'Tourney History'!$AB:$AB)</f>
        <v>0.42777777777777781</v>
      </c>
      <c r="M10" s="34">
        <f>SUMIFS('Tourney History'!H:H,'Tourney History'!B:B,A10)</f>
        <v>78</v>
      </c>
      <c r="N10" s="2">
        <f>SUMIFS('Tourney History'!G:G,'Tourney History'!B:B,A10)-M10</f>
        <v>86</v>
      </c>
      <c r="O10" s="88">
        <f>LOOKUP(2, 1/('Tourney History'!$B:$B=A10), 'Tourney History'!$AC:$AC)</f>
        <v>0.45666666666666672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1</v>
      </c>
      <c r="S10" s="2">
        <f>COUNTIFS('Tourney History'!$B:$B,$A$10,'Tourney History'!N:N, 1)</f>
        <v>0</v>
      </c>
      <c r="T10" s="2">
        <f>COUNTIFS('Tourney History'!$B:$B,$A$10,'Tourney History'!O:O, 1)</f>
        <v>3</v>
      </c>
      <c r="U10" s="2">
        <f>COUNTIFS('Tourney History'!$B:$B,$A$10,'Tourney History'!P:P, 1)</f>
        <v>3</v>
      </c>
      <c r="V10" s="2">
        <f>COUNTIFS('Tourney History'!$B:$B,$A$10,'Tourney History'!Q:Q, 1)</f>
        <v>1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1</v>
      </c>
      <c r="AC10" s="2">
        <f>COUNTIFS('Tourney History'!$B:$B,$A$10,'Tourney History'!X:X, 1)</f>
        <v>3</v>
      </c>
      <c r="AD10" s="2">
        <f>COUNTIFS('Tourney History'!$B:$B,$A$10,'Tourney History'!Y:Y, 1)</f>
        <v>2</v>
      </c>
      <c r="AE10" s="2">
        <f>COUNTIFS('Tourney History'!$B:$B,$A$10,'Tourney History'!Z:Z, 1)</f>
        <v>3</v>
      </c>
    </row>
    <row r="11" spans="1:31" x14ac:dyDescent="0.25">
      <c r="A11" s="1" t="s">
        <v>26</v>
      </c>
      <c r="B11" s="6" t="s">
        <v>124</v>
      </c>
      <c r="C11" s="6" t="s">
        <v>79</v>
      </c>
      <c r="D11" s="34">
        <f>SUMIFS('Tourney History'!C:C,'Tourney History'!B:B,A11)</f>
        <v>149</v>
      </c>
      <c r="E11" s="4">
        <f>AVERAGEIFS('Tourney History'!C:C,'Tourney History'!B:B,A11)</f>
        <v>18.625</v>
      </c>
      <c r="F11" s="35">
        <f t="array" ref="F11">MAX(IF('Tourney History'!B:B=A11, 'Tourney History'!C:C))</f>
        <v>41</v>
      </c>
      <c r="G11" s="34">
        <f>COUNTIFS('Tourney History'!B:B,A11,'Tourney History'!D:D, 1)</f>
        <v>5</v>
      </c>
      <c r="H11" s="2">
        <f>COUNTIFS('Tourney History'!B:B,A11,'Tourney History'!D:D, 0)</f>
        <v>3</v>
      </c>
      <c r="I11" s="88">
        <f>LOOKUP(2, 1/('Tourney History'!$B:$B=A11), 'Tourney History'!$AD:$AD)</f>
        <v>0.625</v>
      </c>
      <c r="J11" s="34">
        <f>SUMIFS('Tourney History'!F:F,'Tourney History'!B:B,A11)</f>
        <v>19</v>
      </c>
      <c r="K11" s="2">
        <f>SUMIFS('Tourney History'!E:E,'Tourney History'!B:B,A11)-J11</f>
        <v>16</v>
      </c>
      <c r="L11" s="88">
        <f>LOOKUP(2, 1/('Tourney History'!$B:$B=A11), 'Tourney History'!$AB:$AB)</f>
        <v>0.55625000000000013</v>
      </c>
      <c r="M11" s="34">
        <f>SUMIFS('Tourney History'!H:H,'Tourney History'!B:B,A11)</f>
        <v>74</v>
      </c>
      <c r="N11" s="2">
        <f>SUMIFS('Tourney History'!G:G,'Tourney History'!B:B,A11)-M11</f>
        <v>70</v>
      </c>
      <c r="O11" s="88">
        <f>LOOKUP(2, 1/('Tourney History'!$B:$B=A11), 'Tourney History'!$AC:$AC)</f>
        <v>0.52500000000000002</v>
      </c>
      <c r="P11" s="2">
        <f>COUNTIFS('Tourney History'!$B:$B,$A$11,'Tourney History'!K:K, 1)</f>
        <v>0</v>
      </c>
      <c r="Q11" s="2">
        <f>COUNTIFS('Tourney History'!$B:$B,$A$11,'Tourney History'!L:L, 1)</f>
        <v>2</v>
      </c>
      <c r="R11" s="2">
        <f>COUNTIFS('Tourney History'!$B:$B,$A$11,'Tourney History'!M:M, 1)</f>
        <v>1</v>
      </c>
      <c r="S11" s="2">
        <f>COUNTIFS('Tourney History'!$B:$B,$A$11,'Tourney History'!N:N, 1)</f>
        <v>2</v>
      </c>
      <c r="T11" s="2">
        <f>COUNTIFS('Tourney History'!$B:$B,$A$11,'Tourney History'!O:O, 1)</f>
        <v>3</v>
      </c>
      <c r="U11" s="2">
        <f>COUNTIFS('Tourney History'!$B:$B,$A$11,'Tourney History'!P:P, 1)</f>
        <v>4</v>
      </c>
      <c r="V11" s="2">
        <f>COUNTIFS('Tourney History'!$B:$B,$A$11,'Tourney History'!Q:Q, 1)</f>
        <v>2</v>
      </c>
      <c r="W11" s="2">
        <f>COUNTIFS('Tourney History'!$B:$B,$A$11,'Tourney History'!R:R, 1)</f>
        <v>1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0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45</v>
      </c>
      <c r="B12" s="80" t="s">
        <v>60</v>
      </c>
      <c r="C12" s="2" t="s">
        <v>79</v>
      </c>
      <c r="D12" s="34">
        <f>SUMIFS('Tourney History'!C:C,'Tourney History'!B:B,A12)</f>
        <v>100</v>
      </c>
      <c r="E12" s="4">
        <f>AVERAGEIFS('Tourney History'!C:C,'Tourney History'!B:B,A12)</f>
        <v>16.666666666666668</v>
      </c>
      <c r="F12" s="35">
        <f t="array" ref="F12">MAX(IF('Tourney History'!B:B=A12, 'Tourney History'!C:C))</f>
        <v>29</v>
      </c>
      <c r="G12" s="34">
        <f>COUNTIFS('Tourney History'!B:B,A12,'Tourney History'!D:D, 1)</f>
        <v>2</v>
      </c>
      <c r="H12" s="2">
        <f>COUNTIFS('Tourney History'!B:B,A12,'Tourney History'!D:D, 0)</f>
        <v>4</v>
      </c>
      <c r="I12" s="88">
        <f>LOOKUP(2, 1/('Tourney History'!$B:$B=A12), 'Tourney History'!$AD:$AD)</f>
        <v>0.33333333333333331</v>
      </c>
      <c r="J12" s="34">
        <f>SUMIFS('Tourney History'!F:F,'Tourney History'!B:B,A12)</f>
        <v>11</v>
      </c>
      <c r="K12" s="2">
        <f>SUMIFS('Tourney History'!E:E,'Tourney History'!B:B,A12)-J12</f>
        <v>14</v>
      </c>
      <c r="L12" s="88">
        <f>LOOKUP(2, 1/('Tourney History'!$B:$B=A12), 'Tourney History'!$AB:$AB)</f>
        <v>0.42499999999999999</v>
      </c>
      <c r="M12" s="34">
        <f>SUMIFS('Tourney History'!H:H,'Tourney History'!B:B,A12)</f>
        <v>49</v>
      </c>
      <c r="N12" s="2">
        <f>SUMIFS('Tourney History'!G:G,'Tourney History'!B:B,A12)-M12</f>
        <v>52</v>
      </c>
      <c r="O12" s="88">
        <f>LOOKUP(2, 1/('Tourney History'!$B:$B=A12), 'Tourney History'!$AC:$AC)</f>
        <v>0.48499999999999993</v>
      </c>
      <c r="P12" s="2">
        <f>COUNTIFS('Tourney History'!$B:$B,$A$12,'Tourney History'!K:K, 1)</f>
        <v>0</v>
      </c>
      <c r="Q12" s="2">
        <f>COUNTIFS('Tourney History'!$B:$B,$A$12,'Tourney History'!L:L, 1)</f>
        <v>1</v>
      </c>
      <c r="R12" s="2">
        <f>COUNTIFS('Tourney History'!$B:$B,$A$12,'Tourney History'!M:M, 1)</f>
        <v>0</v>
      </c>
      <c r="S12" s="2">
        <f>COUNTIFS('Tourney History'!$B:$B,$A$12,'Tourney History'!N:N, 1)</f>
        <v>2</v>
      </c>
      <c r="T12" s="2">
        <f>COUNTIFS('Tourney History'!$B:$B,$A$12,'Tourney History'!O:O, 1)</f>
        <v>0</v>
      </c>
      <c r="U12" s="2">
        <f>COUNTIFS('Tourney History'!$B:$B,$A$12,'Tourney History'!P:P, 1)</f>
        <v>2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2</v>
      </c>
      <c r="AD12" s="2">
        <f>COUNTIFS('Tourney History'!$B:$B,$A$12,'Tourney History'!Y:Y, 1)</f>
        <v>1</v>
      </c>
      <c r="AE12" s="2">
        <f>COUNTIFS('Tourney History'!$B:$B,$A$12,'Tourney History'!Z:Z, 1)</f>
        <v>1</v>
      </c>
    </row>
    <row r="13" spans="1:31" ht="15.75" x14ac:dyDescent="0.25">
      <c r="A13" s="1" t="s">
        <v>50</v>
      </c>
      <c r="B13" s="95" t="s">
        <v>79</v>
      </c>
      <c r="C13" s="2" t="s">
        <v>79</v>
      </c>
      <c r="D13" s="34">
        <f>SUMIFS('Tourney History'!C:C,'Tourney History'!B:B,A13)</f>
        <v>14</v>
      </c>
      <c r="E13" s="4">
        <f>AVERAGEIFS('Tourney History'!C:C,'Tourney History'!B:B,A13)</f>
        <v>14</v>
      </c>
      <c r="F13" s="35">
        <f t="array" ref="F13">MAX(IF('Tourney History'!B:B=A13, 'Tourney History'!C:C))</f>
        <v>14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1</v>
      </c>
      <c r="K13" s="2">
        <f>SUMIFS('Tourney History'!E:E,'Tourney History'!B:B,A13)-J13</f>
        <v>3</v>
      </c>
      <c r="L13" s="88">
        <f>LOOKUP(2, 1/('Tourney History'!$B:$B=A13), 'Tourney History'!$AB:$AB)</f>
        <v>0.25</v>
      </c>
      <c r="M13" s="34">
        <f>SUMIFS('Tourney History'!H:H,'Tourney History'!B:B,A13)</f>
        <v>8</v>
      </c>
      <c r="N13" s="2">
        <f>SUMIFS('Tourney History'!G:G,'Tourney History'!B:B,A13)-M13</f>
        <v>11</v>
      </c>
      <c r="O13" s="88">
        <f>LOOKUP(2, 1/('Tourney History'!$B:$B=A13), 'Tourney History'!$AC:$AC)</f>
        <v>0.42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52</v>
      </c>
      <c r="B14" s="2" t="s">
        <v>79</v>
      </c>
      <c r="C14" s="2" t="s">
        <v>79</v>
      </c>
      <c r="D14" s="34">
        <f>SUMIFS('Tourney History'!C:C,'Tourney History'!B:B,A14)</f>
        <v>5</v>
      </c>
      <c r="E14" s="4">
        <f>AVERAGEIFS('Tourney History'!C:C,'Tourney History'!B:B,A14)</f>
        <v>5</v>
      </c>
      <c r="F14" s="35">
        <f t="array" ref="F14">MAX(IF('Tourney History'!B:B=A14, 'Tourney History'!C:C))</f>
        <v>5</v>
      </c>
      <c r="G14" s="34">
        <f>COUNTIFS('Tourney History'!B:B,A14,'Tourney History'!D:D, 1)</f>
        <v>0</v>
      </c>
      <c r="H14" s="2">
        <f>COUNTIFS('Tourney History'!B:B,A14,'Tourney History'!D:D, 0)</f>
        <v>1</v>
      </c>
      <c r="I14" s="88">
        <f>LOOKUP(2, 1/('Tourney History'!$B:$B=A14), 'Tourney History'!$AD:$AD)</f>
        <v>0</v>
      </c>
      <c r="J14" s="34">
        <f>SUMIFS('Tourney History'!F:F,'Tourney History'!B:B,A14)</f>
        <v>0</v>
      </c>
      <c r="K14" s="2">
        <f>SUMIFS('Tourney History'!E:E,'Tourney History'!B:B,A14)-J14</f>
        <v>3</v>
      </c>
      <c r="L14" s="88">
        <f>LOOKUP(2, 1/('Tourney History'!$B:$B=A14), 'Tourney History'!$AB:$AB)</f>
        <v>0</v>
      </c>
      <c r="M14" s="34">
        <f>SUMIFS('Tourney History'!H:H,'Tourney History'!B:B,A14)</f>
        <v>4</v>
      </c>
      <c r="N14" s="2">
        <f>SUMIFS('Tourney History'!G:G,'Tourney History'!B:B,A14)-M14</f>
        <v>9</v>
      </c>
      <c r="O14" s="88">
        <f>LOOKUP(2, 1/('Tourney History'!$B:$B=A14), 'Tourney History'!$AC:$AC)</f>
        <v>0.31</v>
      </c>
      <c r="P14" s="2">
        <f>COUNTIFS('Tourney History'!$B:$B,$A$14,'Tourney History'!K:K, 1)</f>
        <v>0</v>
      </c>
      <c r="Q14" s="2">
        <f>COUNTIFS('Tourney History'!$B:$B,$A$14,'Tourney History'!L:L, 1)</f>
        <v>0</v>
      </c>
      <c r="R14" s="2">
        <f>COUNTIFS('Tourney History'!$B:$B,$A$14,'Tourney History'!M:M, 1)</f>
        <v>0</v>
      </c>
      <c r="S14" s="2">
        <f>COUNTIFS('Tourney History'!$B:$B,$A$14,'Tourney History'!N:N, 1)</f>
        <v>0</v>
      </c>
      <c r="T14" s="2">
        <f>COUNTIFS('Tourney History'!$B:$B,$A$14,'Tourney History'!O:O, 1)</f>
        <v>0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0</v>
      </c>
      <c r="AC14" s="2">
        <f>COUNTIFS('Tourney History'!$B:$B,$A$14,'Tourney History'!X:X, 1)</f>
        <v>0</v>
      </c>
      <c r="AD14" s="2">
        <f>COUNTIFS('Tourney History'!$B:$B,$A$14,'Tourney History'!Y:Y, 1)</f>
        <v>0</v>
      </c>
      <c r="AE14" s="2">
        <f>COUNTIFS('Tourney History'!$B:$B,$A$14,'Tourney History'!Z:Z, 1)</f>
        <v>0</v>
      </c>
    </row>
    <row r="15" spans="1:31" x14ac:dyDescent="0.25">
      <c r="A15" s="2" t="s">
        <v>150</v>
      </c>
      <c r="B15" s="2" t="s">
        <v>79</v>
      </c>
      <c r="C15" s="2" t="s">
        <v>79</v>
      </c>
      <c r="D15" s="34">
        <f>SUMIFS('Tourney History'!C:C,'Tourney History'!B:B,A15)</f>
        <v>41</v>
      </c>
      <c r="E15" s="4">
        <f>AVERAGEIFS('Tourney History'!C:C,'Tourney History'!B:B,A15)</f>
        <v>41</v>
      </c>
      <c r="F15" s="35">
        <f t="array" ref="F15">MAX(IF('Tourney History'!B:B=A15, 'Tourney History'!C:C))</f>
        <v>41</v>
      </c>
      <c r="G15" s="34">
        <f>COUNTIFS('Tourney History'!B:B,A15,'Tourney History'!D:D, 1)</f>
        <v>0</v>
      </c>
      <c r="H15" s="2">
        <f>COUNTIFS('Tourney History'!B:B,A15,'Tourney History'!D:D, 0)</f>
        <v>1</v>
      </c>
      <c r="I15" s="88">
        <f>LOOKUP(2, 1/('Tourney History'!$B:$B=A15), 'Tourney History'!$AD:$AD)</f>
        <v>0</v>
      </c>
      <c r="J15" s="34">
        <f>SUMIFS('Tourney History'!F:F,'Tourney History'!B:B,A15)</f>
        <v>2</v>
      </c>
      <c r="K15" s="2">
        <f>SUMIFS('Tourney History'!E:E,'Tourney History'!B:B,A15)-J15</f>
        <v>3</v>
      </c>
      <c r="L15" s="88">
        <f>LOOKUP(2, 1/('Tourney History'!$B:$B=A15), 'Tourney History'!$AB:$AB)</f>
        <v>0.4</v>
      </c>
      <c r="M15" s="34">
        <f>SUMIFS('Tourney History'!H:H,'Tourney History'!B:B,A15)</f>
        <v>10</v>
      </c>
      <c r="N15" s="2">
        <f>SUMIFS('Tourney History'!G:G,'Tourney History'!B:B,A15)-M15</f>
        <v>11</v>
      </c>
      <c r="O15" s="88">
        <f>LOOKUP(2, 1/('Tourney History'!$B:$B=A15), 'Tourney History'!$AC:$AC)</f>
        <v>0.48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1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1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29</v>
      </c>
      <c r="B16" s="6" t="s">
        <v>173</v>
      </c>
      <c r="C16" s="2" t="s">
        <v>79</v>
      </c>
      <c r="D16" s="34">
        <f>SUMIFS('Tourney History'!C:C,'Tourney History'!B:B,A16)</f>
        <v>117</v>
      </c>
      <c r="E16" s="4">
        <f>AVERAGEIFS('Tourney History'!C:C,'Tourney History'!B:B,A16)</f>
        <v>13</v>
      </c>
      <c r="F16" s="35">
        <f t="array" ref="F16">MAX(IF('Tourney History'!B:B=A16, 'Tourney History'!C:C))</f>
        <v>21</v>
      </c>
      <c r="G16" s="34">
        <f>COUNTIFS('Tourney History'!B:B,A16,'Tourney History'!D:D, 1)</f>
        <v>8</v>
      </c>
      <c r="H16" s="2">
        <f>COUNTIFS('Tourney History'!B:B,A16,'Tourney History'!D:D, 0)</f>
        <v>1</v>
      </c>
      <c r="I16" s="88">
        <f>LOOKUP(2, 1/('Tourney History'!$B:$B=A16), 'Tourney History'!$AD:$AD)</f>
        <v>0.88888888888888884</v>
      </c>
      <c r="J16" s="34">
        <f>SUMIFS('Tourney History'!F:F,'Tourney History'!B:B,A16)</f>
        <v>25</v>
      </c>
      <c r="K16" s="2">
        <f>SUMIFS('Tourney History'!E:E,'Tourney History'!B:B,A16)-J16</f>
        <v>14</v>
      </c>
      <c r="L16" s="88">
        <f>LOOKUP(2, 1/('Tourney History'!$B:$B=A16), 'Tourney History'!$AB:$AB)</f>
        <v>0.65555555555555545</v>
      </c>
      <c r="M16" s="34">
        <f>SUMIFS('Tourney History'!H:H,'Tourney History'!B:B,A16)</f>
        <v>94</v>
      </c>
      <c r="N16" s="2">
        <f>SUMIFS('Tourney History'!G:G,'Tourney History'!B:B,A16)-M16</f>
        <v>68</v>
      </c>
      <c r="O16" s="88">
        <f>LOOKUP(2, 1/('Tourney History'!$B:$B=A16), 'Tourney History'!$AC:$AC)</f>
        <v>0.59222222222222221</v>
      </c>
      <c r="P16" s="2">
        <f>COUNTIFS('Tourney History'!$B:$B,$A$16,'Tourney History'!K:K, 1)</f>
        <v>1</v>
      </c>
      <c r="Q16" s="2">
        <f>COUNTIFS('Tourney History'!$B:$B,$A$16,'Tourney History'!L:L, 1)</f>
        <v>4</v>
      </c>
      <c r="R16" s="2">
        <f>COUNTIFS('Tourney History'!$B:$B,$A$16,'Tourney History'!M:M, 1)</f>
        <v>2</v>
      </c>
      <c r="S16" s="2">
        <f>COUNTIFS('Tourney History'!$B:$B,$A$16,'Tourney History'!N:N, 1)</f>
        <v>3</v>
      </c>
      <c r="T16" s="2">
        <f>COUNTIFS('Tourney History'!$B:$B,$A$16,'Tourney History'!O:O, 1)</f>
        <v>4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4</v>
      </c>
      <c r="AC16" s="2">
        <f>COUNTIFS('Tourney History'!$B:$B,$A$16,'Tourney History'!X:X, 1)</f>
        <v>2</v>
      </c>
      <c r="AD16" s="2">
        <f>COUNTIFS('Tourney History'!$B:$B,$A$16,'Tourney History'!Y:Y, 1)</f>
        <v>0</v>
      </c>
      <c r="AE16" s="2">
        <f>COUNTIFS('Tourney History'!$B:$B,$A$16,'Tourney History'!Z:Z, 1)</f>
        <v>3</v>
      </c>
    </row>
    <row r="17" spans="1:31" x14ac:dyDescent="0.25">
      <c r="A17" s="2" t="s">
        <v>1</v>
      </c>
      <c r="B17" s="6" t="s">
        <v>156</v>
      </c>
      <c r="C17" s="2" t="s">
        <v>79</v>
      </c>
      <c r="D17" s="34">
        <f>SUMIFS('Tourney History'!C:C,'Tourney History'!B:B,A17)</f>
        <v>160</v>
      </c>
      <c r="E17" s="4">
        <f>AVERAGEIFS('Tourney History'!C:C,'Tourney History'!B:B,A17)</f>
        <v>26.666666666666668</v>
      </c>
      <c r="F17" s="35">
        <f t="array" ref="F17">MAX(IF('Tourney History'!B:B=A17, 'Tourney History'!C:C))</f>
        <v>33</v>
      </c>
      <c r="G17" s="34">
        <f>COUNTIFS('Tourney History'!B:B,A17,'Tourney History'!D:D, 1)</f>
        <v>5</v>
      </c>
      <c r="H17" s="2">
        <f>COUNTIFS('Tourney History'!B:B,A17,'Tourney History'!D:D, 0)</f>
        <v>1</v>
      </c>
      <c r="I17" s="88">
        <f>LOOKUP(2, 1/('Tourney History'!$B:$B=A17), 'Tourney History'!$AD:$AD)</f>
        <v>0.83333333333333337</v>
      </c>
      <c r="J17" s="34">
        <f>SUMIFS('Tourney History'!F:F,'Tourney History'!B:B,A17)</f>
        <v>17</v>
      </c>
      <c r="K17" s="2">
        <f>SUMIFS('Tourney History'!E:E,'Tourney History'!B:B,A17)-J17</f>
        <v>9</v>
      </c>
      <c r="L17" s="88">
        <f>LOOKUP(2, 1/('Tourney History'!$B:$B=A17), 'Tourney History'!$AB:$AB)</f>
        <v>0.68333333333333324</v>
      </c>
      <c r="M17" s="34">
        <f>SUMIFS('Tourney History'!H:H,'Tourney History'!B:B,A17)</f>
        <v>63</v>
      </c>
      <c r="N17" s="2">
        <f>SUMIFS('Tourney History'!G:G,'Tourney History'!B:B,A17)-M17</f>
        <v>51</v>
      </c>
      <c r="O17" s="88">
        <f>LOOKUP(2, 1/('Tourney History'!$B:$B=A17), 'Tourney History'!$AC:$AC)</f>
        <v>0.57500000000000007</v>
      </c>
      <c r="P17" s="2">
        <f>COUNTIFS('Tourney History'!$B:$B,$A$17,'Tourney History'!K:K, 1)</f>
        <v>0</v>
      </c>
      <c r="Q17" s="2">
        <f>COUNTIFS('Tourney History'!$B:$B,$A$17,'Tourney History'!L:L, 1)</f>
        <v>3</v>
      </c>
      <c r="R17" s="2">
        <f>COUNTIFS('Tourney History'!$B:$B,$A$17,'Tourney History'!M:M, 1)</f>
        <v>3</v>
      </c>
      <c r="S17" s="2">
        <f>COUNTIFS('Tourney History'!$B:$B,$A$17,'Tourney History'!N:N, 1)</f>
        <v>0</v>
      </c>
      <c r="T17" s="2">
        <f>COUNTIFS('Tourney History'!$B:$B,$A$17,'Tourney History'!O:O, 1)</f>
        <v>2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2</v>
      </c>
      <c r="AC17" s="2">
        <f>COUNTIFS('Tourney History'!$B:$B,$A$17,'Tourney History'!X:X, 1)</f>
        <v>2</v>
      </c>
      <c r="AD17" s="2">
        <f>COUNTIFS('Tourney History'!$B:$B,$A$17,'Tourney History'!Y:Y, 1)</f>
        <v>2</v>
      </c>
      <c r="AE17" s="2">
        <f>COUNTIFS('Tourney History'!$B:$B,$A$17,'Tourney History'!Z:Z, 1)</f>
        <v>3</v>
      </c>
    </row>
    <row r="18" spans="1:31" x14ac:dyDescent="0.25">
      <c r="A18" s="2" t="s">
        <v>46</v>
      </c>
      <c r="B18" s="6" t="s">
        <v>158</v>
      </c>
      <c r="C18" s="2" t="s">
        <v>79</v>
      </c>
      <c r="D18" s="34">
        <f>SUMIFS('Tourney History'!C:C,'Tourney History'!B:B,A18)</f>
        <v>106</v>
      </c>
      <c r="E18" s="4">
        <f>AVERAGEIFS('Tourney History'!C:C,'Tourney History'!B:B,A18)</f>
        <v>21.2</v>
      </c>
      <c r="F18" s="35">
        <f t="array" ref="F18">MAX(IF('Tourney History'!B:B=A18, 'Tourney History'!C:C))</f>
        <v>36</v>
      </c>
      <c r="G18" s="34">
        <f>COUNTIFS('Tourney History'!B:B,A18,'Tourney History'!D:D, 1)</f>
        <v>2</v>
      </c>
      <c r="H18" s="2">
        <f>COUNTIFS('Tourney History'!B:B,A18,'Tourney History'!D:D, 0)</f>
        <v>3</v>
      </c>
      <c r="I18" s="88">
        <f>LOOKUP(2, 1/('Tourney History'!$B:$B=A18), 'Tourney History'!$AD:$AD)</f>
        <v>0.4</v>
      </c>
      <c r="J18" s="34">
        <f>SUMIFS('Tourney History'!F:F,'Tourney History'!B:B,A18)</f>
        <v>8</v>
      </c>
      <c r="K18" s="2">
        <f>SUMIFS('Tourney History'!E:E,'Tourney History'!B:B,A18)-J18</f>
        <v>11</v>
      </c>
      <c r="L18" s="88">
        <f>LOOKUP(2, 1/('Tourney History'!$B:$B=A18), 'Tourney History'!$AB:$AB)</f>
        <v>0.4</v>
      </c>
      <c r="M18" s="34">
        <f>SUMIFS('Tourney History'!H:H,'Tourney History'!B:B,A18)</f>
        <v>35</v>
      </c>
      <c r="N18" s="2">
        <f>SUMIFS('Tourney History'!G:G,'Tourney History'!B:B,A18)-M18</f>
        <v>45</v>
      </c>
      <c r="O18" s="88">
        <f>LOOKUP(2, 1/('Tourney History'!$B:$B=A18), 'Tourney History'!$AC:$AC)</f>
        <v>0.42800000000000005</v>
      </c>
      <c r="P18" s="2">
        <f>COUNTIFS('Tourney History'!$B:$B,$A$18,'Tourney History'!K:K, 1)</f>
        <v>0</v>
      </c>
      <c r="Q18" s="2">
        <f>COUNTIFS('Tourney History'!$B:$B,$A$18,'Tourney History'!L:L, 1)</f>
        <v>1</v>
      </c>
      <c r="R18" s="2">
        <f>COUNTIFS('Tourney History'!$B:$B,$A$18,'Tourney History'!M:M, 1)</f>
        <v>1</v>
      </c>
      <c r="S18" s="2">
        <f>COUNTIFS('Tourney History'!$B:$B,$A$18,'Tourney History'!N:N, 1)</f>
        <v>1</v>
      </c>
      <c r="T18" s="2">
        <f>COUNTIFS('Tourney History'!$B:$B,$A$18,'Tourney History'!O:O, 1)</f>
        <v>0</v>
      </c>
      <c r="U18" s="2">
        <f>COUNTIFS('Tourney History'!$B:$B,$A$18,'Tourney History'!P:P, 1)</f>
        <v>2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1</v>
      </c>
      <c r="AC18" s="2">
        <f>COUNTIFS('Tourney History'!$B:$B,$A$18,'Tourney History'!X:X, 1)</f>
        <v>0</v>
      </c>
      <c r="AD18" s="2">
        <f>COUNTIFS('Tourney History'!$B:$B,$A$18,'Tourney History'!Y:Y, 1)</f>
        <v>1</v>
      </c>
      <c r="AE18" s="2">
        <f>COUNTIFS('Tourney History'!$B:$B,$A$18,'Tourney History'!Z:Z, 1)</f>
        <v>0</v>
      </c>
    </row>
    <row r="19" spans="1:31" x14ac:dyDescent="0.25">
      <c r="A19" s="2" t="s">
        <v>28</v>
      </c>
      <c r="B19" s="6" t="s">
        <v>60</v>
      </c>
      <c r="C19" s="2" t="s">
        <v>79</v>
      </c>
      <c r="D19" s="34">
        <f>SUMIFS('Tourney History'!C:C,'Tourney History'!B:B,A19)</f>
        <v>166</v>
      </c>
      <c r="E19" s="4">
        <f>AVERAGEIFS('Tourney History'!C:C,'Tourney History'!B:B,A19)</f>
        <v>23.714285714285715</v>
      </c>
      <c r="F19" s="35">
        <f t="array" ref="F19">MAX(IF('Tourney History'!B:B=A19, 'Tourney History'!C:C))</f>
        <v>43</v>
      </c>
      <c r="G19" s="34">
        <f>COUNTIFS('Tourney History'!B:B,A19,'Tourney History'!D:D, 1)</f>
        <v>3</v>
      </c>
      <c r="H19" s="2">
        <f>COUNTIFS('Tourney History'!B:B,A19,'Tourney History'!D:D, 0)</f>
        <v>4</v>
      </c>
      <c r="I19" s="88">
        <f>LOOKUP(2, 1/('Tourney History'!$B:$B=A19), 'Tourney History'!$AD:$AD)</f>
        <v>0.42857142857142855</v>
      </c>
      <c r="J19" s="34">
        <f>SUMIFS('Tourney History'!F:F,'Tourney History'!B:B,A19)</f>
        <v>16</v>
      </c>
      <c r="K19" s="2">
        <f>SUMIFS('Tourney History'!E:E,'Tourney History'!B:B,A19)-J19</f>
        <v>17</v>
      </c>
      <c r="L19" s="88">
        <f>LOOKUP(2, 1/('Tourney History'!$B:$B=A19), 'Tourney History'!$AB:$AB)</f>
        <v>0.48571428571428571</v>
      </c>
      <c r="M19" s="34">
        <f>SUMIFS('Tourney History'!H:H,'Tourney History'!B:B,A19)</f>
        <v>73</v>
      </c>
      <c r="N19" s="2">
        <f>SUMIFS('Tourney History'!G:G,'Tourney History'!B:B,A19)-M19</f>
        <v>74</v>
      </c>
      <c r="O19" s="88">
        <f>LOOKUP(2, 1/('Tourney History'!$B:$B=A19), 'Tourney History'!$AC:$AC)</f>
        <v>0.49571428571428566</v>
      </c>
      <c r="P19" s="2">
        <f>COUNTIFS('Tourney History'!$B:$B,$A$19,'Tourney History'!K:K, 1)</f>
        <v>1</v>
      </c>
      <c r="Q19" s="2">
        <f>COUNTIFS('Tourney History'!$B:$B,$A$19,'Tourney History'!L:L, 1)</f>
        <v>0</v>
      </c>
      <c r="R19" s="2">
        <f>COUNTIFS('Tourney History'!$B:$B,$A$19,'Tourney History'!M:M, 1)</f>
        <v>1</v>
      </c>
      <c r="S19" s="2">
        <f>COUNTIFS('Tourney History'!$B:$B,$A$19,'Tourney History'!N:N, 1)</f>
        <v>1</v>
      </c>
      <c r="T19" s="2">
        <f>COUNTIFS('Tourney History'!$B:$B,$A$19,'Tourney History'!O:O, 1)</f>
        <v>2</v>
      </c>
      <c r="U19" s="2">
        <f>COUNTIFS('Tourney History'!$B:$B,$A$19,'Tourney History'!P:P, 1)</f>
        <v>0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1</v>
      </c>
      <c r="AC19" s="2">
        <f>COUNTIFS('Tourney History'!$B:$B,$A$19,'Tourney History'!X:X, 1)</f>
        <v>4</v>
      </c>
      <c r="AD19" s="2">
        <f>COUNTIFS('Tourney History'!$B:$B,$A$19,'Tourney History'!Y:Y, 1)</f>
        <v>1</v>
      </c>
      <c r="AE19" s="2">
        <f>COUNTIFS('Tourney History'!$B:$B,$A$19,'Tourney History'!Z:Z, 1)</f>
        <v>4</v>
      </c>
    </row>
    <row r="20" spans="1:31" x14ac:dyDescent="0.25">
      <c r="A20" s="2" t="s">
        <v>53</v>
      </c>
      <c r="B20" s="6" t="s">
        <v>60</v>
      </c>
      <c r="C20" s="2" t="s">
        <v>79</v>
      </c>
      <c r="D20" s="34">
        <f>SUMIFS('Tourney History'!C:C,'Tourney History'!B:B,A20)</f>
        <v>55</v>
      </c>
      <c r="E20" s="4">
        <f>AVERAGEIFS('Tourney History'!C:C,'Tourney History'!B:B,A20)</f>
        <v>13.75</v>
      </c>
      <c r="F20" s="35">
        <f t="array" ref="F20">MAX(IF('Tourney History'!B:B=A20, 'Tourney History'!C:C))</f>
        <v>25</v>
      </c>
      <c r="G20" s="34">
        <f>COUNTIFS('Tourney History'!B:B,A20,'Tourney History'!D:D, 1)</f>
        <v>3</v>
      </c>
      <c r="H20" s="2">
        <f>COUNTIFS('Tourney History'!B:B,A20,'Tourney History'!D:D, 0)</f>
        <v>1</v>
      </c>
      <c r="I20" s="88">
        <f>LOOKUP(2, 1/('Tourney History'!$B:$B=A20), 'Tourney History'!$AD:$AD)</f>
        <v>0.75</v>
      </c>
      <c r="J20" s="34">
        <f>SUMIFS('Tourney History'!F:F,'Tourney History'!B:B,A20)</f>
        <v>9</v>
      </c>
      <c r="K20" s="2">
        <f>SUMIFS('Tourney History'!E:E,'Tourney History'!B:B,A20)-J20</f>
        <v>8</v>
      </c>
      <c r="L20" s="88">
        <f>LOOKUP(2, 1/('Tourney History'!$B:$B=A20), 'Tourney History'!$AB:$AB)</f>
        <v>0.48749999999999999</v>
      </c>
      <c r="M20" s="34">
        <f>SUMIFS('Tourney History'!H:H,'Tourney History'!B:B,A20)</f>
        <v>36</v>
      </c>
      <c r="N20" s="2">
        <f>SUMIFS('Tourney History'!G:G,'Tourney History'!B:B,A20)-M20</f>
        <v>32</v>
      </c>
      <c r="O20" s="88">
        <f>LOOKUP(2, 1/('Tourney History'!$B:$B=A20), 'Tourney History'!$AC:$AC)</f>
        <v>0.51500000000000001</v>
      </c>
      <c r="P20" s="2">
        <f>COUNTIFS('Tourney History'!$B:$B,$A$20,'Tourney History'!K:K, 1)</f>
        <v>1</v>
      </c>
      <c r="Q20" s="2">
        <f>COUNTIFS('Tourney History'!$B:$B,$A$20,'Tourney History'!L:L, 1)</f>
        <v>0</v>
      </c>
      <c r="R20" s="2">
        <f>COUNTIFS('Tourney History'!$B:$B,$A$20,'Tourney History'!M:M, 1)</f>
        <v>0</v>
      </c>
      <c r="S20" s="2">
        <f>COUNTIFS('Tourney History'!$B:$B,$A$20,'Tourney History'!N:N, 1)</f>
        <v>1</v>
      </c>
      <c r="T20" s="2">
        <f>COUNTIFS('Tourney History'!$B:$B,$A$20,'Tourney History'!O:O, 1)</f>
        <v>2</v>
      </c>
      <c r="U20" s="2">
        <f>COUNTIFS('Tourney History'!$B:$B,$A$20,'Tourney History'!P:P, 1)</f>
        <v>1</v>
      </c>
      <c r="V20" s="2">
        <f>COUNTIFS('Tourney History'!$B:$B,$A$20,'Tourney History'!Q:Q, 1)</f>
        <v>2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1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0</v>
      </c>
    </row>
    <row r="21" spans="1:31" x14ac:dyDescent="0.25">
      <c r="A21" s="2" t="s">
        <v>51</v>
      </c>
      <c r="B21" s="6" t="s">
        <v>79</v>
      </c>
      <c r="C21" s="2" t="s">
        <v>79</v>
      </c>
      <c r="D21" s="34">
        <f>SUMIFS('Tourney History'!C:C,'Tourney History'!B:B,A21)</f>
        <v>84</v>
      </c>
      <c r="E21" s="4">
        <f>AVERAGEIFS('Tourney History'!C:C,'Tourney History'!B:B,A21)</f>
        <v>16.8</v>
      </c>
      <c r="F21" s="35">
        <f t="array" ref="F21">MAX(IF('Tourney History'!B:B=A21, 'Tourney History'!C:C))</f>
        <v>22</v>
      </c>
      <c r="G21" s="34">
        <f>COUNTIFS('Tourney History'!B:B,A21,'Tourney History'!D:D, 1)</f>
        <v>3</v>
      </c>
      <c r="H21" s="2">
        <f>COUNTIFS('Tourney History'!B:B,A21,'Tourney History'!D:D, 0)</f>
        <v>2</v>
      </c>
      <c r="I21" s="88">
        <f>LOOKUP(2, 1/('Tourney History'!$B:$B=A21), 'Tourney History'!$AD:$AD)</f>
        <v>0.6</v>
      </c>
      <c r="J21" s="34">
        <f>SUMIFS('Tourney History'!F:F,'Tourney History'!B:B,A21)</f>
        <v>12</v>
      </c>
      <c r="K21" s="2">
        <f>SUMIFS('Tourney History'!E:E,'Tourney History'!B:B,A21)-J21</f>
        <v>8</v>
      </c>
      <c r="L21" s="88">
        <f>LOOKUP(2, 1/('Tourney History'!$B:$B=A21), 'Tourney History'!$AB:$AB)</f>
        <v>0.63</v>
      </c>
      <c r="M21" s="34">
        <f>SUMIFS('Tourney History'!H:H,'Tourney History'!B:B,A21)</f>
        <v>41</v>
      </c>
      <c r="N21" s="2">
        <f>SUMIFS('Tourney History'!G:G,'Tourney History'!B:B,A21)-M21</f>
        <v>40</v>
      </c>
      <c r="O21" s="88">
        <f>LOOKUP(2, 1/('Tourney History'!$B:$B=A21), 'Tourney History'!$AC:$AC)</f>
        <v>0.51600000000000001</v>
      </c>
      <c r="P21" s="2">
        <f>COUNTIFS('Tourney History'!$B:$B,$A$21,'Tourney History'!K:K, 1)</f>
        <v>1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2</v>
      </c>
      <c r="T21" s="2">
        <f>COUNTIFS('Tourney History'!$B:$B,$A$21,'Tourney History'!O:O, 1)</f>
        <v>0</v>
      </c>
      <c r="U21" s="2">
        <f>COUNTIFS('Tourney History'!$B:$B,$A$21,'Tourney History'!P:P, 1)</f>
        <v>1</v>
      </c>
      <c r="V21" s="2">
        <f>COUNTIFS('Tourney History'!$B:$B,$A$21,'Tourney History'!Q:Q, 1)</f>
        <v>0</v>
      </c>
      <c r="W21" s="2">
        <f>COUNTIFS('Tourney History'!$B:$B,$A$21,'Tourney History'!R:R, 1)</f>
        <v>1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3</v>
      </c>
      <c r="AD21" s="2">
        <f>COUNTIFS('Tourney History'!$B:$B,$A$21,'Tourney History'!Y:Y, 1)</f>
        <v>0</v>
      </c>
      <c r="AE21" s="2">
        <f>COUNTIFS('Tourney History'!$B:$B,$A$21,'Tourney History'!Z:Z, 1)</f>
        <v>2</v>
      </c>
    </row>
    <row r="22" spans="1:31" ht="15.75" x14ac:dyDescent="0.25">
      <c r="A22" s="2" t="s">
        <v>20</v>
      </c>
      <c r="B22" s="80" t="s">
        <v>60</v>
      </c>
      <c r="C22" s="2" t="s">
        <v>79</v>
      </c>
      <c r="D22" s="34">
        <f>SUMIFS('Tourney History'!C:C,'Tourney History'!B:B,A22)</f>
        <v>183</v>
      </c>
      <c r="E22" s="4">
        <f>AVERAGEIFS('Tourney History'!C:C,'Tourney History'!B:B,A22)</f>
        <v>18.3</v>
      </c>
      <c r="F22" s="35">
        <f t="array" ref="F22">MAX(IF('Tourney History'!B:B=A22, 'Tourney History'!C:C))</f>
        <v>37</v>
      </c>
      <c r="G22" s="34">
        <f>COUNTIFS('Tourney History'!B:B,A22,'Tourney History'!D:D, 1)</f>
        <v>4</v>
      </c>
      <c r="H22" s="2">
        <f>COUNTIFS('Tourney History'!B:B,A22,'Tourney History'!D:D, 0)</f>
        <v>6</v>
      </c>
      <c r="I22" s="88">
        <f>LOOKUP(2, 1/('Tourney History'!$B:$B=A22), 'Tourney History'!$AD:$AD)</f>
        <v>0.4</v>
      </c>
      <c r="J22" s="34">
        <f>SUMIFS('Tourney History'!F:F,'Tourney History'!B:B,A22)</f>
        <v>22</v>
      </c>
      <c r="K22" s="2">
        <f>SUMIFS('Tourney History'!E:E,'Tourney History'!B:B,A22)-J22</f>
        <v>22</v>
      </c>
      <c r="L22" s="88">
        <f>LOOKUP(2, 1/('Tourney History'!$B:$B=A22), 'Tourney History'!$AB:$AB)</f>
        <v>0.51</v>
      </c>
      <c r="M22" s="34">
        <f>SUMIFS('Tourney History'!H:H,'Tourney History'!B:B,A22)</f>
        <v>92</v>
      </c>
      <c r="N22" s="2">
        <f>SUMIFS('Tourney History'!G:G,'Tourney History'!B:B,A22)-M22</f>
        <v>90</v>
      </c>
      <c r="O22" s="88">
        <f>LOOKUP(2, 1/('Tourney History'!$B:$B=A22), 'Tourney History'!$AC:$AC)</f>
        <v>0.5159999999999999</v>
      </c>
      <c r="P22" s="2">
        <f>COUNTIFS('Tourney History'!$B:$B,$A$22,'Tourney History'!K:K, 1)</f>
        <v>2</v>
      </c>
      <c r="Q22" s="2">
        <f>COUNTIFS('Tourney History'!$B:$B,$A$22,'Tourney History'!L:L, 1)</f>
        <v>1</v>
      </c>
      <c r="R22" s="2">
        <f>COUNTIFS('Tourney History'!$B:$B,$A$22,'Tourney History'!M:M, 1)</f>
        <v>0</v>
      </c>
      <c r="S22" s="2">
        <f>COUNTIFS('Tourney History'!$B:$B,$A$22,'Tourney History'!N:N, 1)</f>
        <v>4</v>
      </c>
      <c r="T22" s="2">
        <f>COUNTIFS('Tourney History'!$B:$B,$A$22,'Tourney History'!O:O, 1)</f>
        <v>0</v>
      </c>
      <c r="U22" s="2">
        <f>COUNTIFS('Tourney History'!$B:$B,$A$22,'Tourney History'!P:P, 1)</f>
        <v>3</v>
      </c>
      <c r="V22" s="2">
        <f>COUNTIFS('Tourney History'!$B:$B,$A$22,'Tourney History'!Q:Q, 1)</f>
        <v>0</v>
      </c>
      <c r="W22" s="2">
        <f>COUNTIFS('Tourney History'!$B:$B,$A$22,'Tourney History'!R:R, 1)</f>
        <v>1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5</v>
      </c>
      <c r="AC22" s="2">
        <f>COUNTIFS('Tourney History'!$B:$B,$A$22,'Tourney History'!X:X, 1)</f>
        <v>3</v>
      </c>
      <c r="AD22" s="2">
        <f>COUNTIFS('Tourney History'!$B:$B,$A$22,'Tourney History'!Y:Y, 1)</f>
        <v>1</v>
      </c>
      <c r="AE22" s="2">
        <f>COUNTIFS('Tourney History'!$B:$B,$A$22,'Tourney History'!Z:Z, 1)</f>
        <v>2</v>
      </c>
    </row>
    <row r="23" spans="1:31" x14ac:dyDescent="0.25">
      <c r="A23" s="1" t="s">
        <v>47</v>
      </c>
      <c r="B23" s="2" t="s">
        <v>79</v>
      </c>
      <c r="C23" s="2" t="s">
        <v>79</v>
      </c>
      <c r="D23" s="34">
        <f>SUMIFS('Tourney History'!C:C,'Tourney History'!B:B,A23)</f>
        <v>62</v>
      </c>
      <c r="E23" s="4">
        <f>AVERAGEIFS('Tourney History'!C:C,'Tourney History'!B:B,A23)</f>
        <v>10.333333333333334</v>
      </c>
      <c r="F23" s="35">
        <f t="array" ref="F23">MAX(IF('Tourney History'!B:B=A23, 'Tourney History'!C:C))</f>
        <v>14</v>
      </c>
      <c r="G23" s="34">
        <f>COUNTIFS('Tourney History'!B:B,A23,'Tourney History'!D:D, 1)</f>
        <v>3</v>
      </c>
      <c r="H23" s="2">
        <f>COUNTIFS('Tourney History'!B:B,A23,'Tourney History'!D:D, 0)</f>
        <v>3</v>
      </c>
      <c r="I23" s="88">
        <f>LOOKUP(2, 1/('Tourney History'!$B:$B=A23), 'Tourney History'!$AD:$AD)</f>
        <v>0.5</v>
      </c>
      <c r="J23" s="34">
        <f>SUMIFS('Tourney History'!F:F,'Tourney History'!B:B,A23)</f>
        <v>12</v>
      </c>
      <c r="K23" s="2">
        <f>SUMIFS('Tourney History'!E:E,'Tourney History'!B:B,A23)-J23</f>
        <v>12</v>
      </c>
      <c r="L23" s="88">
        <f>LOOKUP(2, 1/('Tourney History'!$B:$B=A23), 'Tourney History'!$AB:$AB)</f>
        <v>0.5</v>
      </c>
      <c r="M23" s="34">
        <f>SUMIFS('Tourney History'!H:H,'Tourney History'!B:B,A23)</f>
        <v>51</v>
      </c>
      <c r="N23" s="2">
        <f>SUMIFS('Tourney History'!G:G,'Tourney History'!B:B,A23)-M23</f>
        <v>50</v>
      </c>
      <c r="O23" s="88">
        <f>LOOKUP(2, 1/('Tourney History'!$B:$B=A23), 'Tourney History'!$AC:$AC)</f>
        <v>0.49500000000000005</v>
      </c>
      <c r="P23" s="2">
        <f>COUNTIFS('Tourney History'!$B:$B,$A$23,'Tourney History'!K:K, 1)</f>
        <v>1</v>
      </c>
      <c r="Q23" s="2">
        <f>COUNTIFS('Tourney History'!$B:$B,$A$23,'Tourney History'!L:L, 1)</f>
        <v>0</v>
      </c>
      <c r="R23" s="2">
        <f>COUNTIFS('Tourney History'!$B:$B,$A$23,'Tourney History'!M:M, 1)</f>
        <v>0</v>
      </c>
      <c r="S23" s="2">
        <f>COUNTIFS('Tourney History'!$B:$B,$A$23,'Tourney History'!N:N, 1)</f>
        <v>0</v>
      </c>
      <c r="T23" s="2">
        <f>COUNTIFS('Tourney History'!$B:$B,$A$23,'Tourney History'!O:O, 1)</f>
        <v>1</v>
      </c>
      <c r="U23" s="2">
        <f>COUNTIFS('Tourney History'!$B:$B,$A$23,'Tourney History'!P:P, 1)</f>
        <v>2</v>
      </c>
      <c r="V23" s="2">
        <f>COUNTIFS('Tourney History'!$B:$B,$A$23,'Tourney History'!Q:Q, 1)</f>
        <v>0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2</v>
      </c>
      <c r="AD23" s="2">
        <f>COUNTIFS('Tourney History'!$B:$B,$A$23,'Tourney History'!Y:Y, 1)</f>
        <v>0</v>
      </c>
      <c r="AE23" s="2">
        <f>COUNTIFS('Tourney History'!$B:$B,$A$23,'Tourney History'!Z:Z, 1)</f>
        <v>3</v>
      </c>
    </row>
    <row r="24" spans="1:31" ht="15.75" x14ac:dyDescent="0.25">
      <c r="A24" s="1" t="s">
        <v>3</v>
      </c>
      <c r="B24" s="80" t="s">
        <v>157</v>
      </c>
      <c r="C24" s="2" t="s">
        <v>159</v>
      </c>
      <c r="D24" s="34">
        <f>SUMIFS('Tourney History'!C:C,'Tourney History'!B:B,A24)</f>
        <v>117</v>
      </c>
      <c r="E24" s="4">
        <f>AVERAGEIFS('Tourney History'!C:C,'Tourney History'!B:B,A24)</f>
        <v>29.25</v>
      </c>
      <c r="F24" s="35">
        <f t="array" ref="F24">MAX(IF('Tourney History'!B:B=A24, 'Tourney History'!C:C))</f>
        <v>44</v>
      </c>
      <c r="G24" s="34">
        <f>COUNTIFS('Tourney History'!B:B,A24,'Tourney History'!D:D, 1)</f>
        <v>3</v>
      </c>
      <c r="H24" s="2">
        <f>COUNTIFS('Tourney History'!B:B,A24,'Tourney History'!D:D, 0)</f>
        <v>1</v>
      </c>
      <c r="I24" s="88">
        <f>LOOKUP(2, 1/('Tourney History'!$B:$B=A24), 'Tourney History'!$AD:$AD)</f>
        <v>0.75</v>
      </c>
      <c r="J24" s="34">
        <f>SUMIFS('Tourney History'!F:F,'Tourney History'!B:B,A24)</f>
        <v>10</v>
      </c>
      <c r="K24" s="2">
        <f>SUMIFS('Tourney History'!E:E,'Tourney History'!B:B,A24)-J24</f>
        <v>8</v>
      </c>
      <c r="L24" s="88">
        <f>LOOKUP(2, 1/('Tourney History'!$B:$B=A24), 'Tourney History'!$AB:$AB)</f>
        <v>0.55000000000000004</v>
      </c>
      <c r="M24" s="34">
        <f>SUMIFS('Tourney History'!H:H,'Tourney History'!B:B,A24)</f>
        <v>39</v>
      </c>
      <c r="N24" s="2">
        <f>SUMIFS('Tourney History'!G:G,'Tourney History'!B:B,A24)-M24</f>
        <v>35</v>
      </c>
      <c r="O24" s="88">
        <f>LOOKUP(2, 1/('Tourney History'!$B:$B=A24), 'Tourney History'!$AC:$AC)</f>
        <v>0.52249999999999996</v>
      </c>
      <c r="P24" s="2">
        <f>COUNTIFS('Tourney History'!$B:$B,$A$24,'Tourney History'!K:K, 1)</f>
        <v>0</v>
      </c>
      <c r="Q24" s="2">
        <f>COUNTIFS('Tourney History'!$B:$B,$A$24,'Tourney History'!L:L, 1)</f>
        <v>1</v>
      </c>
      <c r="R24" s="2">
        <f>COUNTIFS('Tourney History'!$B:$B,$A$24,'Tourney History'!M:M, 1)</f>
        <v>1</v>
      </c>
      <c r="S24" s="2">
        <f>COUNTIFS('Tourney History'!$B:$B,$A$24,'Tourney History'!N:N, 1)</f>
        <v>1</v>
      </c>
      <c r="T24" s="2">
        <f>COUNTIFS('Tourney History'!$B:$B,$A$24,'Tourney History'!O:O, 1)</f>
        <v>2</v>
      </c>
      <c r="U24" s="2">
        <f>COUNTIFS('Tourney History'!$B:$B,$A$24,'Tourney History'!P:P, 1)</f>
        <v>1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0</v>
      </c>
      <c r="AC24" s="2">
        <f>COUNTIFS('Tourney History'!$B:$B,$A$24,'Tourney History'!X:X, 1)</f>
        <v>1</v>
      </c>
      <c r="AD24" s="2">
        <f>COUNTIFS('Tourney History'!$B:$B,$A$24,'Tourney History'!Y:Y, 1)</f>
        <v>1</v>
      </c>
      <c r="AE24" s="2">
        <f>COUNTIFS('Tourney History'!$B:$B,$A$24,'Tourney History'!Z:Z, 1)</f>
        <v>0</v>
      </c>
    </row>
    <row r="25" spans="1:31" x14ac:dyDescent="0.25">
      <c r="A25" s="2" t="s">
        <v>15</v>
      </c>
      <c r="B25" s="2" t="s">
        <v>79</v>
      </c>
      <c r="C25" s="2" t="s">
        <v>79</v>
      </c>
      <c r="D25" s="34">
        <f>SUMIFS('Tourney History'!C:C,'Tourney History'!B:B,A25)</f>
        <v>291</v>
      </c>
      <c r="E25" s="4">
        <f>AVERAGEIFS('Tourney History'!C:C,'Tourney History'!B:B,A25)</f>
        <v>32.333333333333336</v>
      </c>
      <c r="F25" s="35">
        <f t="array" ref="F25">MAX(IF('Tourney History'!B:B=A25, 'Tourney History'!C:C))</f>
        <v>55</v>
      </c>
      <c r="G25" s="34">
        <f>COUNTIFS('Tourney History'!B:B,A25,'Tourney History'!D:D, 1)</f>
        <v>2</v>
      </c>
      <c r="H25" s="2">
        <f>COUNTIFS('Tourney History'!B:B,A25,'Tourney History'!D:D, 0)</f>
        <v>7</v>
      </c>
      <c r="I25" s="88">
        <f>LOOKUP(2, 1/('Tourney History'!$B:$B=A25), 'Tourney History'!$AD:$AD)</f>
        <v>0.22222222222222221</v>
      </c>
      <c r="J25" s="34">
        <f>SUMIFS('Tourney History'!F:F,'Tourney History'!B:B,A25)</f>
        <v>17</v>
      </c>
      <c r="K25" s="2">
        <f>SUMIFS('Tourney History'!E:E,'Tourney History'!B:B,A25)-J25</f>
        <v>22</v>
      </c>
      <c r="L25" s="88">
        <f>LOOKUP(2, 1/('Tourney History'!$B:$B=A25), 'Tourney History'!$AB:$AB)</f>
        <v>0.45555555555555549</v>
      </c>
      <c r="M25" s="34">
        <f>SUMIFS('Tourney History'!H:H,'Tourney History'!B:B,A25)</f>
        <v>77</v>
      </c>
      <c r="N25" s="2">
        <f>SUMIFS('Tourney History'!G:G,'Tourney History'!B:B,A25)-M25</f>
        <v>88</v>
      </c>
      <c r="O25" s="88">
        <f>LOOKUP(2, 1/('Tourney History'!$B:$B=A25), 'Tourney History'!$AC:$AC)</f>
        <v>0.47555555555555556</v>
      </c>
      <c r="P25" s="2">
        <f>COUNTIFS('Tourney History'!$B:$B,$A$25,'Tourney History'!K:K, 1)</f>
        <v>1</v>
      </c>
      <c r="Q25" s="2">
        <f>COUNTIFS('Tourney History'!$B:$B,$A$25,'Tourney History'!L:L, 1)</f>
        <v>2</v>
      </c>
      <c r="R25" s="2">
        <f>COUNTIFS('Tourney History'!$B:$B,$A$25,'Tourney History'!M:M, 1)</f>
        <v>0</v>
      </c>
      <c r="S25" s="2">
        <f>COUNTIFS('Tourney History'!$B:$B,$A$25,'Tourney History'!N:N, 1)</f>
        <v>2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3</v>
      </c>
      <c r="AC25" s="2">
        <f>COUNTIFS('Tourney History'!$B:$B,$A$25,'Tourney History'!X:X, 1)</f>
        <v>4</v>
      </c>
      <c r="AD25" s="2">
        <f>COUNTIFS('Tourney History'!$B:$B,$A$25,'Tourney History'!Y:Y, 1)</f>
        <v>1</v>
      </c>
      <c r="AE25" s="2">
        <f>COUNTIFS('Tourney History'!$B:$B,$A$25,'Tourney History'!Z:Z, 1)</f>
        <v>3</v>
      </c>
    </row>
    <row r="26" spans="1:31" x14ac:dyDescent="0.25">
      <c r="A26" s="2" t="s">
        <v>13</v>
      </c>
      <c r="B26" s="6" t="s">
        <v>124</v>
      </c>
      <c r="C26" s="1" t="s">
        <v>159</v>
      </c>
      <c r="D26" s="34">
        <f>SUMIFS('Tourney History'!C:C,'Tourney History'!B:B,A26)</f>
        <v>325</v>
      </c>
      <c r="E26" s="4">
        <f>AVERAGEIFS('Tourney History'!C:C,'Tourney History'!B:B,A26)</f>
        <v>36.111111111111114</v>
      </c>
      <c r="F26" s="35">
        <f t="array" ref="F26">MAX(IF('Tourney History'!B:B=A26, 'Tourney History'!C:C))</f>
        <v>58</v>
      </c>
      <c r="G26" s="34">
        <f>COUNTIFS('Tourney History'!B:B,A26,'Tourney History'!D:D, 1)</f>
        <v>5</v>
      </c>
      <c r="H26" s="2">
        <f>COUNTIFS('Tourney History'!B:B,A26,'Tourney History'!D:D, 0)</f>
        <v>4</v>
      </c>
      <c r="I26" s="88">
        <f>LOOKUP(2, 1/('Tourney History'!$B:$B=A26), 'Tourney History'!$AD:$AD)</f>
        <v>0.55555555555555558</v>
      </c>
      <c r="J26" s="34">
        <f>SUMIFS('Tourney History'!F:F,'Tourney History'!B:B,A26)</f>
        <v>18</v>
      </c>
      <c r="K26" s="2">
        <f>SUMIFS('Tourney History'!E:E,'Tourney History'!B:B,A26)-J26</f>
        <v>20</v>
      </c>
      <c r="L26" s="88">
        <f>LOOKUP(2, 1/('Tourney History'!$B:$B=A26), 'Tourney History'!$AB:$AB)</f>
        <v>0.43888888888888888</v>
      </c>
      <c r="M26" s="34">
        <f>SUMIFS('Tourney History'!H:H,'Tourney History'!B:B,A26)</f>
        <v>78</v>
      </c>
      <c r="N26" s="2">
        <f>SUMIFS('Tourney History'!G:G,'Tourney History'!B:B,A26)-M26</f>
        <v>75</v>
      </c>
      <c r="O26" s="88">
        <f>LOOKUP(2, 1/('Tourney History'!$B:$B=A26), 'Tourney History'!$AC:$AC)</f>
        <v>0.49111111111111111</v>
      </c>
      <c r="P26" s="2">
        <f>COUNTIFS('Tourney History'!$B:$B,$A$26,'Tourney History'!K:K, 1)</f>
        <v>0</v>
      </c>
      <c r="Q26" s="2">
        <f>COUNTIFS('Tourney History'!$B:$B,$A$26,'Tourney History'!L:L, 1)</f>
        <v>1</v>
      </c>
      <c r="R26" s="2">
        <f>COUNTIFS('Tourney History'!$B:$B,$A$26,'Tourney History'!M:M, 1)</f>
        <v>0</v>
      </c>
      <c r="S26" s="2">
        <f>COUNTIFS('Tourney History'!$B:$B,$A$26,'Tourney History'!N:N, 1)</f>
        <v>3</v>
      </c>
      <c r="T26" s="2">
        <f>COUNTIFS('Tourney History'!$B:$B,$A$26,'Tourney History'!O:O, 1)</f>
        <v>3</v>
      </c>
      <c r="U26" s="2">
        <f>COUNTIFS('Tourney History'!$B:$B,$A$26,'Tourney History'!P:P, 1)</f>
        <v>3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3</v>
      </c>
      <c r="AC26" s="2">
        <f>COUNTIFS('Tourney History'!$B:$B,$A$26,'Tourney History'!X:X, 1)</f>
        <v>0</v>
      </c>
      <c r="AD26" s="2">
        <f>COUNTIFS('Tourney History'!$B:$B,$A$26,'Tourney History'!Y:Y, 1)</f>
        <v>1</v>
      </c>
      <c r="AE26" s="2">
        <f>COUNTIFS('Tourney History'!$B:$B,$A$26,'Tourney History'!Z:Z, 1)</f>
        <v>2</v>
      </c>
    </row>
    <row r="27" spans="1:31" x14ac:dyDescent="0.25">
      <c r="A27" s="2" t="s">
        <v>2</v>
      </c>
      <c r="B27" s="6" t="s">
        <v>124</v>
      </c>
      <c r="C27" s="6" t="s">
        <v>79</v>
      </c>
      <c r="D27" s="34">
        <f>SUMIFS('Tourney History'!C:C,'Tourney History'!B:B,A27)</f>
        <v>309</v>
      </c>
      <c r="E27" s="4">
        <f>AVERAGEIFS('Tourney History'!C:C,'Tourney History'!B:B,A27)</f>
        <v>38.625</v>
      </c>
      <c r="F27" s="35">
        <f t="array" ref="F27">MAX(IF('Tourney History'!B:B=A27, 'Tourney History'!C:C))</f>
        <v>68</v>
      </c>
      <c r="G27" s="34">
        <f>COUNTIFS('Tourney History'!B:B,A27,'Tourney History'!D:D, 1)</f>
        <v>3</v>
      </c>
      <c r="H27" s="2">
        <f>COUNTIFS('Tourney History'!B:B,A27,'Tourney History'!D:D, 0)</f>
        <v>5</v>
      </c>
      <c r="I27" s="88">
        <f>LOOKUP(2, 1/('Tourney History'!$B:$B=A27), 'Tourney History'!$AD:$AD)</f>
        <v>0.375</v>
      </c>
      <c r="J27" s="34">
        <f>SUMIFS('Tourney History'!F:F,'Tourney History'!B:B,A27)</f>
        <v>18</v>
      </c>
      <c r="K27" s="2">
        <f>SUMIFS('Tourney History'!E:E,'Tourney History'!B:B,A27)-J27</f>
        <v>18</v>
      </c>
      <c r="L27" s="88">
        <f>LOOKUP(2, 1/('Tourney History'!$B:$B=A27), 'Tourney History'!$AB:$AB)</f>
        <v>0.51249999999999996</v>
      </c>
      <c r="M27" s="34">
        <f>SUMIFS('Tourney History'!H:H,'Tourney History'!B:B,A27)</f>
        <v>78</v>
      </c>
      <c r="N27" s="2">
        <f>SUMIFS('Tourney History'!G:G,'Tourney History'!B:B,A27)-M27</f>
        <v>77</v>
      </c>
      <c r="O27" s="88">
        <f>LOOKUP(2, 1/('Tourney History'!$B:$B=A27), 'Tourney History'!$AC:$AC)</f>
        <v>0.51500000000000001</v>
      </c>
      <c r="P27" s="2">
        <f>COUNTIFS('Tourney History'!$B:$B,$A$27,'Tourney History'!K:K, 1)</f>
        <v>0</v>
      </c>
      <c r="Q27" s="2">
        <f>COUNTIFS('Tourney History'!$B:$B,$A$27,'Tourney History'!L:L, 1)</f>
        <v>3</v>
      </c>
      <c r="R27" s="2">
        <f>COUNTIFS('Tourney History'!$B:$B,$A$27,'Tourney History'!M:M, 1)</f>
        <v>1</v>
      </c>
      <c r="S27" s="2">
        <f>COUNTIFS('Tourney History'!$B:$B,$A$27,'Tourney History'!N:N, 1)</f>
        <v>4</v>
      </c>
      <c r="T27" s="2">
        <f>COUNTIFS('Tourney History'!$B:$B,$A$27,'Tourney History'!O:O, 1)</f>
        <v>0</v>
      </c>
      <c r="U27" s="2">
        <f>COUNTIFS('Tourney History'!$B:$B,$A$27,'Tourney History'!P:P, 1)</f>
        <v>2</v>
      </c>
      <c r="V27" s="2">
        <f>COUNTIFS('Tourney History'!$B:$B,$A$27,'Tourney History'!Q:Q, 1)</f>
        <v>0</v>
      </c>
      <c r="W27" s="2">
        <f>COUNTIFS('Tourney History'!$B:$B,$A$27,'Tourney History'!R:R, 1)</f>
        <v>1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2</v>
      </c>
      <c r="AC27" s="2">
        <f>COUNTIFS('Tourney History'!$B:$B,$A$27,'Tourney History'!X:X, 1)</f>
        <v>1</v>
      </c>
      <c r="AD27" s="2">
        <f>COUNTIFS('Tourney History'!$B:$B,$A$27,'Tourney History'!Y:Y, 1)</f>
        <v>2</v>
      </c>
      <c r="AE27" s="2">
        <f>COUNTIFS('Tourney History'!$B:$B,$A$27,'Tourney History'!Z:Z, 1)</f>
        <v>2</v>
      </c>
    </row>
    <row r="28" spans="1:31" x14ac:dyDescent="0.25">
      <c r="A28" s="2" t="s">
        <v>54</v>
      </c>
      <c r="B28" s="6" t="s">
        <v>60</v>
      </c>
      <c r="C28" s="6" t="s">
        <v>79</v>
      </c>
      <c r="D28" s="34">
        <f>SUMIFS('Tourney History'!C:C,'Tourney History'!B:B,A28)</f>
        <v>53</v>
      </c>
      <c r="E28" s="4">
        <f>AVERAGEIFS('Tourney History'!C:C,'Tourney History'!B:B,A28)</f>
        <v>26.5</v>
      </c>
      <c r="F28" s="35">
        <f t="array" ref="F28">MAX(IF('Tourney History'!B:B=A28, 'Tourney History'!C:C))</f>
        <v>29</v>
      </c>
      <c r="G28" s="34">
        <f>COUNTIFS('Tourney History'!B:B,A28,'Tourney History'!D:D, 1)</f>
        <v>2</v>
      </c>
      <c r="H28" s="2">
        <f>COUNTIFS('Tourney History'!B:B,A28,'Tourney History'!D:D, 0)</f>
        <v>0</v>
      </c>
      <c r="I28" s="88">
        <f>LOOKUP(2, 1/('Tourney History'!$B:$B=A28), 'Tourney History'!$AD:$AD)</f>
        <v>1</v>
      </c>
      <c r="J28" s="34">
        <f>SUMIFS('Tourney History'!F:F,'Tourney History'!B:B,A28)</f>
        <v>6</v>
      </c>
      <c r="K28" s="2">
        <f>SUMIFS('Tourney History'!E:E,'Tourney History'!B:B,A28)-J28</f>
        <v>4</v>
      </c>
      <c r="L28" s="88">
        <f>LOOKUP(2, 1/('Tourney History'!$B:$B=A28), 'Tourney History'!$AB:$AB)</f>
        <v>0.6</v>
      </c>
      <c r="M28" s="34">
        <f>SUMIFS('Tourney History'!H:H,'Tourney History'!B:B,A28)</f>
        <v>23</v>
      </c>
      <c r="N28" s="2">
        <f>SUMIFS('Tourney History'!G:G,'Tourney History'!B:B,A28)-M28</f>
        <v>17</v>
      </c>
      <c r="O28" s="88">
        <f>LOOKUP(2, 1/('Tourney History'!$B:$B=A28), 'Tourney History'!$AC:$AC)</f>
        <v>0.57499999999999996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1</v>
      </c>
      <c r="T28" s="2">
        <f>COUNTIFS('Tourney History'!$B:$B,$A$28,'Tourney History'!O:O, 1)</f>
        <v>2</v>
      </c>
      <c r="U28" s="2">
        <f>COUNTIFS('Tourney History'!$B:$B,$A$28,'Tourney History'!P:P, 1)</f>
        <v>1</v>
      </c>
      <c r="V28" s="2">
        <f>COUNTIFS('Tourney History'!$B:$B,$A$28,'Tourney History'!Q:Q, 1)</f>
        <v>2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0</v>
      </c>
      <c r="AC28" s="2">
        <f>COUNTIFS('Tourney History'!$B:$B,$A$28,'Tourney History'!X:X, 1)</f>
        <v>0</v>
      </c>
      <c r="AD28" s="2">
        <f>COUNTIFS('Tourney History'!$B:$B,$A$28,'Tourney History'!Y:Y, 1)</f>
        <v>0</v>
      </c>
      <c r="AE28" s="2">
        <f>COUNTIFS('Tourney History'!$B:$B,$A$28,'Tourney History'!Z:Z, 1)</f>
        <v>0</v>
      </c>
    </row>
    <row r="29" spans="1:31" x14ac:dyDescent="0.25">
      <c r="A29" s="2" t="s">
        <v>5</v>
      </c>
      <c r="B29" s="6" t="s">
        <v>177</v>
      </c>
      <c r="C29" s="1" t="s">
        <v>159</v>
      </c>
      <c r="D29" s="34">
        <f>SUMIFS('Tourney History'!C:C,'Tourney History'!B:B,A29)</f>
        <v>220</v>
      </c>
      <c r="E29" s="4">
        <f>AVERAGEIFS('Tourney History'!C:C,'Tourney History'!B:B,A29)</f>
        <v>31.428571428571427</v>
      </c>
      <c r="F29" s="35">
        <f t="array" ref="F29">MAX(IF('Tourney History'!B:B=A29, 'Tourney History'!C:C))</f>
        <v>51</v>
      </c>
      <c r="G29" s="34">
        <f>COUNTIFS('Tourney History'!B:B,A29,'Tourney History'!D:D, 1)</f>
        <v>6</v>
      </c>
      <c r="H29" s="2">
        <f>COUNTIFS('Tourney History'!B:B,A29,'Tourney History'!D:D, 0)</f>
        <v>1</v>
      </c>
      <c r="I29" s="88">
        <f>LOOKUP(2, 1/('Tourney History'!$B:$B=A29), 'Tourney History'!$AD:$AD)</f>
        <v>0.8571428571428571</v>
      </c>
      <c r="J29" s="34">
        <f>SUMIFS('Tourney History'!F:F,'Tourney History'!B:B,A29)</f>
        <v>19</v>
      </c>
      <c r="K29" s="2">
        <f>SUMIFS('Tourney History'!E:E,'Tourney History'!B:B,A29)-J29</f>
        <v>12</v>
      </c>
      <c r="L29" s="88">
        <f>LOOKUP(2, 1/('Tourney History'!$B:$B=A29), 'Tourney History'!$AB:$AB)</f>
        <v>0.61428571428571443</v>
      </c>
      <c r="M29" s="34">
        <f>SUMIFS('Tourney History'!H:H,'Tourney History'!B:B,A29)</f>
        <v>72</v>
      </c>
      <c r="N29" s="2">
        <f>SUMIFS('Tourney History'!G:G,'Tourney History'!B:B,A29)-M29</f>
        <v>59</v>
      </c>
      <c r="O29" s="88">
        <f>LOOKUP(2, 1/('Tourney History'!$B:$B=A29), 'Tourney History'!$AC:$AC)</f>
        <v>0.54714285714285715</v>
      </c>
      <c r="P29" s="2">
        <f>COUNTIFS('Tourney History'!$B:$B,$A$29,'Tourney History'!K:K, 1)</f>
        <v>2</v>
      </c>
      <c r="Q29" s="2">
        <f>COUNTIFS('Tourney History'!$B:$B,$A$29,'Tourney History'!L:L, 1)</f>
        <v>2</v>
      </c>
      <c r="R29" s="2">
        <f>COUNTIFS('Tourney History'!$B:$B,$A$29,'Tourney History'!M:M, 1)</f>
        <v>2</v>
      </c>
      <c r="S29" s="2">
        <f>COUNTIFS('Tourney History'!$B:$B,$A$29,'Tourney History'!N:N, 1)</f>
        <v>1</v>
      </c>
      <c r="T29" s="2">
        <f>COUNTIFS('Tourney History'!$B:$B,$A$29,'Tourney History'!O:O, 1)</f>
        <v>3</v>
      </c>
      <c r="U29" s="2">
        <f>COUNTIFS('Tourney History'!$B:$B,$A$29,'Tourney History'!P:P, 1)</f>
        <v>2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2</v>
      </c>
      <c r="AC29" s="2">
        <f>COUNTIFS('Tourney History'!$B:$B,$A$29,'Tourney History'!X:X, 1)</f>
        <v>3</v>
      </c>
      <c r="AD29" s="2">
        <f>COUNTIFS('Tourney History'!$B:$B,$A$29,'Tourney History'!Y:Y, 1)</f>
        <v>1</v>
      </c>
      <c r="AE29" s="2">
        <f>COUNTIFS('Tourney History'!$B:$B,$A$29,'Tourney History'!Z:Z, 1)</f>
        <v>1</v>
      </c>
    </row>
    <row r="30" spans="1:31" x14ac:dyDescent="0.25">
      <c r="A30" s="2" t="s">
        <v>38</v>
      </c>
      <c r="B30" s="6" t="s">
        <v>79</v>
      </c>
      <c r="C30" s="6" t="s">
        <v>79</v>
      </c>
      <c r="D30" s="34">
        <f>SUMIFS('Tourney History'!C:C,'Tourney History'!B:B,A30)</f>
        <v>10</v>
      </c>
      <c r="E30" s="4">
        <f>AVERAGEIFS('Tourney History'!C:C,'Tourney History'!B:B,A30)</f>
        <v>5</v>
      </c>
      <c r="F30" s="35">
        <f t="array" ref="F30">MAX(IF('Tourney History'!B:B=A30, 'Tourney History'!C:C))</f>
        <v>6</v>
      </c>
      <c r="G30" s="34">
        <f>COUNTIFS('Tourney History'!B:B,A30,'Tourney History'!D:D, 1)</f>
        <v>1</v>
      </c>
      <c r="H30" s="2">
        <f>COUNTIFS('Tourney History'!B:B,A30,'Tourney History'!D:D, 0)</f>
        <v>1</v>
      </c>
      <c r="I30" s="88">
        <f>LOOKUP(2, 1/('Tourney History'!$B:$B=A30), 'Tourney History'!$AD:$AD)</f>
        <v>0.5</v>
      </c>
      <c r="J30" s="34">
        <f>SUMIFS('Tourney History'!F:F,'Tourney History'!B:B,A30)</f>
        <v>4</v>
      </c>
      <c r="K30" s="2">
        <f>SUMIFS('Tourney History'!E:E,'Tourney History'!B:B,A30)-J30</f>
        <v>4</v>
      </c>
      <c r="L30" s="88">
        <f>LOOKUP(2, 1/('Tourney History'!$B:$B=A30), 'Tourney History'!$AB:$AB)</f>
        <v>0.5</v>
      </c>
      <c r="M30" s="34">
        <f>SUMIFS('Tourney History'!H:H,'Tourney History'!B:B,A30)</f>
        <v>15</v>
      </c>
      <c r="N30" s="2">
        <f>SUMIFS('Tourney History'!G:G,'Tourney History'!B:B,A30)-M30</f>
        <v>19</v>
      </c>
      <c r="O30" s="88">
        <f>LOOKUP(2, 1/('Tourney History'!$B:$B=A30), 'Tourney History'!$AC:$AC)</f>
        <v>0.43500000000000005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0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1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1</v>
      </c>
      <c r="AC30" s="2">
        <f>COUNTIFS('Tourney History'!$B:$B,$A$30,'Tourney History'!X:X, 1)</f>
        <v>0</v>
      </c>
      <c r="AD30" s="2">
        <f>COUNTIFS('Tourney History'!$B:$B,$A$30,'Tourney History'!Y:Y, 1)</f>
        <v>0</v>
      </c>
      <c r="AE30" s="2">
        <f>COUNTIFS('Tourney History'!$B:$B,$A$30,'Tourney History'!Z:Z, 1)</f>
        <v>0</v>
      </c>
    </row>
    <row r="31" spans="1:31" x14ac:dyDescent="0.25">
      <c r="A31" s="2" t="s">
        <v>40</v>
      </c>
      <c r="B31" s="2" t="s">
        <v>79</v>
      </c>
      <c r="C31" s="2" t="s">
        <v>79</v>
      </c>
      <c r="D31" s="34">
        <f>SUMIFS('Tourney History'!C:C,'Tourney History'!B:B,A31)</f>
        <v>134</v>
      </c>
      <c r="E31" s="4">
        <f>AVERAGEIFS('Tourney History'!C:C,'Tourney History'!B:B,A31)</f>
        <v>26.8</v>
      </c>
      <c r="F31" s="35">
        <f t="array" ref="F31">MAX(IF('Tourney History'!B:B=A31, 'Tourney History'!C:C))</f>
        <v>40</v>
      </c>
      <c r="G31" s="34">
        <f>COUNTIFS('Tourney History'!B:B,A31,'Tourney History'!D:D, 1)</f>
        <v>2</v>
      </c>
      <c r="H31" s="2">
        <f>COUNTIFS('Tourney History'!B:B,A31,'Tourney History'!D:D, 0)</f>
        <v>3</v>
      </c>
      <c r="I31" s="88">
        <f>LOOKUP(2, 1/('Tourney History'!$B:$B=A31), 'Tourney History'!$AD:$AD)</f>
        <v>0.4</v>
      </c>
      <c r="J31" s="34">
        <f>SUMIFS('Tourney History'!F:F,'Tourney History'!B:B,A31)</f>
        <v>11</v>
      </c>
      <c r="K31" s="2">
        <f>SUMIFS('Tourney History'!E:E,'Tourney History'!B:B,A31)-J31</f>
        <v>13</v>
      </c>
      <c r="L31" s="88">
        <f>LOOKUP(2, 1/('Tourney History'!$B:$B=A31), 'Tourney History'!$AB:$AB)</f>
        <v>0.45</v>
      </c>
      <c r="M31" s="34">
        <f>SUMIFS('Tourney History'!H:H,'Tourney History'!B:B,A31)</f>
        <v>49</v>
      </c>
      <c r="N31" s="2">
        <f>SUMIFS('Tourney History'!G:G,'Tourney History'!B:B,A31)-M31</f>
        <v>54</v>
      </c>
      <c r="O31" s="88">
        <f>LOOKUP(2, 1/('Tourney History'!$B:$B=A31), 'Tourney History'!$AC:$AC)</f>
        <v>0.47200000000000009</v>
      </c>
      <c r="P31" s="2">
        <f>COUNTIFS('Tourney History'!$B:$B,$A$31,'Tourney History'!K:K, 1)</f>
        <v>1</v>
      </c>
      <c r="Q31" s="2">
        <f>COUNTIFS('Tourney History'!$B:$B,$A$31,'Tourney History'!L:L, 1)</f>
        <v>0</v>
      </c>
      <c r="R31" s="2">
        <f>COUNTIFS('Tourney History'!$B:$B,$A$31,'Tourney History'!M:M, 1)</f>
        <v>1</v>
      </c>
      <c r="S31" s="2">
        <f>COUNTIFS('Tourney History'!$B:$B,$A$31,'Tourney History'!N:N, 1)</f>
        <v>1</v>
      </c>
      <c r="T31" s="2">
        <f>COUNTIFS('Tourney History'!$B:$B,$A$31,'Tourney History'!O:O, 1)</f>
        <v>2</v>
      </c>
      <c r="U31" s="2">
        <f>COUNTIFS('Tourney History'!$B:$B,$A$31,'Tourney History'!P:P, 1)</f>
        <v>0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0</v>
      </c>
      <c r="AC31" s="2">
        <f>COUNTIFS('Tourney History'!$B:$B,$A$31,'Tourney History'!X:X, 1)</f>
        <v>3</v>
      </c>
      <c r="AD31" s="2">
        <f>COUNTIFS('Tourney History'!$B:$B,$A$31,'Tourney History'!Y:Y, 1)</f>
        <v>1</v>
      </c>
      <c r="AE31" s="2">
        <f>COUNTIFS('Tourney History'!$B:$B,$A$31,'Tourney History'!Z:Z, 1)</f>
        <v>2</v>
      </c>
    </row>
    <row r="32" spans="1:31" x14ac:dyDescent="0.25">
      <c r="A32" s="2" t="s">
        <v>147</v>
      </c>
      <c r="B32" s="2" t="s">
        <v>79</v>
      </c>
      <c r="C32" s="2" t="s">
        <v>79</v>
      </c>
      <c r="D32" s="34">
        <f>SUMIFS('Tourney History'!C:C,'Tourney History'!B:B,A32)</f>
        <v>91</v>
      </c>
      <c r="E32" s="4">
        <f>AVERAGEIFS('Tourney History'!C:C,'Tourney History'!B:B,A32)</f>
        <v>30.333333333333332</v>
      </c>
      <c r="F32" s="35">
        <f t="array" ref="F32">MAX(IF('Tourney History'!B:B=A32, 'Tourney History'!C:C))</f>
        <v>35</v>
      </c>
      <c r="G32" s="34">
        <f>COUNTIFS('Tourney History'!B:B,A32,'Tourney History'!D:D, 1)</f>
        <v>1</v>
      </c>
      <c r="H32" s="2">
        <f>COUNTIFS('Tourney History'!B:B,A32,'Tourney History'!D:D, 0)</f>
        <v>2</v>
      </c>
      <c r="I32" s="88">
        <f>LOOKUP(2, 1/('Tourney History'!$B:$B=A32), 'Tourney History'!$AD:$AD)</f>
        <v>0.33333333333333331</v>
      </c>
      <c r="J32" s="34">
        <f>SUMIFS('Tourney History'!F:F,'Tourney History'!B:B,A32)</f>
        <v>7</v>
      </c>
      <c r="K32" s="2">
        <f>SUMIFS('Tourney History'!E:E,'Tourney History'!B:B,A32)-J32</f>
        <v>8</v>
      </c>
      <c r="L32" s="88">
        <f>LOOKUP(2, 1/('Tourney History'!$B:$B=A32), 'Tourney History'!$AB:$AB)</f>
        <v>0.46666666666666662</v>
      </c>
      <c r="M32" s="34">
        <f>SUMIFS('Tourney History'!H:H,'Tourney History'!B:B,A32)</f>
        <v>29</v>
      </c>
      <c r="N32" s="2">
        <f>SUMIFS('Tourney History'!G:G,'Tourney History'!B:B,A32)-M32</f>
        <v>35</v>
      </c>
      <c r="O32" s="88">
        <f>LOOKUP(2, 1/('Tourney History'!$B:$B=A32), 'Tourney History'!$AC:$AC)</f>
        <v>0.45</v>
      </c>
      <c r="P32" s="2">
        <f>COUNTIFS('Tourney History'!$B:$B,$A$32,'Tourney History'!K:K, 1)</f>
        <v>0</v>
      </c>
      <c r="Q32" s="2">
        <f>COUNTIFS('Tourney History'!$B:$B,$A$32,'Tourney History'!L:L, 1)</f>
        <v>1</v>
      </c>
      <c r="R32" s="2">
        <f>COUNTIFS('Tourney History'!$B:$B,$A$32,'Tourney History'!M:M, 1)</f>
        <v>1</v>
      </c>
      <c r="S32" s="2">
        <f>COUNTIFS('Tourney History'!$B:$B,$A$32,'Tourney History'!N:N, 1)</f>
        <v>2</v>
      </c>
      <c r="T32" s="2">
        <f>COUNTIFS('Tourney History'!$B:$B,$A$32,'Tourney History'!O:O, 1)</f>
        <v>1</v>
      </c>
      <c r="U32" s="2">
        <f>COUNTIFS('Tourney History'!$B:$B,$A$32,'Tourney History'!P:P, 1)</f>
        <v>0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0</v>
      </c>
      <c r="AC32" s="2">
        <f>COUNTIFS('Tourney History'!$B:$B,$A$32,'Tourney History'!X:X, 1)</f>
        <v>1</v>
      </c>
      <c r="AD32" s="2">
        <f>COUNTIFS('Tourney History'!$B:$B,$A$32,'Tourney History'!Y:Y, 1)</f>
        <v>1</v>
      </c>
      <c r="AE32" s="2">
        <f>COUNTIFS('Tourney History'!$B:$B,$A$32,'Tourney History'!Z:Z, 1)</f>
        <v>0</v>
      </c>
    </row>
    <row r="33" spans="1:31" x14ac:dyDescent="0.25">
      <c r="A33" s="2" t="s">
        <v>17</v>
      </c>
      <c r="B33" s="2" t="s">
        <v>79</v>
      </c>
      <c r="C33" s="2" t="s">
        <v>79</v>
      </c>
      <c r="D33" s="34">
        <f>SUMIFS('Tourney History'!C:C,'Tourney History'!B:B,A33)</f>
        <v>280</v>
      </c>
      <c r="E33" s="4">
        <f>AVERAGEIFS('Tourney History'!C:C,'Tourney History'!B:B,A33)</f>
        <v>35</v>
      </c>
      <c r="F33" s="35">
        <f t="array" ref="F33">MAX(IF('Tourney History'!B:B=A33, 'Tourney History'!C:C))</f>
        <v>58</v>
      </c>
      <c r="G33" s="34">
        <f>COUNTIFS('Tourney History'!B:B,A33,'Tourney History'!D:D, 1)</f>
        <v>2</v>
      </c>
      <c r="H33" s="2">
        <f>COUNTIFS('Tourney History'!B:B,A33,'Tourney History'!D:D, 0)</f>
        <v>6</v>
      </c>
      <c r="I33" s="88">
        <f>LOOKUP(2, 1/('Tourney History'!$B:$B=A33), 'Tourney History'!$AD:$AD)</f>
        <v>0.25</v>
      </c>
      <c r="J33" s="34">
        <f>SUMIFS('Tourney History'!F:F,'Tourney History'!B:B,A33)</f>
        <v>16</v>
      </c>
      <c r="K33" s="2">
        <f>SUMIFS('Tourney History'!E:E,'Tourney History'!B:B,A33)-J33</f>
        <v>20</v>
      </c>
      <c r="L33" s="88">
        <f>LOOKUP(2, 1/('Tourney History'!$B:$B=A33), 'Tourney History'!$AB:$AB)</f>
        <v>0.46249999999999997</v>
      </c>
      <c r="M33" s="34">
        <f>SUMIFS('Tourney History'!H:H,'Tourney History'!B:B,A33)</f>
        <v>75</v>
      </c>
      <c r="N33" s="2">
        <f>SUMIFS('Tourney History'!G:G,'Tourney History'!B:B,A33)-M33</f>
        <v>83</v>
      </c>
      <c r="O33" s="88">
        <f>LOOKUP(2, 1/('Tourney History'!$B:$B=A33), 'Tourney History'!$AC:$AC)</f>
        <v>0.48249999999999998</v>
      </c>
      <c r="P33" s="2">
        <f>COUNTIFS('Tourney History'!$B:$B,$A$33,'Tourney History'!K:K, 1)</f>
        <v>1</v>
      </c>
      <c r="Q33" s="2">
        <f>COUNTIFS('Tourney History'!$B:$B,$A$33,'Tourney History'!L:L, 1)</f>
        <v>0</v>
      </c>
      <c r="R33" s="2">
        <f>COUNTIFS('Tourney History'!$B:$B,$A$33,'Tourney History'!M:M, 1)</f>
        <v>0</v>
      </c>
      <c r="S33" s="2">
        <f>COUNTIFS('Tourney History'!$B:$B,$A$33,'Tourney History'!N:N, 1)</f>
        <v>0</v>
      </c>
      <c r="T33" s="2">
        <f>COUNTIFS('Tourney History'!$B:$B,$A$33,'Tourney History'!O:O, 1)</f>
        <v>1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4</v>
      </c>
      <c r="AD33" s="2">
        <f>COUNTIFS('Tourney History'!$B:$B,$A$33,'Tourney History'!Y:Y, 1)</f>
        <v>2</v>
      </c>
      <c r="AE33" s="2">
        <f>COUNTIFS('Tourney History'!$B:$B,$A$33,'Tourney History'!Z:Z, 1)</f>
        <v>4</v>
      </c>
    </row>
    <row r="34" spans="1:31" ht="15.75" x14ac:dyDescent="0.25">
      <c r="A34" s="2" t="s">
        <v>155</v>
      </c>
      <c r="B34" s="97" t="s">
        <v>176</v>
      </c>
      <c r="C34" s="2" t="s">
        <v>79</v>
      </c>
      <c r="D34" s="34">
        <f>SUMIFS('Tourney History'!C:C,'Tourney History'!B:B,A34)</f>
        <v>97</v>
      </c>
      <c r="E34" s="4">
        <f>AVERAGEIFS('Tourney History'!C:C,'Tourney History'!B:B,A34)</f>
        <v>32.333333333333336</v>
      </c>
      <c r="F34" s="35">
        <f t="array" ref="F34">MAX(IF('Tourney History'!B:B=A34, 'Tourney History'!C:C))</f>
        <v>43</v>
      </c>
      <c r="G34" s="34">
        <f>COUNTIFS('Tourney History'!B:B,A34,'Tourney History'!D:D, 1)</f>
        <v>2</v>
      </c>
      <c r="H34" s="2">
        <f>COUNTIFS('Tourney History'!B:B,A34,'Tourney History'!D:D, 0)</f>
        <v>1</v>
      </c>
      <c r="I34" s="88">
        <f>LOOKUP(2, 1/('Tourney History'!$B:$B=A34), 'Tourney History'!$AD:$AD)</f>
        <v>0.66666666666666663</v>
      </c>
      <c r="J34" s="34">
        <f>SUMIFS('Tourney History'!F:F,'Tourney History'!B:B,A34)</f>
        <v>7</v>
      </c>
      <c r="K34" s="2">
        <f>SUMIFS('Tourney History'!E:E,'Tourney History'!B:B,A34)-J34</f>
        <v>7</v>
      </c>
      <c r="L34" s="88">
        <f>LOOKUP(2, 1/('Tourney History'!$B:$B=A34), 'Tourney History'!$AB:$AB)</f>
        <v>0.48333333333333334</v>
      </c>
      <c r="M34" s="34">
        <f>SUMIFS('Tourney History'!H:H,'Tourney History'!B:B,A34)</f>
        <v>29</v>
      </c>
      <c r="N34" s="2">
        <f>SUMIFS('Tourney History'!G:G,'Tourney History'!B:B,A34)-M34</f>
        <v>26</v>
      </c>
      <c r="O34" s="88">
        <f>LOOKUP(2, 1/('Tourney History'!$B:$B=A34), 'Tourney History'!$AC:$AC)</f>
        <v>0.51666666666666661</v>
      </c>
      <c r="P34" s="2">
        <f>COUNTIFS('Tourney History'!$B:$B,$A$34,'Tourney History'!K:K, 1)</f>
        <v>1</v>
      </c>
      <c r="Q34" s="2">
        <f>COUNTIFS('Tourney History'!$B:$B,$A$34,'Tourney History'!L:L, 1)</f>
        <v>2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2</v>
      </c>
      <c r="U34" s="2">
        <f>COUNTIFS('Tourney History'!$B:$B,$A$34,'Tourney History'!P:P, 1)</f>
        <v>1</v>
      </c>
      <c r="V34" s="2">
        <f>COUNTIFS('Tourney History'!$B:$B,$A$34,'Tourney History'!Q:Q, 1)</f>
        <v>0</v>
      </c>
      <c r="W34" s="2">
        <f>COUNTIFS('Tourney History'!$B:$B,$A$34,'Tourney History'!R:R, 1)</f>
        <v>0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6</v>
      </c>
      <c r="B35" s="2" t="s">
        <v>157</v>
      </c>
      <c r="C35" s="2" t="s">
        <v>79</v>
      </c>
      <c r="D35" s="34">
        <f>SUMIFS('Tourney History'!C:C,'Tourney History'!B:B,A35)</f>
        <v>293</v>
      </c>
      <c r="E35" s="4">
        <f>AVERAGEIFS('Tourney History'!C:C,'Tourney History'!B:B,A35)</f>
        <v>32.555555555555557</v>
      </c>
      <c r="F35" s="35">
        <f t="array" ref="F35">MAX(IF('Tourney History'!B:B=A35, 'Tourney History'!C:C))</f>
        <v>66</v>
      </c>
      <c r="G35" s="34">
        <f>COUNTIFS('Tourney History'!B:B,A35,'Tourney History'!D:D, 1)</f>
        <v>6</v>
      </c>
      <c r="H35" s="2">
        <f>COUNTIFS('Tourney History'!B:B,A35,'Tourney History'!D:D, 0)</f>
        <v>3</v>
      </c>
      <c r="I35" s="88">
        <f>LOOKUP(2, 1/('Tourney History'!$B:$B=A35), 'Tourney History'!$AD:$AD)</f>
        <v>0.66666666666666663</v>
      </c>
      <c r="J35" s="34">
        <f>SUMIFS('Tourney History'!F:F,'Tourney History'!B:B,A35)</f>
        <v>23</v>
      </c>
      <c r="K35" s="2">
        <f>SUMIFS('Tourney History'!E:E,'Tourney History'!B:B,A35)-J35</f>
        <v>15</v>
      </c>
      <c r="L35" s="88">
        <f>LOOKUP(2, 1/('Tourney History'!$B:$B=A35), 'Tourney History'!$AB:$AB)</f>
        <v>0.63888888888888884</v>
      </c>
      <c r="M35" s="34">
        <f>SUMIFS('Tourney History'!H:H,'Tourney History'!B:B,A35)</f>
        <v>84</v>
      </c>
      <c r="N35" s="2">
        <f>SUMIFS('Tourney History'!G:G,'Tourney History'!B:B,A35)-M35</f>
        <v>77</v>
      </c>
      <c r="O35" s="88">
        <f>LOOKUP(2, 1/('Tourney History'!$B:$B=A35), 'Tourney History'!$AC:$AC)</f>
        <v>0.53999999999999992</v>
      </c>
      <c r="P35" s="2">
        <f>COUNTIFS('Tourney History'!$B:$B,$A$35,'Tourney History'!K:K, 1)</f>
        <v>0</v>
      </c>
      <c r="Q35" s="2">
        <f>COUNTIFS('Tourney History'!$B:$B,$A$35,'Tourney History'!L:L, 1)</f>
        <v>3</v>
      </c>
      <c r="R35" s="2">
        <f>COUNTIFS('Tourney History'!$B:$B,$A$35,'Tourney History'!M:M, 1)</f>
        <v>3</v>
      </c>
      <c r="S35" s="2">
        <f>COUNTIFS('Tourney History'!$B:$B,$A$35,'Tourney History'!N:N, 1)</f>
        <v>2</v>
      </c>
      <c r="T35" s="2">
        <f>COUNTIFS('Tourney History'!$B:$B,$A$35,'Tourney History'!O:O, 1)</f>
        <v>2</v>
      </c>
      <c r="U35" s="2">
        <f>COUNTIFS('Tourney History'!$B:$B,$A$35,'Tourney History'!P:P, 1)</f>
        <v>3</v>
      </c>
      <c r="V35" s="2">
        <f>COUNTIFS('Tourney History'!$B:$B,$A$35,'Tourney History'!Q:Q, 1)</f>
        <v>0</v>
      </c>
      <c r="W35" s="2">
        <f>COUNTIFS('Tourney History'!$B:$B,$A$35,'Tourney History'!R:R, 1)</f>
        <v>1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4</v>
      </c>
      <c r="AC35" s="2">
        <f>COUNTIFS('Tourney History'!$B:$B,$A$35,'Tourney History'!X:X, 1)</f>
        <v>1</v>
      </c>
      <c r="AD35" s="2">
        <f>COUNTIFS('Tourney History'!$B:$B,$A$35,'Tourney History'!Y:Y, 1)</f>
        <v>2</v>
      </c>
      <c r="AE35" s="2">
        <f>COUNTIFS('Tourney History'!$B:$B,$A$35,'Tourney History'!Z:Z, 1)</f>
        <v>2</v>
      </c>
    </row>
    <row r="36" spans="1:31" ht="15.75" x14ac:dyDescent="0.25">
      <c r="A36" s="2" t="s">
        <v>18</v>
      </c>
      <c r="B36" s="97" t="s">
        <v>176</v>
      </c>
      <c r="C36" s="2" t="s">
        <v>79</v>
      </c>
      <c r="D36" s="34">
        <f>SUMIFS('Tourney History'!C:C,'Tourney History'!B:B,A36)</f>
        <v>363</v>
      </c>
      <c r="E36" s="4">
        <f>AVERAGEIFS('Tourney History'!C:C,'Tourney History'!B:B,A36)</f>
        <v>36.299999999999997</v>
      </c>
      <c r="F36" s="35">
        <f t="array" ref="F36">MAX(IF('Tourney History'!B:B=A36, 'Tourney History'!C:C))</f>
        <v>58</v>
      </c>
      <c r="G36" s="34">
        <f>COUNTIFS('Tourney History'!B:B,A36,'Tourney History'!D:D, 1)</f>
        <v>4</v>
      </c>
      <c r="H36" s="2">
        <f>COUNTIFS('Tourney History'!B:B,A36,'Tourney History'!D:D, 0)</f>
        <v>6</v>
      </c>
      <c r="I36" s="88">
        <f>LOOKUP(2, 1/('Tourney History'!$B:$B=A36), 'Tourney History'!$AD:$AD)</f>
        <v>0.4</v>
      </c>
      <c r="J36" s="34">
        <f>SUMIFS('Tourney History'!F:F,'Tourney History'!B:B,A36)</f>
        <v>21</v>
      </c>
      <c r="K36" s="2">
        <f>SUMIFS('Tourney History'!E:E,'Tourney History'!B:B,A36)-J36</f>
        <v>24</v>
      </c>
      <c r="L36" s="88">
        <f>LOOKUP(2, 1/('Tourney History'!$B:$B=A36), 'Tourney History'!$AB:$AB)</f>
        <v>0.46500000000000002</v>
      </c>
      <c r="M36" s="34">
        <f>SUMIFS('Tourney History'!H:H,'Tourney History'!B:B,A36)</f>
        <v>91</v>
      </c>
      <c r="N36" s="2">
        <f>SUMIFS('Tourney History'!G:G,'Tourney History'!B:B,A36)-M36</f>
        <v>96</v>
      </c>
      <c r="O36" s="88">
        <f>LOOKUP(2, 1/('Tourney History'!$B:$B=A36), 'Tourney History'!$AC:$AC)</f>
        <v>0.48599999999999993</v>
      </c>
      <c r="P36" s="2">
        <f>COUNTIFS('Tourney History'!$B:$B,$A$36,'Tourney History'!K:K, 1)</f>
        <v>2</v>
      </c>
      <c r="Q36" s="2">
        <f>COUNTIFS('Tourney History'!$B:$B,$A$36,'Tourney History'!L:L, 1)</f>
        <v>1</v>
      </c>
      <c r="R36" s="2">
        <f>COUNTIFS('Tourney History'!$B:$B,$A$36,'Tourney History'!M:M, 1)</f>
        <v>0</v>
      </c>
      <c r="S36" s="2">
        <f>COUNTIFS('Tourney History'!$B:$B,$A$36,'Tourney History'!N:N, 1)</f>
        <v>4</v>
      </c>
      <c r="T36" s="2">
        <f>COUNTIFS('Tourney History'!$B:$B,$A$36,'Tourney History'!O:O, 1)</f>
        <v>2</v>
      </c>
      <c r="U36" s="2">
        <f>COUNTIFS('Tourney History'!$B:$B,$A$36,'Tourney History'!P:P, 1)</f>
        <v>4</v>
      </c>
      <c r="V36" s="2">
        <f>COUNTIFS('Tourney History'!$B:$B,$A$36,'Tourney History'!Q:Q, 1)</f>
        <v>0</v>
      </c>
      <c r="W36" s="2">
        <f>COUNTIFS('Tourney History'!$B:$B,$A$36,'Tourney History'!R:R, 1)</f>
        <v>2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2</v>
      </c>
      <c r="AC36" s="2">
        <f>COUNTIFS('Tourney History'!$B:$B,$A$36,'Tourney History'!X:X, 1)</f>
        <v>3</v>
      </c>
      <c r="AD36" s="2">
        <f>COUNTIFS('Tourney History'!$B:$B,$A$36,'Tourney History'!Y:Y, 1)</f>
        <v>0</v>
      </c>
      <c r="AE36" s="2">
        <f>COUNTIFS('Tourney History'!$B:$B,$A$36,'Tourney History'!Z:Z, 1)</f>
        <v>1</v>
      </c>
    </row>
    <row r="37" spans="1:31" x14ac:dyDescent="0.25">
      <c r="A37" s="2" t="s">
        <v>113</v>
      </c>
      <c r="B37" s="2" t="s">
        <v>79</v>
      </c>
      <c r="C37" s="2" t="s">
        <v>79</v>
      </c>
      <c r="D37" s="34">
        <f>SUMIFS('Tourney History'!C:C,'Tourney History'!B:B,A37)</f>
        <v>99</v>
      </c>
      <c r="E37" s="4">
        <f>AVERAGEIFS('Tourney History'!C:C,'Tourney History'!B:B,A37)</f>
        <v>49.5</v>
      </c>
      <c r="F37" s="35">
        <f t="array" ref="F37">MAX(IF('Tourney History'!B:B=A37, 'Tourney History'!C:C))</f>
        <v>50</v>
      </c>
      <c r="G37" s="34">
        <f>COUNTIFS('Tourney History'!B:B,A37,'Tourney History'!D:D, 1)</f>
        <v>1</v>
      </c>
      <c r="H37" s="2">
        <f>COUNTIFS('Tourney History'!B:B,A37,'Tourney History'!D:D, 0)</f>
        <v>1</v>
      </c>
      <c r="I37" s="88">
        <f>LOOKUP(2, 1/('Tourney History'!$B:$B=A37), 'Tourney History'!$AD:$AD)</f>
        <v>0.5</v>
      </c>
      <c r="J37" s="34">
        <f>SUMIFS('Tourney History'!F:F,'Tourney History'!B:B,A37)</f>
        <v>5</v>
      </c>
      <c r="K37" s="2">
        <f>SUMIFS('Tourney History'!E:E,'Tourney History'!B:B,A37)-J37</f>
        <v>5</v>
      </c>
      <c r="L37" s="88">
        <f>LOOKUP(2, 1/('Tourney History'!$B:$B=A37), 'Tourney History'!$AB:$AB)</f>
        <v>0.5</v>
      </c>
      <c r="M37" s="34">
        <f>SUMIFS('Tourney History'!H:H,'Tourney History'!B:B,A37)</f>
        <v>21</v>
      </c>
      <c r="N37" s="2">
        <f>SUMIFS('Tourney History'!G:G,'Tourney History'!B:B,A37)-M37</f>
        <v>23</v>
      </c>
      <c r="O37" s="88">
        <f>LOOKUP(2, 1/('Tourney History'!$B:$B=A37), 'Tourney History'!$AC:$AC)</f>
        <v>0.47499999999999998</v>
      </c>
      <c r="P37" s="2">
        <f>COUNTIFS('Tourney History'!$B:$B,$A$37,'Tourney History'!K:K, 1)</f>
        <v>0</v>
      </c>
      <c r="Q37" s="2">
        <f>COUNTIFS('Tourney History'!$B:$B,$A$37,'Tourney History'!L:L, 1)</f>
        <v>1</v>
      </c>
      <c r="R37" s="2">
        <f>COUNTIFS('Tourney History'!$B:$B,$A$37,'Tourney History'!M:M, 1)</f>
        <v>1</v>
      </c>
      <c r="S37" s="2">
        <f>COUNTIFS('Tourney History'!$B:$B,$A$37,'Tourney History'!N:N, 1)</f>
        <v>2</v>
      </c>
      <c r="T37" s="2">
        <f>COUNTIFS('Tourney History'!$B:$B,$A$37,'Tourney History'!O:O, 1)</f>
        <v>1</v>
      </c>
      <c r="U37" s="2">
        <f>COUNTIFS('Tourney History'!$B:$B,$A$37,'Tourney History'!P:P, 1)</f>
        <v>0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0</v>
      </c>
      <c r="AC37" s="2">
        <f>COUNTIFS('Tourney History'!$B:$B,$A$37,'Tourney History'!X:X, 1)</f>
        <v>0</v>
      </c>
      <c r="AD37" s="2">
        <f>COUNTIFS('Tourney History'!$B:$B,$A$37,'Tourney History'!Y:Y, 1)</f>
        <v>0</v>
      </c>
      <c r="AE37" s="2">
        <f>COUNTIFS('Tourney History'!$B:$B,$A$37,'Tourney History'!Z:Z, 1)</f>
        <v>0</v>
      </c>
    </row>
    <row r="38" spans="1:31" x14ac:dyDescent="0.25">
      <c r="A38" s="2" t="s">
        <v>14</v>
      </c>
      <c r="B38" s="6" t="s">
        <v>124</v>
      </c>
      <c r="C38" s="6" t="s">
        <v>160</v>
      </c>
      <c r="D38" s="34">
        <f>SUMIFS('Tourney History'!C:C,'Tourney History'!B:B,A38)</f>
        <v>373</v>
      </c>
      <c r="E38" s="4">
        <f>AVERAGEIFS('Tourney History'!C:C,'Tourney History'!B:B,A38)</f>
        <v>37.299999999999997</v>
      </c>
      <c r="F38" s="35">
        <f t="array" ref="F38">MAX(IF('Tourney History'!B:B=A38, 'Tourney History'!C:C))</f>
        <v>56</v>
      </c>
      <c r="G38" s="34">
        <f>COUNTIFS('Tourney History'!B:B,A38,'Tourney History'!D:D, 1)</f>
        <v>5</v>
      </c>
      <c r="H38" s="2">
        <f>COUNTIFS('Tourney History'!B:B,A38,'Tourney History'!D:D, 0)</f>
        <v>5</v>
      </c>
      <c r="I38" s="88">
        <f>LOOKUP(2, 1/('Tourney History'!$B:$B=A38), 'Tourney History'!$AD:$AD)</f>
        <v>0.5</v>
      </c>
      <c r="J38" s="34">
        <f>SUMIFS('Tourney History'!F:F,'Tourney History'!B:B,A38)</f>
        <v>21</v>
      </c>
      <c r="K38" s="2">
        <f>SUMIFS('Tourney History'!E:E,'Tourney History'!B:B,A38)-J38</f>
        <v>22</v>
      </c>
      <c r="L38" s="88">
        <f>LOOKUP(2, 1/('Tourney History'!$B:$B=A38), 'Tourney History'!$AB:$AB)</f>
        <v>0.495</v>
      </c>
      <c r="M38" s="34">
        <f>SUMIFS('Tourney History'!H:H,'Tourney History'!B:B,A38)</f>
        <v>92</v>
      </c>
      <c r="N38" s="2">
        <f>SUMIFS('Tourney History'!G:G,'Tourney History'!B:B,A38)-M38</f>
        <v>91</v>
      </c>
      <c r="O38" s="88">
        <f>LOOKUP(2, 1/('Tourney History'!$B:$B=A38), 'Tourney History'!$AC:$AC)</f>
        <v>0.50800000000000001</v>
      </c>
      <c r="P38" s="2">
        <f>COUNTIFS('Tourney History'!$B:$B,$A$38,'Tourney History'!K:K, 1)</f>
        <v>1</v>
      </c>
      <c r="Q38" s="2">
        <f>COUNTIFS('Tourney History'!$B:$B,$A$38,'Tourney History'!L:L, 1)</f>
        <v>3</v>
      </c>
      <c r="R38" s="2">
        <f>COUNTIFS('Tourney History'!$B:$B,$A$38,'Tourney History'!M:M, 1)</f>
        <v>2</v>
      </c>
      <c r="S38" s="2">
        <f>COUNTIFS('Tourney History'!$B:$B,$A$38,'Tourney History'!N:N, 1)</f>
        <v>0</v>
      </c>
      <c r="T38" s="2">
        <f>COUNTIFS('Tourney History'!$B:$B,$A$38,'Tourney History'!O:O, 1)</f>
        <v>3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3</v>
      </c>
      <c r="AC38" s="2">
        <f>COUNTIFS('Tourney History'!$B:$B,$A$38,'Tourney History'!X:X, 1)</f>
        <v>5</v>
      </c>
      <c r="AD38" s="2">
        <f>COUNTIFS('Tourney History'!$B:$B,$A$38,'Tourney History'!Y:Y, 1)</f>
        <v>0</v>
      </c>
      <c r="AE38" s="2">
        <f>COUNTIFS('Tourney History'!$B:$B,$A$38,'Tourney History'!Z:Z, 1)</f>
        <v>3</v>
      </c>
    </row>
    <row r="39" spans="1:31" x14ac:dyDescent="0.25">
      <c r="A39" s="2" t="s">
        <v>70</v>
      </c>
      <c r="B39" s="6" t="s">
        <v>79</v>
      </c>
      <c r="C39" s="6" t="s">
        <v>79</v>
      </c>
      <c r="D39" s="34">
        <f>SUMIFS('Tourney History'!C:C,'Tourney History'!B:B,A39)</f>
        <v>71</v>
      </c>
      <c r="E39" s="4">
        <f>AVERAGEIFS('Tourney History'!C:C,'Tourney History'!B:B,A39)</f>
        <v>23.666666666666668</v>
      </c>
      <c r="F39" s="35">
        <f t="array" ref="F39">MAX(IF('Tourney History'!B:B=A39, 'Tourney History'!C:C))</f>
        <v>27</v>
      </c>
      <c r="G39" s="34">
        <f>COUNTIFS('Tourney History'!B:B,A39,'Tourney History'!D:D, 1)</f>
        <v>1</v>
      </c>
      <c r="H39" s="2">
        <f>COUNTIFS('Tourney History'!B:B,A39,'Tourney History'!D:D, 0)</f>
        <v>2</v>
      </c>
      <c r="I39" s="88">
        <f>LOOKUP(2, 1/('Tourney History'!$B:$B=A39), 'Tourney History'!$AD:$AD)</f>
        <v>0.33333333333333331</v>
      </c>
      <c r="J39" s="34">
        <f>SUMIFS('Tourney History'!F:F,'Tourney History'!B:B,A39)</f>
        <v>7</v>
      </c>
      <c r="K39" s="2">
        <f>SUMIFS('Tourney History'!E:E,'Tourney History'!B:B,A39)-J39</f>
        <v>8</v>
      </c>
      <c r="L39" s="88">
        <f>LOOKUP(2, 1/('Tourney History'!$B:$B=A39), 'Tourney History'!$AB:$AB)</f>
        <v>0.46666666666666662</v>
      </c>
      <c r="M39" s="34">
        <f>SUMIFS('Tourney History'!H:H,'Tourney History'!B:B,A39)</f>
        <v>32</v>
      </c>
      <c r="N39" s="2">
        <f>SUMIFS('Tourney History'!G:G,'Tourney History'!B:B,A39)-M39</f>
        <v>33</v>
      </c>
      <c r="O39" s="88">
        <f>LOOKUP(2, 1/('Tourney History'!$B:$B=A39), 'Tourney History'!$AC:$AC)</f>
        <v>0.49333333333333323</v>
      </c>
      <c r="P39" s="2">
        <f>COUNTIFS('Tourney History'!$B:$B,$A$39,'Tourney History'!K:K, 1)</f>
        <v>1</v>
      </c>
      <c r="Q39" s="2">
        <f>COUNTIFS('Tourney History'!$B:$B,$A$39,'Tourney History'!L:L, 1)</f>
        <v>0</v>
      </c>
      <c r="R39" s="2">
        <f>COUNTIFS('Tourney History'!$B:$B,$A$39,'Tourney History'!M:M, 1)</f>
        <v>0</v>
      </c>
      <c r="S39" s="2">
        <f>COUNTIFS('Tourney History'!$B:$B,$A$39,'Tourney History'!N:N, 1)</f>
        <v>1</v>
      </c>
      <c r="T39" s="2">
        <f>COUNTIFS('Tourney History'!$B:$B,$A$39,'Tourney History'!O:O, 1)</f>
        <v>1</v>
      </c>
      <c r="U39" s="2">
        <f>COUNTIFS('Tourney History'!$B:$B,$A$39,'Tourney History'!P:P, 1)</f>
        <v>0</v>
      </c>
      <c r="V39" s="2">
        <f>COUNTIFS('Tourney History'!$B:$B,$A$39,'Tourney History'!Q:Q, 1)</f>
        <v>0</v>
      </c>
      <c r="W39" s="2">
        <f>COUNTIFS('Tourney History'!$B:$B,$A$39,'Tourney History'!R:R, 1)</f>
        <v>1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2</v>
      </c>
      <c r="AD39" s="2">
        <f>COUNTIFS('Tourney History'!$B:$B,$A$39,'Tourney History'!Y:Y, 1)</f>
        <v>0</v>
      </c>
      <c r="AE39" s="2">
        <f>COUNTIFS('Tourney History'!$B:$B,$A$39,'Tourney History'!Z:Z, 1)</f>
        <v>1</v>
      </c>
    </row>
    <row r="40" spans="1:31" x14ac:dyDescent="0.25">
      <c r="A40" s="2" t="s">
        <v>4</v>
      </c>
      <c r="B40" s="6" t="s">
        <v>175</v>
      </c>
      <c r="C40" s="2" t="s">
        <v>79</v>
      </c>
      <c r="D40" s="34">
        <f>SUMIFS('Tourney History'!C:C,'Tourney History'!B:B,A40)</f>
        <v>160</v>
      </c>
      <c r="E40" s="4">
        <f>AVERAGEIFS('Tourney History'!C:C,'Tourney History'!B:B,A40)</f>
        <v>26.666666666666668</v>
      </c>
      <c r="F40" s="35">
        <f t="array" ref="F40">MAX(IF('Tourney History'!B:B=A40, 'Tourney History'!C:C))</f>
        <v>46</v>
      </c>
      <c r="G40" s="34">
        <f>COUNTIFS('Tourney History'!B:B,A40,'Tourney History'!D:D, 1)</f>
        <v>5</v>
      </c>
      <c r="H40" s="2">
        <f>COUNTIFS('Tourney History'!B:B,A40,'Tourney History'!D:D, 0)</f>
        <v>1</v>
      </c>
      <c r="I40" s="88">
        <f>LOOKUP(2, 1/('Tourney History'!$B:$B=A40), 'Tourney History'!$AD:$AD)</f>
        <v>0.83333333333333337</v>
      </c>
      <c r="J40" s="34">
        <f>SUMIFS('Tourney History'!F:F,'Tourney History'!B:B,A40)</f>
        <v>15</v>
      </c>
      <c r="K40" s="2">
        <f>SUMIFS('Tourney History'!E:E,'Tourney History'!B:B,A40)-J40</f>
        <v>11</v>
      </c>
      <c r="L40" s="88">
        <f>LOOKUP(2, 1/('Tourney History'!$B:$B=A40), 'Tourney History'!$AB:$AB)</f>
        <v>0.55000000000000004</v>
      </c>
      <c r="M40" s="34">
        <f>SUMIFS('Tourney History'!H:H,'Tourney History'!B:B,A40)</f>
        <v>56</v>
      </c>
      <c r="N40" s="2">
        <f>SUMIFS('Tourney History'!G:G,'Tourney History'!B:B,A40)-M40</f>
        <v>48</v>
      </c>
      <c r="O40" s="88">
        <f>LOOKUP(2, 1/('Tourney History'!$B:$B=A40), 'Tourney History'!$AC:$AC)</f>
        <v>0.51500000000000001</v>
      </c>
      <c r="P40" s="2">
        <f>COUNTIFS('Tourney History'!$B:$B,$A$40,'Tourney History'!K:K, 1)</f>
        <v>2</v>
      </c>
      <c r="Q40" s="2">
        <f>COUNTIFS('Tourney History'!$B:$B,$A$40,'Tourney History'!L:L, 1)</f>
        <v>2</v>
      </c>
      <c r="R40" s="2">
        <f>COUNTIFS('Tourney History'!$B:$B,$A$40,'Tourney History'!M:M, 1)</f>
        <v>1</v>
      </c>
      <c r="S40" s="2">
        <f>COUNTIFS('Tourney History'!$B:$B,$A$40,'Tourney History'!N:N, 1)</f>
        <v>1</v>
      </c>
      <c r="T40" s="2">
        <f>COUNTIFS('Tourney History'!$B:$B,$A$40,'Tourney History'!O:O, 1)</f>
        <v>3</v>
      </c>
      <c r="U40" s="2">
        <f>COUNTIFS('Tourney History'!$B:$B,$A$40,'Tourney History'!P:P, 1)</f>
        <v>2</v>
      </c>
      <c r="V40" s="2">
        <f>COUNTIFS('Tourney History'!$B:$B,$A$40,'Tourney History'!Q:Q, 1)</f>
        <v>0</v>
      </c>
      <c r="W40" s="2">
        <f>COUNTIFS('Tourney History'!$B:$B,$A$40,'Tourney History'!R:R, 1)</f>
        <v>0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1</v>
      </c>
      <c r="AC40" s="2">
        <f>COUNTIFS('Tourney History'!$B:$B,$A$40,'Tourney History'!X:X, 1)</f>
        <v>1</v>
      </c>
      <c r="AD40" s="2">
        <f>COUNTIFS('Tourney History'!$B:$B,$A$40,'Tourney History'!Y:Y, 1)</f>
        <v>1</v>
      </c>
      <c r="AE40" s="2">
        <f>COUNTIFS('Tourney History'!$B:$B,$A$40,'Tourney History'!Z:Z, 1)</f>
        <v>1</v>
      </c>
    </row>
    <row r="41" spans="1:31" x14ac:dyDescent="0.25">
      <c r="A41" s="2" t="s">
        <v>55</v>
      </c>
      <c r="B41" s="2" t="s">
        <v>79</v>
      </c>
      <c r="C41" s="2" t="s">
        <v>79</v>
      </c>
      <c r="D41" s="34">
        <f>SUMIFS('Tourney History'!C:C,'Tourney History'!B:B,A41)</f>
        <v>18</v>
      </c>
      <c r="E41" s="4">
        <f>AVERAGEIFS('Tourney History'!C:C,'Tourney History'!B:B,A41)</f>
        <v>9</v>
      </c>
      <c r="F41" s="35">
        <f t="array" ref="F41">MAX(IF('Tourney History'!B:B=A41, 'Tourney History'!C:C))</f>
        <v>12</v>
      </c>
      <c r="G41" s="34">
        <f>COUNTIFS('Tourney History'!B:B,A41,'Tourney History'!D:D, 1)</f>
        <v>1</v>
      </c>
      <c r="H41" s="2">
        <f>COUNTIFS('Tourney History'!B:B,A41,'Tourney History'!D:D, 0)</f>
        <v>1</v>
      </c>
      <c r="I41" s="88">
        <f>LOOKUP(2, 1/('Tourney History'!$B:$B=A41), 'Tourney History'!$AD:$AD)</f>
        <v>0.5</v>
      </c>
      <c r="J41" s="34">
        <f>SUMIFS('Tourney History'!F:F,'Tourney History'!B:B,A41)</f>
        <v>4</v>
      </c>
      <c r="K41" s="2">
        <f>SUMIFS('Tourney History'!E:E,'Tourney History'!B:B,A41)-J41</f>
        <v>5</v>
      </c>
      <c r="L41" s="88">
        <f>LOOKUP(2, 1/('Tourney History'!$B:$B=A41), 'Tourney History'!$AB:$AB)</f>
        <v>0.42499999999999999</v>
      </c>
      <c r="M41" s="34">
        <f>SUMIFS('Tourney History'!H:H,'Tourney History'!B:B,A41)</f>
        <v>18</v>
      </c>
      <c r="N41" s="2">
        <f>SUMIFS('Tourney History'!G:G,'Tourney History'!B:B,A41)-M41</f>
        <v>19</v>
      </c>
      <c r="O41" s="88">
        <f>LOOKUP(2, 1/('Tourney History'!$B:$B=A41), 'Tourney History'!$AC:$AC)</f>
        <v>0.47499999999999998</v>
      </c>
      <c r="P41" s="2">
        <f>COUNTIFS('Tourney History'!$B:$B,$A$41,'Tourney History'!K:K, 1)</f>
        <v>0</v>
      </c>
      <c r="Q41" s="2">
        <f>COUNTIFS('Tourney History'!$B:$B,$A$41,'Tourney History'!L:L, 1)</f>
        <v>0</v>
      </c>
      <c r="R41" s="2">
        <f>COUNTIFS('Tourney History'!$B:$B,$A$41,'Tourney History'!M:M, 1)</f>
        <v>0</v>
      </c>
      <c r="S41" s="2">
        <f>COUNTIFS('Tourney History'!$B:$B,$A$41,'Tourney History'!N:N, 1)</f>
        <v>1</v>
      </c>
      <c r="T41" s="2">
        <f>COUNTIFS('Tourney History'!$B:$B,$A$41,'Tourney History'!O:O, 1)</f>
        <v>1</v>
      </c>
      <c r="U41" s="2">
        <f>COUNTIFS('Tourney History'!$B:$B,$A$41,'Tourney History'!P:P, 1)</f>
        <v>0</v>
      </c>
      <c r="V41" s="2">
        <f>COUNTIFS('Tourney History'!$B:$B,$A$41,'Tourney History'!Q:Q, 1)</f>
        <v>1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0</v>
      </c>
      <c r="AC41" s="2">
        <f>COUNTIFS('Tourney History'!$B:$B,$A$41,'Tourney History'!X:X, 1)</f>
        <v>1</v>
      </c>
      <c r="AD41" s="2">
        <f>COUNTIFS('Tourney History'!$B:$B,$A$41,'Tourney History'!Y:Y, 1)</f>
        <v>0</v>
      </c>
      <c r="AE41" s="2">
        <f>COUNTIFS('Tourney History'!$B:$B,$A$41,'Tourney History'!Z:Z, 1)</f>
        <v>0</v>
      </c>
    </row>
  </sheetData>
  <autoFilter ref="A1:AE41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25"/>
  <sheetViews>
    <sheetView tabSelected="1" workbookViewId="0">
      <selection activeCell="D17" sqref="D17"/>
    </sheetView>
  </sheetViews>
  <sheetFormatPr defaultRowHeight="15" x14ac:dyDescent="0.25"/>
  <cols>
    <col min="1" max="1" width="32.5703125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98" t="s">
        <v>180</v>
      </c>
      <c r="B1" s="98" t="s">
        <v>181</v>
      </c>
      <c r="C1" s="98" t="s">
        <v>183</v>
      </c>
      <c r="D1" s="98" t="s">
        <v>182</v>
      </c>
    </row>
    <row r="2" spans="1:4" x14ac:dyDescent="0.25">
      <c r="A2" t="s">
        <v>187</v>
      </c>
      <c r="B2" s="99" t="s">
        <v>186</v>
      </c>
      <c r="C2" t="s">
        <v>190</v>
      </c>
      <c r="D2" t="s">
        <v>185</v>
      </c>
    </row>
    <row r="3" spans="1:4" x14ac:dyDescent="0.25">
      <c r="A3" t="s">
        <v>188</v>
      </c>
      <c r="B3" s="99" t="s">
        <v>189</v>
      </c>
      <c r="C3" t="s">
        <v>190</v>
      </c>
      <c r="D3" t="s">
        <v>191</v>
      </c>
    </row>
    <row r="4" spans="1:4" x14ac:dyDescent="0.25">
      <c r="A4" t="s">
        <v>187</v>
      </c>
      <c r="B4" s="99" t="s">
        <v>192</v>
      </c>
      <c r="C4" t="s">
        <v>190</v>
      </c>
      <c r="D4" t="s">
        <v>185</v>
      </c>
    </row>
    <row r="5" spans="1:4" x14ac:dyDescent="0.25">
      <c r="A5" t="s">
        <v>188</v>
      </c>
      <c r="B5" s="99" t="s">
        <v>193</v>
      </c>
      <c r="C5" t="s">
        <v>190</v>
      </c>
      <c r="D5" t="s">
        <v>191</v>
      </c>
    </row>
    <row r="6" spans="1:4" x14ac:dyDescent="0.25">
      <c r="A6" t="s">
        <v>187</v>
      </c>
      <c r="B6" s="99" t="s">
        <v>194</v>
      </c>
      <c r="C6" t="s">
        <v>190</v>
      </c>
      <c r="D6" t="s">
        <v>185</v>
      </c>
    </row>
    <row r="7" spans="1:4" x14ac:dyDescent="0.25">
      <c r="A7" t="s">
        <v>188</v>
      </c>
      <c r="B7" s="99" t="s">
        <v>195</v>
      </c>
      <c r="C7" t="s">
        <v>190</v>
      </c>
      <c r="D7" t="s">
        <v>191</v>
      </c>
    </row>
    <row r="8" spans="1:4" x14ac:dyDescent="0.25">
      <c r="A8" t="s">
        <v>187</v>
      </c>
      <c r="B8" s="99" t="s">
        <v>203</v>
      </c>
      <c r="C8" t="s">
        <v>190</v>
      </c>
      <c r="D8" t="s">
        <v>185</v>
      </c>
    </row>
    <row r="9" spans="1:4" x14ac:dyDescent="0.25">
      <c r="A9" t="s">
        <v>188</v>
      </c>
      <c r="B9" s="99" t="s">
        <v>204</v>
      </c>
      <c r="C9" t="s">
        <v>190</v>
      </c>
      <c r="D9" t="s">
        <v>191</v>
      </c>
    </row>
    <row r="10" spans="1:4" x14ac:dyDescent="0.25">
      <c r="A10" t="s">
        <v>187</v>
      </c>
      <c r="B10" s="99" t="s">
        <v>205</v>
      </c>
      <c r="C10" t="s">
        <v>190</v>
      </c>
      <c r="D10" t="s">
        <v>185</v>
      </c>
    </row>
    <row r="11" spans="1:4" x14ac:dyDescent="0.25">
      <c r="A11" t="s">
        <v>188</v>
      </c>
      <c r="B11" s="99" t="s">
        <v>206</v>
      </c>
      <c r="C11" t="s">
        <v>190</v>
      </c>
      <c r="D11" t="s">
        <v>191</v>
      </c>
    </row>
    <row r="12" spans="1:4" x14ac:dyDescent="0.25">
      <c r="A12" t="s">
        <v>208</v>
      </c>
      <c r="B12" s="99" t="s">
        <v>210</v>
      </c>
      <c r="C12" t="s">
        <v>209</v>
      </c>
      <c r="D12" t="s">
        <v>184</v>
      </c>
    </row>
    <row r="13" spans="1:4" x14ac:dyDescent="0.25">
      <c r="A13" t="s">
        <v>197</v>
      </c>
      <c r="B13" s="99" t="s">
        <v>196</v>
      </c>
      <c r="C13" t="s">
        <v>200</v>
      </c>
      <c r="D13" t="s">
        <v>184</v>
      </c>
    </row>
    <row r="14" spans="1:4" x14ac:dyDescent="0.25">
      <c r="A14" t="s">
        <v>198</v>
      </c>
      <c r="B14" s="99" t="s">
        <v>199</v>
      </c>
      <c r="C14" t="s">
        <v>200</v>
      </c>
      <c r="D14" t="s">
        <v>207</v>
      </c>
    </row>
    <row r="15" spans="1:4" x14ac:dyDescent="0.25">
      <c r="A15" t="s">
        <v>201</v>
      </c>
      <c r="B15" s="99" t="s">
        <v>202</v>
      </c>
      <c r="C15" t="s">
        <v>200</v>
      </c>
      <c r="D15" t="s">
        <v>207</v>
      </c>
    </row>
    <row r="16" spans="1:4" x14ac:dyDescent="0.25">
      <c r="A16" t="s">
        <v>211</v>
      </c>
      <c r="B16" s="99" t="s">
        <v>212</v>
      </c>
      <c r="C16" t="s">
        <v>213</v>
      </c>
      <c r="D16" t="s">
        <v>184</v>
      </c>
    </row>
    <row r="17" spans="1:4" x14ac:dyDescent="0.25">
      <c r="A17" t="s">
        <v>223</v>
      </c>
      <c r="B17" s="99" t="s">
        <v>224</v>
      </c>
      <c r="C17" t="s">
        <v>225</v>
      </c>
      <c r="D17" t="s">
        <v>207</v>
      </c>
    </row>
    <row r="18" spans="1:4" x14ac:dyDescent="0.25">
      <c r="B18" s="99"/>
    </row>
    <row r="19" spans="1:4" x14ac:dyDescent="0.25">
      <c r="B19" s="99"/>
    </row>
    <row r="20" spans="1:4" x14ac:dyDescent="0.25">
      <c r="B20" s="99"/>
    </row>
    <row r="21" spans="1:4" x14ac:dyDescent="0.25">
      <c r="B21" s="99"/>
    </row>
    <row r="22" spans="1:4" x14ac:dyDescent="0.25">
      <c r="B22" s="99"/>
    </row>
    <row r="23" spans="1:4" x14ac:dyDescent="0.25">
      <c r="B23" s="99"/>
    </row>
    <row r="24" spans="1:4" x14ac:dyDescent="0.25">
      <c r="B24" s="99"/>
    </row>
    <row r="25" spans="1:4" x14ac:dyDescent="0.25">
      <c r="B25" s="99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3" t="s">
        <v>7</v>
      </c>
      <c r="D1" s="104"/>
      <c r="E1" s="105"/>
      <c r="F1" s="103" t="s">
        <v>22</v>
      </c>
      <c r="G1" s="104"/>
      <c r="H1" s="105"/>
      <c r="I1" s="103" t="s">
        <v>16</v>
      </c>
      <c r="J1" s="104"/>
      <c r="K1" s="105"/>
      <c r="L1" s="103" t="s">
        <v>23</v>
      </c>
      <c r="M1" s="104"/>
      <c r="N1" s="105"/>
      <c r="O1" s="103" t="s">
        <v>64</v>
      </c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6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6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6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6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6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6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6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6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3" t="s">
        <v>7</v>
      </c>
      <c r="D15" s="104"/>
      <c r="E15" s="105"/>
      <c r="F15" s="103" t="s">
        <v>22</v>
      </c>
      <c r="G15" s="104"/>
      <c r="H15" s="105"/>
      <c r="I15" s="103" t="s">
        <v>16</v>
      </c>
      <c r="J15" s="104"/>
      <c r="K15" s="105"/>
      <c r="L15" s="103" t="s">
        <v>23</v>
      </c>
      <c r="M15" s="104"/>
      <c r="N15" s="105"/>
      <c r="O15" s="103" t="s">
        <v>64</v>
      </c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2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2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2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2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2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2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2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2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Events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2026-05-14T23:05:17Z</dcterms:modified>
</cp:coreProperties>
</file>