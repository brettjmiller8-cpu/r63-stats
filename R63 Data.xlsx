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C4C03EB2-4CB1-447D-A397-32602F0A528B}" xr6:coauthVersionLast="47" xr6:coauthVersionMax="47" xr10:uidLastSave="{00000000-0000-0000-0000-000000000000}"/>
  <bookViews>
    <workbookView xWindow="-120" yWindow="-120" windowWidth="38640" windowHeight="21120" activeTab="1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BA comments" sheetId="6" state="hidden" r:id="rId15"/>
    <sheet name="Match Analyzer BA" sheetId="8" state="hidden" r:id="rId16"/>
  </sheets>
  <definedNames>
    <definedName name="_xlnm._FilterDatabase" localSheetId="8" hidden="1">BA!$A$1:$AH$47</definedName>
    <definedName name="_xlnm._FilterDatabase" localSheetId="9" hidden="1">'BA History'!$A$1:$AJ$901</definedName>
    <definedName name="_xlnm._FilterDatabase" localSheetId="11" hidden="1">'BA History S2'!$A$1:$AJ$185</definedName>
    <definedName name="_xlnm._FilterDatabase" localSheetId="10" hidden="1">'BA S2'!$A$1:$AM$34</definedName>
    <definedName name="_xlnm._FilterDatabase" localSheetId="7" hidden="1">'BA v2'!$A$1:$AM$58</definedName>
    <definedName name="_xlnm._FilterDatabase" localSheetId="1" hidden="1">'OB History'!$A$1:$AD$754</definedName>
    <definedName name="_xlnm._FilterDatabase" localSheetId="3" hidden="1">'OB History S2'!$A$1:$AD$478</definedName>
    <definedName name="_xlnm._FilterDatabase" localSheetId="2" hidden="1">'OB Season 2'!$A$1:$AG$41</definedName>
    <definedName name="_xlnm._FilterDatabase" localSheetId="4" hidden="1">'Old Bow'!$A$1:$AD$37</definedName>
    <definedName name="_xlnm._FilterDatabase" localSheetId="0" hidden="1">'Old Bow v2'!$A$1:$AG$50</definedName>
    <definedName name="_xlnm._FilterDatabase" localSheetId="12" hidden="1">'Tourney History'!$A$1:$AD$159</definedName>
    <definedName name="_xlnm._FilterDatabase" localSheetId="13" hidden="1">'Tourney Stats'!$A$1:$AE$36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186" i="17" l="1"/>
  <c r="AH186" i="17"/>
  <c r="AI186" i="17"/>
  <c r="AJ186" i="17"/>
  <c r="AG187" i="17"/>
  <c r="AH187" i="17"/>
  <c r="AI187" i="17"/>
  <c r="AJ187" i="17"/>
  <c r="AG188" i="17"/>
  <c r="AH188" i="17"/>
  <c r="AI188" i="17"/>
  <c r="AJ188" i="17"/>
  <c r="AG189" i="17"/>
  <c r="AH189" i="17"/>
  <c r="AI189" i="17"/>
  <c r="AJ189" i="17"/>
  <c r="AG190" i="17"/>
  <c r="AH190" i="17"/>
  <c r="AI190" i="17"/>
  <c r="AJ190" i="17"/>
  <c r="AG191" i="17"/>
  <c r="AH191" i="17"/>
  <c r="AI191" i="17"/>
  <c r="AJ191" i="17"/>
  <c r="AG192" i="17"/>
  <c r="AH192" i="17"/>
  <c r="AI192" i="17"/>
  <c r="AJ192" i="17"/>
  <c r="AG193" i="17"/>
  <c r="AH193" i="17"/>
  <c r="AI193" i="17"/>
  <c r="AJ193" i="17"/>
  <c r="AG194" i="17"/>
  <c r="AH194" i="17"/>
  <c r="AI194" i="17"/>
  <c r="AJ194" i="17"/>
  <c r="AG195" i="17"/>
  <c r="AH195" i="17"/>
  <c r="AI195" i="17"/>
  <c r="AJ195" i="17"/>
  <c r="AG196" i="17"/>
  <c r="AH196" i="17"/>
  <c r="AI196" i="17"/>
  <c r="AJ196" i="17"/>
  <c r="AG197" i="17"/>
  <c r="AH197" i="17"/>
  <c r="AI197" i="17"/>
  <c r="AJ197" i="17"/>
  <c r="AG890" i="9"/>
  <c r="AH890" i="9"/>
  <c r="AI890" i="9"/>
  <c r="AJ890" i="9"/>
  <c r="AG891" i="9"/>
  <c r="AH891" i="9"/>
  <c r="AI891" i="9"/>
  <c r="AJ891" i="9"/>
  <c r="AG892" i="9"/>
  <c r="AH892" i="9"/>
  <c r="AI892" i="9"/>
  <c r="AJ892" i="9"/>
  <c r="AG893" i="9"/>
  <c r="AH893" i="9"/>
  <c r="AI893" i="9"/>
  <c r="AJ893" i="9"/>
  <c r="AG894" i="9"/>
  <c r="AH894" i="9"/>
  <c r="AI894" i="9"/>
  <c r="AJ894" i="9"/>
  <c r="AG895" i="9"/>
  <c r="AH895" i="9"/>
  <c r="AI895" i="9"/>
  <c r="AJ895" i="9"/>
  <c r="AG896" i="9"/>
  <c r="AH896" i="9"/>
  <c r="AI896" i="9"/>
  <c r="AJ896" i="9"/>
  <c r="AG897" i="9"/>
  <c r="AH897" i="9"/>
  <c r="AI897" i="9"/>
  <c r="AJ897" i="9"/>
  <c r="AG898" i="9"/>
  <c r="AH898" i="9"/>
  <c r="AI898" i="9"/>
  <c r="AJ898" i="9"/>
  <c r="AG899" i="9"/>
  <c r="AH899" i="9"/>
  <c r="AI899" i="9"/>
  <c r="AJ899" i="9"/>
  <c r="AG900" i="9"/>
  <c r="AH900" i="9"/>
  <c r="AI900" i="9"/>
  <c r="AJ900" i="9"/>
  <c r="AG901" i="9"/>
  <c r="AH901" i="9"/>
  <c r="AI901" i="9"/>
  <c r="AJ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S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R28" i="13"/>
  <c r="F28" i="13"/>
  <c r="G28" i="13"/>
  <c r="H28" i="13" a="1"/>
  <c r="H28" i="13" s="1"/>
  <c r="I28" i="13"/>
  <c r="J28" i="13"/>
  <c r="K28" i="13"/>
  <c r="L28" i="13"/>
  <c r="M28" i="13" s="1"/>
  <c r="N28" i="13"/>
  <c r="O28" i="13"/>
  <c r="P28" i="13" s="1"/>
  <c r="Q28" i="13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AF27" i="13"/>
  <c r="AG27" i="13"/>
  <c r="R27" i="13"/>
  <c r="R29" i="13"/>
  <c r="F27" i="13"/>
  <c r="G27" i="13"/>
  <c r="H27" i="13" a="1"/>
  <c r="H27" i="13" s="1"/>
  <c r="I27" i="13"/>
  <c r="J27" i="13"/>
  <c r="K27" i="13"/>
  <c r="L27" i="13"/>
  <c r="M27" i="13" s="1"/>
  <c r="N27" i="13"/>
  <c r="O27" i="13"/>
  <c r="P27" i="13" s="1"/>
  <c r="Q27" i="13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R34" i="13"/>
  <c r="F34" i="13"/>
  <c r="G34" i="13"/>
  <c r="H34" i="13" a="1"/>
  <c r="H34" i="13" s="1"/>
  <c r="I34" i="13"/>
  <c r="J34" i="13"/>
  <c r="K34" i="13"/>
  <c r="L34" i="13"/>
  <c r="M34" i="13" s="1"/>
  <c r="N34" i="13"/>
  <c r="O34" i="13"/>
  <c r="P34" i="13" s="1"/>
  <c r="Q34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S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R42" i="11"/>
  <c r="F42" i="11"/>
  <c r="G42" i="11"/>
  <c r="H42" i="11" a="1"/>
  <c r="H42" i="11" s="1"/>
  <c r="I42" i="11"/>
  <c r="J42" i="11"/>
  <c r="K42" i="11"/>
  <c r="L42" i="11"/>
  <c r="M42" i="11" s="1"/>
  <c r="N42" i="11"/>
  <c r="O42" i="11"/>
  <c r="P42" i="11" s="1"/>
  <c r="Q42" i="11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G878" i="9"/>
  <c r="AH878" i="9"/>
  <c r="AI878" i="9"/>
  <c r="AJ878" i="9"/>
  <c r="AG879" i="9"/>
  <c r="AH879" i="9"/>
  <c r="AI879" i="9"/>
  <c r="AJ879" i="9"/>
  <c r="AG880" i="9"/>
  <c r="AH880" i="9"/>
  <c r="AI880" i="9"/>
  <c r="AJ880" i="9"/>
  <c r="AG881" i="9"/>
  <c r="AH881" i="9"/>
  <c r="AI881" i="9"/>
  <c r="AJ881" i="9"/>
  <c r="AG882" i="9"/>
  <c r="AH882" i="9"/>
  <c r="AI882" i="9"/>
  <c r="AJ882" i="9"/>
  <c r="AG883" i="9"/>
  <c r="AH883" i="9"/>
  <c r="AI883" i="9"/>
  <c r="AJ883" i="9"/>
  <c r="AG884" i="9"/>
  <c r="AH884" i="9"/>
  <c r="AI884" i="9"/>
  <c r="AJ884" i="9"/>
  <c r="AG885" i="9"/>
  <c r="AH885" i="9"/>
  <c r="AI885" i="9"/>
  <c r="AJ885" i="9"/>
  <c r="AG886" i="9"/>
  <c r="AH886" i="9"/>
  <c r="AI886" i="9"/>
  <c r="AJ886" i="9"/>
  <c r="AG887" i="9"/>
  <c r="AH887" i="9"/>
  <c r="AI887" i="9"/>
  <c r="AJ887" i="9"/>
  <c r="AG888" i="9"/>
  <c r="AH888" i="9"/>
  <c r="AI888" i="9"/>
  <c r="AJ888" i="9"/>
  <c r="AG889" i="9"/>
  <c r="AH889" i="9"/>
  <c r="AI889" i="9"/>
  <c r="AJ889" i="9"/>
  <c r="AG174" i="17"/>
  <c r="AH174" i="17"/>
  <c r="AI174" i="17"/>
  <c r="AJ174" i="17"/>
  <c r="AG175" i="17"/>
  <c r="AH175" i="17"/>
  <c r="AI175" i="17"/>
  <c r="AJ175" i="17"/>
  <c r="AG176" i="17"/>
  <c r="AH176" i="17"/>
  <c r="AI176" i="17"/>
  <c r="AJ176" i="17"/>
  <c r="AG177" i="17"/>
  <c r="AH177" i="17"/>
  <c r="AI177" i="17"/>
  <c r="AJ177" i="17"/>
  <c r="AG178" i="17"/>
  <c r="AH178" i="17"/>
  <c r="AI178" i="17"/>
  <c r="AJ178" i="17"/>
  <c r="AG179" i="17"/>
  <c r="AH179" i="17"/>
  <c r="AI179" i="17"/>
  <c r="AJ179" i="17"/>
  <c r="AG180" i="17"/>
  <c r="AH180" i="17"/>
  <c r="AI180" i="17"/>
  <c r="AJ180" i="17"/>
  <c r="AG181" i="17"/>
  <c r="AH181" i="17"/>
  <c r="AI181" i="17"/>
  <c r="AJ181" i="17"/>
  <c r="AG182" i="17"/>
  <c r="AH182" i="17"/>
  <c r="AI182" i="17"/>
  <c r="AJ182" i="17"/>
  <c r="AG183" i="17"/>
  <c r="AH183" i="17"/>
  <c r="AI183" i="17"/>
  <c r="AJ183" i="17"/>
  <c r="AG184" i="17"/>
  <c r="AH184" i="17"/>
  <c r="AI184" i="17"/>
  <c r="AJ184" i="17"/>
  <c r="AG185" i="17"/>
  <c r="AH185" i="17"/>
  <c r="AI185" i="17"/>
  <c r="AJ185" i="17"/>
  <c r="AG162" i="17"/>
  <c r="AH162" i="17"/>
  <c r="AI162" i="17"/>
  <c r="AJ162" i="17"/>
  <c r="AG163" i="17"/>
  <c r="AH163" i="17"/>
  <c r="AI163" i="17"/>
  <c r="AJ163" i="17"/>
  <c r="AG164" i="17"/>
  <c r="AH164" i="17"/>
  <c r="AI164" i="17"/>
  <c r="AJ164" i="17"/>
  <c r="AG165" i="17"/>
  <c r="AH165" i="17"/>
  <c r="AI165" i="17"/>
  <c r="AJ165" i="17"/>
  <c r="AG166" i="17"/>
  <c r="AH166" i="17"/>
  <c r="AI166" i="17"/>
  <c r="AJ166" i="17"/>
  <c r="AG167" i="17"/>
  <c r="AH167" i="17"/>
  <c r="AI167" i="17"/>
  <c r="AJ167" i="17"/>
  <c r="AG168" i="17"/>
  <c r="AH168" i="17"/>
  <c r="AI168" i="17"/>
  <c r="AJ168" i="17"/>
  <c r="AG169" i="17"/>
  <c r="AH169" i="17"/>
  <c r="AI169" i="17"/>
  <c r="AJ169" i="17"/>
  <c r="AG170" i="17"/>
  <c r="AH170" i="17"/>
  <c r="AI170" i="17"/>
  <c r="AJ170" i="17"/>
  <c r="AG171" i="17"/>
  <c r="AH171" i="17"/>
  <c r="AI171" i="17"/>
  <c r="AJ171" i="17"/>
  <c r="AG172" i="17"/>
  <c r="AH172" i="17"/>
  <c r="AI172" i="17"/>
  <c r="AJ172" i="17"/>
  <c r="AG173" i="17"/>
  <c r="AH173" i="17"/>
  <c r="AI173" i="17"/>
  <c r="AJ173" i="17"/>
  <c r="AG866" i="9"/>
  <c r="AH866" i="9"/>
  <c r="AI866" i="9"/>
  <c r="AJ866" i="9"/>
  <c r="AG867" i="9"/>
  <c r="AH867" i="9"/>
  <c r="AI867" i="9"/>
  <c r="AJ867" i="9"/>
  <c r="AG868" i="9"/>
  <c r="AH868" i="9"/>
  <c r="AI868" i="9"/>
  <c r="AJ868" i="9"/>
  <c r="AG869" i="9"/>
  <c r="AH869" i="9"/>
  <c r="AI869" i="9"/>
  <c r="AJ869" i="9"/>
  <c r="AG870" i="9"/>
  <c r="AH870" i="9"/>
  <c r="AI870" i="9"/>
  <c r="AJ870" i="9"/>
  <c r="AG871" i="9"/>
  <c r="AH871" i="9"/>
  <c r="AI871" i="9"/>
  <c r="AJ871" i="9"/>
  <c r="AG872" i="9"/>
  <c r="AH872" i="9"/>
  <c r="AI872" i="9"/>
  <c r="AJ872" i="9"/>
  <c r="AG873" i="9"/>
  <c r="AH873" i="9"/>
  <c r="AI873" i="9"/>
  <c r="AJ873" i="9"/>
  <c r="AG874" i="9"/>
  <c r="AH874" i="9"/>
  <c r="AI874" i="9"/>
  <c r="AJ874" i="9"/>
  <c r="AG875" i="9"/>
  <c r="AH875" i="9"/>
  <c r="AI875" i="9"/>
  <c r="AJ875" i="9"/>
  <c r="AG876" i="9"/>
  <c r="AH876" i="9"/>
  <c r="AI876" i="9"/>
  <c r="AJ876" i="9"/>
  <c r="AG877" i="9"/>
  <c r="AH877" i="9"/>
  <c r="AI877" i="9"/>
  <c r="AJ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G150" i="17"/>
  <c r="AH150" i="17"/>
  <c r="AI150" i="17"/>
  <c r="AJ150" i="17"/>
  <c r="AG151" i="17"/>
  <c r="AH151" i="17"/>
  <c r="AI151" i="17"/>
  <c r="AJ151" i="17"/>
  <c r="AG152" i="17"/>
  <c r="AH152" i="17"/>
  <c r="AI152" i="17"/>
  <c r="AJ152" i="17"/>
  <c r="AG153" i="17"/>
  <c r="AH153" i="17"/>
  <c r="AI153" i="17"/>
  <c r="AJ153" i="17"/>
  <c r="AG154" i="17"/>
  <c r="AH154" i="17"/>
  <c r="AI154" i="17"/>
  <c r="AJ154" i="17"/>
  <c r="AG155" i="17"/>
  <c r="AH155" i="17"/>
  <c r="AI155" i="17"/>
  <c r="AJ155" i="17"/>
  <c r="AG156" i="17"/>
  <c r="AH156" i="17"/>
  <c r="AI156" i="17"/>
  <c r="AJ156" i="17"/>
  <c r="AG157" i="17"/>
  <c r="AH157" i="17"/>
  <c r="AI157" i="17"/>
  <c r="AJ157" i="17"/>
  <c r="AG158" i="17"/>
  <c r="AH158" i="17"/>
  <c r="AI158" i="17"/>
  <c r="AJ158" i="17"/>
  <c r="AG159" i="17"/>
  <c r="AH159" i="17"/>
  <c r="AI159" i="17"/>
  <c r="AJ159" i="17"/>
  <c r="AG160" i="17"/>
  <c r="AH160" i="17"/>
  <c r="AI160" i="17"/>
  <c r="AJ160" i="17"/>
  <c r="AG161" i="17"/>
  <c r="AH161" i="17"/>
  <c r="AI161" i="17"/>
  <c r="AJ161" i="17"/>
  <c r="AG854" i="9"/>
  <c r="AH854" i="9"/>
  <c r="AI854" i="9"/>
  <c r="AJ854" i="9"/>
  <c r="AG855" i="9"/>
  <c r="AH855" i="9"/>
  <c r="AI855" i="9"/>
  <c r="AJ855" i="9"/>
  <c r="AG856" i="9"/>
  <c r="AH856" i="9"/>
  <c r="AI856" i="9"/>
  <c r="AJ856" i="9"/>
  <c r="AG857" i="9"/>
  <c r="AH857" i="9"/>
  <c r="AI857" i="9"/>
  <c r="AJ857" i="9"/>
  <c r="AG858" i="9"/>
  <c r="AH858" i="9"/>
  <c r="AI858" i="9"/>
  <c r="AJ858" i="9"/>
  <c r="AG859" i="9"/>
  <c r="AH859" i="9"/>
  <c r="AI859" i="9"/>
  <c r="AJ859" i="9"/>
  <c r="AG860" i="9"/>
  <c r="AH860" i="9"/>
  <c r="AI860" i="9"/>
  <c r="AJ860" i="9"/>
  <c r="AG861" i="9"/>
  <c r="AH861" i="9"/>
  <c r="AI861" i="9"/>
  <c r="AJ861" i="9"/>
  <c r="AG862" i="9"/>
  <c r="AH862" i="9"/>
  <c r="AI862" i="9"/>
  <c r="AJ862" i="9"/>
  <c r="AG863" i="9"/>
  <c r="AH863" i="9"/>
  <c r="AI863" i="9"/>
  <c r="AJ863" i="9"/>
  <c r="AG864" i="9"/>
  <c r="AH864" i="9"/>
  <c r="AI864" i="9"/>
  <c r="AJ864" i="9"/>
  <c r="AG865" i="9"/>
  <c r="AH865" i="9"/>
  <c r="AI865" i="9"/>
  <c r="AJ865" i="9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R26" i="16"/>
  <c r="F26" i="16"/>
  <c r="G26" i="16"/>
  <c r="H26" i="16" a="1"/>
  <c r="H26" i="16" s="1"/>
  <c r="I26" i="16"/>
  <c r="J26" i="16"/>
  <c r="K26" i="16"/>
  <c r="L26" i="16"/>
  <c r="M26" i="16" s="1"/>
  <c r="N26" i="16"/>
  <c r="O26" i="16"/>
  <c r="P26" i="16" s="1"/>
  <c r="Q26" i="16"/>
  <c r="AG138" i="17"/>
  <c r="AH138" i="17"/>
  <c r="AI138" i="17"/>
  <c r="AJ138" i="17"/>
  <c r="AG139" i="17"/>
  <c r="AH139" i="17"/>
  <c r="AI139" i="17"/>
  <c r="AJ139" i="17"/>
  <c r="AG140" i="17"/>
  <c r="AH140" i="17"/>
  <c r="AI140" i="17"/>
  <c r="AJ140" i="17"/>
  <c r="AG141" i="17"/>
  <c r="AH141" i="17"/>
  <c r="AI141" i="17"/>
  <c r="AJ141" i="17"/>
  <c r="AG142" i="17"/>
  <c r="AH142" i="17"/>
  <c r="AI142" i="17"/>
  <c r="AJ142" i="17"/>
  <c r="AG143" i="17"/>
  <c r="AH143" i="17"/>
  <c r="AI143" i="17"/>
  <c r="AJ143" i="17"/>
  <c r="AG144" i="17"/>
  <c r="AH144" i="17"/>
  <c r="AI144" i="17"/>
  <c r="AJ144" i="17"/>
  <c r="AG145" i="17"/>
  <c r="AH145" i="17"/>
  <c r="AI145" i="17"/>
  <c r="AJ145" i="17"/>
  <c r="AG146" i="17"/>
  <c r="AH146" i="17"/>
  <c r="AI146" i="17"/>
  <c r="AJ146" i="17"/>
  <c r="AG147" i="17"/>
  <c r="AH147" i="17"/>
  <c r="AI147" i="17"/>
  <c r="AJ147" i="17"/>
  <c r="AG148" i="17"/>
  <c r="AH148" i="17"/>
  <c r="AI148" i="17"/>
  <c r="AJ148" i="17"/>
  <c r="AG149" i="17"/>
  <c r="AH149" i="17"/>
  <c r="AI149" i="17"/>
  <c r="AJ149" i="17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R44" i="12"/>
  <c r="F44" i="12"/>
  <c r="G44" i="12"/>
  <c r="H44" i="12" a="1"/>
  <c r="H44" i="12" s="1"/>
  <c r="I44" i="12"/>
  <c r="J44" i="12"/>
  <c r="K44" i="12"/>
  <c r="L44" i="12"/>
  <c r="M44" i="12" s="1"/>
  <c r="N44" i="12"/>
  <c r="O44" i="12"/>
  <c r="P44" i="12" s="1"/>
  <c r="Q44" i="12"/>
  <c r="AG842" i="9"/>
  <c r="AH842" i="9"/>
  <c r="AI842" i="9"/>
  <c r="AJ842" i="9"/>
  <c r="AG843" i="9"/>
  <c r="AH843" i="9"/>
  <c r="AI843" i="9"/>
  <c r="AJ843" i="9"/>
  <c r="AG844" i="9"/>
  <c r="AH844" i="9"/>
  <c r="AI844" i="9"/>
  <c r="AJ844" i="9"/>
  <c r="AG845" i="9"/>
  <c r="AH845" i="9"/>
  <c r="AI845" i="9"/>
  <c r="AJ845" i="9"/>
  <c r="AG846" i="9"/>
  <c r="AH846" i="9"/>
  <c r="AI846" i="9"/>
  <c r="AJ846" i="9"/>
  <c r="AG847" i="9"/>
  <c r="AH847" i="9"/>
  <c r="AI847" i="9"/>
  <c r="AJ847" i="9"/>
  <c r="AG848" i="9"/>
  <c r="AH848" i="9"/>
  <c r="AI848" i="9"/>
  <c r="AJ848" i="9"/>
  <c r="AG849" i="9"/>
  <c r="AH849" i="9"/>
  <c r="AI849" i="9"/>
  <c r="AJ849" i="9"/>
  <c r="AG850" i="9"/>
  <c r="AH850" i="9"/>
  <c r="AI850" i="9"/>
  <c r="AJ850" i="9"/>
  <c r="AG851" i="9"/>
  <c r="AH851" i="9"/>
  <c r="AI851" i="9"/>
  <c r="AJ851" i="9"/>
  <c r="AG852" i="9"/>
  <c r="AH852" i="9"/>
  <c r="AI852" i="9"/>
  <c r="AJ852" i="9"/>
  <c r="AG853" i="9"/>
  <c r="AH853" i="9"/>
  <c r="AI853" i="9"/>
  <c r="AJ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S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R40" i="13"/>
  <c r="F40" i="13"/>
  <c r="G40" i="13"/>
  <c r="H40" i="13" a="1"/>
  <c r="H40" i="13" s="1"/>
  <c r="I40" i="13"/>
  <c r="J40" i="13"/>
  <c r="K40" i="13"/>
  <c r="L40" i="13"/>
  <c r="M40" i="13" s="1"/>
  <c r="N40" i="13"/>
  <c r="O40" i="13"/>
  <c r="P40" i="13" s="1"/>
  <c r="Q40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AI56" i="17"/>
  <c r="AJ56" i="17"/>
  <c r="AG57" i="17"/>
  <c r="AH57" i="17"/>
  <c r="AI57" i="17"/>
  <c r="AJ57" i="17"/>
  <c r="AG58" i="17"/>
  <c r="AH58" i="17"/>
  <c r="AI58" i="17"/>
  <c r="AJ58" i="17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2" i="17"/>
  <c r="AH72" i="17"/>
  <c r="AI72" i="17"/>
  <c r="AJ72" i="17"/>
  <c r="AG73" i="17"/>
  <c r="AH73" i="17"/>
  <c r="AI73" i="17"/>
  <c r="AJ73" i="17"/>
  <c r="AG74" i="17"/>
  <c r="AH74" i="17"/>
  <c r="AI74" i="17"/>
  <c r="AJ74" i="17"/>
  <c r="AG75" i="17"/>
  <c r="AH75" i="17"/>
  <c r="AI75" i="17"/>
  <c r="AJ75" i="17"/>
  <c r="AG76" i="17"/>
  <c r="AH76" i="17"/>
  <c r="AI76" i="17"/>
  <c r="AJ76" i="17"/>
  <c r="AG77" i="17"/>
  <c r="AH77" i="17"/>
  <c r="AI77" i="17"/>
  <c r="AJ77" i="17"/>
  <c r="AG78" i="17"/>
  <c r="AH78" i="17"/>
  <c r="AI78" i="17"/>
  <c r="AJ78" i="17"/>
  <c r="AG79" i="17"/>
  <c r="AH79" i="17"/>
  <c r="AI79" i="17"/>
  <c r="AJ79" i="17"/>
  <c r="AG80" i="17"/>
  <c r="AH80" i="17"/>
  <c r="AI80" i="17"/>
  <c r="AJ80" i="17"/>
  <c r="AG81" i="17"/>
  <c r="AH81" i="17"/>
  <c r="AI81" i="17"/>
  <c r="AJ81" i="17"/>
  <c r="AG82" i="17"/>
  <c r="AH82" i="17"/>
  <c r="AI82" i="17"/>
  <c r="AJ82" i="17"/>
  <c r="AG83" i="17"/>
  <c r="AH83" i="17"/>
  <c r="AI83" i="17"/>
  <c r="AJ83" i="17"/>
  <c r="AG84" i="17"/>
  <c r="AH84" i="17"/>
  <c r="AI84" i="17"/>
  <c r="AJ84" i="17"/>
  <c r="AG85" i="17"/>
  <c r="AH85" i="17"/>
  <c r="AI85" i="17"/>
  <c r="AJ85" i="17"/>
  <c r="AG86" i="17"/>
  <c r="AH86" i="17"/>
  <c r="AI86" i="17"/>
  <c r="AJ86" i="17"/>
  <c r="AG87" i="17"/>
  <c r="AH87" i="17"/>
  <c r="AI87" i="17"/>
  <c r="AJ87" i="17"/>
  <c r="AG88" i="17"/>
  <c r="AH88" i="17"/>
  <c r="AI88" i="17"/>
  <c r="AJ88" i="17"/>
  <c r="AG89" i="17"/>
  <c r="AH89" i="17"/>
  <c r="AI89" i="17"/>
  <c r="AJ89" i="17"/>
  <c r="AG90" i="17"/>
  <c r="AH90" i="17"/>
  <c r="AI90" i="17"/>
  <c r="AJ90" i="17"/>
  <c r="AG91" i="17"/>
  <c r="AH91" i="17"/>
  <c r="AI91" i="17"/>
  <c r="AJ91" i="17"/>
  <c r="AG92" i="17"/>
  <c r="AH92" i="17"/>
  <c r="AI92" i="17"/>
  <c r="AJ92" i="17"/>
  <c r="AG93" i="17"/>
  <c r="AH93" i="17"/>
  <c r="AI93" i="17"/>
  <c r="AJ93" i="17"/>
  <c r="AG94" i="17"/>
  <c r="AH94" i="17"/>
  <c r="AI94" i="17"/>
  <c r="AJ94" i="17"/>
  <c r="AG95" i="17"/>
  <c r="AH95" i="17"/>
  <c r="AI95" i="17"/>
  <c r="AJ95" i="17"/>
  <c r="AG96" i="17"/>
  <c r="AH96" i="17"/>
  <c r="AI96" i="17"/>
  <c r="AJ96" i="17"/>
  <c r="AG97" i="17"/>
  <c r="AH97" i="17"/>
  <c r="AI97" i="17"/>
  <c r="AJ97" i="17"/>
  <c r="AG98" i="17"/>
  <c r="AH98" i="17"/>
  <c r="AI98" i="17"/>
  <c r="AJ98" i="17"/>
  <c r="AG99" i="17"/>
  <c r="AH99" i="17"/>
  <c r="AI99" i="17"/>
  <c r="AJ99" i="17"/>
  <c r="AG100" i="17"/>
  <c r="AH100" i="17"/>
  <c r="AI100" i="17"/>
  <c r="AJ100" i="17"/>
  <c r="AG101" i="17"/>
  <c r="AH101" i="17"/>
  <c r="AI101" i="17"/>
  <c r="AJ101" i="17"/>
  <c r="AG102" i="17"/>
  <c r="AH102" i="17"/>
  <c r="AI102" i="17"/>
  <c r="AJ102" i="17"/>
  <c r="AG103" i="17"/>
  <c r="AH103" i="17"/>
  <c r="AI103" i="17"/>
  <c r="AJ103" i="17"/>
  <c r="AG104" i="17"/>
  <c r="AH104" i="17"/>
  <c r="AI104" i="17"/>
  <c r="AJ104" i="17"/>
  <c r="AG105" i="17"/>
  <c r="AH105" i="17"/>
  <c r="AI105" i="17"/>
  <c r="AJ105" i="17"/>
  <c r="AG106" i="17"/>
  <c r="AH106" i="17"/>
  <c r="AI106" i="17"/>
  <c r="AJ106" i="17"/>
  <c r="AG107" i="17"/>
  <c r="AH107" i="17"/>
  <c r="AI107" i="17"/>
  <c r="AJ107" i="17"/>
  <c r="AG108" i="17"/>
  <c r="AH108" i="17"/>
  <c r="AI108" i="17"/>
  <c r="AJ108" i="17"/>
  <c r="AG109" i="17"/>
  <c r="AH109" i="17"/>
  <c r="AI109" i="17"/>
  <c r="AJ109" i="17"/>
  <c r="AG110" i="17"/>
  <c r="AH110" i="17"/>
  <c r="AI110" i="17"/>
  <c r="AJ110" i="17"/>
  <c r="AG111" i="17"/>
  <c r="AH111" i="17"/>
  <c r="AI111" i="17"/>
  <c r="AJ111" i="17"/>
  <c r="AG112" i="17"/>
  <c r="AH112" i="17"/>
  <c r="AI112" i="17"/>
  <c r="AJ112" i="17"/>
  <c r="AG113" i="17"/>
  <c r="AH113" i="17"/>
  <c r="AI113" i="17"/>
  <c r="AJ113" i="17"/>
  <c r="AG114" i="17"/>
  <c r="AH114" i="17"/>
  <c r="AI114" i="17"/>
  <c r="AJ114" i="17"/>
  <c r="AG115" i="17"/>
  <c r="AH115" i="17"/>
  <c r="AI115" i="17"/>
  <c r="AJ115" i="17"/>
  <c r="AG116" i="17"/>
  <c r="AH116" i="17"/>
  <c r="AI116" i="17"/>
  <c r="AJ116" i="17"/>
  <c r="AG117" i="17"/>
  <c r="AH117" i="17"/>
  <c r="AI117" i="17"/>
  <c r="AJ117" i="17"/>
  <c r="AG118" i="17"/>
  <c r="AH118" i="17"/>
  <c r="AI118" i="17"/>
  <c r="AJ118" i="17"/>
  <c r="AG119" i="17"/>
  <c r="AH119" i="17"/>
  <c r="AI119" i="17"/>
  <c r="AJ119" i="17"/>
  <c r="AG120" i="17"/>
  <c r="AH120" i="17"/>
  <c r="AI120" i="17"/>
  <c r="AJ120" i="17"/>
  <c r="AG121" i="17"/>
  <c r="AH121" i="17"/>
  <c r="AI121" i="17"/>
  <c r="AJ121" i="17"/>
  <c r="AG122" i="17"/>
  <c r="AH122" i="17"/>
  <c r="AI122" i="17"/>
  <c r="AJ122" i="17"/>
  <c r="AG123" i="17"/>
  <c r="AH123" i="17"/>
  <c r="AI123" i="17"/>
  <c r="Q32" i="16" s="1"/>
  <c r="AJ123" i="17"/>
  <c r="AG124" i="17"/>
  <c r="AH124" i="17"/>
  <c r="AI124" i="17"/>
  <c r="AJ124" i="17"/>
  <c r="AG125" i="17"/>
  <c r="AH125" i="17"/>
  <c r="AI125" i="17"/>
  <c r="AJ125" i="17"/>
  <c r="AG126" i="17"/>
  <c r="AH126" i="17"/>
  <c r="AI126" i="17"/>
  <c r="AJ126" i="17"/>
  <c r="AG127" i="17"/>
  <c r="AH127" i="17"/>
  <c r="AI127" i="17"/>
  <c r="AJ127" i="17"/>
  <c r="AG128" i="17"/>
  <c r="AH128" i="17"/>
  <c r="N10" i="16" s="1"/>
  <c r="AI128" i="17"/>
  <c r="AJ128" i="17"/>
  <c r="AG129" i="17"/>
  <c r="AH129" i="17"/>
  <c r="AI129" i="17"/>
  <c r="AJ129" i="17"/>
  <c r="AG130" i="17"/>
  <c r="AH130" i="17"/>
  <c r="AI130" i="17"/>
  <c r="AJ130" i="17"/>
  <c r="AG131" i="17"/>
  <c r="AH131" i="17"/>
  <c r="AI131" i="17"/>
  <c r="AJ131" i="17"/>
  <c r="AG132" i="17"/>
  <c r="AH132" i="17"/>
  <c r="AI132" i="17"/>
  <c r="AJ132" i="17"/>
  <c r="AG133" i="17"/>
  <c r="AH133" i="17"/>
  <c r="AI133" i="17"/>
  <c r="AJ133" i="17"/>
  <c r="AG134" i="17"/>
  <c r="AH134" i="17"/>
  <c r="AI134" i="17"/>
  <c r="AJ134" i="17"/>
  <c r="AG135" i="17"/>
  <c r="AH135" i="17"/>
  <c r="AI135" i="17"/>
  <c r="AJ135" i="17"/>
  <c r="AG136" i="17"/>
  <c r="AH136" i="17"/>
  <c r="AI136" i="17"/>
  <c r="AJ136" i="17"/>
  <c r="AG137" i="17"/>
  <c r="AH137" i="17"/>
  <c r="AI137" i="17"/>
  <c r="AJ137" i="17"/>
  <c r="AI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G829" i="9"/>
  <c r="AH829" i="9"/>
  <c r="AI829" i="9"/>
  <c r="AJ829" i="9"/>
  <c r="AG830" i="9"/>
  <c r="AH830" i="9"/>
  <c r="AI830" i="9"/>
  <c r="AJ830" i="9"/>
  <c r="AG831" i="9"/>
  <c r="AH831" i="9"/>
  <c r="AI831" i="9"/>
  <c r="AJ831" i="9"/>
  <c r="AG832" i="9"/>
  <c r="AH832" i="9"/>
  <c r="AI832" i="9"/>
  <c r="AJ832" i="9"/>
  <c r="AG833" i="9"/>
  <c r="AH833" i="9"/>
  <c r="AI833" i="9"/>
  <c r="AJ833" i="9"/>
  <c r="AG834" i="9"/>
  <c r="AH834" i="9"/>
  <c r="AI834" i="9"/>
  <c r="AJ834" i="9"/>
  <c r="AG835" i="9"/>
  <c r="AH835" i="9"/>
  <c r="AI835" i="9"/>
  <c r="AJ835" i="9"/>
  <c r="AG836" i="9"/>
  <c r="AH836" i="9"/>
  <c r="AI836" i="9"/>
  <c r="AJ836" i="9"/>
  <c r="AG837" i="9"/>
  <c r="AH837" i="9"/>
  <c r="AI837" i="9"/>
  <c r="AJ837" i="9"/>
  <c r="AG838" i="9"/>
  <c r="AH838" i="9"/>
  <c r="AI838" i="9"/>
  <c r="AJ838" i="9"/>
  <c r="AG839" i="9"/>
  <c r="AH839" i="9"/>
  <c r="AI839" i="9"/>
  <c r="AJ839" i="9"/>
  <c r="AG840" i="9"/>
  <c r="AH840" i="9"/>
  <c r="AI840" i="9"/>
  <c r="AJ840" i="9"/>
  <c r="AG841" i="9"/>
  <c r="AH841" i="9"/>
  <c r="AI841" i="9"/>
  <c r="AJ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L31" i="16"/>
  <c r="R31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R32" i="16"/>
  <c r="AJ2" i="17"/>
  <c r="AH2" i="17"/>
  <c r="AG2" i="17"/>
  <c r="F32" i="16"/>
  <c r="G32" i="16"/>
  <c r="H32" i="16" a="1"/>
  <c r="H32" i="16" s="1"/>
  <c r="I32" i="16"/>
  <c r="J32" i="16"/>
  <c r="L32" i="16"/>
  <c r="M32" i="16" s="1"/>
  <c r="O32" i="16"/>
  <c r="P32" i="16" s="1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R8" i="16"/>
  <c r="F8" i="16"/>
  <c r="G8" i="16"/>
  <c r="H8" i="16" a="1"/>
  <c r="H8" i="16" s="1"/>
  <c r="I8" i="16"/>
  <c r="J8" i="16"/>
  <c r="K8" i="16"/>
  <c r="L8" i="16"/>
  <c r="M8" i="16" s="1"/>
  <c r="N8" i="16"/>
  <c r="O8" i="16"/>
  <c r="P8" i="16" s="1"/>
  <c r="Q8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AK12" i="16"/>
  <c r="AL12" i="16"/>
  <c r="AM12" i="16"/>
  <c r="R12" i="16"/>
  <c r="F12" i="16"/>
  <c r="G12" i="16"/>
  <c r="H12" i="16" a="1"/>
  <c r="H12" i="16" s="1"/>
  <c r="I12" i="16"/>
  <c r="J12" i="16"/>
  <c r="K12" i="16"/>
  <c r="L12" i="16"/>
  <c r="M12" i="16" s="1"/>
  <c r="N12" i="16"/>
  <c r="O12" i="16"/>
  <c r="P12" i="16" s="1"/>
  <c r="Q12" i="16"/>
  <c r="N32" i="16"/>
  <c r="K32" i="16"/>
  <c r="AG816" i="9"/>
  <c r="AH816" i="9"/>
  <c r="AI816" i="9"/>
  <c r="AJ816" i="9"/>
  <c r="AG817" i="9"/>
  <c r="AH817" i="9"/>
  <c r="AI817" i="9"/>
  <c r="AJ817" i="9"/>
  <c r="AG818" i="9"/>
  <c r="AH818" i="9"/>
  <c r="AI818" i="9"/>
  <c r="AJ818" i="9"/>
  <c r="AG819" i="9"/>
  <c r="AH819" i="9"/>
  <c r="AI819" i="9"/>
  <c r="AJ819" i="9"/>
  <c r="AG820" i="9"/>
  <c r="AH820" i="9"/>
  <c r="AI820" i="9"/>
  <c r="AJ820" i="9"/>
  <c r="AG821" i="9"/>
  <c r="AH821" i="9"/>
  <c r="AI821" i="9"/>
  <c r="AJ821" i="9"/>
  <c r="AG822" i="9"/>
  <c r="AH822" i="9"/>
  <c r="AI822" i="9"/>
  <c r="AJ822" i="9"/>
  <c r="AG823" i="9"/>
  <c r="AH823" i="9"/>
  <c r="AI823" i="9"/>
  <c r="AJ823" i="9"/>
  <c r="AG824" i="9"/>
  <c r="AH824" i="9"/>
  <c r="AI824" i="9"/>
  <c r="AJ824" i="9"/>
  <c r="AG825" i="9"/>
  <c r="AH825" i="9"/>
  <c r="AI825" i="9"/>
  <c r="AJ825" i="9"/>
  <c r="AG826" i="9"/>
  <c r="AH826" i="9"/>
  <c r="AI826" i="9"/>
  <c r="AJ826" i="9"/>
  <c r="AG827" i="9"/>
  <c r="AH827" i="9"/>
  <c r="AI827" i="9"/>
  <c r="AJ827" i="9"/>
  <c r="AG828" i="9"/>
  <c r="AH828" i="9"/>
  <c r="AI828" i="9"/>
  <c r="AJ828" i="9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R10" i="16"/>
  <c r="F10" i="16"/>
  <c r="G10" i="16"/>
  <c r="H10" i="16" a="1"/>
  <c r="H10" i="16" s="1"/>
  <c r="I10" i="16"/>
  <c r="J10" i="16"/>
  <c r="K10" i="16"/>
  <c r="L10" i="16"/>
  <c r="M10" i="16" s="1"/>
  <c r="O10" i="16"/>
  <c r="P10" i="16" s="1"/>
  <c r="Q10" i="16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R31" i="12"/>
  <c r="F31" i="12"/>
  <c r="G31" i="12"/>
  <c r="H31" i="12" a="1"/>
  <c r="H31" i="12" s="1"/>
  <c r="I31" i="12"/>
  <c r="J31" i="12"/>
  <c r="K31" i="12"/>
  <c r="L31" i="12"/>
  <c r="M31" i="12" s="1"/>
  <c r="N31" i="12"/>
  <c r="O31" i="12"/>
  <c r="P31" i="12" s="1"/>
  <c r="Q31" i="12"/>
  <c r="K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AK18" i="16"/>
  <c r="AL18" i="16"/>
  <c r="AM18" i="16"/>
  <c r="R18" i="16"/>
  <c r="Q17" i="16"/>
  <c r="F18" i="16"/>
  <c r="G18" i="16"/>
  <c r="H18" i="16" a="1"/>
  <c r="H18" i="16" s="1"/>
  <c r="I18" i="16"/>
  <c r="J18" i="16"/>
  <c r="L18" i="16"/>
  <c r="M18" i="16" s="1"/>
  <c r="N18" i="16"/>
  <c r="O18" i="16"/>
  <c r="P18" i="16" s="1"/>
  <c r="Q18" i="16"/>
  <c r="AG804" i="9"/>
  <c r="AH804" i="9"/>
  <c r="AI804" i="9"/>
  <c r="AJ804" i="9"/>
  <c r="AG805" i="9"/>
  <c r="AH805" i="9"/>
  <c r="AI805" i="9"/>
  <c r="AJ805" i="9"/>
  <c r="AG806" i="9"/>
  <c r="AH806" i="9"/>
  <c r="AI806" i="9"/>
  <c r="AJ806" i="9"/>
  <c r="AG807" i="9"/>
  <c r="AH807" i="9"/>
  <c r="AI807" i="9"/>
  <c r="AJ807" i="9"/>
  <c r="AG808" i="9"/>
  <c r="AH808" i="9"/>
  <c r="AI808" i="9"/>
  <c r="AJ808" i="9"/>
  <c r="AG809" i="9"/>
  <c r="AH809" i="9"/>
  <c r="AI809" i="9"/>
  <c r="AJ809" i="9"/>
  <c r="AG810" i="9"/>
  <c r="AH810" i="9"/>
  <c r="AI810" i="9"/>
  <c r="AJ810" i="9"/>
  <c r="AG811" i="9"/>
  <c r="AH811" i="9"/>
  <c r="AI811" i="9"/>
  <c r="AJ811" i="9"/>
  <c r="AG812" i="9"/>
  <c r="AH812" i="9"/>
  <c r="AI812" i="9"/>
  <c r="AJ812" i="9"/>
  <c r="AG813" i="9"/>
  <c r="AH813" i="9"/>
  <c r="AI813" i="9"/>
  <c r="AJ813" i="9"/>
  <c r="AG814" i="9"/>
  <c r="AH814" i="9"/>
  <c r="AI814" i="9"/>
  <c r="AJ814" i="9"/>
  <c r="AG815" i="9"/>
  <c r="AH815" i="9"/>
  <c r="AI815" i="9"/>
  <c r="AJ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G792" i="9"/>
  <c r="AH792" i="9"/>
  <c r="AI792" i="9"/>
  <c r="AJ792" i="9"/>
  <c r="AG793" i="9"/>
  <c r="AH793" i="9"/>
  <c r="AI793" i="9"/>
  <c r="AJ793" i="9"/>
  <c r="AG794" i="9"/>
  <c r="AH794" i="9"/>
  <c r="AI794" i="9"/>
  <c r="AJ794" i="9"/>
  <c r="AG795" i="9"/>
  <c r="AH795" i="9"/>
  <c r="AI795" i="9"/>
  <c r="AJ795" i="9"/>
  <c r="AG796" i="9"/>
  <c r="AH796" i="9"/>
  <c r="AI796" i="9"/>
  <c r="AJ796" i="9"/>
  <c r="AG797" i="9"/>
  <c r="AH797" i="9"/>
  <c r="AI797" i="9"/>
  <c r="AJ797" i="9"/>
  <c r="AG798" i="9"/>
  <c r="AH798" i="9"/>
  <c r="AI798" i="9"/>
  <c r="AJ798" i="9"/>
  <c r="AG799" i="9"/>
  <c r="AH799" i="9"/>
  <c r="AI799" i="9"/>
  <c r="AJ799" i="9"/>
  <c r="AG800" i="9"/>
  <c r="AH800" i="9"/>
  <c r="AI800" i="9"/>
  <c r="AJ800" i="9"/>
  <c r="AG801" i="9"/>
  <c r="AH801" i="9"/>
  <c r="AI801" i="9"/>
  <c r="AJ801" i="9"/>
  <c r="AG802" i="9"/>
  <c r="AH802" i="9"/>
  <c r="AI802" i="9"/>
  <c r="AJ802" i="9"/>
  <c r="AG803" i="9"/>
  <c r="AH803" i="9"/>
  <c r="AI803" i="9"/>
  <c r="AJ803" i="9"/>
  <c r="K2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AK19" i="16"/>
  <c r="AL19" i="16"/>
  <c r="AM19" i="16"/>
  <c r="R19" i="16"/>
  <c r="F19" i="16"/>
  <c r="G19" i="16"/>
  <c r="H19" i="16" a="1"/>
  <c r="H19" i="16" s="1"/>
  <c r="I19" i="16"/>
  <c r="J19" i="16"/>
  <c r="K19" i="16"/>
  <c r="L19" i="16"/>
  <c r="M19" i="16" s="1"/>
  <c r="N19" i="16"/>
  <c r="O19" i="16"/>
  <c r="P19" i="16" s="1"/>
  <c r="Q19" i="16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R32" i="12"/>
  <c r="O32" i="12"/>
  <c r="P32" i="12" s="1"/>
  <c r="Q32" i="12"/>
  <c r="O30" i="12"/>
  <c r="F32" i="12"/>
  <c r="G32" i="12"/>
  <c r="H32" i="12" a="1"/>
  <c r="H32" i="12" s="1"/>
  <c r="I32" i="12"/>
  <c r="J32" i="12"/>
  <c r="K32" i="12"/>
  <c r="L32" i="12"/>
  <c r="M32" i="12" s="1"/>
  <c r="N32" i="12"/>
  <c r="AG776" i="9"/>
  <c r="AH776" i="9"/>
  <c r="AI776" i="9"/>
  <c r="AJ776" i="9"/>
  <c r="AG777" i="9"/>
  <c r="AH777" i="9"/>
  <c r="AI777" i="9"/>
  <c r="AJ777" i="9"/>
  <c r="AG778" i="9"/>
  <c r="AH778" i="9"/>
  <c r="AI778" i="9"/>
  <c r="AJ778" i="9"/>
  <c r="AG779" i="9"/>
  <c r="AH779" i="9"/>
  <c r="AI779" i="9"/>
  <c r="AJ779" i="9"/>
  <c r="AG780" i="9"/>
  <c r="AH780" i="9"/>
  <c r="AI780" i="9"/>
  <c r="AJ780" i="9"/>
  <c r="AG781" i="9"/>
  <c r="AH781" i="9"/>
  <c r="AI781" i="9"/>
  <c r="AJ781" i="9"/>
  <c r="AG782" i="9"/>
  <c r="AH782" i="9"/>
  <c r="AI782" i="9"/>
  <c r="AJ782" i="9"/>
  <c r="AG783" i="9"/>
  <c r="AH783" i="9"/>
  <c r="AI783" i="9"/>
  <c r="AJ783" i="9"/>
  <c r="AG784" i="9"/>
  <c r="AH784" i="9"/>
  <c r="AI784" i="9"/>
  <c r="AJ784" i="9"/>
  <c r="AG785" i="9"/>
  <c r="AH785" i="9"/>
  <c r="AI785" i="9"/>
  <c r="AJ785" i="9"/>
  <c r="AG786" i="9"/>
  <c r="AH786" i="9"/>
  <c r="AI786" i="9"/>
  <c r="AJ786" i="9"/>
  <c r="AG787" i="9"/>
  <c r="AH787" i="9"/>
  <c r="AI787" i="9"/>
  <c r="AJ787" i="9"/>
  <c r="AG788" i="9"/>
  <c r="AH788" i="9"/>
  <c r="AI788" i="9"/>
  <c r="AJ788" i="9"/>
  <c r="AG789" i="9"/>
  <c r="AH789" i="9"/>
  <c r="AI789" i="9"/>
  <c r="AJ789" i="9"/>
  <c r="AG790" i="9"/>
  <c r="AH790" i="9"/>
  <c r="AI790" i="9"/>
  <c r="AJ790" i="9"/>
  <c r="AG791" i="9"/>
  <c r="AH791" i="9"/>
  <c r="AI791" i="9"/>
  <c r="AJ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S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F29" i="13"/>
  <c r="G29" i="13"/>
  <c r="H29" i="13" a="1"/>
  <c r="H29" i="13" s="1"/>
  <c r="I29" i="13"/>
  <c r="J29" i="13"/>
  <c r="K29" i="13"/>
  <c r="L29" i="13"/>
  <c r="M29" i="13" s="1"/>
  <c r="N29" i="13"/>
  <c r="O29" i="13"/>
  <c r="P29" i="13" s="1"/>
  <c r="Q29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R20" i="13"/>
  <c r="F20" i="13"/>
  <c r="G20" i="13"/>
  <c r="H20" i="13" a="1"/>
  <c r="H20" i="13" s="1"/>
  <c r="I20" i="13"/>
  <c r="J20" i="13"/>
  <c r="K20" i="13"/>
  <c r="L20" i="13"/>
  <c r="M20" i="13" s="1"/>
  <c r="N20" i="13"/>
  <c r="O20" i="13"/>
  <c r="P20" i="13" s="1"/>
  <c r="Q20" i="13"/>
  <c r="S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S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S19" i="13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AF19" i="13"/>
  <c r="AG19" i="13"/>
  <c r="R19" i="13"/>
  <c r="R18" i="13"/>
  <c r="R17" i="13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R23" i="16"/>
  <c r="F23" i="16"/>
  <c r="G23" i="16"/>
  <c r="H23" i="16" a="1"/>
  <c r="H23" i="16" s="1"/>
  <c r="I23" i="16"/>
  <c r="J23" i="16"/>
  <c r="K23" i="16"/>
  <c r="L23" i="16"/>
  <c r="M23" i="16" s="1"/>
  <c r="N23" i="16"/>
  <c r="O23" i="16"/>
  <c r="P23" i="16" s="1"/>
  <c r="Q23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AK16" i="16"/>
  <c r="AL16" i="16"/>
  <c r="AM16" i="16"/>
  <c r="R16" i="16"/>
  <c r="F16" i="16"/>
  <c r="G16" i="16"/>
  <c r="H16" i="16" a="1"/>
  <c r="H16" i="16" s="1"/>
  <c r="I16" i="16"/>
  <c r="J16" i="16"/>
  <c r="L16" i="16"/>
  <c r="M16" i="16" s="1"/>
  <c r="O16" i="16"/>
  <c r="P16" i="16" s="1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AK7" i="16"/>
  <c r="AL7" i="16"/>
  <c r="AM7" i="16"/>
  <c r="R7" i="16"/>
  <c r="F7" i="16"/>
  <c r="G7" i="16"/>
  <c r="H7" i="16" a="1"/>
  <c r="H7" i="16" s="1"/>
  <c r="I7" i="16"/>
  <c r="J7" i="16"/>
  <c r="K7" i="16"/>
  <c r="L7" i="16"/>
  <c r="M7" i="16" s="1"/>
  <c r="N7" i="16"/>
  <c r="O7" i="16"/>
  <c r="P7" i="16" s="1"/>
  <c r="Q7" i="16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Q18" i="12" s="1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N16" i="16"/>
  <c r="Q16" i="16"/>
  <c r="K16" i="16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4" i="19"/>
  <c r="R34" i="19"/>
  <c r="S34" i="19"/>
  <c r="T34" i="19"/>
  <c r="U34" i="19"/>
  <c r="V34" i="19"/>
  <c r="W34" i="19"/>
  <c r="X34" i="19"/>
  <c r="Y34" i="19"/>
  <c r="Z34" i="19"/>
  <c r="AA34" i="19"/>
  <c r="AB34" i="19"/>
  <c r="AC34" i="19"/>
  <c r="AD34" i="19"/>
  <c r="AE34" i="19"/>
  <c r="P34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AE24" i="19"/>
  <c r="P24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P21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P15" i="19"/>
  <c r="P14" i="19"/>
  <c r="Q11" i="19"/>
  <c r="R11" i="19"/>
  <c r="S11" i="19"/>
  <c r="T11" i="19"/>
  <c r="U11" i="19"/>
  <c r="V11" i="19"/>
  <c r="W11" i="19"/>
  <c r="X11" i="19"/>
  <c r="Y11" i="19"/>
  <c r="Z11" i="19"/>
  <c r="AA11" i="19"/>
  <c r="AB11" i="19"/>
  <c r="AC11" i="19"/>
  <c r="AD11" i="19"/>
  <c r="AE11" i="19"/>
  <c r="P11" i="19"/>
  <c r="D3" i="19"/>
  <c r="D2" i="19"/>
  <c r="E3" i="19"/>
  <c r="F3" i="19" a="1"/>
  <c r="F3" i="19" s="1"/>
  <c r="G3" i="19"/>
  <c r="H3" i="19"/>
  <c r="J3" i="19"/>
  <c r="K3" i="19" s="1"/>
  <c r="M3" i="19"/>
  <c r="N3" i="19" s="1"/>
  <c r="D4" i="19"/>
  <c r="E4" i="19"/>
  <c r="F4" i="19" a="1"/>
  <c r="F4" i="19" s="1"/>
  <c r="G4" i="19"/>
  <c r="H4" i="19"/>
  <c r="I4" i="19"/>
  <c r="J4" i="19"/>
  <c r="K4" i="19" s="1"/>
  <c r="L4" i="19"/>
  <c r="M4" i="19"/>
  <c r="N4" i="19" s="1"/>
  <c r="O4" i="19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J6" i="19"/>
  <c r="K6" i="19" s="1"/>
  <c r="M6" i="19"/>
  <c r="N6" i="19"/>
  <c r="D7" i="19"/>
  <c r="E7" i="19"/>
  <c r="F7" i="19" a="1"/>
  <c r="F7" i="19" s="1"/>
  <c r="G7" i="19"/>
  <c r="H7" i="19"/>
  <c r="J7" i="19"/>
  <c r="K7" i="19" s="1"/>
  <c r="M7" i="19"/>
  <c r="N7" i="19" s="1"/>
  <c r="D8" i="19"/>
  <c r="E8" i="19"/>
  <c r="F8" i="19" a="1"/>
  <c r="F8" i="19" s="1"/>
  <c r="G8" i="19"/>
  <c r="H8" i="19"/>
  <c r="I8" i="19"/>
  <c r="J8" i="19"/>
  <c r="K8" i="19" s="1"/>
  <c r="L8" i="19"/>
  <c r="M8" i="19"/>
  <c r="N8" i="19" s="1"/>
  <c r="O8" i="19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J10" i="19"/>
  <c r="K10" i="19" s="1"/>
  <c r="M10" i="19"/>
  <c r="N10" i="19" s="1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/>
  <c r="M12" i="19"/>
  <c r="N12" i="19" s="1"/>
  <c r="D13" i="19"/>
  <c r="E13" i="19"/>
  <c r="F13" i="19" a="1"/>
  <c r="F13" i="19" s="1"/>
  <c r="G13" i="19"/>
  <c r="H13" i="19"/>
  <c r="I13" i="19"/>
  <c r="J13" i="19"/>
  <c r="K13" i="19" s="1"/>
  <c r="L13" i="19"/>
  <c r="M13" i="19"/>
  <c r="N13" i="19" s="1"/>
  <c r="O13" i="19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J15" i="19"/>
  <c r="K15" i="19" s="1"/>
  <c r="M15" i="19"/>
  <c r="N15" i="19" s="1"/>
  <c r="D16" i="19"/>
  <c r="E16" i="19"/>
  <c r="F16" i="19" a="1"/>
  <c r="F16" i="19" s="1"/>
  <c r="G16" i="19"/>
  <c r="H16" i="19"/>
  <c r="I16" i="19"/>
  <c r="J16" i="19"/>
  <c r="K16" i="19" s="1"/>
  <c r="L16" i="19"/>
  <c r="M16" i="19"/>
  <c r="N16" i="19" s="1"/>
  <c r="O16" i="19"/>
  <c r="D17" i="19"/>
  <c r="E17" i="19"/>
  <c r="F17" i="19" a="1"/>
  <c r="F17" i="19" s="1"/>
  <c r="G17" i="19"/>
  <c r="H17" i="19"/>
  <c r="J17" i="19"/>
  <c r="K17" i="19" s="1"/>
  <c r="M17" i="19"/>
  <c r="N17" i="19"/>
  <c r="D18" i="19"/>
  <c r="E18" i="19"/>
  <c r="F18" i="19" a="1"/>
  <c r="F18" i="19" s="1"/>
  <c r="G18" i="19"/>
  <c r="H18" i="19"/>
  <c r="J18" i="19"/>
  <c r="K18" i="19"/>
  <c r="M18" i="19"/>
  <c r="N18" i="19"/>
  <c r="D19" i="19"/>
  <c r="E19" i="19"/>
  <c r="F19" i="19" a="1"/>
  <c r="F19" i="19" s="1"/>
  <c r="G19" i="19"/>
  <c r="H19" i="19"/>
  <c r="I19" i="19"/>
  <c r="J19" i="19"/>
  <c r="K19" i="19" s="1"/>
  <c r="L19" i="19"/>
  <c r="M19" i="19"/>
  <c r="N19" i="19" s="1"/>
  <c r="O19" i="19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J21" i="19"/>
  <c r="K21" i="19" s="1"/>
  <c r="M21" i="19"/>
  <c r="N21" i="19" s="1"/>
  <c r="D22" i="19"/>
  <c r="E22" i="19"/>
  <c r="F22" i="19" a="1"/>
  <c r="F22" i="19" s="1"/>
  <c r="G22" i="19"/>
  <c r="H22" i="19"/>
  <c r="J22" i="19"/>
  <c r="K22" i="19"/>
  <c r="M22" i="19"/>
  <c r="N22" i="19" s="1"/>
  <c r="D23" i="19"/>
  <c r="E23" i="19"/>
  <c r="F23" i="19" a="1"/>
  <c r="F23" i="19" s="1"/>
  <c r="G23" i="19"/>
  <c r="H23" i="19"/>
  <c r="I23" i="19"/>
  <c r="J23" i="19"/>
  <c r="K23" i="19" s="1"/>
  <c r="L23" i="19"/>
  <c r="M23" i="19"/>
  <c r="N23" i="19" s="1"/>
  <c r="O23" i="19"/>
  <c r="D24" i="19"/>
  <c r="E24" i="19"/>
  <c r="F24" i="19" a="1"/>
  <c r="F24" i="19" s="1"/>
  <c r="G24" i="19"/>
  <c r="H24" i="19"/>
  <c r="J24" i="19"/>
  <c r="K24" i="19"/>
  <c r="M24" i="19"/>
  <c r="N24" i="19" s="1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J26" i="19"/>
  <c r="K26" i="19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O27" i="19"/>
  <c r="D28" i="19"/>
  <c r="E28" i="19"/>
  <c r="F28" i="19" a="1"/>
  <c r="F28" i="19" s="1"/>
  <c r="G28" i="19"/>
  <c r="H28" i="19"/>
  <c r="J28" i="19"/>
  <c r="K28" i="19"/>
  <c r="M28" i="19"/>
  <c r="N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/>
  <c r="M30" i="19"/>
  <c r="N30" i="19"/>
  <c r="D31" i="19"/>
  <c r="E31" i="19"/>
  <c r="F31" i="19" a="1"/>
  <c r="F31" i="19" s="1"/>
  <c r="G31" i="19"/>
  <c r="H31" i="19"/>
  <c r="I31" i="19"/>
  <c r="J31" i="19"/>
  <c r="K31" i="19" s="1"/>
  <c r="L31" i="19"/>
  <c r="M31" i="19"/>
  <c r="N31" i="19" s="1"/>
  <c r="O31" i="19"/>
  <c r="D32" i="19"/>
  <c r="E32" i="19"/>
  <c r="F32" i="19" a="1"/>
  <c r="F32" i="19" s="1"/>
  <c r="G32" i="19"/>
  <c r="H32" i="19"/>
  <c r="J32" i="19"/>
  <c r="K32" i="19" s="1"/>
  <c r="L32" i="19"/>
  <c r="M32" i="19"/>
  <c r="N32" i="19" s="1"/>
  <c r="D33" i="19"/>
  <c r="E33" i="19"/>
  <c r="F33" i="19" a="1"/>
  <c r="F33" i="19" s="1"/>
  <c r="G33" i="19"/>
  <c r="H33" i="19"/>
  <c r="I33" i="19"/>
  <c r="J33" i="19"/>
  <c r="K33" i="19"/>
  <c r="L33" i="19"/>
  <c r="M33" i="19"/>
  <c r="N33" i="19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D36" i="19"/>
  <c r="E36" i="19"/>
  <c r="F36" i="19" a="1"/>
  <c r="F36" i="19" s="1"/>
  <c r="G36" i="19"/>
  <c r="H36" i="19"/>
  <c r="I36" i="19"/>
  <c r="J36" i="19"/>
  <c r="K36" i="19" s="1"/>
  <c r="L36" i="19"/>
  <c r="M36" i="19"/>
  <c r="N36" i="19" s="1"/>
  <c r="O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L24" i="19"/>
  <c r="O24" i="19"/>
  <c r="I24" i="19"/>
  <c r="O32" i="19"/>
  <c r="I32" i="19"/>
  <c r="L6" i="19"/>
  <c r="O6" i="19"/>
  <c r="I6" i="19"/>
  <c r="O34" i="19"/>
  <c r="I34" i="19"/>
  <c r="L3" i="19"/>
  <c r="O3" i="19"/>
  <c r="I3" i="19"/>
  <c r="L15" i="19"/>
  <c r="O15" i="19"/>
  <c r="I15" i="19"/>
  <c r="L18" i="19"/>
  <c r="O18" i="19"/>
  <c r="I18" i="19"/>
  <c r="L27" i="19"/>
  <c r="I27" i="19"/>
  <c r="L28" i="19"/>
  <c r="O28" i="19"/>
  <c r="I28" i="19"/>
  <c r="L30" i="19"/>
  <c r="O30" i="19"/>
  <c r="I30" i="19"/>
  <c r="L29" i="19"/>
  <c r="O29" i="19"/>
  <c r="I29" i="19"/>
  <c r="L10" i="19"/>
  <c r="O10" i="19"/>
  <c r="I10" i="19"/>
  <c r="L7" i="19"/>
  <c r="O7" i="19"/>
  <c r="I7" i="19"/>
  <c r="L22" i="19"/>
  <c r="O22" i="19"/>
  <c r="I22" i="19"/>
  <c r="L21" i="19"/>
  <c r="O21" i="19"/>
  <c r="I21" i="19"/>
  <c r="L26" i="19"/>
  <c r="O26" i="19"/>
  <c r="I26" i="19"/>
  <c r="L17" i="19"/>
  <c r="O17" i="19"/>
  <c r="I17" i="19"/>
  <c r="L12" i="19"/>
  <c r="O12" i="19"/>
  <c r="I12" i="19"/>
  <c r="L11" i="19"/>
  <c r="O11" i="19"/>
  <c r="I11" i="19"/>
  <c r="L25" i="19"/>
  <c r="O25" i="19"/>
  <c r="I25" i="19"/>
  <c r="AA2" i="18"/>
  <c r="AB2" i="18"/>
  <c r="AC2" i="18"/>
  <c r="AD2" i="18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R2" i="11"/>
  <c r="R2" i="13"/>
  <c r="S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R42" i="13"/>
  <c r="S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R41" i="13"/>
  <c r="S11" i="13"/>
  <c r="T11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R11" i="13"/>
  <c r="F11" i="13"/>
  <c r="G11" i="13"/>
  <c r="H11" i="13" a="1"/>
  <c r="H11" i="13" s="1"/>
  <c r="I11" i="13"/>
  <c r="J11" i="13"/>
  <c r="K11" i="13"/>
  <c r="L11" i="13"/>
  <c r="M11" i="13" s="1"/>
  <c r="N11" i="13"/>
  <c r="O11" i="13"/>
  <c r="P11" i="13" s="1"/>
  <c r="Q11" i="13"/>
  <c r="S19" i="11"/>
  <c r="T19" i="11"/>
  <c r="U19" i="11"/>
  <c r="V19" i="11"/>
  <c r="W19" i="11"/>
  <c r="X19" i="11"/>
  <c r="Y19" i="11"/>
  <c r="Z19" i="11"/>
  <c r="AA19" i="11"/>
  <c r="AB19" i="11"/>
  <c r="AC19" i="11"/>
  <c r="AD19" i="11"/>
  <c r="AE19" i="11"/>
  <c r="AF19" i="11"/>
  <c r="AG19" i="11"/>
  <c r="R19" i="11"/>
  <c r="F19" i="11"/>
  <c r="G19" i="11"/>
  <c r="H19" i="11" a="1"/>
  <c r="H19" i="11" s="1"/>
  <c r="I19" i="11"/>
  <c r="J19" i="11"/>
  <c r="K19" i="11"/>
  <c r="L19" i="11"/>
  <c r="M19" i="11" s="1"/>
  <c r="N19" i="11"/>
  <c r="O19" i="11"/>
  <c r="P19" i="11" s="1"/>
  <c r="Q19" i="11"/>
  <c r="S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R21" i="13"/>
  <c r="F21" i="13"/>
  <c r="G21" i="13"/>
  <c r="H21" i="13" a="1"/>
  <c r="H21" i="13" s="1"/>
  <c r="I21" i="13"/>
  <c r="J21" i="13"/>
  <c r="K21" i="13"/>
  <c r="L21" i="13"/>
  <c r="M21" i="13" s="1"/>
  <c r="N21" i="13"/>
  <c r="O21" i="13"/>
  <c r="P21" i="13" s="1"/>
  <c r="Q21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R7" i="13"/>
  <c r="F7" i="13"/>
  <c r="G7" i="13"/>
  <c r="H7" i="13" a="1"/>
  <c r="H7" i="13" s="1"/>
  <c r="I7" i="13"/>
  <c r="J7" i="13"/>
  <c r="L7" i="13"/>
  <c r="M7" i="13" s="1"/>
  <c r="O7" i="13"/>
  <c r="P7" i="13" s="1"/>
  <c r="S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R12" i="13"/>
  <c r="F12" i="13"/>
  <c r="G12" i="13"/>
  <c r="H12" i="13" a="1"/>
  <c r="H12" i="13" s="1"/>
  <c r="I12" i="13"/>
  <c r="J12" i="13"/>
  <c r="K12" i="13"/>
  <c r="L12" i="13"/>
  <c r="M12" i="13" s="1"/>
  <c r="N12" i="13"/>
  <c r="O12" i="13"/>
  <c r="P12" i="13" s="1"/>
  <c r="Q12" i="13"/>
  <c r="F13" i="13"/>
  <c r="G13" i="13"/>
  <c r="H13" i="13" a="1"/>
  <c r="H13" i="13" s="1"/>
  <c r="I13" i="13"/>
  <c r="J13" i="13"/>
  <c r="L13" i="13"/>
  <c r="M13" i="13" s="1"/>
  <c r="O13" i="13"/>
  <c r="P13" i="13" s="1"/>
  <c r="R13" i="13"/>
  <c r="S13" i="13"/>
  <c r="T13" i="13"/>
  <c r="U13" i="13"/>
  <c r="V13" i="13"/>
  <c r="W13" i="13"/>
  <c r="X13" i="13"/>
  <c r="Y13" i="13"/>
  <c r="Z13" i="13"/>
  <c r="AA13" i="13"/>
  <c r="AB13" i="13"/>
  <c r="AC13" i="13"/>
  <c r="F14" i="13"/>
  <c r="G14" i="13"/>
  <c r="H14" i="13" a="1"/>
  <c r="H14" i="13" s="1"/>
  <c r="I14" i="13"/>
  <c r="J14" i="13"/>
  <c r="K14" i="13"/>
  <c r="L14" i="13"/>
  <c r="M14" i="13" s="1"/>
  <c r="N14" i="13"/>
  <c r="O14" i="13"/>
  <c r="P14" i="13" s="1"/>
  <c r="Q14" i="13"/>
  <c r="R14" i="13"/>
  <c r="S14" i="13"/>
  <c r="T14" i="13"/>
  <c r="U14" i="13"/>
  <c r="V14" i="13"/>
  <c r="W14" i="13"/>
  <c r="X14" i="13"/>
  <c r="Y14" i="13"/>
  <c r="Z14" i="13"/>
  <c r="AA14" i="13"/>
  <c r="AB14" i="13"/>
  <c r="AC14" i="13"/>
  <c r="F15" i="13"/>
  <c r="G15" i="13"/>
  <c r="H15" i="13" a="1"/>
  <c r="H15" i="13" s="1"/>
  <c r="I15" i="13"/>
  <c r="J15" i="13"/>
  <c r="L15" i="13"/>
  <c r="M15" i="13" s="1"/>
  <c r="O15" i="13"/>
  <c r="P15" i="13" s="1"/>
  <c r="R15" i="13"/>
  <c r="S15" i="13"/>
  <c r="T15" i="13"/>
  <c r="U15" i="13"/>
  <c r="V15" i="13"/>
  <c r="W15" i="13"/>
  <c r="X15" i="13"/>
  <c r="Y15" i="13"/>
  <c r="Z15" i="13"/>
  <c r="AA15" i="13"/>
  <c r="AB15" i="13"/>
  <c r="AC15" i="13"/>
  <c r="F16" i="13"/>
  <c r="G16" i="13"/>
  <c r="H16" i="13" a="1"/>
  <c r="H16" i="13" s="1"/>
  <c r="I16" i="13"/>
  <c r="J16" i="13"/>
  <c r="L16" i="13"/>
  <c r="M16" i="13" s="1"/>
  <c r="O16" i="13"/>
  <c r="P16" i="13" s="1"/>
  <c r="R16" i="13"/>
  <c r="S16" i="13"/>
  <c r="T16" i="13"/>
  <c r="U16" i="13"/>
  <c r="V16" i="13"/>
  <c r="W16" i="13"/>
  <c r="X16" i="13"/>
  <c r="Y16" i="13"/>
  <c r="Z16" i="13"/>
  <c r="AA16" i="13"/>
  <c r="AB16" i="13"/>
  <c r="AC16" i="13"/>
  <c r="F18" i="13"/>
  <c r="G18" i="13"/>
  <c r="H18" i="13" a="1"/>
  <c r="H18" i="13" s="1"/>
  <c r="I18" i="13"/>
  <c r="J18" i="13"/>
  <c r="K18" i="13"/>
  <c r="L18" i="13"/>
  <c r="M18" i="13" s="1"/>
  <c r="N18" i="13"/>
  <c r="O18" i="13"/>
  <c r="P18" i="13" s="1"/>
  <c r="Q18" i="13"/>
  <c r="F19" i="13"/>
  <c r="G19" i="13"/>
  <c r="H19" i="13" a="1"/>
  <c r="H19" i="13" s="1"/>
  <c r="I19" i="13"/>
  <c r="J19" i="13"/>
  <c r="K19" i="13"/>
  <c r="L19" i="13"/>
  <c r="M19" i="13" s="1"/>
  <c r="N19" i="13"/>
  <c r="O19" i="13"/>
  <c r="P19" i="13" s="1"/>
  <c r="Q19" i="13"/>
  <c r="F17" i="13"/>
  <c r="G17" i="13"/>
  <c r="H17" i="13" a="1"/>
  <c r="H17" i="13" s="1"/>
  <c r="I17" i="13"/>
  <c r="J17" i="13"/>
  <c r="L17" i="13"/>
  <c r="M17" i="13" s="1"/>
  <c r="O17" i="13"/>
  <c r="P17" i="13" s="1"/>
  <c r="F22" i="13"/>
  <c r="G22" i="13"/>
  <c r="H22" i="13" a="1"/>
  <c r="H22" i="13" s="1"/>
  <c r="I22" i="13"/>
  <c r="J22" i="13"/>
  <c r="L22" i="13"/>
  <c r="M22" i="13" s="1"/>
  <c r="O22" i="13"/>
  <c r="P22" i="13" s="1"/>
  <c r="R22" i="13"/>
  <c r="S22" i="13"/>
  <c r="T22" i="13"/>
  <c r="U22" i="13"/>
  <c r="V22" i="13"/>
  <c r="W22" i="13"/>
  <c r="X22" i="13"/>
  <c r="Y22" i="13"/>
  <c r="Z22" i="13"/>
  <c r="AA22" i="13"/>
  <c r="AB22" i="13"/>
  <c r="AC22" i="13"/>
  <c r="F23" i="13"/>
  <c r="G23" i="13"/>
  <c r="H23" i="13" a="1"/>
  <c r="H23" i="13" s="1"/>
  <c r="I23" i="13"/>
  <c r="J23" i="13"/>
  <c r="L23" i="13"/>
  <c r="M23" i="13" s="1"/>
  <c r="O23" i="13"/>
  <c r="P23" i="13" s="1"/>
  <c r="R23" i="13"/>
  <c r="S23" i="13"/>
  <c r="T23" i="13"/>
  <c r="U23" i="13"/>
  <c r="V23" i="13"/>
  <c r="W23" i="13"/>
  <c r="X23" i="13"/>
  <c r="Y23" i="13"/>
  <c r="Z23" i="13"/>
  <c r="AA23" i="13"/>
  <c r="AB23" i="13"/>
  <c r="AC23" i="13"/>
  <c r="F24" i="13"/>
  <c r="G24" i="13"/>
  <c r="H24" i="13" a="1"/>
  <c r="H24" i="13" s="1"/>
  <c r="I24" i="13"/>
  <c r="J24" i="13"/>
  <c r="K24" i="13"/>
  <c r="L24" i="13"/>
  <c r="M24" i="13" s="1"/>
  <c r="N24" i="13"/>
  <c r="O24" i="13"/>
  <c r="P24" i="13" s="1"/>
  <c r="Q24" i="13"/>
  <c r="R24" i="13"/>
  <c r="S24" i="13"/>
  <c r="T24" i="13"/>
  <c r="U24" i="13"/>
  <c r="V24" i="13"/>
  <c r="W24" i="13"/>
  <c r="X24" i="13"/>
  <c r="Y24" i="13"/>
  <c r="Z24" i="13"/>
  <c r="AA24" i="13"/>
  <c r="AB24" i="13"/>
  <c r="AC24" i="13"/>
  <c r="F25" i="13"/>
  <c r="G25" i="13"/>
  <c r="H25" i="13" a="1"/>
  <c r="H25" i="13" s="1"/>
  <c r="I25" i="13"/>
  <c r="J25" i="13"/>
  <c r="K25" i="13"/>
  <c r="L25" i="13"/>
  <c r="M25" i="13" s="1"/>
  <c r="N25" i="13"/>
  <c r="O25" i="13"/>
  <c r="P25" i="13" s="1"/>
  <c r="Q25" i="13"/>
  <c r="R25" i="13"/>
  <c r="S25" i="13"/>
  <c r="T25" i="13"/>
  <c r="U25" i="13"/>
  <c r="V25" i="13"/>
  <c r="W25" i="13"/>
  <c r="X25" i="13"/>
  <c r="Y25" i="13"/>
  <c r="Z25" i="13"/>
  <c r="AA25" i="13"/>
  <c r="AB25" i="13"/>
  <c r="AC25" i="13"/>
  <c r="F26" i="13"/>
  <c r="G26" i="13"/>
  <c r="H26" i="13" a="1"/>
  <c r="H26" i="13" s="1"/>
  <c r="I26" i="13"/>
  <c r="J26" i="13"/>
  <c r="K26" i="13"/>
  <c r="L26" i="13"/>
  <c r="M26" i="13" s="1"/>
  <c r="N26" i="13"/>
  <c r="O26" i="13"/>
  <c r="P26" i="13"/>
  <c r="Q26" i="13"/>
  <c r="R26" i="13"/>
  <c r="S26" i="13"/>
  <c r="T26" i="13"/>
  <c r="U26" i="13"/>
  <c r="V26" i="13"/>
  <c r="W26" i="13"/>
  <c r="X26" i="13"/>
  <c r="Y26" i="13"/>
  <c r="Z26" i="13"/>
  <c r="AA26" i="13"/>
  <c r="AB26" i="13"/>
  <c r="AC26" i="13"/>
  <c r="F30" i="13"/>
  <c r="G30" i="13"/>
  <c r="H30" i="13" a="1"/>
  <c r="H30" i="13" s="1"/>
  <c r="I30" i="13"/>
  <c r="J30" i="13"/>
  <c r="L30" i="13"/>
  <c r="M30" i="13" s="1"/>
  <c r="O30" i="13"/>
  <c r="P30" i="13" s="1"/>
  <c r="R30" i="13"/>
  <c r="S30" i="13"/>
  <c r="T30" i="13"/>
  <c r="U30" i="13"/>
  <c r="V30" i="13"/>
  <c r="W30" i="13"/>
  <c r="X30" i="13"/>
  <c r="Y30" i="13"/>
  <c r="Z30" i="13"/>
  <c r="AA30" i="13"/>
  <c r="AB30" i="13"/>
  <c r="AC30" i="13"/>
  <c r="F31" i="13"/>
  <c r="G31" i="13"/>
  <c r="H31" i="13" a="1"/>
  <c r="H31" i="13" s="1"/>
  <c r="I31" i="13"/>
  <c r="J31" i="13"/>
  <c r="L31" i="13"/>
  <c r="M31" i="13" s="1"/>
  <c r="O31" i="13"/>
  <c r="P31" i="13" s="1"/>
  <c r="R31" i="13"/>
  <c r="S31" i="13"/>
  <c r="T31" i="13"/>
  <c r="U31" i="13"/>
  <c r="V31" i="13"/>
  <c r="W31" i="13"/>
  <c r="X31" i="13"/>
  <c r="Y31" i="13"/>
  <c r="Z31" i="13"/>
  <c r="AA31" i="13"/>
  <c r="AB31" i="13"/>
  <c r="AC31" i="13"/>
  <c r="F32" i="13"/>
  <c r="G32" i="13"/>
  <c r="H32" i="13" a="1"/>
  <c r="H32" i="13" s="1"/>
  <c r="I32" i="13"/>
  <c r="J32" i="13"/>
  <c r="L32" i="13"/>
  <c r="M32" i="13" s="1"/>
  <c r="O32" i="13"/>
  <c r="P32" i="13" s="1"/>
  <c r="R32" i="13"/>
  <c r="S32" i="13"/>
  <c r="T32" i="13"/>
  <c r="U32" i="13"/>
  <c r="V32" i="13"/>
  <c r="W32" i="13"/>
  <c r="X32" i="13"/>
  <c r="Y32" i="13"/>
  <c r="Z32" i="13"/>
  <c r="AA32" i="13"/>
  <c r="AB32" i="13"/>
  <c r="AC32" i="13"/>
  <c r="F33" i="13"/>
  <c r="G33" i="13"/>
  <c r="H33" i="13" a="1"/>
  <c r="H33" i="13" s="1"/>
  <c r="I33" i="13"/>
  <c r="J33" i="13"/>
  <c r="K33" i="13"/>
  <c r="L33" i="13"/>
  <c r="M33" i="13" s="1"/>
  <c r="N33" i="13"/>
  <c r="O33" i="13"/>
  <c r="P33" i="13" s="1"/>
  <c r="Q33" i="13"/>
  <c r="R33" i="13"/>
  <c r="S33" i="13"/>
  <c r="T33" i="13"/>
  <c r="U33" i="13"/>
  <c r="V33" i="13"/>
  <c r="W33" i="13"/>
  <c r="X33" i="13"/>
  <c r="Y33" i="13"/>
  <c r="Z33" i="13"/>
  <c r="AA33" i="13"/>
  <c r="AB33" i="13"/>
  <c r="AC33" i="13"/>
  <c r="S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R9" i="13"/>
  <c r="F9" i="13"/>
  <c r="G9" i="13"/>
  <c r="H9" i="13" a="1"/>
  <c r="H9" i="13" s="1"/>
  <c r="I9" i="13"/>
  <c r="J9" i="13"/>
  <c r="K9" i="13"/>
  <c r="L9" i="13"/>
  <c r="M9" i="13" s="1"/>
  <c r="N9" i="13"/>
  <c r="O9" i="13"/>
  <c r="P9" i="13" s="1"/>
  <c r="Q9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F2" i="13"/>
  <c r="G2" i="13"/>
  <c r="H2" i="13" a="1"/>
  <c r="H2" i="13" s="1"/>
  <c r="I2" i="13"/>
  <c r="J2" i="13"/>
  <c r="K2" i="13"/>
  <c r="L2" i="13"/>
  <c r="M2" i="13" s="1"/>
  <c r="N2" i="13"/>
  <c r="O2" i="13"/>
  <c r="P2" i="13" s="1"/>
  <c r="Q2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N7" i="13" s="1"/>
  <c r="AC71" i="15"/>
  <c r="Q7" i="13" s="1"/>
  <c r="AD71" i="15"/>
  <c r="K7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S3" i="13"/>
  <c r="T3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R3" i="13"/>
  <c r="F3" i="13"/>
  <c r="G3" i="13"/>
  <c r="H3" i="13" a="1"/>
  <c r="H3" i="13" s="1"/>
  <c r="I3" i="13"/>
  <c r="J3" i="13"/>
  <c r="L3" i="13"/>
  <c r="M3" i="13" s="1"/>
  <c r="O3" i="13"/>
  <c r="P3" i="13" s="1"/>
  <c r="F42" i="13"/>
  <c r="G42" i="13"/>
  <c r="H42" i="13" a="1"/>
  <c r="H42" i="13" s="1"/>
  <c r="I42" i="13"/>
  <c r="J42" i="13"/>
  <c r="K42" i="13"/>
  <c r="L42" i="13"/>
  <c r="M42" i="13" s="1"/>
  <c r="N42" i="13"/>
  <c r="O42" i="13"/>
  <c r="P42" i="13" s="1"/>
  <c r="Q42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N17" i="13" s="1"/>
  <c r="AC52" i="15"/>
  <c r="Q17" i="13" s="1"/>
  <c r="AD52" i="15"/>
  <c r="K17" i="13" s="1"/>
  <c r="AA53" i="15"/>
  <c r="AB53" i="15"/>
  <c r="N31" i="13" s="1"/>
  <c r="AC53" i="15"/>
  <c r="Q31" i="13" s="1"/>
  <c r="AD53" i="15"/>
  <c r="K31" i="13" s="1"/>
  <c r="AA54" i="15"/>
  <c r="AB54" i="15"/>
  <c r="N32" i="13" s="1"/>
  <c r="AC54" i="15"/>
  <c r="Q32" i="13" s="1"/>
  <c r="AD54" i="15"/>
  <c r="K32" i="13" s="1"/>
  <c r="AA55" i="15"/>
  <c r="AB55" i="15"/>
  <c r="AC55" i="15"/>
  <c r="AD55" i="15"/>
  <c r="K8" i="13" s="1"/>
  <c r="AA56" i="15"/>
  <c r="AB56" i="15"/>
  <c r="AC56" i="15"/>
  <c r="AD56" i="15"/>
  <c r="AA57" i="15"/>
  <c r="AB57" i="15"/>
  <c r="N3" i="13" s="1"/>
  <c r="AC57" i="15"/>
  <c r="Q3" i="13" s="1"/>
  <c r="AD57" i="15"/>
  <c r="K3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S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R13" i="11"/>
  <c r="F13" i="11"/>
  <c r="G13" i="11"/>
  <c r="H13" i="11" a="1"/>
  <c r="H13" i="11" s="1"/>
  <c r="I13" i="11"/>
  <c r="J13" i="11"/>
  <c r="L13" i="11"/>
  <c r="M13" i="11" s="1"/>
  <c r="O13" i="11"/>
  <c r="P13" i="11" s="1"/>
  <c r="Q13" i="11"/>
  <c r="S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R37" i="11"/>
  <c r="F37" i="11"/>
  <c r="G37" i="11"/>
  <c r="H37" i="11" a="1"/>
  <c r="H37" i="11" s="1"/>
  <c r="I37" i="11"/>
  <c r="J37" i="11"/>
  <c r="K37" i="11"/>
  <c r="L37" i="11"/>
  <c r="M37" i="11" s="1"/>
  <c r="N37" i="11"/>
  <c r="O37" i="11"/>
  <c r="P37" i="11" s="1"/>
  <c r="AD13" i="13"/>
  <c r="AE13" i="13"/>
  <c r="AF13" i="13"/>
  <c r="AG13" i="13"/>
  <c r="S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R10" i="13"/>
  <c r="F10" i="13"/>
  <c r="G10" i="13"/>
  <c r="H10" i="13" a="1"/>
  <c r="H10" i="13" s="1"/>
  <c r="I10" i="13"/>
  <c r="J10" i="13"/>
  <c r="L10" i="13"/>
  <c r="M10" i="13" s="1"/>
  <c r="O10" i="13"/>
  <c r="P10" i="13" s="1"/>
  <c r="AD30" i="13"/>
  <c r="AE30" i="13"/>
  <c r="AF30" i="13"/>
  <c r="AG30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Q7" i="12" s="1"/>
  <c r="AJ738" i="9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N30" i="13" s="1"/>
  <c r="AC31" i="15"/>
  <c r="Q30" i="13" s="1"/>
  <c r="AD31" i="15"/>
  <c r="K30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N22" i="13" s="1"/>
  <c r="AC37" i="15"/>
  <c r="Q22" i="13" s="1"/>
  <c r="AD37" i="15"/>
  <c r="K22" i="13" s="1"/>
  <c r="AA38" i="15"/>
  <c r="AB38" i="15"/>
  <c r="AC38" i="15"/>
  <c r="AD38" i="15"/>
  <c r="AA39" i="15"/>
  <c r="AB39" i="15"/>
  <c r="AC39" i="15"/>
  <c r="AD39" i="15"/>
  <c r="AA40" i="15"/>
  <c r="AB40" i="15"/>
  <c r="N10" i="13" s="1"/>
  <c r="AC40" i="15"/>
  <c r="Q10" i="13" s="1"/>
  <c r="AD40" i="15"/>
  <c r="K10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Q37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K35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N15" i="13" s="1"/>
  <c r="AC23" i="15"/>
  <c r="Q15" i="13" s="1"/>
  <c r="AD23" i="15"/>
  <c r="K15" i="13" s="1"/>
  <c r="AA24" i="15"/>
  <c r="AB24" i="15"/>
  <c r="AC24" i="15"/>
  <c r="AD24" i="15"/>
  <c r="AA25" i="15"/>
  <c r="AB25" i="15"/>
  <c r="N13" i="13" s="1"/>
  <c r="AC25" i="15"/>
  <c r="Q13" i="13" s="1"/>
  <c r="AD25" i="15"/>
  <c r="K13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N13" i="11" s="1"/>
  <c r="AC510" i="10"/>
  <c r="AD510" i="10"/>
  <c r="K13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N16" i="13" s="1"/>
  <c r="AC6" i="15"/>
  <c r="Q16" i="13" s="1"/>
  <c r="AD6" i="15"/>
  <c r="K16" i="13" s="1"/>
  <c r="AA7" i="15"/>
  <c r="AB7" i="15"/>
  <c r="N5" i="13" s="1"/>
  <c r="AC7" i="15"/>
  <c r="AD7" i="15"/>
  <c r="K5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N23" i="13" s="1"/>
  <c r="AC11" i="15"/>
  <c r="Q23" i="13" s="1"/>
  <c r="AD11" i="15"/>
  <c r="K23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AK2" i="16"/>
  <c r="AL2" i="16"/>
  <c r="AM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AK3" i="16"/>
  <c r="AL3" i="16"/>
  <c r="AM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AK4" i="16"/>
  <c r="AL4" i="16"/>
  <c r="AM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AK5" i="16"/>
  <c r="AL5" i="16"/>
  <c r="AM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AK11" i="16"/>
  <c r="AL11" i="16"/>
  <c r="AM11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AK13" i="16"/>
  <c r="AL13" i="16"/>
  <c r="AM13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AK14" i="16"/>
  <c r="AL14" i="16"/>
  <c r="AM14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AK17" i="16"/>
  <c r="AL17" i="16"/>
  <c r="AM17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AK20" i="16"/>
  <c r="AL20" i="16"/>
  <c r="AM20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AK21" i="16"/>
  <c r="AL21" i="16"/>
  <c r="AM21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AK22" i="16"/>
  <c r="AL22" i="16"/>
  <c r="AM22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AK24" i="16"/>
  <c r="AL24" i="16"/>
  <c r="AM24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H34" i="16"/>
  <c r="AI34" i="16"/>
  <c r="AJ34" i="16"/>
  <c r="AK34" i="16"/>
  <c r="AL34" i="16"/>
  <c r="AM34" i="16"/>
  <c r="R34" i="16"/>
  <c r="R33" i="16"/>
  <c r="R30" i="16"/>
  <c r="R29" i="16"/>
  <c r="R28" i="16"/>
  <c r="R27" i="16"/>
  <c r="R25" i="16"/>
  <c r="R24" i="16"/>
  <c r="R22" i="16"/>
  <c r="R21" i="16"/>
  <c r="R20" i="16"/>
  <c r="R17" i="16"/>
  <c r="R15" i="16"/>
  <c r="R14" i="16"/>
  <c r="R13" i="16"/>
  <c r="R11" i="16"/>
  <c r="R9" i="16"/>
  <c r="R6" i="16"/>
  <c r="R5" i="16"/>
  <c r="R4" i="16"/>
  <c r="R3" i="16"/>
  <c r="R2" i="16"/>
  <c r="Q3" i="16"/>
  <c r="Q4" i="16"/>
  <c r="Q5" i="16"/>
  <c r="Q6" i="16"/>
  <c r="Q11" i="16"/>
  <c r="Q13" i="16"/>
  <c r="Q14" i="16"/>
  <c r="Q15" i="16"/>
  <c r="Q20" i="16"/>
  <c r="Q21" i="16"/>
  <c r="Q22" i="16"/>
  <c r="Q24" i="16"/>
  <c r="Q25" i="16"/>
  <c r="Q27" i="16"/>
  <c r="Q28" i="16"/>
  <c r="Q29" i="16"/>
  <c r="Q30" i="16"/>
  <c r="Q31" i="16"/>
  <c r="Q33" i="16"/>
  <c r="Q34" i="16"/>
  <c r="Q2" i="16"/>
  <c r="O3" i="16"/>
  <c r="P3" i="16" s="1"/>
  <c r="O4" i="16"/>
  <c r="P4" i="16" s="1"/>
  <c r="O5" i="16"/>
  <c r="P5" i="16" s="1"/>
  <c r="O6" i="16"/>
  <c r="P6" i="16" s="1"/>
  <c r="O9" i="16"/>
  <c r="P9" i="16" s="1"/>
  <c r="O11" i="16"/>
  <c r="P11" i="16" s="1"/>
  <c r="O13" i="16"/>
  <c r="P13" i="16" s="1"/>
  <c r="O14" i="16"/>
  <c r="P14" i="16" s="1"/>
  <c r="O15" i="16"/>
  <c r="P15" i="16" s="1"/>
  <c r="O17" i="16"/>
  <c r="P17" i="16" s="1"/>
  <c r="O20" i="16"/>
  <c r="P20" i="16" s="1"/>
  <c r="O21" i="16"/>
  <c r="P21" i="16" s="1"/>
  <c r="O22" i="16"/>
  <c r="P22" i="16" s="1"/>
  <c r="O24" i="16"/>
  <c r="P24" i="16" s="1"/>
  <c r="O25" i="16"/>
  <c r="P25" i="16" s="1"/>
  <c r="O27" i="16"/>
  <c r="P27" i="16" s="1"/>
  <c r="O28" i="16"/>
  <c r="P28" i="16" s="1"/>
  <c r="O29" i="16"/>
  <c r="P29" i="16" s="1"/>
  <c r="O30" i="16"/>
  <c r="P30" i="16" s="1"/>
  <c r="O31" i="16"/>
  <c r="P31" i="16" s="1"/>
  <c r="O33" i="16"/>
  <c r="P33" i="16" s="1"/>
  <c r="O34" i="16"/>
  <c r="P34" i="16" s="1"/>
  <c r="O2" i="16"/>
  <c r="P2" i="16" s="1"/>
  <c r="N3" i="16"/>
  <c r="N4" i="16"/>
  <c r="N5" i="16"/>
  <c r="N6" i="16"/>
  <c r="N11" i="16"/>
  <c r="N13" i="16"/>
  <c r="N14" i="16"/>
  <c r="N15" i="16"/>
  <c r="N17" i="16"/>
  <c r="N20" i="16"/>
  <c r="N21" i="16"/>
  <c r="N22" i="16"/>
  <c r="N24" i="16"/>
  <c r="N25" i="16"/>
  <c r="N27" i="16"/>
  <c r="N28" i="16"/>
  <c r="N29" i="16"/>
  <c r="N30" i="16"/>
  <c r="N31" i="16"/>
  <c r="N33" i="16"/>
  <c r="N34" i="16"/>
  <c r="N2" i="16"/>
  <c r="L3" i="16"/>
  <c r="M3" i="16" s="1"/>
  <c r="L4" i="16"/>
  <c r="M4" i="16" s="1"/>
  <c r="L5" i="16"/>
  <c r="M5" i="16" s="1"/>
  <c r="L6" i="16"/>
  <c r="M6" i="16" s="1"/>
  <c r="L9" i="16"/>
  <c r="M9" i="16" s="1"/>
  <c r="L11" i="16"/>
  <c r="M11" i="16" s="1"/>
  <c r="L13" i="16"/>
  <c r="M13" i="16" s="1"/>
  <c r="L14" i="16"/>
  <c r="M14" i="16" s="1"/>
  <c r="L15" i="16"/>
  <c r="M15" i="16" s="1"/>
  <c r="L17" i="16"/>
  <c r="M17" i="16" s="1"/>
  <c r="L20" i="16"/>
  <c r="M20" i="16" s="1"/>
  <c r="L21" i="16"/>
  <c r="M21" i="16" s="1"/>
  <c r="L22" i="16"/>
  <c r="M22" i="16" s="1"/>
  <c r="L24" i="16"/>
  <c r="M24" i="16" s="1"/>
  <c r="L25" i="16"/>
  <c r="M25" i="16" s="1"/>
  <c r="L27" i="16"/>
  <c r="M27" i="16" s="1"/>
  <c r="L28" i="16"/>
  <c r="M28" i="16" s="1"/>
  <c r="L29" i="16"/>
  <c r="M29" i="16" s="1"/>
  <c r="L30" i="16"/>
  <c r="M30" i="16" s="1"/>
  <c r="M31" i="16"/>
  <c r="L33" i="16"/>
  <c r="M33" i="16" s="1"/>
  <c r="L34" i="16"/>
  <c r="M34" i="16" s="1"/>
  <c r="L2" i="16"/>
  <c r="M2" i="16" s="1"/>
  <c r="K3" i="16"/>
  <c r="K4" i="16"/>
  <c r="K5" i="16"/>
  <c r="K6" i="16"/>
  <c r="K11" i="16"/>
  <c r="K13" i="16"/>
  <c r="K14" i="16"/>
  <c r="K15" i="16"/>
  <c r="K17" i="16"/>
  <c r="K20" i="16"/>
  <c r="K21" i="16"/>
  <c r="K22" i="16"/>
  <c r="K24" i="16"/>
  <c r="K25" i="16"/>
  <c r="K27" i="16"/>
  <c r="K28" i="16"/>
  <c r="K29" i="16"/>
  <c r="K30" i="16"/>
  <c r="K31" i="16"/>
  <c r="K33" i="16"/>
  <c r="K34" i="16"/>
  <c r="J3" i="16"/>
  <c r="J4" i="16"/>
  <c r="J5" i="16"/>
  <c r="J6" i="16"/>
  <c r="J9" i="16"/>
  <c r="J11" i="16"/>
  <c r="J13" i="16"/>
  <c r="J14" i="16"/>
  <c r="J15" i="16"/>
  <c r="J17" i="16"/>
  <c r="J20" i="16"/>
  <c r="J21" i="16"/>
  <c r="J22" i="16"/>
  <c r="J24" i="16"/>
  <c r="J25" i="16"/>
  <c r="J27" i="16"/>
  <c r="J28" i="16"/>
  <c r="J29" i="16"/>
  <c r="J30" i="16"/>
  <c r="J31" i="16"/>
  <c r="J33" i="16"/>
  <c r="J34" i="16"/>
  <c r="J2" i="16"/>
  <c r="I3" i="16"/>
  <c r="I4" i="16"/>
  <c r="I5" i="16"/>
  <c r="I6" i="16"/>
  <c r="I9" i="16"/>
  <c r="I11" i="16"/>
  <c r="I13" i="16"/>
  <c r="I14" i="16"/>
  <c r="I15" i="16"/>
  <c r="I17" i="16"/>
  <c r="I20" i="16"/>
  <c r="I21" i="16"/>
  <c r="I22" i="16"/>
  <c r="I24" i="16"/>
  <c r="I25" i="16"/>
  <c r="I27" i="16"/>
  <c r="I28" i="16"/>
  <c r="I29" i="16"/>
  <c r="I30" i="16"/>
  <c r="I31" i="16"/>
  <c r="I33" i="16"/>
  <c r="I34" i="16"/>
  <c r="I2" i="16"/>
  <c r="H3" i="16" a="1"/>
  <c r="H3" i="16" s="1"/>
  <c r="H4" i="16" a="1"/>
  <c r="H4" i="16" s="1"/>
  <c r="H5" i="16" a="1"/>
  <c r="H5" i="16" s="1"/>
  <c r="H6" i="16" a="1"/>
  <c r="H6" i="16" s="1"/>
  <c r="H9" i="16" a="1"/>
  <c r="H9" i="16" s="1"/>
  <c r="H11" i="16" a="1"/>
  <c r="H11" i="16" s="1"/>
  <c r="H13" i="16" a="1"/>
  <c r="H13" i="16" s="1"/>
  <c r="H14" i="16" a="1"/>
  <c r="H14" i="16" s="1"/>
  <c r="H15" i="16" a="1"/>
  <c r="H15" i="16" s="1"/>
  <c r="H17" i="16" a="1"/>
  <c r="H17" i="16" s="1"/>
  <c r="H20" i="16" a="1"/>
  <c r="H20" i="16" s="1"/>
  <c r="H21" i="16" a="1"/>
  <c r="H21" i="16" s="1"/>
  <c r="H22" i="16" a="1"/>
  <c r="H22" i="16" s="1"/>
  <c r="H24" i="16" a="1"/>
  <c r="H24" i="16" s="1"/>
  <c r="H25" i="16" a="1"/>
  <c r="H25" i="16" s="1"/>
  <c r="H27" i="16" a="1"/>
  <c r="H27" i="16" s="1"/>
  <c r="H28" i="16" a="1"/>
  <c r="H28" i="16" s="1"/>
  <c r="H29" i="16" a="1"/>
  <c r="H29" i="16" s="1"/>
  <c r="H30" i="16" a="1"/>
  <c r="H30" i="16" s="1"/>
  <c r="H31" i="16" a="1"/>
  <c r="H31" i="16" s="1"/>
  <c r="H33" i="16" a="1"/>
  <c r="H33" i="16" s="1"/>
  <c r="H34" i="16" a="1"/>
  <c r="H34" i="16" s="1"/>
  <c r="H2" i="16" a="1"/>
  <c r="H2" i="16" s="1"/>
  <c r="G3" i="16"/>
  <c r="G4" i="16"/>
  <c r="G5" i="16"/>
  <c r="G6" i="16"/>
  <c r="G9" i="16"/>
  <c r="G11" i="16"/>
  <c r="G13" i="16"/>
  <c r="G14" i="16"/>
  <c r="G15" i="16"/>
  <c r="G17" i="16"/>
  <c r="G20" i="16"/>
  <c r="G21" i="16"/>
  <c r="G22" i="16"/>
  <c r="G24" i="16"/>
  <c r="G25" i="16"/>
  <c r="G27" i="16"/>
  <c r="G28" i="16"/>
  <c r="G29" i="16"/>
  <c r="G30" i="16"/>
  <c r="G31" i="16"/>
  <c r="G33" i="16"/>
  <c r="G34" i="16"/>
  <c r="G2" i="16"/>
  <c r="F3" i="16"/>
  <c r="F4" i="16"/>
  <c r="F5" i="16"/>
  <c r="F6" i="16"/>
  <c r="F9" i="16"/>
  <c r="F11" i="16"/>
  <c r="F13" i="16"/>
  <c r="F14" i="16"/>
  <c r="F15" i="16"/>
  <c r="F17" i="16"/>
  <c r="F20" i="16"/>
  <c r="F21" i="16"/>
  <c r="F22" i="16"/>
  <c r="F24" i="16"/>
  <c r="F25" i="16"/>
  <c r="F27" i="16"/>
  <c r="F28" i="16"/>
  <c r="F29" i="16"/>
  <c r="F30" i="16"/>
  <c r="F31" i="16"/>
  <c r="F33" i="16"/>
  <c r="F34" i="16"/>
  <c r="F2" i="16"/>
  <c r="K9" i="16"/>
  <c r="Q9" i="16"/>
  <c r="N9" i="16"/>
  <c r="S4" i="13"/>
  <c r="T4" i="13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S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D14" i="13"/>
  <c r="AE14" i="13"/>
  <c r="AF14" i="13"/>
  <c r="AG14" i="13"/>
  <c r="AD15" i="13"/>
  <c r="AE15" i="13"/>
  <c r="AF15" i="13"/>
  <c r="AG15" i="13"/>
  <c r="AD16" i="13"/>
  <c r="AE16" i="13"/>
  <c r="AF16" i="13"/>
  <c r="AG16" i="13"/>
  <c r="AD22" i="13"/>
  <c r="AE22" i="13"/>
  <c r="AF22" i="13"/>
  <c r="AG22" i="13"/>
  <c r="AD23" i="13"/>
  <c r="AE23" i="13"/>
  <c r="AF23" i="13"/>
  <c r="AG23" i="13"/>
  <c r="AD24" i="13"/>
  <c r="AE24" i="13"/>
  <c r="AF24" i="13"/>
  <c r="AG24" i="13"/>
  <c r="AD25" i="13"/>
  <c r="AE25" i="13"/>
  <c r="AF25" i="13"/>
  <c r="AG25" i="13"/>
  <c r="AD26" i="13"/>
  <c r="AE26" i="13"/>
  <c r="AF26" i="13"/>
  <c r="AG26" i="13"/>
  <c r="AD31" i="13"/>
  <c r="AE31" i="13"/>
  <c r="AF31" i="13"/>
  <c r="AG31" i="13"/>
  <c r="AD32" i="13"/>
  <c r="AE32" i="13"/>
  <c r="AF32" i="13"/>
  <c r="AG32" i="13"/>
  <c r="AD33" i="13"/>
  <c r="AE33" i="13"/>
  <c r="AF33" i="13"/>
  <c r="AG33" i="13"/>
  <c r="S35" i="13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AF35" i="13"/>
  <c r="AG35" i="13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S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S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S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R39" i="13"/>
  <c r="R38" i="13"/>
  <c r="R37" i="13"/>
  <c r="R36" i="13"/>
  <c r="R35" i="13"/>
  <c r="R8" i="13"/>
  <c r="R6" i="13"/>
  <c r="R5" i="13"/>
  <c r="R4" i="13"/>
  <c r="Q8" i="13"/>
  <c r="Q35" i="13"/>
  <c r="Q37" i="13"/>
  <c r="Q38" i="13"/>
  <c r="O4" i="13"/>
  <c r="P4" i="13" s="1"/>
  <c r="O5" i="13"/>
  <c r="P5" i="13" s="1"/>
  <c r="O6" i="13"/>
  <c r="P6" i="13" s="1"/>
  <c r="O8" i="13"/>
  <c r="P8" i="13" s="1"/>
  <c r="O35" i="13"/>
  <c r="P35" i="13" s="1"/>
  <c r="O36" i="13"/>
  <c r="P36" i="13" s="1"/>
  <c r="O37" i="13"/>
  <c r="P37" i="13" s="1"/>
  <c r="O38" i="13"/>
  <c r="P38" i="13" s="1"/>
  <c r="O39" i="13"/>
  <c r="P39" i="13" s="1"/>
  <c r="O41" i="13"/>
  <c r="P41" i="13" s="1"/>
  <c r="L4" i="13"/>
  <c r="M4" i="13" s="1"/>
  <c r="L5" i="13"/>
  <c r="M5" i="13" s="1"/>
  <c r="L6" i="13"/>
  <c r="M6" i="13" s="1"/>
  <c r="L8" i="13"/>
  <c r="M8" i="13" s="1"/>
  <c r="L35" i="13"/>
  <c r="M35" i="13" s="1"/>
  <c r="L36" i="13"/>
  <c r="M36" i="13" s="1"/>
  <c r="L37" i="13"/>
  <c r="M37" i="13" s="1"/>
  <c r="L38" i="13"/>
  <c r="M38" i="13" s="1"/>
  <c r="L39" i="13"/>
  <c r="M39" i="13" s="1"/>
  <c r="L41" i="13"/>
  <c r="M41" i="13" s="1"/>
  <c r="K41" i="13"/>
  <c r="J4" i="13"/>
  <c r="J5" i="13"/>
  <c r="J6" i="13"/>
  <c r="J8" i="13"/>
  <c r="J35" i="13"/>
  <c r="J36" i="13"/>
  <c r="J37" i="13"/>
  <c r="J38" i="13"/>
  <c r="J39" i="13"/>
  <c r="J41" i="13"/>
  <c r="I4" i="13"/>
  <c r="I5" i="13"/>
  <c r="I6" i="13"/>
  <c r="I8" i="13"/>
  <c r="I35" i="13"/>
  <c r="I36" i="13"/>
  <c r="I37" i="13"/>
  <c r="I38" i="13"/>
  <c r="I39" i="13"/>
  <c r="I41" i="13"/>
  <c r="H4" i="13" a="1"/>
  <c r="H4" i="13" s="1"/>
  <c r="H5" i="13" a="1"/>
  <c r="H5" i="13" s="1"/>
  <c r="H6" i="13" a="1"/>
  <c r="H6" i="13" s="1"/>
  <c r="H8" i="13" a="1"/>
  <c r="H8" i="13" s="1"/>
  <c r="H35" i="13" a="1"/>
  <c r="H35" i="13" s="1"/>
  <c r="H36" i="13" a="1"/>
  <c r="H36" i="13" s="1"/>
  <c r="H37" i="13" a="1"/>
  <c r="H37" i="13" s="1"/>
  <c r="H38" i="13" a="1"/>
  <c r="H38" i="13" s="1"/>
  <c r="H39" i="13" a="1"/>
  <c r="H39" i="13" s="1"/>
  <c r="H41" i="13" a="1"/>
  <c r="H41" i="13" s="1"/>
  <c r="G4" i="13"/>
  <c r="G5" i="13"/>
  <c r="G6" i="13"/>
  <c r="G8" i="13"/>
  <c r="G35" i="13"/>
  <c r="G36" i="13"/>
  <c r="G37" i="13"/>
  <c r="G38" i="13"/>
  <c r="G39" i="13"/>
  <c r="G41" i="13"/>
  <c r="F4" i="13"/>
  <c r="F5" i="13"/>
  <c r="F6" i="13"/>
  <c r="F8" i="13"/>
  <c r="F35" i="13"/>
  <c r="F36" i="13"/>
  <c r="F37" i="13"/>
  <c r="F38" i="13"/>
  <c r="F39" i="13"/>
  <c r="F41" i="13"/>
  <c r="Q5" i="13"/>
  <c r="N38" i="13"/>
  <c r="K38" i="13"/>
  <c r="N37" i="13"/>
  <c r="K37" i="13"/>
  <c r="N6" i="13"/>
  <c r="Q6" i="13"/>
  <c r="K6" i="13"/>
  <c r="N39" i="13"/>
  <c r="Q39" i="13"/>
  <c r="K39" i="13"/>
  <c r="N36" i="13"/>
  <c r="Q36" i="13"/>
  <c r="K36" i="13"/>
  <c r="N8" i="13"/>
  <c r="N41" i="13"/>
  <c r="Q41" i="13"/>
  <c r="N4" i="13"/>
  <c r="Q4" i="13"/>
  <c r="K4" i="13"/>
  <c r="N35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Q9" i="12"/>
  <c r="Q20" i="12"/>
  <c r="Q22" i="12"/>
  <c r="Q37" i="12"/>
  <c r="Q38" i="12"/>
  <c r="Q42" i="12"/>
  <c r="Q43" i="12"/>
  <c r="Q45" i="12"/>
  <c r="Q46" i="12"/>
  <c r="Q50" i="12"/>
  <c r="Q52" i="12"/>
  <c r="Q53" i="12"/>
  <c r="Q55" i="12"/>
  <c r="Q56" i="12"/>
  <c r="N7" i="12"/>
  <c r="N9" i="12"/>
  <c r="N18" i="12"/>
  <c r="N20" i="12"/>
  <c r="N22" i="12"/>
  <c r="N37" i="12"/>
  <c r="N38" i="12"/>
  <c r="N42" i="12"/>
  <c r="N43" i="12"/>
  <c r="N45" i="12"/>
  <c r="N46" i="12"/>
  <c r="N50" i="12"/>
  <c r="N52" i="12"/>
  <c r="N53" i="12"/>
  <c r="N55" i="12"/>
  <c r="N56" i="12"/>
  <c r="K7" i="12"/>
  <c r="K9" i="12"/>
  <c r="K18" i="12"/>
  <c r="K20" i="12"/>
  <c r="K22" i="12"/>
  <c r="K37" i="12"/>
  <c r="K38" i="12"/>
  <c r="K42" i="12"/>
  <c r="K43" i="12"/>
  <c r="K45" i="12"/>
  <c r="K46" i="12"/>
  <c r="K50" i="12"/>
  <c r="K52" i="12"/>
  <c r="K53" i="12"/>
  <c r="K55" i="12"/>
  <c r="K56" i="12"/>
  <c r="K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N14" i="12" s="1"/>
  <c r="AI39" i="9"/>
  <c r="Q14" i="12" s="1"/>
  <c r="AJ39" i="9"/>
  <c r="K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N16" i="12" s="1"/>
  <c r="AI51" i="9"/>
  <c r="Q16" i="12" s="1"/>
  <c r="AJ51" i="9"/>
  <c r="K16" i="12" s="1"/>
  <c r="AG52" i="9"/>
  <c r="AH52" i="9"/>
  <c r="N58" i="12" s="1"/>
  <c r="AI52" i="9"/>
  <c r="Q58" i="12" s="1"/>
  <c r="AJ52" i="9"/>
  <c r="K58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N35" i="12" s="1"/>
  <c r="AI58" i="9"/>
  <c r="Q35" i="12" s="1"/>
  <c r="AJ58" i="9"/>
  <c r="K35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N28" i="12" s="1"/>
  <c r="AI81" i="9"/>
  <c r="Q28" i="12" s="1"/>
  <c r="AJ81" i="9"/>
  <c r="K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N57" i="12" s="1"/>
  <c r="AI102" i="9"/>
  <c r="Q57" i="12" s="1"/>
  <c r="AJ102" i="9"/>
  <c r="K57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N47" i="12" s="1"/>
  <c r="AI183" i="9"/>
  <c r="Q47" i="12" s="1"/>
  <c r="AJ183" i="9"/>
  <c r="K47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N6" i="12" s="1"/>
  <c r="AI253" i="9"/>
  <c r="Q6" i="12" s="1"/>
  <c r="AJ253" i="9"/>
  <c r="K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N8" i="12" s="1"/>
  <c r="AI259" i="9"/>
  <c r="Q8" i="12" s="1"/>
  <c r="AJ259" i="9"/>
  <c r="K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N30" i="12" s="1"/>
  <c r="AI266" i="9"/>
  <c r="Q30" i="12" s="1"/>
  <c r="AJ266" i="9"/>
  <c r="K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N33" i="12" s="1"/>
  <c r="AI325" i="9"/>
  <c r="Q33" i="12" s="1"/>
  <c r="AJ325" i="9"/>
  <c r="K33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N11" i="12" s="1"/>
  <c r="AI364" i="9"/>
  <c r="Q11" i="12" s="1"/>
  <c r="AJ364" i="9"/>
  <c r="K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N21" i="12" s="1"/>
  <c r="AI381" i="9"/>
  <c r="Q21" i="12" s="1"/>
  <c r="AJ381" i="9"/>
  <c r="K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N49" i="12" s="1"/>
  <c r="AI436" i="9"/>
  <c r="Q49" i="12" s="1"/>
  <c r="AJ436" i="9"/>
  <c r="K49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N34" i="12" s="1"/>
  <c r="AI467" i="9"/>
  <c r="Q34" i="12" s="1"/>
  <c r="AJ467" i="9"/>
  <c r="K34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N48" i="12" s="1"/>
  <c r="AI476" i="9"/>
  <c r="Q48" i="12" s="1"/>
  <c r="AJ476" i="9"/>
  <c r="K48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N4" i="12" s="1"/>
  <c r="AI481" i="9"/>
  <c r="Q4" i="12" s="1"/>
  <c r="AJ481" i="9"/>
  <c r="K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N27" i="12" s="1"/>
  <c r="AI497" i="9"/>
  <c r="Q27" i="12" s="1"/>
  <c r="AJ497" i="9"/>
  <c r="K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N3" i="12" s="1"/>
  <c r="AI502" i="9"/>
  <c r="Q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N10" i="12" s="1"/>
  <c r="AI515" i="9"/>
  <c r="Q10" i="12" s="1"/>
  <c r="AJ515" i="9"/>
  <c r="K10" i="12" s="1"/>
  <c r="AG516" i="9"/>
  <c r="AH516" i="9"/>
  <c r="N17" i="12" s="1"/>
  <c r="AI516" i="9"/>
  <c r="Q17" i="12" s="1"/>
  <c r="AJ516" i="9"/>
  <c r="K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N40" i="12" s="1"/>
  <c r="AI527" i="9"/>
  <c r="Q40" i="12" s="1"/>
  <c r="AJ527" i="9"/>
  <c r="K40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N54" i="12" s="1"/>
  <c r="AI564" i="9"/>
  <c r="Q54" i="12" s="1"/>
  <c r="AJ564" i="9"/>
  <c r="K54" i="12" s="1"/>
  <c r="AG565" i="9"/>
  <c r="AH565" i="9"/>
  <c r="N12" i="12" s="1"/>
  <c r="AI565" i="9"/>
  <c r="Q12" i="12" s="1"/>
  <c r="AJ565" i="9"/>
  <c r="K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N23" i="12" s="1"/>
  <c r="AI571" i="9"/>
  <c r="Q23" i="12" s="1"/>
  <c r="AJ571" i="9"/>
  <c r="K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N15" i="12" s="1"/>
  <c r="AI575" i="9"/>
  <c r="Q15" i="12" s="1"/>
  <c r="AJ575" i="9"/>
  <c r="K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N13" i="12" s="1"/>
  <c r="AI593" i="9"/>
  <c r="Q13" i="12" s="1"/>
  <c r="AJ593" i="9"/>
  <c r="K13" i="12" s="1"/>
  <c r="AG594" i="9"/>
  <c r="AH594" i="9"/>
  <c r="N39" i="12" s="1"/>
  <c r="AI594" i="9"/>
  <c r="Q39" i="12" s="1"/>
  <c r="AJ594" i="9"/>
  <c r="K39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N19" i="12" s="1"/>
  <c r="AI621" i="9"/>
  <c r="Q19" i="12" s="1"/>
  <c r="AJ621" i="9"/>
  <c r="K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N26" i="12" s="1"/>
  <c r="AI648" i="9"/>
  <c r="Q26" i="12" s="1"/>
  <c r="AJ648" i="9"/>
  <c r="K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N24" i="12" s="1"/>
  <c r="AI652" i="9"/>
  <c r="Q24" i="12" s="1"/>
  <c r="AJ652" i="9"/>
  <c r="K24" i="12" s="1"/>
  <c r="AG653" i="9"/>
  <c r="AH653" i="9"/>
  <c r="AI653" i="9"/>
  <c r="AJ653" i="9"/>
  <c r="AG654" i="9"/>
  <c r="AH654" i="9"/>
  <c r="N29" i="12" s="1"/>
  <c r="AI654" i="9"/>
  <c r="Q29" i="12" s="1"/>
  <c r="AJ654" i="9"/>
  <c r="K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N25" i="12" s="1"/>
  <c r="AI668" i="9"/>
  <c r="Q25" i="12" s="1"/>
  <c r="AJ668" i="9"/>
  <c r="K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N51" i="12" s="1"/>
  <c r="AI678" i="9"/>
  <c r="Q51" i="12" s="1"/>
  <c r="AJ678" i="9"/>
  <c r="K51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N2" i="12" s="1"/>
  <c r="AI683" i="9"/>
  <c r="Q2" i="12" s="1"/>
  <c r="AJ683" i="9"/>
  <c r="K2" i="12" s="1"/>
  <c r="AG684" i="9"/>
  <c r="AH684" i="9"/>
  <c r="AI684" i="9"/>
  <c r="AJ684" i="9"/>
  <c r="AG685" i="9"/>
  <c r="AH685" i="9"/>
  <c r="AI685" i="9"/>
  <c r="AJ685" i="9"/>
  <c r="AG686" i="9"/>
  <c r="AH686" i="9"/>
  <c r="N5" i="12" s="1"/>
  <c r="AI686" i="9"/>
  <c r="Q5" i="12" s="1"/>
  <c r="AJ686" i="9"/>
  <c r="K5" i="12" s="1"/>
  <c r="AG687" i="9"/>
  <c r="AH687" i="9"/>
  <c r="AI687" i="9"/>
  <c r="AJ687" i="9"/>
  <c r="AG688" i="9"/>
  <c r="AH688" i="9"/>
  <c r="N41" i="12" s="1"/>
  <c r="AI688" i="9"/>
  <c r="Q41" i="12" s="1"/>
  <c r="AJ688" i="9"/>
  <c r="K41" i="12" s="1"/>
  <c r="AG689" i="9"/>
  <c r="AH689" i="9"/>
  <c r="N36" i="12" s="1"/>
  <c r="AI689" i="9"/>
  <c r="Q36" i="12" s="1"/>
  <c r="AJ689" i="9"/>
  <c r="K36" i="12" s="1"/>
  <c r="AI2" i="9"/>
  <c r="AH2" i="9"/>
  <c r="AA475" i="10"/>
  <c r="AB475" i="10"/>
  <c r="N32" i="11" s="1"/>
  <c r="AC475" i="10"/>
  <c r="Q32" i="11" s="1"/>
  <c r="AD475" i="10"/>
  <c r="K32" i="11" s="1"/>
  <c r="AA476" i="10"/>
  <c r="AB476" i="10"/>
  <c r="N3" i="11" s="1"/>
  <c r="AC476" i="10"/>
  <c r="Q3" i="11" s="1"/>
  <c r="AD476" i="10"/>
  <c r="K3" i="11" s="1"/>
  <c r="AA477" i="10"/>
  <c r="AB477" i="10"/>
  <c r="N26" i="11" s="1"/>
  <c r="AC477" i="10"/>
  <c r="AD477" i="10"/>
  <c r="K26" i="11" s="1"/>
  <c r="AA478" i="10"/>
  <c r="AB478" i="10"/>
  <c r="N12" i="11" s="1"/>
  <c r="AC478" i="10"/>
  <c r="Q12" i="11" s="1"/>
  <c r="AD478" i="10"/>
  <c r="K12" i="11" s="1"/>
  <c r="AA479" i="10"/>
  <c r="AB479" i="10"/>
  <c r="N20" i="11" s="1"/>
  <c r="AC479" i="10"/>
  <c r="Q20" i="11" s="1"/>
  <c r="AD479" i="10"/>
  <c r="K20" i="11" s="1"/>
  <c r="AA480" i="10"/>
  <c r="AB480" i="10"/>
  <c r="N43" i="11" s="1"/>
  <c r="AC480" i="10"/>
  <c r="Q43" i="11" s="1"/>
  <c r="AD480" i="10"/>
  <c r="K43" i="11" s="1"/>
  <c r="AA481" i="10"/>
  <c r="AB481" i="10"/>
  <c r="N30" i="11" s="1"/>
  <c r="AC481" i="10"/>
  <c r="AD481" i="10"/>
  <c r="K30" i="11" s="1"/>
  <c r="AA482" i="10"/>
  <c r="AB482" i="10"/>
  <c r="N41" i="11" s="1"/>
  <c r="AC482" i="10"/>
  <c r="Q41" i="11" s="1"/>
  <c r="AD482" i="10"/>
  <c r="K41" i="11" s="1"/>
  <c r="AA483" i="10"/>
  <c r="AB483" i="10"/>
  <c r="N9" i="11" s="1"/>
  <c r="AC483" i="10"/>
  <c r="Q9" i="11" s="1"/>
  <c r="AD483" i="10"/>
  <c r="K9" i="11" s="1"/>
  <c r="AA484" i="10"/>
  <c r="AB484" i="10"/>
  <c r="N10" i="11" s="1"/>
  <c r="AC484" i="10"/>
  <c r="Q10" i="11" s="1"/>
  <c r="AD484" i="10"/>
  <c r="K10" i="11" s="1"/>
  <c r="AA485" i="10"/>
  <c r="AB485" i="10"/>
  <c r="N29" i="11" s="1"/>
  <c r="AC485" i="10"/>
  <c r="AD485" i="10"/>
  <c r="K29" i="11" s="1"/>
  <c r="AA486" i="10"/>
  <c r="AB486" i="10"/>
  <c r="N2" i="11" s="1"/>
  <c r="AC486" i="10"/>
  <c r="Q2" i="11" s="1"/>
  <c r="AD486" i="10"/>
  <c r="K2" i="11" s="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F2" i="11"/>
  <c r="G2" i="11"/>
  <c r="H2" i="11" a="1"/>
  <c r="H2" i="11" s="1"/>
  <c r="I2" i="11"/>
  <c r="J2" i="11"/>
  <c r="L2" i="11"/>
  <c r="M2" i="11" s="1"/>
  <c r="O2" i="11"/>
  <c r="P2" i="11" s="1"/>
  <c r="S43" i="11"/>
  <c r="T43" i="11"/>
  <c r="U43" i="11"/>
  <c r="V43" i="11"/>
  <c r="W43" i="11"/>
  <c r="X43" i="11"/>
  <c r="Y43" i="11"/>
  <c r="Z43" i="11"/>
  <c r="AA43" i="11"/>
  <c r="AB43" i="11"/>
  <c r="AC43" i="11"/>
  <c r="AD43" i="11"/>
  <c r="AE43" i="11"/>
  <c r="AF43" i="11"/>
  <c r="AG43" i="11"/>
  <c r="R43" i="11"/>
  <c r="F43" i="11"/>
  <c r="G43" i="11"/>
  <c r="H43" i="11" a="1"/>
  <c r="H43" i="11" s="1"/>
  <c r="I43" i="11"/>
  <c r="J43" i="11"/>
  <c r="L43" i="11"/>
  <c r="M43" i="11" s="1"/>
  <c r="O43" i="11"/>
  <c r="P43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N15" i="11" s="1"/>
  <c r="AC471" i="10"/>
  <c r="Q15" i="11" s="1"/>
  <c r="AD471" i="10"/>
  <c r="K15" i="11" s="1"/>
  <c r="AA472" i="10"/>
  <c r="AB472" i="10"/>
  <c r="AC472" i="10"/>
  <c r="AD472" i="10"/>
  <c r="AA473" i="10"/>
  <c r="AB473" i="10"/>
  <c r="AC473" i="10"/>
  <c r="AD473" i="10"/>
  <c r="AA474" i="10"/>
  <c r="AB474" i="10"/>
  <c r="N50" i="11" s="1"/>
  <c r="AC474" i="10"/>
  <c r="Q50" i="11" s="1"/>
  <c r="AD474" i="10"/>
  <c r="K50" i="11" s="1"/>
  <c r="AA451" i="10"/>
  <c r="AB451" i="10"/>
  <c r="N47" i="11" s="1"/>
  <c r="AC451" i="10"/>
  <c r="Q47" i="11" s="1"/>
  <c r="AD451" i="10"/>
  <c r="K47" i="11" s="1"/>
  <c r="AA452" i="10"/>
  <c r="AB452" i="10"/>
  <c r="N18" i="11" s="1"/>
  <c r="AC452" i="10"/>
  <c r="Q18" i="11" s="1"/>
  <c r="AD452" i="10"/>
  <c r="K18" i="11" s="1"/>
  <c r="AA453" i="10"/>
  <c r="AB453" i="10"/>
  <c r="N44" i="11" s="1"/>
  <c r="AC453" i="10"/>
  <c r="Q44" i="11" s="1"/>
  <c r="AD453" i="10"/>
  <c r="K44" i="11" s="1"/>
  <c r="AA454" i="10"/>
  <c r="AB454" i="10"/>
  <c r="AC454" i="10"/>
  <c r="AD454" i="10"/>
  <c r="AA455" i="10"/>
  <c r="AB455" i="10"/>
  <c r="AC455" i="10"/>
  <c r="AD455" i="10"/>
  <c r="AA456" i="10"/>
  <c r="AB456" i="10"/>
  <c r="N8" i="11" s="1"/>
  <c r="AC456" i="10"/>
  <c r="Q8" i="11" s="1"/>
  <c r="AD456" i="10"/>
  <c r="K8" i="11" s="1"/>
  <c r="AA457" i="10"/>
  <c r="AB457" i="10"/>
  <c r="N49" i="11" s="1"/>
  <c r="AC457" i="10"/>
  <c r="Q49" i="11" s="1"/>
  <c r="AD457" i="10"/>
  <c r="K49" i="11" s="1"/>
  <c r="AA458" i="10"/>
  <c r="AB458" i="10"/>
  <c r="N4" i="11" s="1"/>
  <c r="AC458" i="10"/>
  <c r="Q4" i="11" s="1"/>
  <c r="AD458" i="10"/>
  <c r="K4" i="11" s="1"/>
  <c r="AA459" i="10"/>
  <c r="AB459" i="10"/>
  <c r="AC459" i="10"/>
  <c r="AD459" i="10"/>
  <c r="AA460" i="10"/>
  <c r="AB460" i="10"/>
  <c r="N7" i="11" s="1"/>
  <c r="AC460" i="10"/>
  <c r="Q7" i="11" s="1"/>
  <c r="AD460" i="10"/>
  <c r="K7" i="11" s="1"/>
  <c r="AA461" i="10"/>
  <c r="AB461" i="10"/>
  <c r="N11" i="11" s="1"/>
  <c r="AC461" i="10"/>
  <c r="Q11" i="11" s="1"/>
  <c r="AD461" i="10"/>
  <c r="K11" i="11" s="1"/>
  <c r="AA462" i="10"/>
  <c r="AB462" i="10"/>
  <c r="N27" i="11" s="1"/>
  <c r="AC462" i="10"/>
  <c r="Q27" i="11" s="1"/>
  <c r="AD462" i="10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R42" i="12"/>
  <c r="F42" i="12"/>
  <c r="G42" i="12"/>
  <c r="H42" i="12" a="1"/>
  <c r="H42" i="12" s="1"/>
  <c r="I42" i="12"/>
  <c r="J42" i="12"/>
  <c r="L42" i="12"/>
  <c r="M42" i="12" s="1"/>
  <c r="O42" i="12"/>
  <c r="P42" i="12" s="1"/>
  <c r="AA441" i="10"/>
  <c r="AB441" i="10"/>
  <c r="AC441" i="10"/>
  <c r="AD441" i="10"/>
  <c r="AA442" i="10"/>
  <c r="AB442" i="10"/>
  <c r="N6" i="11" s="1"/>
  <c r="AC442" i="10"/>
  <c r="Q6" i="11" s="1"/>
  <c r="AD442" i="10"/>
  <c r="K6" i="11" s="1"/>
  <c r="AA443" i="10"/>
  <c r="AB443" i="10"/>
  <c r="AC443" i="10"/>
  <c r="AD443" i="10"/>
  <c r="AA444" i="10"/>
  <c r="AB444" i="10"/>
  <c r="AC444" i="10"/>
  <c r="AD444" i="10"/>
  <c r="AA445" i="10"/>
  <c r="AB445" i="10"/>
  <c r="N23" i="11" s="1"/>
  <c r="AC445" i="10"/>
  <c r="Q23" i="11" s="1"/>
  <c r="AD445" i="10"/>
  <c r="K23" i="11" s="1"/>
  <c r="AA446" i="10"/>
  <c r="AB446" i="10"/>
  <c r="AC446" i="10"/>
  <c r="AD446" i="10"/>
  <c r="AA447" i="10"/>
  <c r="AB447" i="10"/>
  <c r="N14" i="11" s="1"/>
  <c r="AC447" i="10"/>
  <c r="Q14" i="11" s="1"/>
  <c r="AD447" i="10"/>
  <c r="K14" i="11" s="1"/>
  <c r="AA448" i="10"/>
  <c r="AB448" i="10"/>
  <c r="AC448" i="10"/>
  <c r="AD448" i="10"/>
  <c r="AA449" i="10"/>
  <c r="AB449" i="10"/>
  <c r="AC449" i="10"/>
  <c r="AD449" i="10"/>
  <c r="AA450" i="10"/>
  <c r="AB450" i="10"/>
  <c r="N22" i="11" s="1"/>
  <c r="AC450" i="10"/>
  <c r="Q22" i="11" s="1"/>
  <c r="AD450" i="10"/>
  <c r="K22" i="11" s="1"/>
  <c r="F48" i="11"/>
  <c r="G48" i="11"/>
  <c r="H48" i="11" a="1"/>
  <c r="H48" i="11" s="1"/>
  <c r="I48" i="11"/>
  <c r="J48" i="11"/>
  <c r="L48" i="11"/>
  <c r="M48" i="11" s="1"/>
  <c r="O48" i="11"/>
  <c r="P48" i="11" s="1"/>
  <c r="F38" i="11"/>
  <c r="G38" i="11"/>
  <c r="H38" i="11" a="1"/>
  <c r="H38" i="11" s="1"/>
  <c r="I38" i="11"/>
  <c r="J38" i="11"/>
  <c r="L38" i="11"/>
  <c r="M38" i="11" s="1"/>
  <c r="O38" i="11"/>
  <c r="P38" i="11" s="1"/>
  <c r="S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S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R38" i="11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R23" i="12"/>
  <c r="F23" i="12"/>
  <c r="G23" i="12"/>
  <c r="H23" i="12" a="1"/>
  <c r="H23" i="12" s="1"/>
  <c r="I23" i="12"/>
  <c r="J23" i="12"/>
  <c r="L23" i="12"/>
  <c r="M23" i="12" s="1"/>
  <c r="O23" i="12"/>
  <c r="P23" i="12" s="1"/>
  <c r="O2" i="12"/>
  <c r="R7" i="12"/>
  <c r="R6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R58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R56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R55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R54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R53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R52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R48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R47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R46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R45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R43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R35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R34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R33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R26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R25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R24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R12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R11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R10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R8" i="12"/>
  <c r="F15" i="12"/>
  <c r="G15" i="12"/>
  <c r="H15" i="12" a="1"/>
  <c r="H15" i="12" s="1"/>
  <c r="I15" i="12"/>
  <c r="J15" i="12"/>
  <c r="L15" i="12"/>
  <c r="M15" i="12" s="1"/>
  <c r="O15" i="12"/>
  <c r="P15" i="12" s="1"/>
  <c r="AA415" i="10"/>
  <c r="AB415" i="10"/>
  <c r="N39" i="11" s="1"/>
  <c r="AC415" i="10"/>
  <c r="Q39" i="11" s="1"/>
  <c r="AD415" i="10"/>
  <c r="K39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N33" i="11" s="1"/>
  <c r="AC435" i="10"/>
  <c r="Q33" i="11" s="1"/>
  <c r="AD435" i="10"/>
  <c r="K33" i="11" s="1"/>
  <c r="AA436" i="10"/>
  <c r="AB436" i="10"/>
  <c r="N45" i="11" s="1"/>
  <c r="AC436" i="10"/>
  <c r="Q45" i="11" s="1"/>
  <c r="AD436" i="10"/>
  <c r="K45" i="11" s="1"/>
  <c r="AA437" i="10"/>
  <c r="AB437" i="10"/>
  <c r="AC437" i="10"/>
  <c r="AD437" i="10"/>
  <c r="AA438" i="10"/>
  <c r="AB438" i="10"/>
  <c r="N48" i="11" s="1"/>
  <c r="AC438" i="10"/>
  <c r="Q48" i="11" s="1"/>
  <c r="AD438" i="10"/>
  <c r="K48" i="11" s="1"/>
  <c r="AA439" i="10"/>
  <c r="AB439" i="10"/>
  <c r="AC439" i="10"/>
  <c r="AD439" i="10"/>
  <c r="AA440" i="10"/>
  <c r="AB440" i="10"/>
  <c r="AC440" i="10"/>
  <c r="AD440" i="10"/>
  <c r="R36" i="11"/>
  <c r="F24" i="12"/>
  <c r="G24" i="12"/>
  <c r="H24" i="12" a="1"/>
  <c r="H24" i="12" s="1"/>
  <c r="I24" i="12"/>
  <c r="J24" i="12"/>
  <c r="L24" i="12"/>
  <c r="M24" i="12" s="1"/>
  <c r="O24" i="12"/>
  <c r="P24" i="12" s="1"/>
  <c r="S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R40" i="11"/>
  <c r="F40" i="11"/>
  <c r="G40" i="11"/>
  <c r="H40" i="11" a="1"/>
  <c r="H40" i="11" s="1"/>
  <c r="I40" i="11"/>
  <c r="J40" i="11"/>
  <c r="L40" i="11"/>
  <c r="M40" i="11" s="1"/>
  <c r="O40" i="11"/>
  <c r="P40" i="11" s="1"/>
  <c r="S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R29" i="11"/>
  <c r="F29" i="11"/>
  <c r="G29" i="11"/>
  <c r="H29" i="11" a="1"/>
  <c r="H29" i="11" s="1"/>
  <c r="I29" i="11"/>
  <c r="J29" i="11"/>
  <c r="L29" i="11"/>
  <c r="M29" i="11" s="1"/>
  <c r="O29" i="11"/>
  <c r="P29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N38" i="11" s="1"/>
  <c r="AC414" i="10"/>
  <c r="Q38" i="11" s="1"/>
  <c r="AD414" i="10"/>
  <c r="K38" i="11" s="1"/>
  <c r="S46" i="11"/>
  <c r="T46" i="1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R46" i="11"/>
  <c r="F46" i="11"/>
  <c r="G46" i="11"/>
  <c r="H46" i="11" a="1"/>
  <c r="H46" i="11" s="1"/>
  <c r="I46" i="11"/>
  <c r="J46" i="11"/>
  <c r="L46" i="11"/>
  <c r="M46" i="11" s="1"/>
  <c r="O46" i="11"/>
  <c r="P46" i="11" s="1"/>
  <c r="AA390" i="10"/>
  <c r="AB390" i="10"/>
  <c r="AC390" i="10"/>
  <c r="AD390" i="10"/>
  <c r="AA391" i="10"/>
  <c r="AB391" i="10"/>
  <c r="AC391" i="10"/>
  <c r="AD391" i="10"/>
  <c r="AA392" i="10"/>
  <c r="AB392" i="10"/>
  <c r="N35" i="11" s="1"/>
  <c r="AC392" i="10"/>
  <c r="Q35" i="11" s="1"/>
  <c r="AD392" i="10"/>
  <c r="K35" i="11" s="1"/>
  <c r="AA393" i="10"/>
  <c r="AB393" i="10"/>
  <c r="N17" i="11" s="1"/>
  <c r="AC393" i="10"/>
  <c r="Q17" i="11" s="1"/>
  <c r="AD393" i="10"/>
  <c r="K17" i="11" s="1"/>
  <c r="AA394" i="10"/>
  <c r="AB394" i="10"/>
  <c r="AC394" i="10"/>
  <c r="AD394" i="10"/>
  <c r="AA395" i="10"/>
  <c r="AB395" i="10"/>
  <c r="AC395" i="10"/>
  <c r="AD395" i="10"/>
  <c r="AA396" i="10"/>
  <c r="AB396" i="10"/>
  <c r="N46" i="11" s="1"/>
  <c r="AC396" i="10"/>
  <c r="Q46" i="11" s="1"/>
  <c r="AD396" i="10"/>
  <c r="K46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R10" i="11"/>
  <c r="F10" i="11"/>
  <c r="G10" i="11"/>
  <c r="H10" i="11" a="1"/>
  <c r="H10" i="11" s="1"/>
  <c r="I10" i="11"/>
  <c r="J10" i="11"/>
  <c r="L10" i="11"/>
  <c r="M10" i="11" s="1"/>
  <c r="O10" i="11"/>
  <c r="P10" i="11" s="1"/>
  <c r="F12" i="12"/>
  <c r="G12" i="12"/>
  <c r="H12" i="12" a="1"/>
  <c r="H12" i="12" s="1"/>
  <c r="I12" i="12"/>
  <c r="J12" i="12"/>
  <c r="L12" i="12"/>
  <c r="M12" i="12" s="1"/>
  <c r="O12" i="12"/>
  <c r="P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A3" i="11"/>
  <c r="AA4" i="11"/>
  <c r="AA5" i="11"/>
  <c r="AA6" i="11"/>
  <c r="AA8" i="11"/>
  <c r="AA9" i="11"/>
  <c r="AA11" i="11"/>
  <c r="AA12" i="11"/>
  <c r="AA14" i="11"/>
  <c r="AA15" i="11"/>
  <c r="AA16" i="11"/>
  <c r="AA17" i="11"/>
  <c r="AA18" i="11"/>
  <c r="AA20" i="11"/>
  <c r="AA21" i="11"/>
  <c r="AA22" i="11"/>
  <c r="AA23" i="11"/>
  <c r="AA24" i="11"/>
  <c r="AA25" i="11"/>
  <c r="AA26" i="11"/>
  <c r="AA27" i="11"/>
  <c r="AA28" i="11"/>
  <c r="AA30" i="11"/>
  <c r="AA31" i="11"/>
  <c r="AA32" i="11"/>
  <c r="AA33" i="11"/>
  <c r="AA34" i="11"/>
  <c r="AA35" i="11"/>
  <c r="AA36" i="11"/>
  <c r="AA39" i="11"/>
  <c r="AA41" i="11"/>
  <c r="AA44" i="11"/>
  <c r="AA45" i="11"/>
  <c r="AA47" i="11"/>
  <c r="AA48" i="11"/>
  <c r="AA49" i="11"/>
  <c r="AA50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AK2" i="12"/>
  <c r="AL2" i="12"/>
  <c r="AM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48" i="12"/>
  <c r="M48" i="12" s="1"/>
  <c r="O48" i="12"/>
  <c r="P48" i="12" s="1"/>
  <c r="I48" i="12"/>
  <c r="J48" i="12"/>
  <c r="F48" i="12"/>
  <c r="G48" i="12"/>
  <c r="H48" i="12" a="1"/>
  <c r="H48" i="12" s="1"/>
  <c r="AA377" i="10"/>
  <c r="AB377" i="10"/>
  <c r="AC377" i="10"/>
  <c r="AD377" i="10"/>
  <c r="AA361" i="10"/>
  <c r="AB361" i="10"/>
  <c r="N36" i="11" s="1"/>
  <c r="AC361" i="10"/>
  <c r="Q36" i="11" s="1"/>
  <c r="AD361" i="10"/>
  <c r="K36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S48" i="11"/>
  <c r="T48" i="11"/>
  <c r="U48" i="11"/>
  <c r="V48" i="11"/>
  <c r="W48" i="11"/>
  <c r="X48" i="11"/>
  <c r="Y48" i="11"/>
  <c r="Z48" i="11"/>
  <c r="AB48" i="11"/>
  <c r="AC48" i="11"/>
  <c r="AD48" i="11"/>
  <c r="AE48" i="11"/>
  <c r="AF48" i="11"/>
  <c r="AG48" i="11"/>
  <c r="R48" i="11"/>
  <c r="F34" i="12"/>
  <c r="G34" i="12"/>
  <c r="H34" i="12" a="1"/>
  <c r="H34" i="12" s="1"/>
  <c r="I34" i="12"/>
  <c r="J34" i="12"/>
  <c r="L34" i="12"/>
  <c r="O34" i="12"/>
  <c r="P34" i="12" s="1"/>
  <c r="F35" i="12"/>
  <c r="G35" i="12"/>
  <c r="H35" i="12" a="1"/>
  <c r="H35" i="12" s="1"/>
  <c r="I35" i="12"/>
  <c r="J35" i="12"/>
  <c r="L35" i="12"/>
  <c r="M35" i="12" s="1"/>
  <c r="O35" i="12"/>
  <c r="P35" i="12" s="1"/>
  <c r="K27" i="11" l="1"/>
  <c r="K40" i="11"/>
  <c r="N40" i="11"/>
  <c r="Q40" i="11"/>
  <c r="Q29" i="11"/>
  <c r="Q30" i="11"/>
  <c r="Q26" i="11"/>
  <c r="P2" i="12"/>
  <c r="M34" i="12"/>
  <c r="L21" i="12"/>
  <c r="M21" i="12" s="1"/>
  <c r="O21" i="12"/>
  <c r="P21" i="12" s="1"/>
  <c r="I21" i="12"/>
  <c r="J21" i="12"/>
  <c r="F21" i="12"/>
  <c r="G21" i="12"/>
  <c r="H21" i="12" a="1"/>
  <c r="H21" i="12" s="1"/>
  <c r="I41" i="12"/>
  <c r="J41" i="12"/>
  <c r="L41" i="12"/>
  <c r="M41" i="12" s="1"/>
  <c r="O41" i="12"/>
  <c r="P41" i="12" s="1"/>
  <c r="F41" i="12"/>
  <c r="G41" i="12"/>
  <c r="H41" i="12" a="1"/>
  <c r="H41" i="12" s="1"/>
  <c r="S3" i="11"/>
  <c r="T3" i="11"/>
  <c r="U3" i="11"/>
  <c r="V3" i="11"/>
  <c r="W3" i="11"/>
  <c r="X3" i="11"/>
  <c r="Y3" i="11"/>
  <c r="Z3" i="11"/>
  <c r="AB3" i="11"/>
  <c r="AC3" i="11"/>
  <c r="AD3" i="11"/>
  <c r="AE3" i="11"/>
  <c r="AF3" i="11"/>
  <c r="AG3" i="11"/>
  <c r="R3" i="11"/>
  <c r="O3" i="11"/>
  <c r="P3" i="11" s="1"/>
  <c r="L3" i="11"/>
  <c r="M3" i="11" s="1"/>
  <c r="J3" i="11"/>
  <c r="I3" i="11"/>
  <c r="H3" i="11" a="1"/>
  <c r="H3" i="11" s="1"/>
  <c r="G3" i="11"/>
  <c r="F3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S22" i="11"/>
  <c r="T22" i="11"/>
  <c r="U22" i="11"/>
  <c r="V22" i="11"/>
  <c r="W22" i="11"/>
  <c r="X22" i="11"/>
  <c r="Y22" i="11"/>
  <c r="Z22" i="11"/>
  <c r="AB22" i="11"/>
  <c r="AC22" i="11"/>
  <c r="AD22" i="11"/>
  <c r="AE22" i="11"/>
  <c r="AF22" i="11"/>
  <c r="AG22" i="11"/>
  <c r="R22" i="11"/>
  <c r="O22" i="11"/>
  <c r="P22" i="11" s="1"/>
  <c r="L22" i="11"/>
  <c r="J22" i="11"/>
  <c r="I22" i="11"/>
  <c r="G22" i="11"/>
  <c r="F22" i="11"/>
  <c r="H22" i="11" a="1"/>
  <c r="H22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M16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0" i="12"/>
  <c r="P10" i="12" s="1"/>
  <c r="O11" i="12"/>
  <c r="P11" i="12" s="1"/>
  <c r="O13" i="12"/>
  <c r="P13" i="12" s="1"/>
  <c r="O45" i="12"/>
  <c r="P45" i="12" s="1"/>
  <c r="O14" i="12"/>
  <c r="P14" i="12" s="1"/>
  <c r="O16" i="12"/>
  <c r="P16" i="12" s="1"/>
  <c r="O17" i="12"/>
  <c r="P17" i="12" s="1"/>
  <c r="O18" i="12"/>
  <c r="P18" i="12" s="1"/>
  <c r="O19" i="12"/>
  <c r="P19" i="12" s="1"/>
  <c r="O20" i="12"/>
  <c r="P20" i="12" s="1"/>
  <c r="O22" i="12"/>
  <c r="P22" i="12" s="1"/>
  <c r="O25" i="12"/>
  <c r="P25" i="12" s="1"/>
  <c r="O26" i="12"/>
  <c r="P26" i="12" s="1"/>
  <c r="O27" i="12"/>
  <c r="P27" i="12" s="1"/>
  <c r="O28" i="12"/>
  <c r="P28" i="12" s="1"/>
  <c r="O29" i="12"/>
  <c r="P29" i="12" s="1"/>
  <c r="P30" i="12"/>
  <c r="O33" i="12"/>
  <c r="P33" i="12" s="1"/>
  <c r="O36" i="12"/>
  <c r="P36" i="12" s="1"/>
  <c r="O37" i="12"/>
  <c r="P37" i="12" s="1"/>
  <c r="O38" i="12"/>
  <c r="P38" i="12" s="1"/>
  <c r="O39" i="12"/>
  <c r="P39" i="12" s="1"/>
  <c r="O40" i="12"/>
  <c r="P40" i="12" s="1"/>
  <c r="O43" i="12"/>
  <c r="P43" i="12" s="1"/>
  <c r="O46" i="12"/>
  <c r="P46" i="12" s="1"/>
  <c r="O47" i="12"/>
  <c r="P47" i="12" s="1"/>
  <c r="O49" i="12"/>
  <c r="P49" i="12" s="1"/>
  <c r="O50" i="12"/>
  <c r="P50" i="12" s="1"/>
  <c r="O51" i="12"/>
  <c r="P51" i="12" s="1"/>
  <c r="O52" i="12"/>
  <c r="P52" i="12" s="1"/>
  <c r="O53" i="12"/>
  <c r="P53" i="12" s="1"/>
  <c r="O54" i="12"/>
  <c r="P54" i="12" s="1"/>
  <c r="O55" i="12"/>
  <c r="P55" i="12" s="1"/>
  <c r="O56" i="12"/>
  <c r="P56" i="12" s="1"/>
  <c r="O57" i="12"/>
  <c r="P57" i="12" s="1"/>
  <c r="O58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5" i="12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3" i="12"/>
  <c r="M33" i="12" s="1"/>
  <c r="L36" i="12"/>
  <c r="M36" i="12" s="1"/>
  <c r="L37" i="12"/>
  <c r="M37" i="12" s="1"/>
  <c r="L38" i="12"/>
  <c r="M38" i="12" s="1"/>
  <c r="L39" i="12"/>
  <c r="M39" i="12" s="1"/>
  <c r="L40" i="12"/>
  <c r="M40" i="12" s="1"/>
  <c r="L43" i="12"/>
  <c r="M43" i="12" s="1"/>
  <c r="L46" i="12"/>
  <c r="M46" i="12" s="1"/>
  <c r="L47" i="12"/>
  <c r="M47" i="12" s="1"/>
  <c r="L49" i="12"/>
  <c r="M49" i="12" s="1"/>
  <c r="L50" i="12"/>
  <c r="M50" i="12" s="1"/>
  <c r="L51" i="12"/>
  <c r="M51" i="12" s="1"/>
  <c r="L52" i="12"/>
  <c r="M52" i="12" s="1"/>
  <c r="L53" i="12"/>
  <c r="M53" i="12" s="1"/>
  <c r="L54" i="12"/>
  <c r="M54" i="12" s="1"/>
  <c r="L55" i="12"/>
  <c r="M55" i="12" s="1"/>
  <c r="L56" i="12"/>
  <c r="M56" i="12" s="1"/>
  <c r="L57" i="12"/>
  <c r="M57" i="12" s="1"/>
  <c r="L58" i="12"/>
  <c r="M58" i="12" s="1"/>
  <c r="L3" i="12"/>
  <c r="M3" i="12" s="1"/>
  <c r="J4" i="12"/>
  <c r="J5" i="12"/>
  <c r="J6" i="12"/>
  <c r="J7" i="12"/>
  <c r="J8" i="12"/>
  <c r="J9" i="12"/>
  <c r="J10" i="12"/>
  <c r="J11" i="12"/>
  <c r="J13" i="12"/>
  <c r="J45" i="12"/>
  <c r="J14" i="12"/>
  <c r="J16" i="12"/>
  <c r="J17" i="12"/>
  <c r="J18" i="12"/>
  <c r="J19" i="12"/>
  <c r="J20" i="12"/>
  <c r="J22" i="12"/>
  <c r="J25" i="12"/>
  <c r="J26" i="12"/>
  <c r="J27" i="12"/>
  <c r="J28" i="12"/>
  <c r="J29" i="12"/>
  <c r="J30" i="12"/>
  <c r="J33" i="12"/>
  <c r="J36" i="12"/>
  <c r="J37" i="12"/>
  <c r="J38" i="12"/>
  <c r="J39" i="12"/>
  <c r="J40" i="12"/>
  <c r="J43" i="12"/>
  <c r="J46" i="12"/>
  <c r="J47" i="12"/>
  <c r="J49" i="12"/>
  <c r="J50" i="12"/>
  <c r="J51" i="12"/>
  <c r="J52" i="12"/>
  <c r="J53" i="12"/>
  <c r="J54" i="12"/>
  <c r="J55" i="12"/>
  <c r="J56" i="12"/>
  <c r="J57" i="12"/>
  <c r="J58" i="12"/>
  <c r="J3" i="12"/>
  <c r="I45" i="12"/>
  <c r="I14" i="12"/>
  <c r="I16" i="12"/>
  <c r="I17" i="12"/>
  <c r="I18" i="12"/>
  <c r="I19" i="12"/>
  <c r="I20" i="12"/>
  <c r="I22" i="12"/>
  <c r="I25" i="12"/>
  <c r="I26" i="12"/>
  <c r="I27" i="12"/>
  <c r="I28" i="12"/>
  <c r="I29" i="12"/>
  <c r="I30" i="12"/>
  <c r="I33" i="12"/>
  <c r="I36" i="12"/>
  <c r="I37" i="12"/>
  <c r="I38" i="12"/>
  <c r="I39" i="12"/>
  <c r="I40" i="12"/>
  <c r="I43" i="12"/>
  <c r="I46" i="12"/>
  <c r="I47" i="12"/>
  <c r="I49" i="12"/>
  <c r="I50" i="12"/>
  <c r="I51" i="12"/>
  <c r="I52" i="12"/>
  <c r="I53" i="12"/>
  <c r="I54" i="12"/>
  <c r="I55" i="12"/>
  <c r="I56" i="12"/>
  <c r="I57" i="12"/>
  <c r="I58" i="12"/>
  <c r="I4" i="12"/>
  <c r="I5" i="12"/>
  <c r="I6" i="12"/>
  <c r="I7" i="12"/>
  <c r="I8" i="12"/>
  <c r="I9" i="12"/>
  <c r="I10" i="12"/>
  <c r="I11" i="12"/>
  <c r="I13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0" i="12" a="1"/>
  <c r="H10" i="12" s="1"/>
  <c r="H11" i="12" a="1"/>
  <c r="H11" i="12" s="1"/>
  <c r="H13" i="12" a="1"/>
  <c r="H13" i="12" s="1"/>
  <c r="H45" i="12" a="1"/>
  <c r="H45" i="12" s="1"/>
  <c r="H14" i="12" a="1"/>
  <c r="H14" i="12" s="1"/>
  <c r="H16" i="12" a="1"/>
  <c r="H16" i="12" s="1"/>
  <c r="H17" i="12" a="1"/>
  <c r="H17" i="12" s="1"/>
  <c r="H18" i="12" a="1"/>
  <c r="H18" i="12" s="1"/>
  <c r="H19" i="12" a="1"/>
  <c r="H19" i="12" s="1"/>
  <c r="H20" i="12" a="1"/>
  <c r="H20" i="12" s="1"/>
  <c r="H22" i="12" a="1"/>
  <c r="H22" i="12" s="1"/>
  <c r="H25" i="12" a="1"/>
  <c r="H25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3" i="12" a="1"/>
  <c r="H33" i="12" s="1"/>
  <c r="H36" i="12" a="1"/>
  <c r="H36" i="12" s="1"/>
  <c r="H37" i="12" a="1"/>
  <c r="H37" i="12" s="1"/>
  <c r="H38" i="12" a="1"/>
  <c r="H38" i="12" s="1"/>
  <c r="H39" i="12" a="1"/>
  <c r="H39" i="12" s="1"/>
  <c r="H40" i="12" a="1"/>
  <c r="H40" i="12" s="1"/>
  <c r="H43" i="12" a="1"/>
  <c r="H43" i="12" s="1"/>
  <c r="H46" i="12" a="1"/>
  <c r="H46" i="12" s="1"/>
  <c r="H47" i="12" a="1"/>
  <c r="H47" i="12" s="1"/>
  <c r="H49" i="12" a="1"/>
  <c r="H49" i="12" s="1"/>
  <c r="H50" i="12" a="1"/>
  <c r="H50" i="12" s="1"/>
  <c r="H51" i="12" a="1"/>
  <c r="H51" i="12" s="1"/>
  <c r="H52" i="12" a="1"/>
  <c r="H52" i="12" s="1"/>
  <c r="H53" i="12" a="1"/>
  <c r="H53" i="12" s="1"/>
  <c r="H54" i="12" a="1"/>
  <c r="H54" i="12" s="1"/>
  <c r="H55" i="12" a="1"/>
  <c r="H55" i="12" s="1"/>
  <c r="H56" i="12" a="1"/>
  <c r="H56" i="12" s="1"/>
  <c r="H57" i="12" a="1"/>
  <c r="H57" i="12" s="1"/>
  <c r="H58" i="12" a="1"/>
  <c r="H58" i="12" s="1"/>
  <c r="H3" i="12" a="1"/>
  <c r="H3" i="12" s="1"/>
  <c r="G45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3" i="12"/>
  <c r="G36" i="12"/>
  <c r="G37" i="12"/>
  <c r="G38" i="12"/>
  <c r="G39" i="12"/>
  <c r="G40" i="12"/>
  <c r="G43" i="12"/>
  <c r="G46" i="12"/>
  <c r="G47" i="12"/>
  <c r="G49" i="12"/>
  <c r="G50" i="12"/>
  <c r="G51" i="12"/>
  <c r="G52" i="12"/>
  <c r="G53" i="12"/>
  <c r="G54" i="12"/>
  <c r="G55" i="12"/>
  <c r="G56" i="12"/>
  <c r="G57" i="12"/>
  <c r="G58" i="12"/>
  <c r="G4" i="12"/>
  <c r="G5" i="12"/>
  <c r="G6" i="12"/>
  <c r="G7" i="12"/>
  <c r="G8" i="12"/>
  <c r="G9" i="12"/>
  <c r="G10" i="12"/>
  <c r="G11" i="12"/>
  <c r="G13" i="12"/>
  <c r="G3" i="12"/>
  <c r="F4" i="12"/>
  <c r="F5" i="12"/>
  <c r="F6" i="12"/>
  <c r="F7" i="12"/>
  <c r="F8" i="12"/>
  <c r="F9" i="12"/>
  <c r="F10" i="12"/>
  <c r="F11" i="12"/>
  <c r="F13" i="12"/>
  <c r="F45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3" i="12"/>
  <c r="F36" i="12"/>
  <c r="F37" i="12"/>
  <c r="F38" i="12"/>
  <c r="F39" i="12"/>
  <c r="F40" i="12"/>
  <c r="F43" i="12"/>
  <c r="F46" i="12"/>
  <c r="F47" i="12"/>
  <c r="F49" i="12"/>
  <c r="F50" i="12"/>
  <c r="F51" i="12"/>
  <c r="F52" i="12"/>
  <c r="F53" i="12"/>
  <c r="F54" i="12"/>
  <c r="F55" i="12"/>
  <c r="F56" i="12"/>
  <c r="F57" i="12"/>
  <c r="F58" i="12"/>
  <c r="F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S50" i="11"/>
  <c r="T50" i="11"/>
  <c r="U50" i="11"/>
  <c r="V50" i="11"/>
  <c r="W50" i="11"/>
  <c r="X50" i="11"/>
  <c r="Y50" i="11"/>
  <c r="Z50" i="11"/>
  <c r="AB50" i="11"/>
  <c r="AC50" i="11"/>
  <c r="AD50" i="11"/>
  <c r="AE50" i="11"/>
  <c r="AF50" i="11"/>
  <c r="AG50" i="11"/>
  <c r="R50" i="11"/>
  <c r="S49" i="11"/>
  <c r="T49" i="11"/>
  <c r="U49" i="11"/>
  <c r="V49" i="11"/>
  <c r="W49" i="11"/>
  <c r="X49" i="11"/>
  <c r="Y49" i="11"/>
  <c r="Z49" i="11"/>
  <c r="AB49" i="11"/>
  <c r="AC49" i="11"/>
  <c r="AD49" i="11"/>
  <c r="AE49" i="11"/>
  <c r="AF49" i="11"/>
  <c r="AG49" i="11"/>
  <c r="R49" i="11"/>
  <c r="S47" i="11"/>
  <c r="T47" i="11"/>
  <c r="U47" i="11"/>
  <c r="V47" i="11"/>
  <c r="W47" i="11"/>
  <c r="X47" i="11"/>
  <c r="Y47" i="11"/>
  <c r="Z47" i="11"/>
  <c r="AB47" i="11"/>
  <c r="AC47" i="11"/>
  <c r="AD47" i="11"/>
  <c r="AE47" i="11"/>
  <c r="AF47" i="11"/>
  <c r="AG47" i="11"/>
  <c r="R47" i="11"/>
  <c r="S45" i="11"/>
  <c r="T45" i="11"/>
  <c r="U45" i="11"/>
  <c r="V45" i="11"/>
  <c r="W45" i="11"/>
  <c r="X45" i="11"/>
  <c r="Y45" i="11"/>
  <c r="Z45" i="11"/>
  <c r="AB45" i="11"/>
  <c r="AC45" i="11"/>
  <c r="AD45" i="11"/>
  <c r="AE45" i="11"/>
  <c r="AF45" i="11"/>
  <c r="AG45" i="11"/>
  <c r="R45" i="11"/>
  <c r="S44" i="11"/>
  <c r="T44" i="11"/>
  <c r="U44" i="11"/>
  <c r="V44" i="11"/>
  <c r="W44" i="11"/>
  <c r="X44" i="11"/>
  <c r="Y44" i="11"/>
  <c r="Z44" i="11"/>
  <c r="AB44" i="11"/>
  <c r="AC44" i="11"/>
  <c r="AD44" i="11"/>
  <c r="AE44" i="11"/>
  <c r="AF44" i="11"/>
  <c r="AG44" i="11"/>
  <c r="R44" i="11"/>
  <c r="S41" i="11"/>
  <c r="T41" i="11"/>
  <c r="U41" i="11"/>
  <c r="V41" i="11"/>
  <c r="W41" i="11"/>
  <c r="X41" i="11"/>
  <c r="Y41" i="11"/>
  <c r="Z41" i="11"/>
  <c r="AB41" i="11"/>
  <c r="AC41" i="11"/>
  <c r="AD41" i="11"/>
  <c r="AE41" i="11"/>
  <c r="AF41" i="11"/>
  <c r="AG41" i="11"/>
  <c r="R41" i="11"/>
  <c r="S39" i="11"/>
  <c r="T39" i="11"/>
  <c r="U39" i="11"/>
  <c r="V39" i="11"/>
  <c r="W39" i="11"/>
  <c r="X39" i="11"/>
  <c r="Y39" i="11"/>
  <c r="Z39" i="11"/>
  <c r="AB39" i="11"/>
  <c r="AC39" i="11"/>
  <c r="AD39" i="11"/>
  <c r="AE39" i="11"/>
  <c r="AF39" i="11"/>
  <c r="AG39" i="11"/>
  <c r="R39" i="11"/>
  <c r="S36" i="11"/>
  <c r="T36" i="11"/>
  <c r="U36" i="11"/>
  <c r="V36" i="11"/>
  <c r="W36" i="11"/>
  <c r="X36" i="11"/>
  <c r="Y36" i="11"/>
  <c r="Z36" i="11"/>
  <c r="AB36" i="11"/>
  <c r="AC36" i="11"/>
  <c r="AD36" i="11"/>
  <c r="AE36" i="11"/>
  <c r="AF36" i="11"/>
  <c r="AG36" i="11"/>
  <c r="S35" i="11"/>
  <c r="T35" i="11"/>
  <c r="U35" i="11"/>
  <c r="V35" i="11"/>
  <c r="W35" i="11"/>
  <c r="X35" i="11"/>
  <c r="Y35" i="11"/>
  <c r="Z35" i="11"/>
  <c r="AB35" i="11"/>
  <c r="AC35" i="11"/>
  <c r="AD35" i="11"/>
  <c r="AE35" i="11"/>
  <c r="AF35" i="11"/>
  <c r="AG35" i="11"/>
  <c r="R35" i="11"/>
  <c r="S34" i="11"/>
  <c r="T34" i="11"/>
  <c r="U34" i="11"/>
  <c r="V34" i="11"/>
  <c r="W34" i="11"/>
  <c r="X34" i="11"/>
  <c r="Y34" i="11"/>
  <c r="Z34" i="11"/>
  <c r="AB34" i="11"/>
  <c r="AC34" i="11"/>
  <c r="AD34" i="11"/>
  <c r="AE34" i="11"/>
  <c r="AF34" i="11"/>
  <c r="AG34" i="11"/>
  <c r="R34" i="11"/>
  <c r="S33" i="11"/>
  <c r="T33" i="11"/>
  <c r="U33" i="11"/>
  <c r="V33" i="11"/>
  <c r="W33" i="11"/>
  <c r="X33" i="11"/>
  <c r="Y33" i="11"/>
  <c r="Z33" i="11"/>
  <c r="AB33" i="11"/>
  <c r="AC33" i="11"/>
  <c r="AD33" i="11"/>
  <c r="AE33" i="11"/>
  <c r="AF33" i="11"/>
  <c r="AG33" i="11"/>
  <c r="R33" i="11"/>
  <c r="S32" i="11"/>
  <c r="T32" i="11"/>
  <c r="U32" i="11"/>
  <c r="V32" i="11"/>
  <c r="W32" i="11"/>
  <c r="X32" i="11"/>
  <c r="Y32" i="11"/>
  <c r="Z32" i="11"/>
  <c r="AB32" i="11"/>
  <c r="AC32" i="11"/>
  <c r="AD32" i="11"/>
  <c r="AE32" i="11"/>
  <c r="AF32" i="11"/>
  <c r="AG32" i="11"/>
  <c r="R32" i="11"/>
  <c r="S31" i="11"/>
  <c r="T31" i="11"/>
  <c r="U31" i="11"/>
  <c r="V31" i="11"/>
  <c r="W31" i="11"/>
  <c r="X31" i="11"/>
  <c r="Y31" i="11"/>
  <c r="Z31" i="11"/>
  <c r="AB31" i="11"/>
  <c r="AC31" i="11"/>
  <c r="AD31" i="11"/>
  <c r="AE31" i="11"/>
  <c r="AF31" i="11"/>
  <c r="AG31" i="11"/>
  <c r="R31" i="11"/>
  <c r="S30" i="11"/>
  <c r="T30" i="11"/>
  <c r="U30" i="11"/>
  <c r="V30" i="11"/>
  <c r="W30" i="11"/>
  <c r="X30" i="11"/>
  <c r="Y30" i="11"/>
  <c r="Z30" i="11"/>
  <c r="AB30" i="11"/>
  <c r="AC30" i="11"/>
  <c r="AD30" i="11"/>
  <c r="AE30" i="11"/>
  <c r="AF30" i="11"/>
  <c r="AG30" i="11"/>
  <c r="R30" i="11"/>
  <c r="S28" i="11"/>
  <c r="T28" i="11"/>
  <c r="U28" i="11"/>
  <c r="V28" i="11"/>
  <c r="W28" i="11"/>
  <c r="X28" i="11"/>
  <c r="Y28" i="11"/>
  <c r="Z28" i="11"/>
  <c r="AB28" i="11"/>
  <c r="AC28" i="11"/>
  <c r="AD28" i="11"/>
  <c r="AE28" i="11"/>
  <c r="AF28" i="11"/>
  <c r="AG28" i="11"/>
  <c r="R28" i="11"/>
  <c r="S27" i="11"/>
  <c r="T27" i="11"/>
  <c r="U27" i="11"/>
  <c r="V27" i="11"/>
  <c r="W27" i="11"/>
  <c r="X27" i="11"/>
  <c r="Y27" i="11"/>
  <c r="Z27" i="11"/>
  <c r="AB27" i="11"/>
  <c r="AC27" i="11"/>
  <c r="AD27" i="11"/>
  <c r="AE27" i="11"/>
  <c r="AF27" i="11"/>
  <c r="AG27" i="11"/>
  <c r="R27" i="11"/>
  <c r="S26" i="11"/>
  <c r="T26" i="11"/>
  <c r="U26" i="11"/>
  <c r="V26" i="11"/>
  <c r="W26" i="11"/>
  <c r="X26" i="11"/>
  <c r="Y26" i="11"/>
  <c r="Z26" i="11"/>
  <c r="AB26" i="11"/>
  <c r="AC26" i="11"/>
  <c r="AD26" i="11"/>
  <c r="AE26" i="11"/>
  <c r="AF26" i="11"/>
  <c r="AG26" i="11"/>
  <c r="R26" i="11"/>
  <c r="S25" i="11"/>
  <c r="T25" i="11"/>
  <c r="U25" i="11"/>
  <c r="V25" i="11"/>
  <c r="W25" i="11"/>
  <c r="X25" i="11"/>
  <c r="Y25" i="11"/>
  <c r="Z25" i="11"/>
  <c r="AB25" i="11"/>
  <c r="AC25" i="11"/>
  <c r="AD25" i="11"/>
  <c r="AE25" i="11"/>
  <c r="AF25" i="11"/>
  <c r="AG25" i="11"/>
  <c r="R25" i="11"/>
  <c r="S24" i="11"/>
  <c r="T24" i="11"/>
  <c r="U24" i="11"/>
  <c r="V24" i="11"/>
  <c r="W24" i="11"/>
  <c r="X24" i="11"/>
  <c r="Y24" i="11"/>
  <c r="Z24" i="11"/>
  <c r="AB24" i="11"/>
  <c r="AC24" i="11"/>
  <c r="AD24" i="11"/>
  <c r="AE24" i="11"/>
  <c r="AF24" i="11"/>
  <c r="AG24" i="11"/>
  <c r="R24" i="11"/>
  <c r="S23" i="11"/>
  <c r="T23" i="11"/>
  <c r="U23" i="11"/>
  <c r="V23" i="11"/>
  <c r="W23" i="11"/>
  <c r="X23" i="11"/>
  <c r="Y23" i="11"/>
  <c r="Z23" i="11"/>
  <c r="AB23" i="11"/>
  <c r="AC23" i="11"/>
  <c r="AD23" i="11"/>
  <c r="AE23" i="11"/>
  <c r="AF23" i="11"/>
  <c r="AG23" i="11"/>
  <c r="R23" i="11"/>
  <c r="S21" i="11"/>
  <c r="T21" i="11"/>
  <c r="U21" i="11"/>
  <c r="V21" i="11"/>
  <c r="W21" i="11"/>
  <c r="X21" i="11"/>
  <c r="Y21" i="11"/>
  <c r="Z21" i="11"/>
  <c r="AB21" i="11"/>
  <c r="AC21" i="11"/>
  <c r="AD21" i="11"/>
  <c r="AE21" i="11"/>
  <c r="AF21" i="11"/>
  <c r="AG21" i="11"/>
  <c r="R21" i="11"/>
  <c r="S20" i="11"/>
  <c r="T20" i="11"/>
  <c r="U20" i="11"/>
  <c r="V20" i="11"/>
  <c r="W20" i="11"/>
  <c r="X20" i="11"/>
  <c r="Y20" i="11"/>
  <c r="Z20" i="11"/>
  <c r="AB20" i="11"/>
  <c r="AC20" i="11"/>
  <c r="AD20" i="11"/>
  <c r="AE20" i="11"/>
  <c r="AF20" i="11"/>
  <c r="AG20" i="11"/>
  <c r="R20" i="11"/>
  <c r="S18" i="11"/>
  <c r="T18" i="11"/>
  <c r="U18" i="11"/>
  <c r="V18" i="11"/>
  <c r="W18" i="11"/>
  <c r="X18" i="11"/>
  <c r="Y18" i="11"/>
  <c r="Z18" i="11"/>
  <c r="AB18" i="11"/>
  <c r="AC18" i="11"/>
  <c r="AD18" i="11"/>
  <c r="AE18" i="11"/>
  <c r="AF18" i="11"/>
  <c r="AG18" i="11"/>
  <c r="R18" i="11"/>
  <c r="S17" i="11"/>
  <c r="T17" i="11"/>
  <c r="U17" i="11"/>
  <c r="V17" i="11"/>
  <c r="W17" i="11"/>
  <c r="X17" i="11"/>
  <c r="Y17" i="11"/>
  <c r="Z17" i="11"/>
  <c r="AB17" i="11"/>
  <c r="AC17" i="11"/>
  <c r="AD17" i="11"/>
  <c r="AE17" i="11"/>
  <c r="AF17" i="11"/>
  <c r="AG17" i="11"/>
  <c r="R17" i="11"/>
  <c r="S16" i="11"/>
  <c r="T16" i="11"/>
  <c r="U16" i="11"/>
  <c r="V16" i="11"/>
  <c r="W16" i="11"/>
  <c r="X16" i="11"/>
  <c r="Y16" i="11"/>
  <c r="Z16" i="11"/>
  <c r="AB16" i="11"/>
  <c r="AC16" i="11"/>
  <c r="AD16" i="11"/>
  <c r="AE16" i="11"/>
  <c r="AF16" i="11"/>
  <c r="AG16" i="11"/>
  <c r="R16" i="11"/>
  <c r="S15" i="11"/>
  <c r="T15" i="11"/>
  <c r="U15" i="11"/>
  <c r="V15" i="11"/>
  <c r="W15" i="11"/>
  <c r="X15" i="11"/>
  <c r="Y15" i="11"/>
  <c r="Z15" i="11"/>
  <c r="AB15" i="11"/>
  <c r="AC15" i="11"/>
  <c r="AD15" i="11"/>
  <c r="AE15" i="11"/>
  <c r="AF15" i="11"/>
  <c r="AG15" i="11"/>
  <c r="R15" i="11"/>
  <c r="S12" i="11"/>
  <c r="T12" i="11"/>
  <c r="U12" i="11"/>
  <c r="V12" i="11"/>
  <c r="W12" i="11"/>
  <c r="X12" i="11"/>
  <c r="Y12" i="11"/>
  <c r="Z12" i="11"/>
  <c r="AB12" i="11"/>
  <c r="AC12" i="11"/>
  <c r="AD12" i="11"/>
  <c r="AE12" i="11"/>
  <c r="AF12" i="11"/>
  <c r="AG12" i="11"/>
  <c r="R12" i="11"/>
  <c r="S11" i="11"/>
  <c r="T11" i="11"/>
  <c r="U11" i="11"/>
  <c r="V11" i="11"/>
  <c r="W11" i="11"/>
  <c r="X11" i="11"/>
  <c r="Y11" i="11"/>
  <c r="Z11" i="11"/>
  <c r="AB11" i="11"/>
  <c r="AC11" i="11"/>
  <c r="AD11" i="11"/>
  <c r="AE11" i="11"/>
  <c r="AF11" i="11"/>
  <c r="AG11" i="11"/>
  <c r="R11" i="11"/>
  <c r="S9" i="11"/>
  <c r="T9" i="11"/>
  <c r="U9" i="11"/>
  <c r="V9" i="11"/>
  <c r="W9" i="11"/>
  <c r="X9" i="11"/>
  <c r="Y9" i="11"/>
  <c r="Z9" i="11"/>
  <c r="AB9" i="11"/>
  <c r="AC9" i="11"/>
  <c r="AD9" i="11"/>
  <c r="AE9" i="11"/>
  <c r="AF9" i="11"/>
  <c r="AG9" i="11"/>
  <c r="R9" i="11"/>
  <c r="S8" i="11"/>
  <c r="T8" i="11"/>
  <c r="U8" i="11"/>
  <c r="V8" i="11"/>
  <c r="W8" i="11"/>
  <c r="X8" i="11"/>
  <c r="Y8" i="11"/>
  <c r="Z8" i="11"/>
  <c r="AB8" i="11"/>
  <c r="AC8" i="11"/>
  <c r="AD8" i="11"/>
  <c r="AE8" i="11"/>
  <c r="AF8" i="11"/>
  <c r="AG8" i="11"/>
  <c r="R8" i="11"/>
  <c r="R7" i="11"/>
  <c r="S6" i="11"/>
  <c r="T6" i="11"/>
  <c r="U6" i="11"/>
  <c r="V6" i="11"/>
  <c r="W6" i="11"/>
  <c r="X6" i="11"/>
  <c r="Y6" i="11"/>
  <c r="Z6" i="11"/>
  <c r="AB6" i="11"/>
  <c r="AC6" i="11"/>
  <c r="AD6" i="11"/>
  <c r="AE6" i="11"/>
  <c r="AF6" i="11"/>
  <c r="AG6" i="11"/>
  <c r="R6" i="11"/>
  <c r="S5" i="11"/>
  <c r="T5" i="11"/>
  <c r="U5" i="11"/>
  <c r="V5" i="11"/>
  <c r="W5" i="11"/>
  <c r="X5" i="11"/>
  <c r="Y5" i="11"/>
  <c r="Z5" i="11"/>
  <c r="AB5" i="11"/>
  <c r="AC5" i="11"/>
  <c r="AD5" i="11"/>
  <c r="AE5" i="11"/>
  <c r="AF5" i="11"/>
  <c r="AG5" i="11"/>
  <c r="R5" i="11"/>
  <c r="S4" i="11"/>
  <c r="T4" i="11"/>
  <c r="U4" i="11"/>
  <c r="V4" i="11"/>
  <c r="W4" i="11"/>
  <c r="X4" i="11"/>
  <c r="Y4" i="11"/>
  <c r="Z4" i="11"/>
  <c r="AB4" i="11"/>
  <c r="AC4" i="11"/>
  <c r="AD4" i="11"/>
  <c r="AE4" i="11"/>
  <c r="AF4" i="11"/>
  <c r="AG4" i="11"/>
  <c r="R4" i="11"/>
  <c r="S14" i="11"/>
  <c r="T14" i="11"/>
  <c r="U14" i="11"/>
  <c r="V14" i="11"/>
  <c r="W14" i="11"/>
  <c r="X14" i="11"/>
  <c r="Y14" i="11"/>
  <c r="Z14" i="11"/>
  <c r="AB14" i="11"/>
  <c r="AC14" i="11"/>
  <c r="AD14" i="11"/>
  <c r="AE14" i="11"/>
  <c r="AF14" i="11"/>
  <c r="AG14" i="11"/>
  <c r="R14" i="11"/>
  <c r="O4" i="11"/>
  <c r="P4" i="11" s="1"/>
  <c r="L5" i="11"/>
  <c r="M5" i="11" s="1"/>
  <c r="L6" i="11"/>
  <c r="M6" i="11" s="1"/>
  <c r="L7" i="11"/>
  <c r="M7" i="11" s="1"/>
  <c r="L8" i="11"/>
  <c r="M8" i="11" s="1"/>
  <c r="L9" i="11"/>
  <c r="M9" i="11" s="1"/>
  <c r="L11" i="11"/>
  <c r="M11" i="11" s="1"/>
  <c r="L12" i="11"/>
  <c r="M12" i="11" s="1"/>
  <c r="L14" i="11"/>
  <c r="M14" i="11" s="1"/>
  <c r="L15" i="11"/>
  <c r="M15" i="11" s="1"/>
  <c r="L16" i="11"/>
  <c r="M16" i="11" s="1"/>
  <c r="L17" i="11"/>
  <c r="M17" i="11" s="1"/>
  <c r="L18" i="11"/>
  <c r="M18" i="11" s="1"/>
  <c r="L20" i="11"/>
  <c r="M20" i="11" s="1"/>
  <c r="L21" i="11"/>
  <c r="M21" i="11" s="1"/>
  <c r="L23" i="11"/>
  <c r="M23" i="11" s="1"/>
  <c r="L24" i="11"/>
  <c r="M24" i="11" s="1"/>
  <c r="L25" i="11"/>
  <c r="M25" i="11" s="1"/>
  <c r="L26" i="11"/>
  <c r="M26" i="11" s="1"/>
  <c r="L27" i="11"/>
  <c r="M27" i="11" s="1"/>
  <c r="L28" i="11"/>
  <c r="M28" i="11" s="1"/>
  <c r="L30" i="11"/>
  <c r="M30" i="11" s="1"/>
  <c r="L31" i="11"/>
  <c r="M31" i="11" s="1"/>
  <c r="L32" i="11"/>
  <c r="M32" i="11" s="1"/>
  <c r="L33" i="11"/>
  <c r="M33" i="11" s="1"/>
  <c r="L34" i="11"/>
  <c r="M34" i="11" s="1"/>
  <c r="L35" i="11"/>
  <c r="M35" i="11" s="1"/>
  <c r="L36" i="11"/>
  <c r="M36" i="11" s="1"/>
  <c r="L39" i="11"/>
  <c r="M39" i="11" s="1"/>
  <c r="L41" i="11"/>
  <c r="M41" i="11" s="1"/>
  <c r="L44" i="11"/>
  <c r="M44" i="11" s="1"/>
  <c r="L45" i="11"/>
  <c r="M45" i="11" s="1"/>
  <c r="L47" i="11"/>
  <c r="M47" i="11" s="1"/>
  <c r="L49" i="11"/>
  <c r="M49" i="11" s="1"/>
  <c r="L50" i="11"/>
  <c r="M50" i="11" s="1"/>
  <c r="L4" i="11"/>
  <c r="M4" i="11" s="1"/>
  <c r="J5" i="11"/>
  <c r="J6" i="11"/>
  <c r="J7" i="11"/>
  <c r="J8" i="11"/>
  <c r="J9" i="11"/>
  <c r="J11" i="11"/>
  <c r="J12" i="11"/>
  <c r="J14" i="11"/>
  <c r="J15" i="11"/>
  <c r="J16" i="11"/>
  <c r="J17" i="11"/>
  <c r="J18" i="11"/>
  <c r="J20" i="11"/>
  <c r="J21" i="11"/>
  <c r="J23" i="11"/>
  <c r="J24" i="11"/>
  <c r="J25" i="11"/>
  <c r="J26" i="11"/>
  <c r="J27" i="11"/>
  <c r="J28" i="11"/>
  <c r="J30" i="11"/>
  <c r="J31" i="11"/>
  <c r="J32" i="11"/>
  <c r="J33" i="11"/>
  <c r="J34" i="11"/>
  <c r="J35" i="11"/>
  <c r="J36" i="11"/>
  <c r="J39" i="11"/>
  <c r="J41" i="11"/>
  <c r="J44" i="11"/>
  <c r="J45" i="11"/>
  <c r="J47" i="11"/>
  <c r="J49" i="11"/>
  <c r="J50" i="11"/>
  <c r="J4" i="11"/>
  <c r="I5" i="11"/>
  <c r="I6" i="11"/>
  <c r="I7" i="11"/>
  <c r="I8" i="11"/>
  <c r="I9" i="11"/>
  <c r="I11" i="11"/>
  <c r="I12" i="11"/>
  <c r="I14" i="11"/>
  <c r="I15" i="11"/>
  <c r="I16" i="11"/>
  <c r="I17" i="11"/>
  <c r="I18" i="11"/>
  <c r="I20" i="11"/>
  <c r="I21" i="11"/>
  <c r="I23" i="11"/>
  <c r="I24" i="11"/>
  <c r="I25" i="11"/>
  <c r="I26" i="11"/>
  <c r="I27" i="11"/>
  <c r="I28" i="11"/>
  <c r="I30" i="11"/>
  <c r="I31" i="11"/>
  <c r="I32" i="11"/>
  <c r="I33" i="11"/>
  <c r="I34" i="11"/>
  <c r="I35" i="11"/>
  <c r="I36" i="11"/>
  <c r="I39" i="11"/>
  <c r="I41" i="11"/>
  <c r="I44" i="11"/>
  <c r="I45" i="11"/>
  <c r="I47" i="11"/>
  <c r="I49" i="11"/>
  <c r="I50" i="11"/>
  <c r="I4" i="11"/>
  <c r="O5" i="11"/>
  <c r="P5" i="11" s="1"/>
  <c r="O6" i="11"/>
  <c r="P6" i="11" s="1"/>
  <c r="O7" i="11"/>
  <c r="P7" i="11" s="1"/>
  <c r="O8" i="11"/>
  <c r="P8" i="11" s="1"/>
  <c r="O9" i="11"/>
  <c r="P9" i="11" s="1"/>
  <c r="O12" i="11"/>
  <c r="P12" i="11" s="1"/>
  <c r="O14" i="11"/>
  <c r="P14" i="11" s="1"/>
  <c r="O15" i="11"/>
  <c r="P15" i="11" s="1"/>
  <c r="O16" i="11"/>
  <c r="P16" i="11" s="1"/>
  <c r="O17" i="11"/>
  <c r="P17" i="11" s="1"/>
  <c r="O18" i="11"/>
  <c r="P18" i="11" s="1"/>
  <c r="O20" i="11"/>
  <c r="P20" i="11" s="1"/>
  <c r="O21" i="11"/>
  <c r="P21" i="11" s="1"/>
  <c r="O23" i="11"/>
  <c r="P23" i="11" s="1"/>
  <c r="O24" i="11"/>
  <c r="P24" i="11" s="1"/>
  <c r="O25" i="11"/>
  <c r="P25" i="11" s="1"/>
  <c r="O26" i="11"/>
  <c r="P26" i="11" s="1"/>
  <c r="O27" i="11"/>
  <c r="O28" i="11"/>
  <c r="P28" i="11" s="1"/>
  <c r="O30" i="11"/>
  <c r="P30" i="11" s="1"/>
  <c r="O31" i="11"/>
  <c r="P31" i="11" s="1"/>
  <c r="O32" i="11"/>
  <c r="P32" i="11" s="1"/>
  <c r="O33" i="11"/>
  <c r="P33" i="11" s="1"/>
  <c r="O34" i="11"/>
  <c r="P34" i="11" s="1"/>
  <c r="O35" i="11"/>
  <c r="P35" i="11" s="1"/>
  <c r="O36" i="11"/>
  <c r="P36" i="11" s="1"/>
  <c r="O39" i="11"/>
  <c r="P39" i="11" s="1"/>
  <c r="O41" i="11"/>
  <c r="P41" i="11" s="1"/>
  <c r="O44" i="11"/>
  <c r="P44" i="11" s="1"/>
  <c r="O45" i="11"/>
  <c r="P45" i="11" s="1"/>
  <c r="O47" i="11"/>
  <c r="P47" i="11" s="1"/>
  <c r="O49" i="11"/>
  <c r="P49" i="11" s="1"/>
  <c r="O50" i="11"/>
  <c r="P50" i="11" s="1"/>
  <c r="H12" i="11" a="1"/>
  <c r="H12" i="11" s="1"/>
  <c r="H14" i="11" a="1"/>
  <c r="H14" i="11" s="1"/>
  <c r="H15" i="11" a="1"/>
  <c r="H15" i="11" s="1"/>
  <c r="H16" i="11" a="1"/>
  <c r="H16" i="11" s="1"/>
  <c r="H17" i="11" a="1"/>
  <c r="H17" i="11" s="1"/>
  <c r="H18" i="11" a="1"/>
  <c r="H18" i="11" s="1"/>
  <c r="H20" i="11" a="1"/>
  <c r="H20" i="11" s="1"/>
  <c r="H21" i="11" a="1"/>
  <c r="H21" i="11" s="1"/>
  <c r="H23" i="11" a="1"/>
  <c r="H23" i="11" s="1"/>
  <c r="H24" i="11" a="1"/>
  <c r="H24" i="11" s="1"/>
  <c r="H25" i="11" a="1"/>
  <c r="H25" i="11" s="1"/>
  <c r="H26" i="11" a="1"/>
  <c r="H26" i="11" s="1"/>
  <c r="H27" i="11" a="1"/>
  <c r="H27" i="11" s="1"/>
  <c r="H28" i="11" a="1"/>
  <c r="H28" i="11" s="1"/>
  <c r="H30" i="11" a="1"/>
  <c r="H30" i="11" s="1"/>
  <c r="H31" i="11" a="1"/>
  <c r="H31" i="11" s="1"/>
  <c r="H32" i="11" a="1"/>
  <c r="H32" i="11" s="1"/>
  <c r="H33" i="11" a="1"/>
  <c r="H33" i="11" s="1"/>
  <c r="H34" i="11" a="1"/>
  <c r="H34" i="11" s="1"/>
  <c r="H35" i="11" a="1"/>
  <c r="H35" i="11" s="1"/>
  <c r="H36" i="11" a="1"/>
  <c r="H36" i="11" s="1"/>
  <c r="H39" i="11" a="1"/>
  <c r="H39" i="11" s="1"/>
  <c r="H41" i="11" a="1"/>
  <c r="H41" i="11" s="1"/>
  <c r="H44" i="11" a="1"/>
  <c r="H44" i="11" s="1"/>
  <c r="H45" i="11" a="1"/>
  <c r="H45" i="11" s="1"/>
  <c r="H47" i="11" a="1"/>
  <c r="H47" i="11" s="1"/>
  <c r="H49" i="11" a="1"/>
  <c r="H49" i="11" s="1"/>
  <c r="H50" i="11" a="1"/>
  <c r="H50" i="11" s="1"/>
  <c r="H4" i="11" a="1"/>
  <c r="H4" i="11" s="1"/>
  <c r="H5" i="11" a="1"/>
  <c r="H5" i="11" s="1"/>
  <c r="H6" i="11" a="1"/>
  <c r="H6" i="11" s="1"/>
  <c r="H7" i="11" a="1"/>
  <c r="H7" i="11" s="1"/>
  <c r="H8" i="11" a="1"/>
  <c r="H8" i="11" s="1"/>
  <c r="H9" i="11" a="1"/>
  <c r="H9" i="11" s="1"/>
  <c r="H11" i="11" a="1"/>
  <c r="H11" i="11" s="1"/>
  <c r="G4" i="11"/>
  <c r="G5" i="11"/>
  <c r="G6" i="11"/>
  <c r="G7" i="11"/>
  <c r="G8" i="11"/>
  <c r="G9" i="11"/>
  <c r="G12" i="11"/>
  <c r="G14" i="11"/>
  <c r="G15" i="11"/>
  <c r="G16" i="11"/>
  <c r="G17" i="11"/>
  <c r="G18" i="11"/>
  <c r="G20" i="11"/>
  <c r="G21" i="11"/>
  <c r="G23" i="11"/>
  <c r="G24" i="11"/>
  <c r="G25" i="11"/>
  <c r="G26" i="11"/>
  <c r="G27" i="11"/>
  <c r="G28" i="11"/>
  <c r="G30" i="11"/>
  <c r="G31" i="11"/>
  <c r="G32" i="11"/>
  <c r="G33" i="11"/>
  <c r="G34" i="11"/>
  <c r="G35" i="11"/>
  <c r="G36" i="11"/>
  <c r="G39" i="11"/>
  <c r="G41" i="11"/>
  <c r="G44" i="11"/>
  <c r="G45" i="11"/>
  <c r="G47" i="11"/>
  <c r="G49" i="11"/>
  <c r="G50" i="11"/>
  <c r="F11" i="11"/>
  <c r="F12" i="11"/>
  <c r="F14" i="11"/>
  <c r="F15" i="11"/>
  <c r="F16" i="11"/>
  <c r="F17" i="11"/>
  <c r="F18" i="11"/>
  <c r="F20" i="11"/>
  <c r="F21" i="11"/>
  <c r="F23" i="11"/>
  <c r="F24" i="11"/>
  <c r="F25" i="11"/>
  <c r="F26" i="11"/>
  <c r="F27" i="11"/>
  <c r="F28" i="11"/>
  <c r="F30" i="11"/>
  <c r="F31" i="11"/>
  <c r="F32" i="11"/>
  <c r="F33" i="11"/>
  <c r="F34" i="11"/>
  <c r="F35" i="11"/>
  <c r="F36" i="11"/>
  <c r="F39" i="11"/>
  <c r="F41" i="11"/>
  <c r="F44" i="11"/>
  <c r="F45" i="11"/>
  <c r="F47" i="11"/>
  <c r="F49" i="11"/>
  <c r="F50" i="11"/>
  <c r="F4" i="11"/>
  <c r="F5" i="11"/>
  <c r="F6" i="11"/>
  <c r="F7" i="11"/>
  <c r="F8" i="11"/>
  <c r="F9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O11" i="11"/>
  <c r="P11" i="11" s="1"/>
  <c r="G11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K34" i="11" l="1"/>
  <c r="Q34" i="11"/>
  <c r="N34" i="11"/>
  <c r="K16" i="11"/>
  <c r="Q16" i="11"/>
  <c r="N16" i="11"/>
  <c r="K24" i="11"/>
  <c r="Q24" i="11"/>
  <c r="N24" i="11"/>
  <c r="K31" i="11"/>
  <c r="Q31" i="11"/>
  <c r="N31" i="11"/>
  <c r="K28" i="11"/>
  <c r="Q28" i="11"/>
  <c r="N28" i="11"/>
  <c r="K21" i="11"/>
  <c r="Q21" i="11"/>
  <c r="N21" i="11"/>
  <c r="K5" i="11"/>
  <c r="Q5" i="11"/>
  <c r="N5" i="11"/>
  <c r="K25" i="11"/>
  <c r="Q25" i="11"/>
  <c r="N25" i="11"/>
  <c r="M22" i="11"/>
  <c r="M45" i="12"/>
  <c r="P27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<sst xmlns="http://schemas.openxmlformats.org/spreadsheetml/2006/main" count="3593" uniqueCount="171">
  <si>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</si>
  <si>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</si>
  <si>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</si>
  <si>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</si>
  <si>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</si>
  <si>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</si>
  <si>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</si>
  <si>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</si>
  <si>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</si>
  <si>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</si>
  <si>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</si>
  <si>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</si>
  <si>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</si>
  <si>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</si>
  <si>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</si>
  <si>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</si>
  <si>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</si>
  <si>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</si>
  <si>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</si>
  <si>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</si>
  <si>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</si>
  <si>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</si>
  <si>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</si>
  <si>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</si>
  <si>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</si>
  <si>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</si>
  <si>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</si>
  <si>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</si>
  <si>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</si>
  <si>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</si>
  <si>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</si>
  <si>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</si>
  <si>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</si>
  <si>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</si>
  <si>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</si>
  <si>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</si>
  <si>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</si>
  <si>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</si>
  <si>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</si>
  <si>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</si>
  <si>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</si>
  <si>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</si>
  <si>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</si>
  <si>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</si>
  <si>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</si>
  <si>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</si>
  <si>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</si>
  <si>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</si>
  <si>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</si>
  <si>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</si>
  <si>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</si>
  <si>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</si>
  <si>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</si>
  <si>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</si>
  <si>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</si>
  <si>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</si>
  <si>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</si>
  <si>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</si>
  <si>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</si>
  <si>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</si>
  <si>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</si>
  <si>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</si>
  <si>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</si>
  <si>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</si>
  <si>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</si>
  <si>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</si>
  <si>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</si>
  <si>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</si>
  <si>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</si>
  <si>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</si>
  <si>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</si>
  <si>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</si>
  <si>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</si>
  <si>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</si>
  <si>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</si>
  <si>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</si>
  <si>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</si>
  <si>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</si>
  <si>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</si>
  <si>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</si>
  <si>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</si>
  <si>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</si>
  <si>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</si>
  <si>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</si>
  <si>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</si>
  <si>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</si>
  <si>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</si>
  <si>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</si>
  <si>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</si>
  <si>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</si>
  <si>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</si>
  <si>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</si>
  <si>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</si>
  <si>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</si>
  <si>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</si>
  <si>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</si>
  <si>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</si>
  <si>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</si>
  <si>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</si>
  <si>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</si>
  <si>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</si>
  <si>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</si>
  <si>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</si>
  <si>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</si>
  <si>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</si>
  <si>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</si>
  <si>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</si>
  <si>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</si>
  <si>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</si>
  <si>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</si>
  <si>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</si>
  <si>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</si>
  <si>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</si>
  <si>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</si>
  <si>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</si>
  <si>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</si>
  <si>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</si>
  <si>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</si>
  <si>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</si>
  <si>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</si>
  <si>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</si>
  <si>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</si>
  <si>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</si>
  <si>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</si>
  <si>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</si>
  <si>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</si>
  <si>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</si>
  <si>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</si>
  <si>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</si>
  <si>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</si>
  <si>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</si>
  <si>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</si>
  <si>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</si>
  <si>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</si>
  <si>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</si>
  <si>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</si>
  <si>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</si>
  <si>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</si>
  <si>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</si>
  <si>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</si>
  <si>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</si>
  <si>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</si>
  <si>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</si>
  <si>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</si>
  <si>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</si>
  <si>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</si>
  <si>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</si>
  <si>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</si>
  <si>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</si>
  <si>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</si>
  <si>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</si>
  <si>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</si>
  <si>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</si>
  <si>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</si>
  <si>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</si>
  <si>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</si>
  <si>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🏆🏆🏆</t>
  </si>
  <si>
    <t>Dreams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</si>
  <si>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</si>
  <si>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</si>
  <si>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</si>
  <si>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</si>
  <si>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</si>
  <si>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</si>
  <si>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</si>
  <si>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</si>
  <si>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</si>
  <si>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</si>
  <si>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</si>
  <si>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Sketch</t>
  </si>
  <si>
    <t>Hobbez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</si>
</sst>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G5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" sqref="D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5" width="16.7109375" style="1" customWidth="1"/>
    <col min="8" max="8" width="17.140625" customWidth="1"/>
    <col min="9" max="16" width="9.140625" style="1"/>
    <col min="17" max="17" width="14.85546875" style="1" customWidth="1"/>
    <col min="18" max="19" width="13.28515625" bestFit="1" customWidth="1"/>
    <col min="20" max="20" width="12.7109375" bestFit="1" customWidth="1"/>
    <col min="21" max="21" width="18.7109375" bestFit="1" customWidth="1"/>
    <col min="22" max="22" width="8.5703125" bestFit="1" customWidth="1"/>
    <col min="23" max="23" width="11.7109375" bestFit="1" customWidth="1"/>
    <col min="24" max="24" width="11.85546875" customWidth="1"/>
    <col min="25" max="25" width="17" bestFit="1" customWidth="1"/>
    <col min="26" max="26" width="12.5703125" bestFit="1" customWidth="1"/>
    <col min="27" max="27" width="12.5703125" customWidth="1"/>
    <col min="28" max="28" width="10.7109375" bestFit="1" customWidth="1"/>
    <col min="29" max="30" width="12.85546875" bestFit="1" customWidth="1"/>
    <col min="31" max="31" width="12.7109375" bestFit="1" customWidth="1"/>
    <col min="32" max="32" width="13.85546875" bestFit="1" customWidth="1"/>
    <col min="33" max="33" width="15.7109375" bestFit="1" customWidth="1"/>
  </cols>
  <sheetData>
    <row r="1" spans="1:33" ht="30.75" thickBot="1" x14ac:dyDescent="0.3">
      <c r="A1" s="3" t="s">
        <v>0</v>
      </c>
      <c r="B1" s="3" t="s">
        <v>59</v>
      </c>
      <c r="C1" s="3" t="s">
        <v>61</v>
      </c>
      <c r="D1" s="3" t="s">
        <v>164</v>
      </c>
      <c r="E1" s="3" t="s">
        <v>165</v>
      </c>
      <c r="F1" s="31" t="s">
        <v>7</v>
      </c>
      <c r="G1" s="32" t="s">
        <v>36</v>
      </c>
      <c r="H1" s="33" t="s">
        <v>49</v>
      </c>
      <c r="I1" s="50" t="s">
        <v>97</v>
      </c>
      <c r="J1" s="22" t="s">
        <v>98</v>
      </c>
      <c r="K1" s="23" t="s">
        <v>123</v>
      </c>
      <c r="L1" s="50" t="s">
        <v>64</v>
      </c>
      <c r="M1" s="22" t="s">
        <v>101</v>
      </c>
      <c r="N1" s="23" t="s">
        <v>121</v>
      </c>
      <c r="O1" s="51" t="s">
        <v>99</v>
      </c>
      <c r="P1" s="52" t="s">
        <v>100</v>
      </c>
      <c r="Q1" s="46" t="s">
        <v>122</v>
      </c>
      <c r="R1" s="31" t="s">
        <v>41</v>
      </c>
      <c r="S1" s="32" t="s">
        <v>12</v>
      </c>
      <c r="T1" s="32" t="s">
        <v>10</v>
      </c>
      <c r="U1" s="32" t="s">
        <v>33</v>
      </c>
      <c r="V1" s="32" t="s">
        <v>48</v>
      </c>
      <c r="W1" s="32" t="s">
        <v>32</v>
      </c>
      <c r="X1" s="52" t="s">
        <v>65</v>
      </c>
      <c r="Y1" s="32" t="s">
        <v>31</v>
      </c>
      <c r="Z1" s="32" t="s">
        <v>58</v>
      </c>
      <c r="AA1" s="32" t="s">
        <v>145</v>
      </c>
      <c r="AB1" s="32" t="s">
        <v>57</v>
      </c>
      <c r="AC1" s="32" t="s">
        <v>56</v>
      </c>
      <c r="AD1" s="32" t="s">
        <v>9</v>
      </c>
      <c r="AE1" s="32" t="s">
        <v>30</v>
      </c>
      <c r="AF1" s="32" t="s">
        <v>11</v>
      </c>
      <c r="AG1" s="46" t="s">
        <v>39</v>
      </c>
    </row>
    <row r="2" spans="1:33" x14ac:dyDescent="0.25">
      <c r="A2" s="2" t="s">
        <v>154</v>
      </c>
      <c r="B2" s="3" t="s">
        <v>79</v>
      </c>
      <c r="C2" s="3" t="s">
        <v>79</v>
      </c>
      <c r="D2" s="3"/>
      <c r="E2" s="3"/>
      <c r="F2" s="34">
        <f>SUMIFS('OB History'!C:C,'OB History'!B:B,A2)</f>
        <v>81</v>
      </c>
      <c r="G2" s="4">
        <f>AVERAGEIFS('OB History'!C:C,'OB History'!B:B,A2)</f>
        <v>10.125</v>
      </c>
      <c r="H2" s="35">
        <f t="array" ref="H2">MAX(IF('OB History'!B:B=A2, 'OB History'!C:C))</f>
        <v>22</v>
      </c>
      <c r="I2" s="34">
        <f>COUNTIFS('OB History'!B:B,A2,'OB History'!D:D, 1)</f>
        <v>6</v>
      </c>
      <c r="J2" s="2">
        <f>COUNTIFS('OB History'!B:B,A2,'OB History'!D:D, 0)</f>
        <v>2</v>
      </c>
      <c r="K2" s="88">
        <f>LOOKUP(2, 1/('OB History'!$B:$B=A2), 'OB History'!$AD:$AD)</f>
        <v>0.75</v>
      </c>
      <c r="L2" s="34">
        <f>SUMIFS('OB History'!F:F,'OB History'!B:B,A2)</f>
        <v>19</v>
      </c>
      <c r="M2" s="2">
        <f>SUMIFS('OB History'!E:E,'OB History'!B:B,A2)-L2</f>
        <v>12</v>
      </c>
      <c r="N2" s="88">
        <f>LOOKUP(2, 1/('OB History'!$B:$B=A2), 'OB History'!$AB:$AB)</f>
        <v>0.61875000000000002</v>
      </c>
      <c r="O2" s="34">
        <f>SUMIFS('OB History'!H:H,'OB History'!B:B,A2)</f>
        <v>69</v>
      </c>
      <c r="P2" s="2">
        <f>SUMIFS('OB History'!G:G,'OB History'!B:B,A2)-O2</f>
        <v>57</v>
      </c>
      <c r="Q2" s="88">
        <f>LOOKUP(2, 1/('OB History'!$B:$B=A2), 'OB History'!$AC:$AC)</f>
        <v>0.56374999999999997</v>
      </c>
      <c r="R2" s="2">
        <f>COUNTIFS('OB History'!$B:$B,$A$2,'OB History'!K:K, 1)</f>
        <v>1</v>
      </c>
      <c r="S2" s="2">
        <f>COUNTIFS('OB History'!$B:$B,$A$2,'OB History'!L:L, 1)</f>
        <v>1</v>
      </c>
      <c r="T2" s="2">
        <f>COUNTIFS('OB History'!$B:$B,$A$2,'OB History'!M:M, 1)</f>
        <v>0</v>
      </c>
      <c r="U2" s="2">
        <f>COUNTIFS('OB History'!$B:$B,$A$2,'OB History'!N:N, 1)</f>
        <v>2</v>
      </c>
      <c r="V2" s="2">
        <f>COUNTIFS('OB History'!$B:$B,$A$2,'OB History'!O:O, 1)</f>
        <v>0</v>
      </c>
      <c r="W2" s="2">
        <f>COUNTIFS('OB History'!$B:$B,$A$2,'OB History'!P:P, 1)</f>
        <v>1</v>
      </c>
      <c r="X2" s="2">
        <f>COUNTIFS('OB History'!$B:$B,$A$2,'OB History'!Q:Q, 1)</f>
        <v>0</v>
      </c>
      <c r="Y2" s="2">
        <f>COUNTIFS('OB History'!$B:$B,$A$2,'OB History'!R:R, 1)</f>
        <v>1</v>
      </c>
      <c r="Z2" s="2">
        <f>COUNTIFS('OB History'!$B:$B,$A$2,'OB History'!S:S, 1)</f>
        <v>1</v>
      </c>
      <c r="AA2" s="2">
        <f>COUNTIFS('OB History'!$B:$B,$A$2,'OB History'!T:T, 1)</f>
        <v>0</v>
      </c>
      <c r="AB2" s="2">
        <f>COUNTIFS('OB History'!$B:$B,$A$2,'OB History'!U:U, 1)</f>
        <v>1</v>
      </c>
      <c r="AC2" s="2">
        <f>COUNTIFS('OB History'!$B:$B,$A$2,'OB History'!V:V, 1)</f>
        <v>1</v>
      </c>
      <c r="AD2" s="2">
        <f>COUNTIFS('OB History'!$B:$B,$A$2,'OB History'!W:W, 1)</f>
        <v>2</v>
      </c>
      <c r="AE2" s="2">
        <f>COUNTIFS('OB History'!$B:$B,$A$2,'OB History'!X:X, 1)</f>
        <v>3</v>
      </c>
      <c r="AF2" s="2">
        <f>COUNTIFS('OB History'!$B:$B,$A$2,'OB History'!Y:Y, 1)</f>
        <v>3</v>
      </c>
      <c r="AG2" s="2">
        <f>COUNTIFS('OB History'!$B:$B,$A$2,'OB History'!Z:Z, 1)</f>
        <v>2</v>
      </c>
    </row>
    <row r="3" spans="1:33" x14ac:dyDescent="0.25">
      <c r="A3" s="2" t="s">
        <v>140</v>
      </c>
      <c r="B3" s="2" t="s">
        <v>79</v>
      </c>
      <c r="C3" s="2" t="s">
        <v>79</v>
      </c>
      <c r="D3" s="3"/>
      <c r="E3" s="3"/>
      <c r="F3" s="34">
        <f>SUMIFS('OB History'!C:C,'OB History'!B:B,A3)</f>
        <v>68</v>
      </c>
      <c r="G3" s="4">
        <f>AVERAGEIFS('OB History'!C:C,'OB History'!B:B,A3)</f>
        <v>8.5</v>
      </c>
      <c r="H3" s="35">
        <f t="array" ref="H3">MAX(IF('OB History'!B:B=A3, 'OB History'!C:C))</f>
        <v>19</v>
      </c>
      <c r="I3" s="34">
        <f>COUNTIFS('OB History'!B:B,A3,'OB History'!D:D, 1)</f>
        <v>6</v>
      </c>
      <c r="J3" s="2">
        <f>COUNTIFS('OB History'!B:B,A3,'OB History'!D:D, 0)</f>
        <v>2</v>
      </c>
      <c r="K3" s="88">
        <f>LOOKUP(2, 1/('OB History'!$B:$B=A3), 'OB History'!$AD:$AD)</f>
        <v>0.75</v>
      </c>
      <c r="L3" s="34">
        <f>SUMIFS('OB History'!F:F,'OB History'!B:B,A3)</f>
        <v>18</v>
      </c>
      <c r="M3" s="2">
        <f>SUMIFS('OB History'!E:E,'OB History'!B:B,A3)-L3</f>
        <v>13</v>
      </c>
      <c r="N3" s="88">
        <f>LOOKUP(2, 1/('OB History'!$B:$B=A3), 'OB History'!$AB:$AB)</f>
        <v>0.56874999999999998</v>
      </c>
      <c r="O3" s="34">
        <f>SUMIFS('OB History'!H:H,'OB History'!B:B,A3)</f>
        <v>70</v>
      </c>
      <c r="P3" s="2">
        <f>SUMIFS('OB History'!G:G,'OB History'!B:B,A3)-O3</f>
        <v>62</v>
      </c>
      <c r="Q3" s="88">
        <f>LOOKUP(2, 1/('OB History'!$B:$B=A3), 'OB History'!$AC:$AC)</f>
        <v>0.52499999999999991</v>
      </c>
      <c r="R3" s="2">
        <f>COUNTIFS('OB History'!$B:$B,$A$3,'OB History'!K:K, 1)</f>
        <v>0</v>
      </c>
      <c r="S3" s="2">
        <f>COUNTIFS('OB History'!$B:$B,$A$3,'OB History'!L:L, 1)</f>
        <v>1</v>
      </c>
      <c r="T3" s="2">
        <f>COUNTIFS('OB History'!$B:$B,$A$3,'OB History'!M:M, 1)</f>
        <v>0</v>
      </c>
      <c r="U3" s="2">
        <f>COUNTIFS('OB History'!$B:$B,$A$3,'OB History'!N:N, 1)</f>
        <v>3</v>
      </c>
      <c r="V3" s="2">
        <f>COUNTIFS('OB History'!$B:$B,$A$3,'OB History'!O:O, 1)</f>
        <v>0</v>
      </c>
      <c r="W3" s="2">
        <f>COUNTIFS('OB History'!$B:$B,$A$3,'OB History'!P:P, 1)</f>
        <v>3</v>
      </c>
      <c r="X3" s="2">
        <f>COUNTIFS('OB History'!$B:$B,$A$3,'OB History'!Q:Q, 1)</f>
        <v>1</v>
      </c>
      <c r="Y3" s="2">
        <f>COUNTIFS('OB History'!$B:$B,$A$3,'OB History'!R:R, 1)</f>
        <v>0</v>
      </c>
      <c r="Z3" s="2">
        <f>COUNTIFS('OB History'!$B:$B,$A$3,'OB History'!S:S, 1)</f>
        <v>1</v>
      </c>
      <c r="AA3" s="2">
        <f>COUNTIFS('OB History'!$B:$B,$A$3,'OB History'!T:T, 1)</f>
        <v>0</v>
      </c>
      <c r="AB3" s="2">
        <f>COUNTIFS('OB History'!$B:$B,$A$3,'OB History'!U:U, 1)</f>
        <v>0</v>
      </c>
      <c r="AC3" s="2">
        <f>COUNTIFS('OB History'!$B:$B,$A$3,'OB History'!V:V, 1)</f>
        <v>2</v>
      </c>
      <c r="AD3" s="2">
        <f>COUNTIFS('OB History'!$B:$B,$A$3,'OB History'!W:W, 1)</f>
        <v>1</v>
      </c>
      <c r="AE3" s="2">
        <f>COUNTIFS('OB History'!$B:$B,$A$3,'OB History'!X:X, 1)</f>
        <v>3</v>
      </c>
      <c r="AF3" s="2">
        <f>COUNTIFS('OB History'!$B:$B,$A$3,'OB History'!Y:Y, 1)</f>
        <v>2</v>
      </c>
      <c r="AG3" s="2">
        <f>COUNTIFS('OB History'!$B:$B,$A$3,'OB History'!Z:Z, 1)</f>
        <v>1</v>
      </c>
    </row>
    <row r="4" spans="1:33" x14ac:dyDescent="0.25">
      <c r="A4" s="2" t="s">
        <v>37</v>
      </c>
      <c r="B4" s="2" t="s">
        <v>79</v>
      </c>
      <c r="C4" s="2" t="s">
        <v>79</v>
      </c>
      <c r="D4" s="3">
        <v>1</v>
      </c>
      <c r="E4" s="3"/>
      <c r="F4" s="34">
        <f>SUMIFS('OB History'!C:C,'OB History'!B:B,A4)</f>
        <v>463</v>
      </c>
      <c r="G4" s="4">
        <f>AVERAGEIFS('OB History'!C:C,'OB History'!B:B,A4)</f>
        <v>19.291666666666668</v>
      </c>
      <c r="H4" s="35">
        <f t="array" ref="H4">MAX(IF('OB History'!B:B=A4, 'OB History'!C:C))</f>
        <v>36</v>
      </c>
      <c r="I4" s="34">
        <f>COUNTIFS('OB History'!B:B,A4,'OB History'!D:D, 1)</f>
        <v>11</v>
      </c>
      <c r="J4" s="2">
        <f>COUNTIFS('OB History'!B:B,A4,'OB History'!D:D, 0)</f>
        <v>13</v>
      </c>
      <c r="K4" s="88">
        <f>LOOKUP(2, 1/('OB History'!$B:$B=A4), 'OB History'!$AD:$AD)</f>
        <v>0.45833333333333331</v>
      </c>
      <c r="L4" s="34">
        <f>SUMIFS('OB History'!F:F,'OB History'!B:B,A4)</f>
        <v>43</v>
      </c>
      <c r="M4" s="2">
        <f>SUMIFS('OB History'!E:E,'OB History'!B:B,A4)-L4</f>
        <v>53</v>
      </c>
      <c r="N4" s="88">
        <f>LOOKUP(2, 1/('OB History'!$B:$B=A4), 'OB History'!$AB:$AB)</f>
        <v>0.42916666666666664</v>
      </c>
      <c r="O4" s="34">
        <f>SUMIFS('OB History'!H:H,'OB History'!B:B,A4)</f>
        <v>186</v>
      </c>
      <c r="P4" s="2">
        <f>SUMIFS('OB History'!G:G,'OB History'!B:B,A4)-O4</f>
        <v>207</v>
      </c>
      <c r="Q4" s="88">
        <f>LOOKUP(2, 1/('OB History'!$B:$B=A4), 'OB History'!$AC:$AC)</f>
        <v>0.46124999999999994</v>
      </c>
      <c r="R4" s="2">
        <f>COUNTIFS('OB History'!$B:$B,$A$4,'OB History'!K:K, 1)</f>
        <v>3</v>
      </c>
      <c r="S4" s="2">
        <f>COUNTIFS('OB History'!$B:$B,$A$4,'OB History'!L:L, 1)</f>
        <v>2</v>
      </c>
      <c r="T4" s="2">
        <f>COUNTIFS('OB History'!$B:$B,$A$4,'OB History'!M:M, 1)</f>
        <v>1</v>
      </c>
      <c r="U4" s="2">
        <f>COUNTIFS('OB History'!$B:$B,$A$4,'OB History'!N:N, 1)</f>
        <v>8</v>
      </c>
      <c r="V4" s="2">
        <f>COUNTIFS('OB History'!$B:$B,$A$4,'OB History'!O:O, 1)</f>
        <v>1</v>
      </c>
      <c r="W4" s="2">
        <f>COUNTIFS('OB History'!$B:$B,$A$4,'OB History'!P:P, 1)</f>
        <v>4</v>
      </c>
      <c r="X4" s="2">
        <f>COUNTIFS('OB History'!$B:$B,$A$4,'OB History'!Q:Q, 1)</f>
        <v>0</v>
      </c>
      <c r="Y4" s="2">
        <f>COUNTIFS('OB History'!$B:$B,$A$4,'OB History'!R:R, 1)</f>
        <v>1</v>
      </c>
      <c r="Z4" s="2">
        <f>COUNTIFS('OB History'!$B:$B,$A$4,'OB History'!S:S, 1)</f>
        <v>0</v>
      </c>
      <c r="AA4" s="2">
        <f>COUNTIFS('OB History'!$B:$B,$A$4,'OB History'!T:T, 1)</f>
        <v>1</v>
      </c>
      <c r="AB4" s="2">
        <f>COUNTIFS('OB History'!$B:$B,$A$4,'OB History'!U:U, 1)</f>
        <v>0</v>
      </c>
      <c r="AC4" s="2">
        <f>COUNTIFS('OB History'!$B:$B,$A$4,'OB History'!V:V, 1)</f>
        <v>0</v>
      </c>
      <c r="AD4" s="2">
        <f>COUNTIFS('OB History'!$B:$B,$A$4,'OB History'!W:W, 1)</f>
        <v>1</v>
      </c>
      <c r="AE4" s="2">
        <f>COUNTIFS('OB History'!$B:$B,$A$4,'OB History'!X:X, 1)</f>
        <v>8</v>
      </c>
      <c r="AF4" s="2">
        <f>COUNTIFS('OB History'!$B:$B,$A$4,'OB History'!Y:Y, 1)</f>
        <v>3</v>
      </c>
      <c r="AG4" s="2">
        <f>COUNTIFS('OB History'!$B:$B,$A$4,'OB History'!Z:Z, 1)</f>
        <v>10</v>
      </c>
    </row>
    <row r="5" spans="1:33" x14ac:dyDescent="0.25">
      <c r="A5" s="2" t="s">
        <v>34</v>
      </c>
      <c r="B5" s="2" t="s">
        <v>79</v>
      </c>
      <c r="C5" s="2" t="s">
        <v>79</v>
      </c>
      <c r="D5" s="3"/>
      <c r="E5" s="3"/>
      <c r="F5" s="34">
        <f>SUMIFS('OB History'!C:C,'OB History'!B:B,A5)</f>
        <v>40</v>
      </c>
      <c r="G5" s="4">
        <f>AVERAGEIFS('OB History'!C:C,'OB History'!B:B,A5)</f>
        <v>10</v>
      </c>
      <c r="H5" s="35">
        <f t="array" ref="H5">MAX(IF('OB History'!B:B=A5, 'OB History'!C:C))</f>
        <v>18</v>
      </c>
      <c r="I5" s="34">
        <f>COUNTIFS('OB History'!B:B,A5,'OB History'!D:D, 1)</f>
        <v>4</v>
      </c>
      <c r="J5" s="2">
        <f>COUNTIFS('OB History'!B:B,A5,'OB History'!D:D, 0)</f>
        <v>0</v>
      </c>
      <c r="K5" s="88">
        <f>LOOKUP(2, 1/('OB History'!$B:$B=A5), 'OB History'!$AD:$AD)</f>
        <v>1</v>
      </c>
      <c r="L5" s="34">
        <f>SUMIFS('OB History'!F:F,'OB History'!B:B,A5)</f>
        <v>12</v>
      </c>
      <c r="M5" s="2">
        <f>SUMIFS('OB History'!E:E,'OB History'!B:B,A5)-L5</f>
        <v>3</v>
      </c>
      <c r="N5" s="88">
        <f>LOOKUP(2, 1/('OB History'!$B:$B=A5), 'OB History'!$AB:$AB)</f>
        <v>0.83750000000000002</v>
      </c>
      <c r="O5" s="34">
        <f>SUMIFS('OB History'!H:H,'OB History'!B:B,'Old Bow v2'!A5)</f>
        <v>39</v>
      </c>
      <c r="P5" s="2">
        <f>SUMIFS('OB History'!G:G,'OB History'!B:B,'Old Bow v2'!A5)-O5</f>
        <v>20</v>
      </c>
      <c r="Q5" s="88">
        <f>LOOKUP(2, 1/('OB History'!$B:$B=A5), 'OB History'!$AC:$AC)</f>
        <v>0.69</v>
      </c>
      <c r="R5" s="2">
        <f>COUNTIFS('OB History'!$B:$B,$A$5,'OB History'!K:K, 1)</f>
        <v>0</v>
      </c>
      <c r="S5" s="2">
        <f>COUNTIFS('OB History'!$B:$B,$A$5,'OB History'!L:L, 1)</f>
        <v>3</v>
      </c>
      <c r="T5" s="2">
        <f>COUNTIFS('OB History'!$B:$B,$A$5,'OB History'!M:M, 1)</f>
        <v>0</v>
      </c>
      <c r="U5" s="2">
        <f>COUNTIFS('OB History'!$B:$B,$A$5,'OB History'!N:N, 1)</f>
        <v>2</v>
      </c>
      <c r="V5" s="2">
        <f>COUNTIFS('OB History'!$B:$B,$A$5,'OB History'!O:O, 1)</f>
        <v>0</v>
      </c>
      <c r="W5" s="2">
        <f>COUNTIFS('OB History'!$B:$B,$A$5,'OB History'!P:P, 1)</f>
        <v>1</v>
      </c>
      <c r="X5" s="2">
        <f>COUNTIFS('OB History'!$B:$B,$A$5,'OB History'!Q:Q, 1)</f>
        <v>0</v>
      </c>
      <c r="Y5" s="2">
        <f>COUNTIFS('OB History'!$B:$B,$A$5,'OB History'!R:R, 1)</f>
        <v>0</v>
      </c>
      <c r="Z5" s="2">
        <f>COUNTIFS('OB History'!$B:$B,$A$5,'OB History'!S:S, 1)</f>
        <v>0</v>
      </c>
      <c r="AA5" s="2">
        <f>COUNTIFS('OB History'!$B:$B,$A$5,'OB History'!T:T, 1)</f>
        <v>0</v>
      </c>
      <c r="AB5" s="2">
        <f>COUNTIFS('OB History'!$B:$B,$A$5,'OB History'!U:U, 1)</f>
        <v>0</v>
      </c>
      <c r="AC5" s="2">
        <f>COUNTIFS('OB History'!$B:$B,$A$5,'OB History'!V:V, 1)</f>
        <v>0</v>
      </c>
      <c r="AD5" s="2">
        <f>COUNTIFS('OB History'!$B:$B,$A$5,'OB History'!W:W, 1)</f>
        <v>1</v>
      </c>
      <c r="AE5" s="2">
        <f>COUNTIFS('OB History'!$B:$B,$A$5,'OB History'!X:X, 1)</f>
        <v>3</v>
      </c>
      <c r="AF5" s="2">
        <f>COUNTIFS('OB History'!$B:$B,$A$5,'OB History'!Y:Y, 1)</f>
        <v>2</v>
      </c>
      <c r="AG5" s="2">
        <f>COUNTIFS('OB History'!$B:$B,$A$5,'OB History'!Z:Z, 1)</f>
        <v>0</v>
      </c>
    </row>
    <row r="6" spans="1:33" ht="15.75" x14ac:dyDescent="0.25">
      <c r="A6" s="2" t="s">
        <v>35</v>
      </c>
      <c r="B6" s="80" t="s">
        <v>60</v>
      </c>
      <c r="C6" s="2" t="s">
        <v>79</v>
      </c>
      <c r="D6" s="3"/>
      <c r="E6" s="3"/>
      <c r="F6" s="34">
        <f>SUMIFS('OB History'!C:C,'OB History'!B:B,A6)</f>
        <v>281</v>
      </c>
      <c r="G6" s="4">
        <f>AVERAGEIFS('OB History'!C:C,'OB History'!B:B,A6)</f>
        <v>11.24</v>
      </c>
      <c r="H6" s="35">
        <f t="array" ref="H6">MAX(IF('OB History'!B:B=A6, 'OB History'!C:C))</f>
        <v>21</v>
      </c>
      <c r="I6" s="34">
        <f>COUNTIFS('OB History'!B:B,A6,'OB History'!D:D, 1)</f>
        <v>13</v>
      </c>
      <c r="J6" s="2">
        <f>COUNTIFS('OB History'!B:B,A6,'OB History'!D:D, 0)</f>
        <v>12</v>
      </c>
      <c r="K6" s="88">
        <f>LOOKUP(2, 1/('OB History'!$B:$B=A6), 'OB History'!$AD:$AD)</f>
        <v>0.52</v>
      </c>
      <c r="L6" s="34">
        <f>SUMIFS('OB History'!F:F,'OB History'!B:B,A6)</f>
        <v>46</v>
      </c>
      <c r="M6" s="2">
        <f>SUMIFS('OB History'!E:E,'OB History'!B:B,A6)-L6</f>
        <v>53</v>
      </c>
      <c r="N6" s="88">
        <f>LOOKUP(2, 1/('OB History'!$B:$B=A6), 'OB History'!$AB:$AB)</f>
        <v>0.44</v>
      </c>
      <c r="O6" s="34">
        <f>SUMIFS('OB History'!H:H,'OB History'!B:B,'Old Bow v2'!A6)</f>
        <v>193</v>
      </c>
      <c r="P6" s="2">
        <f>SUMIFS('OB History'!G:G,'OB History'!B:B,'Old Bow v2'!A6)-O6</f>
        <v>212</v>
      </c>
      <c r="Q6" s="88">
        <f>LOOKUP(2, 1/('OB History'!$B:$B=A6), 'OB History'!$AC:$AC)</f>
        <v>0.46640000000000009</v>
      </c>
      <c r="R6" s="2">
        <f>COUNTIFS('OB History'!$B:$B,$A$6,'OB History'!K:K, 1)</f>
        <v>3</v>
      </c>
      <c r="S6" s="2">
        <f>COUNTIFS('OB History'!$B:$B,$A$6,'OB History'!L:L, 1)</f>
        <v>4</v>
      </c>
      <c r="T6" s="2">
        <f>COUNTIFS('OB History'!$B:$B,$A$6,'OB History'!M:M, 1)</f>
        <v>1</v>
      </c>
      <c r="U6" s="2">
        <f>COUNTIFS('OB History'!$B:$B,$A$6,'OB History'!N:N, 1)</f>
        <v>6</v>
      </c>
      <c r="V6" s="2">
        <f>COUNTIFS('OB History'!$B:$B,$A$6,'OB History'!O:O, 1)</f>
        <v>0</v>
      </c>
      <c r="W6" s="2">
        <f>COUNTIFS('OB History'!$B:$B,$A$6,'OB History'!P:P, 1)</f>
        <v>6</v>
      </c>
      <c r="X6" s="2">
        <f>COUNTIFS('OB History'!$B:$B,$A$6,'OB History'!Q:Q, 1)</f>
        <v>0</v>
      </c>
      <c r="Y6" s="2">
        <f>COUNTIFS('OB History'!$B:$B,$A$6,'OB History'!R:R, 1)</f>
        <v>2</v>
      </c>
      <c r="Z6" s="2">
        <f>COUNTIFS('OB History'!$B:$B,$A$6,'OB History'!S:S, 1)</f>
        <v>0</v>
      </c>
      <c r="AA6" s="2">
        <f>COUNTIFS('OB History'!$B:$B,$A$6,'OB History'!T:T, 1)</f>
        <v>0</v>
      </c>
      <c r="AB6" s="2">
        <f>COUNTIFS('OB History'!$B:$B,$A$6,'OB History'!U:U, 1)</f>
        <v>0</v>
      </c>
      <c r="AC6" s="2">
        <f>COUNTIFS('OB History'!$B:$B,$A$6,'OB History'!V:V, 1)</f>
        <v>0</v>
      </c>
      <c r="AD6" s="2">
        <f>COUNTIFS('OB History'!$B:$B,$A$6,'OB History'!W:W, 1)</f>
        <v>6</v>
      </c>
      <c r="AE6" s="2">
        <f>COUNTIFS('OB History'!$B:$B,$A$6,'OB History'!X:X, 1)</f>
        <v>8</v>
      </c>
      <c r="AF6" s="2">
        <f>COUNTIFS('OB History'!$B:$B,$A$6,'OB History'!Y:Y, 1)</f>
        <v>3</v>
      </c>
      <c r="AG6" s="2">
        <f>COUNTIFS('OB History'!$B:$B,$A$6,'OB History'!Z:Z, 1)</f>
        <v>7</v>
      </c>
    </row>
    <row r="7" spans="1:33" x14ac:dyDescent="0.25">
      <c r="A7" s="2" t="s">
        <v>19</v>
      </c>
      <c r="B7" s="2" t="s">
        <v>79</v>
      </c>
      <c r="C7" s="2" t="s">
        <v>79</v>
      </c>
      <c r="D7" s="3">
        <v>1</v>
      </c>
      <c r="E7" s="3">
        <v>1</v>
      </c>
      <c r="F7" s="34">
        <f>SUMIFS('OB History'!C:C,'OB History'!B:B,A7)</f>
        <v>376</v>
      </c>
      <c r="G7" s="4">
        <f>AVERAGEIFS('OB History'!C:C,'OB History'!B:B,A7)</f>
        <v>11.75</v>
      </c>
      <c r="H7" s="35">
        <f t="array" ref="H7">MAX(IF('OB History'!B:B=A7, 'OB History'!C:C))</f>
        <v>26</v>
      </c>
      <c r="I7" s="34">
        <f>COUNTIFS('OB History'!B:B,A7,'OB History'!D:D, 1)</f>
        <v>13</v>
      </c>
      <c r="J7" s="2">
        <f>COUNTIFS('OB History'!B:B,A7,'OB History'!D:D, 0)</f>
        <v>19</v>
      </c>
      <c r="K7" s="88">
        <f>LOOKUP(2, 1/('OB History'!$B:$B=A7), 'OB History'!$AD:$AD)</f>
        <v>0.40625</v>
      </c>
      <c r="L7" s="34">
        <f>SUMIFS('OB History'!F:F,'OB History'!B:B,A7)</f>
        <v>58</v>
      </c>
      <c r="M7" s="2">
        <f>SUMIFS('OB History'!E:E,'OB History'!B:B,A7)-L7</f>
        <v>74</v>
      </c>
      <c r="N7" s="88">
        <f>LOOKUP(2, 1/('OB History'!$B:$B=A7), 'OB History'!$AB:$AB)</f>
        <v>0.421875</v>
      </c>
      <c r="O7" s="34">
        <f>SUMIFS('OB History'!H:H,'OB History'!B:B,'Old Bow v2'!A7)</f>
        <v>256</v>
      </c>
      <c r="P7" s="2">
        <f>SUMIFS('OB History'!G:G,'OB History'!B:B,'Old Bow v2'!A7)-O7</f>
        <v>288</v>
      </c>
      <c r="Q7" s="88">
        <f>LOOKUP(2, 1/('OB History'!$B:$B=A7), 'OB History'!$AC:$AC)</f>
        <v>0.45656250000000004</v>
      </c>
      <c r="R7" s="2">
        <f>COUNTIFS('OB History'!$B:$B,$A$7,'OB History'!K:K, 1)</f>
        <v>5</v>
      </c>
      <c r="S7" s="2">
        <f>COUNTIFS('OB History'!$B:$B,$A$7,'OB History'!L:L, 1)</f>
        <v>2</v>
      </c>
      <c r="T7" s="2">
        <f>COUNTIFS('OB History'!$B:$B,$A$7,'OB History'!M:M, 1)</f>
        <v>1</v>
      </c>
      <c r="U7" s="2">
        <f>COUNTIFS('OB History'!$B:$B,$A$7,'OB History'!N:N, 1)</f>
        <v>6</v>
      </c>
      <c r="V7" s="2">
        <f>COUNTIFS('OB History'!$B:$B,$A$7,'OB History'!O:O, 1)</f>
        <v>1</v>
      </c>
      <c r="W7" s="2">
        <f>COUNTIFS('OB History'!$B:$B,$A$7,'OB History'!P:P, 1)</f>
        <v>8</v>
      </c>
      <c r="X7" s="2">
        <f>COUNTIFS('OB History'!$B:$B,$A$7,'OB History'!Q:Q, 1)</f>
        <v>1</v>
      </c>
      <c r="Y7" s="2">
        <f>COUNTIFS('OB History'!$B:$B,$A$7,'OB History'!R:R, 1)</f>
        <v>1</v>
      </c>
      <c r="Z7" s="2">
        <f>COUNTIFS('OB History'!$B:$B,$A$7,'OB History'!S:S, 1)</f>
        <v>1</v>
      </c>
      <c r="AA7" s="2">
        <f>COUNTIFS('OB History'!$B:$B,$A$7,'OB History'!T:T, 1)</f>
        <v>0</v>
      </c>
      <c r="AB7" s="2">
        <f>COUNTIFS('OB History'!$B:$B,$A$7,'OB History'!U:U, 1)</f>
        <v>1</v>
      </c>
      <c r="AC7" s="2">
        <f>COUNTIFS('OB History'!$B:$B,$A$7,'OB History'!V:V, 1)</f>
        <v>1</v>
      </c>
      <c r="AD7" s="2">
        <f>COUNTIFS('OB History'!$B:$B,$A$7,'OB History'!W:W, 1)</f>
        <v>4</v>
      </c>
      <c r="AE7" s="2">
        <f>COUNTIFS('OB History'!$B:$B,$A$7,'OB History'!X:X, 1)</f>
        <v>12</v>
      </c>
      <c r="AF7" s="2">
        <f>COUNTIFS('OB History'!$B:$B,$A$7,'OB History'!Y:Y, 1)</f>
        <v>2</v>
      </c>
      <c r="AG7" s="2">
        <f>COUNTIFS('OB History'!$B:$B,$A$7,'OB History'!Z:Z, 1)</f>
        <v>12</v>
      </c>
    </row>
    <row r="8" spans="1:33" x14ac:dyDescent="0.25">
      <c r="A8" s="1" t="s">
        <v>42</v>
      </c>
      <c r="B8" s="6" t="s">
        <v>60</v>
      </c>
      <c r="C8" s="2" t="s">
        <v>79</v>
      </c>
      <c r="D8" s="3"/>
      <c r="E8" s="3"/>
      <c r="F8" s="34">
        <f>SUMIFS('OB History'!C:C,'OB History'!B:B,A8)</f>
        <v>74</v>
      </c>
      <c r="G8" s="4">
        <f>AVERAGEIFS('OB History'!C:C,'OB History'!B:B,A8)</f>
        <v>10.571428571428571</v>
      </c>
      <c r="H8" s="35">
        <f t="array" ref="H8">MAX(IF('OB History'!B:B=A8, 'OB History'!C:C))</f>
        <v>29</v>
      </c>
      <c r="I8" s="34">
        <f>COUNTIFS('OB History'!B:B,A8,'OB History'!D:D, 1)</f>
        <v>2</v>
      </c>
      <c r="J8" s="2">
        <f>COUNTIFS('OB History'!B:B,A8,'OB History'!D:D, 0)</f>
        <v>5</v>
      </c>
      <c r="K8" s="88">
        <f>LOOKUP(2, 1/('OB History'!$B:$B=A8), 'OB History'!$AD:$AD)</f>
        <v>0.2857142857142857</v>
      </c>
      <c r="L8" s="34">
        <f>SUMIFS('OB History'!F:F,'OB History'!B:B,A8)</f>
        <v>10</v>
      </c>
      <c r="M8" s="2">
        <f>SUMIFS('OB History'!E:E,'OB History'!B:B,A8)-L8</f>
        <v>17</v>
      </c>
      <c r="N8" s="88">
        <f>LOOKUP(2, 1/('OB History'!$B:$B=A8), 'OB History'!$AB:$AB)</f>
        <v>0.34285714285714286</v>
      </c>
      <c r="O8" s="34">
        <f>SUMIFS('OB History'!H:H,'OB History'!B:B,'Old Bow v2'!A8)</f>
        <v>45</v>
      </c>
      <c r="P8" s="2">
        <f>SUMIFS('OB History'!G:G,'OB History'!B:B,'Old Bow v2'!A8)-O8</f>
        <v>62</v>
      </c>
      <c r="Q8" s="88">
        <f>LOOKUP(2, 1/('OB History'!$B:$B=A8), 'OB History'!$AC:$AC)</f>
        <v>0.40857142857142864</v>
      </c>
      <c r="R8" s="2">
        <f>COUNTIFS('OB History'!$B:$B,$A$8,'OB History'!K:K, 1)</f>
        <v>1</v>
      </c>
      <c r="S8" s="2">
        <f>COUNTIFS('OB History'!$B:$B,$A$8,'OB History'!L:L, 1)</f>
        <v>2</v>
      </c>
      <c r="T8" s="2">
        <f>COUNTIFS('OB History'!$B:$B,$A$8,'OB History'!M:M, 1)</f>
        <v>1</v>
      </c>
      <c r="U8" s="2">
        <f>COUNTIFS('OB History'!$B:$B,$A$8,'OB History'!N:N, 1)</f>
        <v>0</v>
      </c>
      <c r="V8" s="2">
        <f>COUNTIFS('OB History'!$B:$B,$A$8,'OB History'!O:O, 1)</f>
        <v>1</v>
      </c>
      <c r="W8" s="2">
        <f>COUNTIFS('OB History'!$B:$B,$A$8,'OB History'!P:P, 1)</f>
        <v>0</v>
      </c>
      <c r="X8" s="2">
        <f>COUNTIFS('OB History'!$B:$B,$A$8,'OB History'!Q:Q, 1)</f>
        <v>0</v>
      </c>
      <c r="Y8" s="2">
        <f>COUNTIFS('OB History'!$B:$B,$A$8,'OB History'!R:R, 1)</f>
        <v>0</v>
      </c>
      <c r="Z8" s="2">
        <f>COUNTIFS('OB History'!$B:$B,$A$8,'OB History'!S:S, 1)</f>
        <v>0</v>
      </c>
      <c r="AA8" s="2">
        <f>COUNTIFS('OB History'!$B:$B,$A$8,'OB History'!T:T, 1)</f>
        <v>0</v>
      </c>
      <c r="AB8" s="2">
        <f>COUNTIFS('OB History'!$B:$B,$A$8,'OB History'!U:U, 1)</f>
        <v>0</v>
      </c>
      <c r="AC8" s="2">
        <f>COUNTIFS('OB History'!$B:$B,$A$8,'OB History'!V:V, 1)</f>
        <v>1</v>
      </c>
      <c r="AD8" s="2">
        <f>COUNTIFS('OB History'!$B:$B,$A$8,'OB History'!W:W, 1)</f>
        <v>2</v>
      </c>
      <c r="AE8" s="2">
        <f>COUNTIFS('OB History'!$B:$B,$A$8,'OB History'!X:X, 1)</f>
        <v>0</v>
      </c>
      <c r="AF8" s="2">
        <f>COUNTIFS('OB History'!$B:$B,$A$8,'OB History'!Y:Y, 1)</f>
        <v>1</v>
      </c>
      <c r="AG8" s="2">
        <f>COUNTIFS('OB History'!$B:$B,$A$8,'OB History'!Z:Z, 1)</f>
        <v>1</v>
      </c>
    </row>
    <row r="9" spans="1:33" x14ac:dyDescent="0.25">
      <c r="A9" s="2" t="s">
        <v>25</v>
      </c>
      <c r="B9" s="2" t="s">
        <v>79</v>
      </c>
      <c r="C9" s="2" t="s">
        <v>79</v>
      </c>
      <c r="D9" s="3"/>
      <c r="E9" s="3"/>
      <c r="F9" s="34">
        <f>SUMIFS('OB History'!C:C,'OB History'!B:B,A9)</f>
        <v>374</v>
      </c>
      <c r="G9" s="4">
        <f>AVERAGEIFS('OB History'!C:C,'OB History'!B:B,A9)</f>
        <v>16.260869565217391</v>
      </c>
      <c r="H9" s="35">
        <f t="array" ref="H9">MAX(IF('OB History'!B:B=A9, 'OB History'!C:C))</f>
        <v>31</v>
      </c>
      <c r="I9" s="34">
        <f>COUNTIFS('OB History'!B:B,A9,'OB History'!D:D, 1)</f>
        <v>14</v>
      </c>
      <c r="J9" s="2">
        <f>COUNTIFS('OB History'!B:B,A9,'OB History'!D:D, 0)</f>
        <v>9</v>
      </c>
      <c r="K9" s="88">
        <f>LOOKUP(2, 1/('OB History'!$B:$B=A9), 'OB History'!$AD:$AD)</f>
        <v>0.60869565217391308</v>
      </c>
      <c r="L9" s="34">
        <f>SUMIFS('OB History'!F:F,'OB History'!B:B,A9)</f>
        <v>54</v>
      </c>
      <c r="M9" s="2">
        <f>SUMIFS('OB History'!E:E,'OB History'!B:B,A9)-L9</f>
        <v>40</v>
      </c>
      <c r="N9" s="88">
        <f>LOOKUP(2, 1/('OB History'!$B:$B=A9), 'OB History'!$AB:$AB)</f>
        <v>0.59782608695652173</v>
      </c>
      <c r="O9" s="34">
        <f>SUMIFS('OB History'!H:H,'OB History'!B:B,'Old Bow v2'!A9)</f>
        <v>206</v>
      </c>
      <c r="P9" s="2">
        <f>SUMIFS('OB History'!G:G,'OB History'!B:B,'Old Bow v2'!A9)-O9</f>
        <v>184</v>
      </c>
      <c r="Q9" s="88">
        <f>LOOKUP(2, 1/('OB History'!$B:$B=A9), 'OB History'!$AC:$AC)</f>
        <v>0.54217391304347817</v>
      </c>
      <c r="R9" s="2">
        <f>COUNTIFS('OB History'!$B:$B,$A$9,'OB History'!K:K, 1)</f>
        <v>3</v>
      </c>
      <c r="S9" s="2">
        <f>COUNTIFS('OB History'!$B:$B,$A$9,'OB History'!L:L, 1)</f>
        <v>2</v>
      </c>
      <c r="T9" s="2">
        <f>COUNTIFS('OB History'!$B:$B,$A$9,'OB History'!M:M, 1)</f>
        <v>0</v>
      </c>
      <c r="U9" s="2">
        <f>COUNTIFS('OB History'!$B:$B,$A$9,'OB History'!N:N, 1)</f>
        <v>7</v>
      </c>
      <c r="V9" s="2">
        <f>COUNTIFS('OB History'!$B:$B,$A$9,'OB History'!O:O, 1)</f>
        <v>0</v>
      </c>
      <c r="W9" s="2">
        <f>COUNTIFS('OB History'!$B:$B,$A$9,'OB History'!P:P, 1)</f>
        <v>5</v>
      </c>
      <c r="X9" s="2">
        <f>COUNTIFS('OB History'!$B:$B,$A$9,'OB History'!Q:Q, 1)</f>
        <v>5</v>
      </c>
      <c r="Y9" s="2">
        <f>COUNTIFS('OB History'!$B:$B,$A$9,'OB History'!R:R, 1)</f>
        <v>3</v>
      </c>
      <c r="Z9" s="2">
        <f>COUNTIFS('OB History'!$B:$B,$A$9,'OB History'!S:S, 1)</f>
        <v>1</v>
      </c>
      <c r="AA9" s="2">
        <f>COUNTIFS('OB History'!$B:$B,$A$9,'OB History'!T:T, 1)</f>
        <v>1</v>
      </c>
      <c r="AB9" s="2">
        <f>COUNTIFS('OB History'!$B:$B,$A$9,'OB History'!U:U, 1)</f>
        <v>0</v>
      </c>
      <c r="AC9" s="2">
        <f>COUNTIFS('OB History'!$B:$B,$A$9,'OB History'!V:V, 1)</f>
        <v>2</v>
      </c>
      <c r="AD9" s="2">
        <f>COUNTIFS('OB History'!$B:$B,$A$9,'OB History'!W:W, 1)</f>
        <v>4</v>
      </c>
      <c r="AE9" s="2">
        <f>COUNTIFS('OB History'!$B:$B,$A$9,'OB History'!X:X, 1)</f>
        <v>8</v>
      </c>
      <c r="AF9" s="2">
        <f>COUNTIFS('OB History'!$B:$B,$A$9,'OB History'!Y:Y, 1)</f>
        <v>5</v>
      </c>
      <c r="AG9" s="2">
        <f>COUNTIFS('OB History'!$B:$B,$A$9,'OB History'!Z:Z, 1)</f>
        <v>8</v>
      </c>
    </row>
    <row r="10" spans="1:33" x14ac:dyDescent="0.25">
      <c r="A10" s="2" t="s">
        <v>146</v>
      </c>
      <c r="B10" s="2" t="s">
        <v>79</v>
      </c>
      <c r="C10" s="2" t="s">
        <v>79</v>
      </c>
      <c r="D10" s="3"/>
      <c r="E10" s="3"/>
      <c r="F10" s="34">
        <f>SUMIFS('OB History'!C:C,'OB History'!B:B,A10)</f>
        <v>108</v>
      </c>
      <c r="G10" s="4">
        <f>AVERAGEIFS('OB History'!C:C,'OB History'!B:B,A10)</f>
        <v>12</v>
      </c>
      <c r="H10" s="35">
        <f t="array" ref="H10">MAX(IF('OB History'!B:B=A10, 'OB History'!C:C))</f>
        <v>21</v>
      </c>
      <c r="I10" s="34">
        <f>COUNTIFS('OB History'!B:B,A10,'OB History'!D:D, 1)</f>
        <v>3</v>
      </c>
      <c r="J10" s="2">
        <f>COUNTIFS('OB History'!B:B,A10,'OB History'!D:D, 0)</f>
        <v>6</v>
      </c>
      <c r="K10" s="88">
        <f>LOOKUP(2, 1/('OB History'!$B:$B=A10), 'OB History'!$AD:$AD)</f>
        <v>0.33333333333333331</v>
      </c>
      <c r="L10" s="34">
        <f>SUMIFS('OB History'!F:F,'OB History'!B:B,A10)</f>
        <v>17</v>
      </c>
      <c r="M10" s="2">
        <f>SUMIFS('OB History'!E:E,'OB History'!B:B,A10)-L10</f>
        <v>22</v>
      </c>
      <c r="N10" s="88">
        <f>LOOKUP(2, 1/('OB History'!$B:$B=A10), 'OB History'!$AB:$AB)</f>
        <v>0.43333333333333335</v>
      </c>
      <c r="O10" s="34">
        <f>SUMIFS('OB History'!H:H,'OB History'!B:B,'Old Bow v2'!A10)</f>
        <v>77</v>
      </c>
      <c r="P10" s="2">
        <f>SUMIFS('OB History'!G:G,'OB History'!B:B,'Old Bow v2'!A10)-O10</f>
        <v>85</v>
      </c>
      <c r="Q10" s="88">
        <f>LOOKUP(2, 1/('OB History'!$B:$B=A10), 'OB History'!$AC:$AC)</f>
        <v>0.47444444444444439</v>
      </c>
      <c r="R10" s="2">
        <f>COUNTIFS('OB History'!$B:$B,$A$10,'OB History'!K:K, 1)</f>
        <v>1</v>
      </c>
      <c r="S10" s="2">
        <f>COUNTIFS('OB History'!$B:$B,$A$10,'OB History'!L:L, 1)</f>
        <v>0</v>
      </c>
      <c r="T10" s="2">
        <f>COUNTIFS('OB History'!$B:$B,$A$10,'OB History'!M:M, 1)</f>
        <v>2</v>
      </c>
      <c r="U10" s="2">
        <f>COUNTIFS('OB History'!$B:$B,$A$10,'OB History'!N:N, 1)</f>
        <v>2</v>
      </c>
      <c r="V10" s="2">
        <f>COUNTIFS('OB History'!$B:$B,$A$10,'OB History'!O:O, 1)</f>
        <v>0</v>
      </c>
      <c r="W10" s="2">
        <f>COUNTIFS('OB History'!$B:$B,$A$10,'OB History'!P:P, 1)</f>
        <v>1</v>
      </c>
      <c r="X10" s="2">
        <f>COUNTIFS('OB History'!$B:$B,$A$10,'OB History'!Q:Q, 1)</f>
        <v>1</v>
      </c>
      <c r="Y10" s="2">
        <f>COUNTIFS('OB History'!$B:$B,$A$10,'OB History'!R:R, 1)</f>
        <v>1</v>
      </c>
      <c r="Z10" s="2">
        <f>COUNTIFS('OB History'!$B:$B,$A$10,'OB History'!S:S, 1)</f>
        <v>0</v>
      </c>
      <c r="AA10" s="2">
        <f>COUNTIFS('OB History'!$B:$B,$A$10,'OB History'!T:T, 1)</f>
        <v>0</v>
      </c>
      <c r="AB10" s="2">
        <f>COUNTIFS('OB History'!$B:$B,$A$10,'OB History'!U:U, 1)</f>
        <v>0</v>
      </c>
      <c r="AC10" s="2">
        <f>COUNTIFS('OB History'!$B:$B,$A$10,'OB History'!V:V, 1)</f>
        <v>1</v>
      </c>
      <c r="AD10" s="2">
        <f>COUNTIFS('OB History'!$B:$B,$A$10,'OB History'!W:W, 1)</f>
        <v>1</v>
      </c>
      <c r="AE10" s="2">
        <f>COUNTIFS('OB History'!$B:$B,$A$10,'OB History'!X:X, 1)</f>
        <v>5</v>
      </c>
      <c r="AF10" s="2">
        <f>COUNTIFS('OB History'!$B:$B,$A$10,'OB History'!Y:Y, 1)</f>
        <v>2</v>
      </c>
      <c r="AG10" s="2">
        <f>COUNTIFS('OB History'!$B:$B,$A$10,'OB History'!Z:Z, 1)</f>
        <v>0</v>
      </c>
    </row>
    <row r="11" spans="1:33" x14ac:dyDescent="0.25">
      <c r="A11" s="2" t="s">
        <v>27</v>
      </c>
      <c r="B11" s="6" t="s">
        <v>76</v>
      </c>
      <c r="C11" s="6" t="s">
        <v>79</v>
      </c>
      <c r="D11" s="3"/>
      <c r="E11" s="3"/>
      <c r="F11" s="34">
        <f>SUMIFS('OB History'!C:C,'OB History'!B:B,A11)</f>
        <v>298</v>
      </c>
      <c r="G11" s="4">
        <f>AVERAGEIFS('OB History'!C:C,'OB History'!B:B,A11)</f>
        <v>13.545454545454545</v>
      </c>
      <c r="H11" s="35">
        <f t="array" ref="H11">MAX(IF('OB History'!B:B=A11, 'OB History'!C:C))</f>
        <v>29</v>
      </c>
      <c r="I11" s="34">
        <f>COUNTIFS('OB History'!B:B,A11,'OB History'!D:D, 1)</f>
        <v>13</v>
      </c>
      <c r="J11" s="2">
        <f>COUNTIFS('OB History'!B:B,A11,'OB History'!D:D, 0)</f>
        <v>9</v>
      </c>
      <c r="K11" s="88">
        <f>LOOKUP(2, 1/('OB History'!$B:$B=A11), 'OB History'!$AD:$AD)</f>
        <v>0.59090909090909094</v>
      </c>
      <c r="L11" s="34">
        <f>SUMIFS('OB History'!F:F,'OB History'!B:B,A11)</f>
        <v>47</v>
      </c>
      <c r="M11" s="2">
        <f>SUMIFS('OB History'!E:E,'OB History'!B:B,A11)-L11</f>
        <v>43</v>
      </c>
      <c r="N11" s="88">
        <f>LOOKUP(2, 1/('OB History'!$B:$B=A11), 'OB History'!$AB:$AB)</f>
        <v>0.51363636363636356</v>
      </c>
      <c r="O11" s="34">
        <f>SUMIFS('OB History'!H:H,'OB History'!B:B,'Old Bow v2'!A11)</f>
        <v>186</v>
      </c>
      <c r="P11" s="2">
        <f>SUMIFS('OB History'!G:G,'OB History'!B:B,'Old Bow v2'!A11)-O11</f>
        <v>177</v>
      </c>
      <c r="Q11" s="88">
        <f>LOOKUP(2, 1/('OB History'!$B:$B=A11), 'OB History'!$AC:$AC)</f>
        <v>0.51227272727272732</v>
      </c>
      <c r="R11" s="2">
        <f>COUNTIFS('OB History'!$B:$B,$A$11,'OB History'!K:K, 1)</f>
        <v>0</v>
      </c>
      <c r="S11" s="2">
        <f>COUNTIFS('OB History'!$B:$B,$A$11,'OB History'!L:L, 1)</f>
        <v>3</v>
      </c>
      <c r="T11" s="2">
        <f>COUNTIFS('OB History'!$B:$B,$A$11,'OB History'!M:M, 1)</f>
        <v>2</v>
      </c>
      <c r="U11" s="2">
        <f>COUNTIFS('OB History'!$B:$B,$A$11,'OB History'!N:N, 1)</f>
        <v>3</v>
      </c>
      <c r="V11" s="2">
        <f>COUNTIFS('OB History'!$B:$B,$A$11,'OB History'!O:O, 1)</f>
        <v>3</v>
      </c>
      <c r="W11" s="2">
        <f>COUNTIFS('OB History'!$B:$B,$A$11,'OB History'!P:P, 1)</f>
        <v>6</v>
      </c>
      <c r="X11" s="2">
        <f>COUNTIFS('OB History'!$B:$B,$A$11,'OB History'!Q:Q, 1)</f>
        <v>3</v>
      </c>
      <c r="Y11" s="2">
        <f>COUNTIFS('OB History'!$B:$B,$A$11,'OB History'!R:R, 1)</f>
        <v>2</v>
      </c>
      <c r="Z11" s="2">
        <f>COUNTIFS('OB History'!$B:$B,$A$11,'OB History'!S:S, 1)</f>
        <v>0</v>
      </c>
      <c r="AA11" s="2">
        <f>COUNTIFS('OB History'!$B:$B,$A$11,'OB History'!T:T, 1)</f>
        <v>0</v>
      </c>
      <c r="AB11" s="2">
        <f>COUNTIFS('OB History'!$B:$B,$A$11,'OB History'!U:U, 1)</f>
        <v>1</v>
      </c>
      <c r="AC11" s="2">
        <f>COUNTIFS('OB History'!$B:$B,$A$11,'OB History'!V:V, 1)</f>
        <v>1</v>
      </c>
      <c r="AD11" s="2">
        <f>COUNTIFS('OB History'!$B:$B,$A$11,'OB History'!W:W, 1)</f>
        <v>5</v>
      </c>
      <c r="AE11" s="2">
        <f>COUNTIFS('OB History'!$B:$B,$A$11,'OB History'!X:X, 1)</f>
        <v>9</v>
      </c>
      <c r="AF11" s="2">
        <f>COUNTIFS('OB History'!$B:$B,$A$11,'OB History'!Y:Y, 1)</f>
        <v>4</v>
      </c>
      <c r="AG11" s="2">
        <f>COUNTIFS('OB History'!$B:$B,$A$11,'OB History'!Z:Z, 1)</f>
        <v>5</v>
      </c>
    </row>
    <row r="12" spans="1:33" x14ac:dyDescent="0.25">
      <c r="A12" s="2" t="s">
        <v>26</v>
      </c>
      <c r="B12" s="6" t="s">
        <v>124</v>
      </c>
      <c r="C12" s="6" t="s">
        <v>79</v>
      </c>
      <c r="D12" s="3"/>
      <c r="E12" s="3"/>
      <c r="F12" s="34">
        <f>SUMIFS('OB History'!C:C,'OB History'!B:B,A12)</f>
        <v>385</v>
      </c>
      <c r="G12" s="4">
        <f>AVERAGEIFS('OB History'!C:C,'OB History'!B:B,A12)</f>
        <v>12.419354838709678</v>
      </c>
      <c r="H12" s="35">
        <f t="array" ref="H12">MAX(IF('OB History'!B:B=A12, 'OB History'!C:C))</f>
        <v>24</v>
      </c>
      <c r="I12" s="34">
        <f>COUNTIFS('OB History'!B:B,A12,'OB History'!D:D, 1)</f>
        <v>22</v>
      </c>
      <c r="J12" s="2">
        <f>COUNTIFS('OB History'!B:B,A12,'OB History'!D:D, 0)</f>
        <v>9</v>
      </c>
      <c r="K12" s="88">
        <f>LOOKUP(2, 1/('OB History'!$B:$B=A12), 'OB History'!$AD:$AD)</f>
        <v>0.70967741935483875</v>
      </c>
      <c r="L12" s="34">
        <f>SUMIFS('OB History'!F:F,'OB History'!B:B,A12)</f>
        <v>78</v>
      </c>
      <c r="M12" s="2">
        <f>SUMIFS('OB History'!E:E,'OB History'!B:B,A12)-L12</f>
        <v>49</v>
      </c>
      <c r="N12" s="88">
        <f>LOOKUP(2, 1/('OB History'!$B:$B=A12), 'OB History'!$AB:$AB)</f>
        <v>0.63548387096774195</v>
      </c>
      <c r="O12" s="34">
        <f>SUMIFS('OB History'!H:H,'OB History'!B:B,'Old Bow v2'!A12)</f>
        <v>291</v>
      </c>
      <c r="P12" s="2">
        <f>SUMIFS('OB History'!G:G,'OB History'!B:B,'Old Bow v2'!A12)-O12</f>
        <v>234</v>
      </c>
      <c r="Q12" s="88">
        <f>LOOKUP(2, 1/('OB History'!$B:$B=A12), 'OB History'!$AC:$AC)</f>
        <v>0.56290322580645147</v>
      </c>
      <c r="R12" s="2">
        <f>COUNTIFS('OB History'!$B:$B,$A$12,'OB History'!K:K, 1)</f>
        <v>2</v>
      </c>
      <c r="S12" s="2">
        <f>COUNTIFS('OB History'!$B:$B,$A$12,'OB History'!L:L, 1)</f>
        <v>6</v>
      </c>
      <c r="T12" s="2">
        <f>COUNTIFS('OB History'!$B:$B,$A$12,'OB History'!M:M, 1)</f>
        <v>3</v>
      </c>
      <c r="U12" s="2">
        <f>COUNTIFS('OB History'!$B:$B,$A$12,'OB History'!N:N, 1)</f>
        <v>9</v>
      </c>
      <c r="V12" s="2">
        <f>COUNTIFS('OB History'!$B:$B,$A$12,'OB History'!O:O, 1)</f>
        <v>4</v>
      </c>
      <c r="W12" s="2">
        <f>COUNTIFS('OB History'!$B:$B,$A$12,'OB History'!P:P, 1)</f>
        <v>12</v>
      </c>
      <c r="X12" s="2">
        <f>COUNTIFS('OB History'!$B:$B,$A$12,'OB History'!Q:Q, 1)</f>
        <v>5</v>
      </c>
      <c r="Y12" s="2">
        <f>COUNTIFS('OB History'!$B:$B,$A$12,'OB History'!R:R, 1)</f>
        <v>4</v>
      </c>
      <c r="Z12" s="2">
        <f>COUNTIFS('OB History'!$B:$B,$A$12,'OB History'!S:S, 1)</f>
        <v>2</v>
      </c>
      <c r="AA12" s="2">
        <f>COUNTIFS('OB History'!$B:$B,$A$12,'OB History'!T:T, 1)</f>
        <v>1</v>
      </c>
      <c r="AB12" s="2">
        <f>COUNTIFS('OB History'!$B:$B,$A$12,'OB History'!U:U, 1)</f>
        <v>1</v>
      </c>
      <c r="AC12" s="2">
        <f>COUNTIFS('OB History'!$B:$B,$A$12,'OB History'!V:V, 1)</f>
        <v>3</v>
      </c>
      <c r="AD12" s="2">
        <f>COUNTIFS('OB History'!$B:$B,$A$12,'OB History'!W:W, 1)</f>
        <v>6</v>
      </c>
      <c r="AE12" s="2">
        <f>COUNTIFS('OB History'!$B:$B,$A$12,'OB History'!X:X, 1)</f>
        <v>8</v>
      </c>
      <c r="AF12" s="2">
        <f>COUNTIFS('OB History'!$B:$B,$A$12,'OB History'!Y:Y, 1)</f>
        <v>4</v>
      </c>
      <c r="AG12" s="2">
        <f>COUNTIFS('OB History'!$B:$B,$A$12,'OB History'!Z:Z, 1)</f>
        <v>8</v>
      </c>
    </row>
    <row r="13" spans="1:33" x14ac:dyDescent="0.25">
      <c r="A13" s="2" t="s">
        <v>152</v>
      </c>
      <c r="B13" s="6" t="s">
        <v>79</v>
      </c>
      <c r="C13" s="6" t="s">
        <v>79</v>
      </c>
      <c r="D13" s="3"/>
      <c r="E13" s="3"/>
      <c r="F13" s="34">
        <f>SUMIFS('OB History'!C:C,'OB History'!B:B,A13)</f>
        <v>47</v>
      </c>
      <c r="G13" s="4">
        <f>AVERAGEIFS('OB History'!C:C,'OB History'!B:B,A13)</f>
        <v>15.666666666666666</v>
      </c>
      <c r="H13" s="35">
        <f t="array" ref="H13">MAX(IF('OB History'!B:B=A13, 'OB History'!C:C))</f>
        <v>19</v>
      </c>
      <c r="I13" s="34">
        <f>COUNTIFS('OB History'!B:B,A13,'OB History'!D:D, 1)</f>
        <v>0</v>
      </c>
      <c r="J13" s="2">
        <f>COUNTIFS('OB History'!B:B,A13,'OB History'!D:D, 0)</f>
        <v>3</v>
      </c>
      <c r="K13" s="88">
        <f>LOOKUP(2, 1/('OB History'!$B:$B=A13), 'OB History'!$AD:$AD)</f>
        <v>0</v>
      </c>
      <c r="L13" s="34">
        <f>SUMIFS('OB History'!F:F,'OB History'!B:B,A13)</f>
        <v>4</v>
      </c>
      <c r="M13" s="2">
        <f>SUMIFS('OB History'!E:E,'OB History'!B:B,A13)-L13</f>
        <v>9</v>
      </c>
      <c r="N13" s="88">
        <f>LOOKUP(2, 1/('OB History'!$B:$B=A13), 'OB History'!$AB:$AB)</f>
        <v>0.26666666666666666</v>
      </c>
      <c r="O13" s="34">
        <f>SUMIFS('OB History'!H:H,'OB History'!B:B,'Old Bow v2'!A13)</f>
        <v>22</v>
      </c>
      <c r="P13" s="2">
        <f>SUMIFS('OB History'!G:G,'OB History'!B:B,'Old Bow v2'!A13)-O13</f>
        <v>33</v>
      </c>
      <c r="Q13" s="88">
        <f>LOOKUP(2, 1/('OB History'!$B:$B=A13), 'OB History'!$AC:$AC)</f>
        <v>0.37666666666666665</v>
      </c>
      <c r="R13" s="2">
        <f>COUNTIFS('OB History'!$B:$B,$A$13,'OB History'!K:K, 1)</f>
        <v>0</v>
      </c>
      <c r="S13" s="2">
        <f>COUNTIFS('OB History'!$B:$B,$A$13,'OB History'!L:L, 1)</f>
        <v>0</v>
      </c>
      <c r="T13" s="2">
        <f>COUNTIFS('OB History'!$B:$B,$A$13,'OB History'!M:M, 1)</f>
        <v>1</v>
      </c>
      <c r="U13" s="2">
        <f>COUNTIFS('OB History'!$B:$B,$A$13,'OB History'!N:N, 1)</f>
        <v>0</v>
      </c>
      <c r="V13" s="2">
        <f>COUNTIFS('OB History'!$B:$B,$A$13,'OB History'!O:O, 1)</f>
        <v>0</v>
      </c>
      <c r="W13" s="2">
        <f>COUNTIFS('OB History'!$B:$B,$A$13,'OB History'!P:P, 1)</f>
        <v>1</v>
      </c>
      <c r="X13" s="2">
        <f>COUNTIFS('OB History'!$B:$B,$A$13,'OB History'!Q:Q, 1)</f>
        <v>1</v>
      </c>
      <c r="Y13" s="2">
        <f>COUNTIFS('OB History'!$B:$B,$A$13,'OB History'!R:R, 1)</f>
        <v>0</v>
      </c>
      <c r="Z13" s="2">
        <f>COUNTIFS('OB History'!$B:$B,$A$13,'OB History'!S:S, 1)</f>
        <v>0</v>
      </c>
      <c r="AA13" s="2">
        <f>COUNTIFS('OB History'!$B:$B,$A$13,'OB History'!T:T, 1)</f>
        <v>0</v>
      </c>
      <c r="AB13" s="2">
        <f>COUNTIFS('OB History'!$B:$B,$A$13,'OB History'!U:U, 1)</f>
        <v>0</v>
      </c>
      <c r="AC13" s="2">
        <f>COUNTIFS('OB History'!$B:$B,$A$13,'OB History'!V:V, 1)</f>
        <v>0</v>
      </c>
      <c r="AD13" s="2">
        <f>COUNTIFS('OB History'!$B:$B,$A$13,'OB History'!W:W, 1)</f>
        <v>0</v>
      </c>
      <c r="AE13" s="2">
        <f>COUNTIFS('OB History'!$B:$B,$A$13,'OB History'!X:X, 1)</f>
        <v>1</v>
      </c>
      <c r="AF13" s="2">
        <f>COUNTIFS('OB History'!$B:$B,$A$13,'OB History'!Y:Y, 1)</f>
        <v>0</v>
      </c>
      <c r="AG13" s="2">
        <f>COUNTIFS('OB History'!$B:$B,$A$13,'OB History'!Z:Z, 1)</f>
        <v>0</v>
      </c>
    </row>
    <row r="14" spans="1:33" ht="15.75" x14ac:dyDescent="0.25">
      <c r="A14" s="1" t="s">
        <v>45</v>
      </c>
      <c r="B14" s="80" t="s">
        <v>60</v>
      </c>
      <c r="C14" s="2" t="s">
        <v>79</v>
      </c>
      <c r="D14" s="3"/>
      <c r="E14" s="3"/>
      <c r="F14" s="34">
        <f>SUMIFS('OB History'!C:C,'OB History'!B:B,A14)</f>
        <v>258</v>
      </c>
      <c r="G14" s="4">
        <f>AVERAGEIFS('OB History'!C:C,'OB History'!B:B,A14)</f>
        <v>12.9</v>
      </c>
      <c r="H14" s="35">
        <f t="array" ref="H14">MAX(IF('OB History'!B:B=A14, 'OB History'!C:C))</f>
        <v>26</v>
      </c>
      <c r="I14" s="34">
        <f>COUNTIFS('OB History'!B:B,A14,'OB History'!D:D, 1)</f>
        <v>8</v>
      </c>
      <c r="J14" s="2">
        <f>COUNTIFS('OB History'!B:B,A14,'OB History'!D:D, 0)</f>
        <v>12</v>
      </c>
      <c r="K14" s="88">
        <f>LOOKUP(2, 1/('OB History'!$B:$B=A14), 'OB History'!$AD:$AD)</f>
        <v>0.4</v>
      </c>
      <c r="L14" s="34">
        <f>SUMIFS('OB History'!F:F,'OB History'!B:B,A14)</f>
        <v>39</v>
      </c>
      <c r="M14" s="2">
        <f>SUMIFS('OB History'!E:E,'OB History'!B:B,A14)-L14</f>
        <v>45</v>
      </c>
      <c r="N14" s="88">
        <f>LOOKUP(2, 1/('OB History'!$B:$B=A14), 'OB History'!$AB:$AB)</f>
        <v>0.46000000000000008</v>
      </c>
      <c r="O14" s="34">
        <f>SUMIFS('OB History'!H:H,'OB History'!B:B,'Old Bow v2'!A14)</f>
        <v>166</v>
      </c>
      <c r="P14" s="2">
        <f>SUMIFS('OB History'!G:G,'OB History'!B:B,'Old Bow v2'!A14)-O14</f>
        <v>174</v>
      </c>
      <c r="Q14" s="88">
        <f>LOOKUP(2, 1/('OB History'!$B:$B=A14), 'OB History'!$AC:$AC)</f>
        <v>0.48650000000000004</v>
      </c>
      <c r="R14" s="2">
        <f>COUNTIFS('OB History'!$B:$B,$A$14,'OB History'!K:K, 1)</f>
        <v>1</v>
      </c>
      <c r="S14" s="2">
        <f>COUNTIFS('OB History'!$B:$B,$A$14,'OB History'!L:L, 1)</f>
        <v>3</v>
      </c>
      <c r="T14" s="2">
        <f>COUNTIFS('OB History'!$B:$B,$A$14,'OB History'!M:M, 1)</f>
        <v>1</v>
      </c>
      <c r="U14" s="2">
        <f>COUNTIFS('OB History'!$B:$B,$A$14,'OB History'!N:N, 1)</f>
        <v>7</v>
      </c>
      <c r="V14" s="2">
        <f>COUNTIFS('OB History'!$B:$B,$A$14,'OB History'!O:O, 1)</f>
        <v>0</v>
      </c>
      <c r="W14" s="2">
        <f>COUNTIFS('OB History'!$B:$B,$A$14,'OB History'!P:P, 1)</f>
        <v>5</v>
      </c>
      <c r="X14" s="2">
        <f>COUNTIFS('OB History'!$B:$B,$A$14,'OB History'!Q:Q, 1)</f>
        <v>0</v>
      </c>
      <c r="Y14" s="2">
        <f>COUNTIFS('OB History'!$B:$B,$A$14,'OB History'!R:R, 1)</f>
        <v>0</v>
      </c>
      <c r="Z14" s="2">
        <f>COUNTIFS('OB History'!$B:$B,$A$14,'OB History'!S:S, 1)</f>
        <v>0</v>
      </c>
      <c r="AA14" s="2">
        <f>COUNTIFS('OB History'!$B:$B,$A$14,'OB History'!T:T, 1)</f>
        <v>1</v>
      </c>
      <c r="AB14" s="2">
        <f>COUNTIFS('OB History'!$B:$B,$A$14,'OB History'!U:U, 1)</f>
        <v>0</v>
      </c>
      <c r="AC14" s="2">
        <f>COUNTIFS('OB History'!$B:$B,$A$14,'OB History'!V:V, 1)</f>
        <v>0</v>
      </c>
      <c r="AD14" s="2">
        <f>COUNTIFS('OB History'!$B:$B,$A$14,'OB History'!W:W, 1)</f>
        <v>2</v>
      </c>
      <c r="AE14" s="2">
        <f>COUNTIFS('OB History'!$B:$B,$A$14,'OB History'!X:X, 1)</f>
        <v>7</v>
      </c>
      <c r="AF14" s="2">
        <f>COUNTIFS('OB History'!$B:$B,$A$14,'OB History'!Y:Y, 1)</f>
        <v>5</v>
      </c>
      <c r="AG14" s="2">
        <f>COUNTIFS('OB History'!$B:$B,$A$14,'OB History'!Z:Z, 1)</f>
        <v>7</v>
      </c>
    </row>
    <row r="15" spans="1:33" x14ac:dyDescent="0.25">
      <c r="A15" s="2" t="s">
        <v>50</v>
      </c>
      <c r="B15" s="2" t="s">
        <v>79</v>
      </c>
      <c r="C15" s="2" t="s">
        <v>79</v>
      </c>
      <c r="D15" s="3"/>
      <c r="E15" s="3"/>
      <c r="F15" s="34">
        <f>SUMIFS('OB History'!C:C,'OB History'!B:B,A15)</f>
        <v>43</v>
      </c>
      <c r="G15" s="4">
        <f>AVERAGEIFS('OB History'!C:C,'OB History'!B:B,A15)</f>
        <v>14.333333333333334</v>
      </c>
      <c r="H15" s="35">
        <f t="array" ref="H15">MAX(IF('OB History'!B:B=A15, 'OB History'!C:C))</f>
        <v>17</v>
      </c>
      <c r="I15" s="34">
        <f>COUNTIFS('OB History'!B:B,A15,'OB History'!D:D, 1)</f>
        <v>0</v>
      </c>
      <c r="J15" s="2">
        <f>COUNTIFS('OB History'!B:B,A15,'OB History'!D:D, 0)</f>
        <v>3</v>
      </c>
      <c r="K15" s="88">
        <f>LOOKUP(2, 1/('OB History'!$B:$B=A15), 'OB History'!$AD:$AD)</f>
        <v>0</v>
      </c>
      <c r="L15" s="34">
        <f>SUMIFS('OB History'!F:F,'OB History'!B:B,A15)</f>
        <v>4</v>
      </c>
      <c r="M15" s="2">
        <f>SUMIFS('OB History'!E:E,'OB History'!B:B,A15)-L15</f>
        <v>9</v>
      </c>
      <c r="N15" s="88">
        <f>LOOKUP(2, 1/('OB History'!$B:$B=A15), 'OB History'!$AB:$AB)</f>
        <v>0.3</v>
      </c>
      <c r="O15" s="34">
        <f>SUMIFS('OB History'!H:H,'OB History'!B:B,'Old Bow v2'!A15)</f>
        <v>24</v>
      </c>
      <c r="P15" s="2">
        <f>SUMIFS('OB History'!G:G,'OB History'!B:B,'Old Bow v2'!A15)-O15</f>
        <v>32</v>
      </c>
      <c r="Q15" s="88">
        <f>LOOKUP(2, 1/('OB History'!$B:$B=A15), 'OB History'!$AC:$AC)</f>
        <v>0.41666666666666669</v>
      </c>
      <c r="R15" s="2">
        <f>COUNTIFS('OB History'!$B:$B,$A$15,'OB History'!K:K, 1)</f>
        <v>1</v>
      </c>
      <c r="S15" s="2">
        <f>COUNTIFS('OB History'!$B:$B,$A$15,'OB History'!L:L, 1)</f>
        <v>0</v>
      </c>
      <c r="T15" s="2">
        <f>COUNTIFS('OB History'!$B:$B,$A$15,'OB History'!M:M, 1)</f>
        <v>0</v>
      </c>
      <c r="U15" s="2">
        <f>COUNTIFS('OB History'!$B:$B,$A$15,'OB History'!N:N, 1)</f>
        <v>0</v>
      </c>
      <c r="V15" s="2">
        <f>COUNTIFS('OB History'!$B:$B,$A$15,'OB History'!O:O, 1)</f>
        <v>0</v>
      </c>
      <c r="W15" s="2">
        <f>COUNTIFS('OB History'!$B:$B,$A$15,'OB History'!P:P, 1)</f>
        <v>2</v>
      </c>
      <c r="X15" s="2">
        <f>COUNTIFS('OB History'!$B:$B,$A$15,'OB History'!Q:Q, 1)</f>
        <v>0</v>
      </c>
      <c r="Y15" s="2">
        <f>COUNTIFS('OB History'!$B:$B,$A$15,'OB History'!R:R, 1)</f>
        <v>0</v>
      </c>
      <c r="Z15" s="2">
        <f>COUNTIFS('OB History'!$B:$B,$A$15,'OB History'!S:S, 1)</f>
        <v>0</v>
      </c>
      <c r="AA15" s="2">
        <f>COUNTIFS('OB History'!$B:$B,$A$15,'OB History'!T:T, 1)</f>
        <v>0</v>
      </c>
      <c r="AB15" s="2">
        <f>COUNTIFS('OB History'!$B:$B,$A$15,'OB History'!U:U, 1)</f>
        <v>0</v>
      </c>
      <c r="AC15" s="2">
        <f>COUNTIFS('OB History'!$B:$B,$A$15,'OB History'!V:V, 1)</f>
        <v>0</v>
      </c>
      <c r="AD15" s="2">
        <f>COUNTIFS('OB History'!$B:$B,$A$15,'OB History'!W:W, 1)</f>
        <v>1</v>
      </c>
      <c r="AE15" s="2">
        <f>COUNTIFS('OB History'!$B:$B,$A$15,'OB History'!X:X, 1)</f>
        <v>0</v>
      </c>
      <c r="AF15" s="2">
        <f>COUNTIFS('OB History'!$B:$B,$A$15,'OB History'!Y:Y, 1)</f>
        <v>0</v>
      </c>
      <c r="AG15" s="2">
        <f>COUNTIFS('OB History'!$B:$B,$A$15,'OB History'!Z:Z, 1)</f>
        <v>0</v>
      </c>
    </row>
    <row r="16" spans="1:33" x14ac:dyDescent="0.25">
      <c r="A16" s="2" t="s">
        <v>52</v>
      </c>
      <c r="B16" s="2" t="s">
        <v>79</v>
      </c>
      <c r="C16" s="2" t="s">
        <v>79</v>
      </c>
      <c r="D16" s="3"/>
      <c r="E16" s="3"/>
      <c r="F16" s="34">
        <f>SUMIFS('OB History'!C:C,'OB History'!B:B,A16)</f>
        <v>39</v>
      </c>
      <c r="G16" s="4">
        <f>AVERAGEIFS('OB History'!C:C,'OB History'!B:B,A16)</f>
        <v>19.5</v>
      </c>
      <c r="H16" s="35">
        <f t="array" ref="H16">MAX(IF('OB History'!B:B=A16, 'OB History'!C:C))</f>
        <v>34</v>
      </c>
      <c r="I16" s="34">
        <f>COUNTIFS('OB History'!B:B,A16,'OB History'!D:D, 1)</f>
        <v>0</v>
      </c>
      <c r="J16" s="2">
        <f>COUNTIFS('OB History'!B:B,A16,'OB History'!D:D, 0)</f>
        <v>2</v>
      </c>
      <c r="K16" s="88">
        <f>LOOKUP(2, 1/('OB History'!$B:$B=A16), 'OB History'!$AD:$AD)</f>
        <v>0</v>
      </c>
      <c r="L16" s="34">
        <f>SUMIFS('OB History'!F:F,'OB History'!B:B,A16)</f>
        <v>2</v>
      </c>
      <c r="M16" s="2">
        <f>SUMIFS('OB History'!E:E,'OB History'!B:B,A16)-L16</f>
        <v>6</v>
      </c>
      <c r="N16" s="88">
        <f>LOOKUP(2, 1/('OB History'!$B:$B=A16), 'OB History'!$AB:$AB)</f>
        <v>0.2</v>
      </c>
      <c r="O16" s="34">
        <f>SUMIFS('OB History'!H:H,'OB History'!B:B,'Old Bow v2'!A16)</f>
        <v>12</v>
      </c>
      <c r="P16" s="2">
        <f>SUMIFS('OB History'!G:G,'OB History'!B:B,'Old Bow v2'!A16)-O16</f>
        <v>22</v>
      </c>
      <c r="Q16" s="88">
        <f>LOOKUP(2, 1/('OB History'!$B:$B=A16), 'OB History'!$AC:$AC)</f>
        <v>0.34499999999999997</v>
      </c>
      <c r="R16" s="2">
        <f>COUNTIFS('OB History'!$B:$B,$A$16,'OB History'!K:K, 1)</f>
        <v>0</v>
      </c>
      <c r="S16" s="2">
        <f>COUNTIFS('OB History'!$B:$B,$A$16,'OB History'!L:L, 1)</f>
        <v>0</v>
      </c>
      <c r="T16" s="2">
        <f>COUNTIFS('OB History'!$B:$B,$A$16,'OB History'!M:M, 1)</f>
        <v>0</v>
      </c>
      <c r="U16" s="2">
        <f>COUNTIFS('OB History'!$B:$B,$A$16,'OB History'!N:N, 1)</f>
        <v>0</v>
      </c>
      <c r="V16" s="2">
        <f>COUNTIFS('OB History'!$B:$B,$A$16,'OB History'!O:O, 1)</f>
        <v>0</v>
      </c>
      <c r="W16" s="2">
        <f>COUNTIFS('OB History'!$B:$B,$A$16,'OB History'!P:P, 1)</f>
        <v>1</v>
      </c>
      <c r="X16" s="2">
        <f>COUNTIFS('OB History'!$B:$B,$A$16,'OB History'!Q:Q, 1)</f>
        <v>0</v>
      </c>
      <c r="Y16" s="2">
        <f>COUNTIFS('OB History'!$B:$B,$A$16,'OB History'!R:R, 1)</f>
        <v>0</v>
      </c>
      <c r="Z16" s="2">
        <f>COUNTIFS('OB History'!$B:$B,$A$16,'OB History'!S:S, 1)</f>
        <v>0</v>
      </c>
      <c r="AA16" s="2">
        <f>COUNTIFS('OB History'!$B:$B,$A$16,'OB History'!T:T, 1)</f>
        <v>0</v>
      </c>
      <c r="AB16" s="2">
        <f>COUNTIFS('OB History'!$B:$B,$A$16,'OB History'!U:U, 1)</f>
        <v>0</v>
      </c>
      <c r="AC16" s="2">
        <f>COUNTIFS('OB History'!$B:$B,$A$16,'OB History'!V:V, 1)</f>
        <v>0</v>
      </c>
      <c r="AD16" s="2">
        <f>COUNTIFS('OB History'!$B:$B,$A$16,'OB History'!W:W, 1)</f>
        <v>0</v>
      </c>
      <c r="AE16" s="2">
        <f>COUNTIFS('OB History'!$B:$B,$A$16,'OB History'!X:X, 1)</f>
        <v>1</v>
      </c>
      <c r="AF16" s="2">
        <f>COUNTIFS('OB History'!$B:$B,$A$16,'OB History'!Y:Y, 1)</f>
        <v>0</v>
      </c>
      <c r="AG16" s="2">
        <f>COUNTIFS('OB History'!$B:$B,$A$16,'OB History'!Z:Z, 1)</f>
        <v>0</v>
      </c>
    </row>
    <row r="17" spans="1:33" x14ac:dyDescent="0.25">
      <c r="A17" s="1" t="s">
        <v>44</v>
      </c>
      <c r="B17" s="2" t="s">
        <v>79</v>
      </c>
      <c r="C17" s="2" t="s">
        <v>79</v>
      </c>
      <c r="D17" s="3"/>
      <c r="E17" s="3"/>
      <c r="F17" s="34">
        <f>SUMIFS('OB History'!C:C,'OB History'!B:B,A17)</f>
        <v>67</v>
      </c>
      <c r="G17" s="4">
        <f>AVERAGEIFS('OB History'!C:C,'OB History'!B:B,A17)</f>
        <v>16.75</v>
      </c>
      <c r="H17" s="35">
        <f t="array" ref="H17">MAX(IF('OB History'!B:B=A17, 'OB History'!C:C))</f>
        <v>28</v>
      </c>
      <c r="I17" s="34">
        <f>COUNTIFS('OB History'!B:B,A17,'OB History'!D:D, 1)</f>
        <v>4</v>
      </c>
      <c r="J17" s="2">
        <f>COUNTIFS('OB History'!B:B,A17,'OB History'!D:D, 0)</f>
        <v>0</v>
      </c>
      <c r="K17" s="88">
        <f>LOOKUP(2, 1/('OB History'!$B:$B=A17), 'OB History'!$AD:$AD)</f>
        <v>1</v>
      </c>
      <c r="L17" s="34">
        <f>SUMIFS('OB History'!F:F,'OB History'!B:B,A17)</f>
        <v>12</v>
      </c>
      <c r="M17" s="2">
        <f>SUMIFS('OB History'!E:E,'OB History'!B:B,A17)-L17</f>
        <v>4</v>
      </c>
      <c r="N17" s="88">
        <f>LOOKUP(2, 1/('OB History'!$B:$B=A17), 'OB History'!$AB:$AB)</f>
        <v>0.8</v>
      </c>
      <c r="O17" s="34">
        <f>SUMIFS('OB History'!H:H,'OB History'!B:B,'Old Bow v2'!A17)</f>
        <v>41</v>
      </c>
      <c r="P17" s="2">
        <f>SUMIFS('OB History'!G:G,'OB History'!B:B,'Old Bow v2'!A17)-O17</f>
        <v>26</v>
      </c>
      <c r="Q17" s="88">
        <f>LOOKUP(2, 1/('OB History'!$B:$B=A17), 'OB History'!$AC:$AC)</f>
        <v>0.63249999999999995</v>
      </c>
      <c r="R17" s="2">
        <f>COUNTIFS('OB History'!$B:$B,$A$17,'OB History'!K:K, 1)</f>
        <v>0</v>
      </c>
      <c r="S17" s="2">
        <f>COUNTIFS('OB History'!$B:$B,$A$17,'OB History'!L:L, 1)</f>
        <v>1</v>
      </c>
      <c r="T17" s="2">
        <f>COUNTIFS('OB History'!$B:$B,$A$17,'OB History'!M:M, 1)</f>
        <v>1</v>
      </c>
      <c r="U17" s="2">
        <f>COUNTIFS('OB History'!$B:$B,$A$17,'OB History'!N:N, 1)</f>
        <v>0</v>
      </c>
      <c r="V17" s="2">
        <f>COUNTIFS('OB History'!$B:$B,$A$17,'OB History'!O:O, 1)</f>
        <v>0</v>
      </c>
      <c r="W17" s="2">
        <f>COUNTIFS('OB History'!$B:$B,$A$17,'OB History'!P:P, 1)</f>
        <v>1</v>
      </c>
      <c r="X17" s="2">
        <f>COUNTIFS('OB History'!$B:$B,$A$17,'OB History'!Q:Q, 1)</f>
        <v>1</v>
      </c>
      <c r="Y17" s="2">
        <f>COUNTIFS('OB History'!$B:$B,$A$17,'OB History'!R:R, 1)</f>
        <v>1</v>
      </c>
      <c r="Z17" s="2">
        <f>COUNTIFS('OB History'!$B:$B,$A$17,'OB History'!S:S, 1)</f>
        <v>0</v>
      </c>
      <c r="AA17" s="2">
        <f>COUNTIFS('OB History'!$B:$B,$A$17,'OB History'!T:T, 1)</f>
        <v>0</v>
      </c>
      <c r="AB17" s="2">
        <f>COUNTIFS('OB History'!$B:$B,$A$17,'OB History'!U:U, 1)</f>
        <v>0</v>
      </c>
      <c r="AC17" s="2">
        <f>COUNTIFS('OB History'!$B:$B,$A$17,'OB History'!V:V, 1)</f>
        <v>0</v>
      </c>
      <c r="AD17" s="2">
        <f>COUNTIFS('OB History'!$B:$B,$A$17,'OB History'!W:W, 1)</f>
        <v>1</v>
      </c>
      <c r="AE17" s="2">
        <f>COUNTIFS('OB History'!$B:$B,$A$17,'OB History'!X:X, 1)</f>
        <v>3</v>
      </c>
      <c r="AF17" s="2">
        <f>COUNTIFS('OB History'!$B:$B,$A$17,'OB History'!Y:Y, 1)</f>
        <v>2</v>
      </c>
      <c r="AG17" s="2">
        <f>COUNTIFS('OB History'!$B:$B,$A$17,'OB History'!Z:Z, 1)</f>
        <v>1</v>
      </c>
    </row>
    <row r="18" spans="1:33" x14ac:dyDescent="0.25">
      <c r="A18" s="2" t="s">
        <v>1</v>
      </c>
      <c r="B18" s="6" t="s">
        <v>124</v>
      </c>
      <c r="C18" s="2" t="s">
        <v>79</v>
      </c>
      <c r="D18" s="3"/>
      <c r="E18" s="3"/>
      <c r="F18" s="34">
        <f>SUMIFS('OB History'!C:C,'OB History'!B:B,A18)</f>
        <v>309</v>
      </c>
      <c r="G18" s="4">
        <f>AVERAGEIFS('OB History'!C:C,'OB History'!B:B,A18)</f>
        <v>23.76923076923077</v>
      </c>
      <c r="H18" s="35">
        <f t="array" ref="H18">MAX(IF('OB History'!B:B=A18, 'OB History'!C:C))</f>
        <v>37</v>
      </c>
      <c r="I18" s="34">
        <f>COUNTIFS('OB History'!B:B,A18,'OB History'!D:D, 1)</f>
        <v>8</v>
      </c>
      <c r="J18" s="2">
        <f>COUNTIFS('OB History'!B:B,A18,'OB History'!D:D, 0)</f>
        <v>5</v>
      </c>
      <c r="K18" s="88">
        <f>LOOKUP(2, 1/('OB History'!$B:$B=A18), 'OB History'!$AD:$AD)</f>
        <v>0.61538461538461542</v>
      </c>
      <c r="L18" s="34">
        <f>SUMIFS('OB History'!F:F,'OB History'!B:B,A18)</f>
        <v>30</v>
      </c>
      <c r="M18" s="2">
        <f>SUMIFS('OB History'!E:E,'OB History'!B:B,A18)-L18</f>
        <v>26</v>
      </c>
      <c r="N18" s="88">
        <f>LOOKUP(2, 1/('OB History'!$B:$B=A18), 'OB History'!$AB:$AB)</f>
        <v>0.5346153846153846</v>
      </c>
      <c r="O18" s="34">
        <f>SUMIFS('OB History'!H:H,'OB History'!B:B,'Old Bow v2'!A18)</f>
        <v>116</v>
      </c>
      <c r="P18" s="2">
        <f>SUMIFS('OB History'!G:G,'OB History'!B:B,'Old Bow v2'!A18)-O18</f>
        <v>117</v>
      </c>
      <c r="Q18" s="88">
        <f>LOOKUP(2, 1/('OB History'!$B:$B=A18), 'OB History'!$AC:$AC)</f>
        <v>0.49230769230769234</v>
      </c>
      <c r="R18" s="2">
        <f>COUNTIFS('OB History'!$B:$B,$A$18,'OB History'!K:K, 1)</f>
        <v>0</v>
      </c>
      <c r="S18" s="2">
        <f>COUNTIFS('OB History'!$B:$B,$A$18,'OB History'!L:L, 1)</f>
        <v>3</v>
      </c>
      <c r="T18" s="2">
        <f>COUNTIFS('OB History'!$B:$B,$A$18,'OB History'!M:M, 1)</f>
        <v>4</v>
      </c>
      <c r="U18" s="2">
        <f>COUNTIFS('OB History'!$B:$B,$A$18,'OB History'!N:N, 1)</f>
        <v>1</v>
      </c>
      <c r="V18" s="2">
        <f>COUNTIFS('OB History'!$B:$B,$A$18,'OB History'!O:O, 1)</f>
        <v>2</v>
      </c>
      <c r="W18" s="2">
        <f>COUNTIFS('OB History'!$B:$B,$A$18,'OB History'!P:P, 1)</f>
        <v>2</v>
      </c>
      <c r="X18" s="2">
        <f>COUNTIFS('OB History'!$B:$B,$A$18,'OB History'!Q:Q, 1)</f>
        <v>0</v>
      </c>
      <c r="Y18" s="2">
        <f>COUNTIFS('OB History'!$B:$B,$A$18,'OB History'!R:R, 1)</f>
        <v>1</v>
      </c>
      <c r="Z18" s="2">
        <f>COUNTIFS('OB History'!$B:$B,$A$18,'OB History'!S:S, 1)</f>
        <v>0</v>
      </c>
      <c r="AA18" s="2">
        <f>COUNTIFS('OB History'!$B:$B,$A$18,'OB History'!T:T, 1)</f>
        <v>0</v>
      </c>
      <c r="AB18" s="2">
        <f>COUNTIFS('OB History'!$B:$B,$A$18,'OB History'!U:U, 1)</f>
        <v>0</v>
      </c>
      <c r="AC18" s="2">
        <f>COUNTIFS('OB History'!$B:$B,$A$18,'OB History'!V:V, 1)</f>
        <v>0</v>
      </c>
      <c r="AD18" s="2">
        <f>COUNTIFS('OB History'!$B:$B,$A$18,'OB History'!W:W, 1)</f>
        <v>4</v>
      </c>
      <c r="AE18" s="2">
        <f>COUNTIFS('OB History'!$B:$B,$A$18,'OB History'!X:X, 1)</f>
        <v>4</v>
      </c>
      <c r="AF18" s="2">
        <f>COUNTIFS('OB History'!$B:$B,$A$18,'OB History'!Y:Y, 1)</f>
        <v>4</v>
      </c>
      <c r="AG18" s="2">
        <f>COUNTIFS('OB History'!$B:$B,$A$18,'OB History'!Z:Z, 1)</f>
        <v>5</v>
      </c>
    </row>
    <row r="19" spans="1:33" x14ac:dyDescent="0.25">
      <c r="A19" s="2" t="s">
        <v>150</v>
      </c>
      <c r="B19" s="6" t="s">
        <v>79</v>
      </c>
      <c r="C19" s="2" t="s">
        <v>79</v>
      </c>
      <c r="D19" s="3">
        <v>1</v>
      </c>
      <c r="E19" s="3"/>
      <c r="F19" s="34">
        <f>SUMIFS('OB History'!C:C,'OB History'!B:B,A19)</f>
        <v>109</v>
      </c>
      <c r="G19" s="4">
        <f>AVERAGEIFS('OB History'!C:C,'OB History'!B:B,A19)</f>
        <v>18.166666666666668</v>
      </c>
      <c r="H19" s="35">
        <f t="array" ref="H19">MAX(IF('OB History'!B:B=A19, 'OB History'!C:C))</f>
        <v>26</v>
      </c>
      <c r="I19" s="34">
        <f>COUNTIFS('OB History'!B:B,A19,'OB History'!D:D, 1)</f>
        <v>5</v>
      </c>
      <c r="J19" s="2">
        <f>COUNTIFS('OB History'!B:B,A19,'OB History'!D:D, 0)</f>
        <v>1</v>
      </c>
      <c r="K19" s="88">
        <f>LOOKUP(2, 1/('OB History'!$B:$B=A19), 'OB History'!$AD:$AD)</f>
        <v>0.83333333333333337</v>
      </c>
      <c r="L19" s="34">
        <f>SUMIFS('OB History'!F:F,'OB History'!B:B,A19)</f>
        <v>17</v>
      </c>
      <c r="M19" s="2">
        <f>SUMIFS('OB History'!E:E,'OB History'!B:B,A19)-L19</f>
        <v>8</v>
      </c>
      <c r="N19" s="88">
        <f>LOOKUP(2, 1/('OB History'!$B:$B=A19), 'OB History'!$AB:$AB)</f>
        <v>0.70833333333333337</v>
      </c>
      <c r="O19" s="34">
        <f>SUMIFS('OB History'!H:H,'OB History'!B:B,'Old Bow v2'!A19)</f>
        <v>62</v>
      </c>
      <c r="P19" s="2">
        <f>SUMIFS('OB History'!G:G,'OB History'!B:B,'Old Bow v2'!A19)-O19</f>
        <v>37</v>
      </c>
      <c r="Q19" s="88">
        <f>LOOKUP(2, 1/('OB History'!$B:$B=A19), 'OB History'!$AC:$AC)</f>
        <v>0.64333333333333331</v>
      </c>
      <c r="R19" s="2">
        <f>COUNTIFS('OB History'!$B:$B,$A$19,'OB History'!K:K, 1)</f>
        <v>0</v>
      </c>
      <c r="S19" s="2">
        <f>COUNTIFS('OB History'!$B:$B,$A$19,'OB History'!L:L, 1)</f>
        <v>0</v>
      </c>
      <c r="T19" s="2">
        <f>COUNTIFS('OB History'!$B:$B,$A$19,'OB History'!M:M, 1)</f>
        <v>1</v>
      </c>
      <c r="U19" s="2">
        <f>COUNTIFS('OB History'!$B:$B,$A$19,'OB History'!N:N, 1)</f>
        <v>2</v>
      </c>
      <c r="V19" s="2">
        <f>COUNTIFS('OB History'!$B:$B,$A$19,'OB History'!O:O, 1)</f>
        <v>0</v>
      </c>
      <c r="W19" s="2">
        <f>COUNTIFS('OB History'!$B:$B,$A$19,'OB History'!P:P, 1)</f>
        <v>2</v>
      </c>
      <c r="X19" s="2">
        <f>COUNTIFS('OB History'!$B:$B,$A$19,'OB History'!Q:Q, 1)</f>
        <v>1</v>
      </c>
      <c r="Y19" s="2">
        <f>COUNTIFS('OB History'!$B:$B,$A$19,'OB History'!R:R, 1)</f>
        <v>1</v>
      </c>
      <c r="Z19" s="2">
        <f>COUNTIFS('OB History'!$B:$B,$A$19,'OB History'!S:S, 1)</f>
        <v>0</v>
      </c>
      <c r="AA19" s="2">
        <f>COUNTIFS('OB History'!$B:$B,$A$19,'OB History'!T:T, 1)</f>
        <v>0</v>
      </c>
      <c r="AB19" s="2">
        <f>COUNTIFS('OB History'!$B:$B,$A$19,'OB History'!U:U, 1)</f>
        <v>1</v>
      </c>
      <c r="AC19" s="2">
        <f>COUNTIFS('OB History'!$B:$B,$A$19,'OB History'!V:V, 1)</f>
        <v>0</v>
      </c>
      <c r="AD19" s="2">
        <f>COUNTIFS('OB History'!$B:$B,$A$19,'OB History'!W:W, 1)</f>
        <v>3</v>
      </c>
      <c r="AE19" s="2">
        <f>COUNTIFS('OB History'!$B:$B,$A$19,'OB History'!X:X, 1)</f>
        <v>2</v>
      </c>
      <c r="AF19" s="2">
        <f>COUNTIFS('OB History'!$B:$B,$A$19,'OB History'!Y:Y, 1)</f>
        <v>4</v>
      </c>
      <c r="AG19" s="2">
        <f>COUNTIFS('OB History'!$B:$B,$A$19,'OB History'!Z:Z, 1)</f>
        <v>0</v>
      </c>
    </row>
    <row r="20" spans="1:33" x14ac:dyDescent="0.25">
      <c r="A20" s="2" t="s">
        <v>29</v>
      </c>
      <c r="B20" s="6" t="s">
        <v>156</v>
      </c>
      <c r="C20" s="2" t="s">
        <v>79</v>
      </c>
      <c r="D20" s="3">
        <v>1</v>
      </c>
      <c r="E20" s="3"/>
      <c r="F20" s="34">
        <f>SUMIFS('OB History'!C:C,'OB History'!B:B,A20)</f>
        <v>440</v>
      </c>
      <c r="G20" s="4">
        <f>AVERAGEIFS('OB History'!C:C,'OB History'!B:B,A20)</f>
        <v>11.282051282051283</v>
      </c>
      <c r="H20" s="35">
        <f t="array" ref="H20">MAX(IF('OB History'!B:B=A20, 'OB History'!C:C))</f>
        <v>41</v>
      </c>
      <c r="I20" s="34">
        <f>COUNTIFS('OB History'!B:B,A20,'OB History'!D:D, 1)</f>
        <v>17</v>
      </c>
      <c r="J20" s="2">
        <f>COUNTIFS('OB History'!B:B,A20,'OB History'!D:D, 0)</f>
        <v>22</v>
      </c>
      <c r="K20" s="88">
        <f>LOOKUP(2, 1/('OB History'!$B:$B=A20), 'OB History'!$AD:$AD)</f>
        <v>0.4358974358974359</v>
      </c>
      <c r="L20" s="34">
        <f>SUMIFS('OB History'!F:F,'OB History'!B:B,A20)</f>
        <v>74</v>
      </c>
      <c r="M20" s="2">
        <f>SUMIFS('OB History'!E:E,'OB History'!B:B,A20)-L20</f>
        <v>82</v>
      </c>
      <c r="N20" s="88">
        <f>LOOKUP(2, 1/('OB History'!$B:$B=A20), 'OB History'!$AB:$AB)</f>
        <v>0.46794871794871795</v>
      </c>
      <c r="O20" s="34">
        <f>SUMIFS('OB History'!H:H,'OB History'!B:B,'Old Bow v2'!A20)</f>
        <v>320</v>
      </c>
      <c r="P20" s="2">
        <f>SUMIFS('OB History'!G:G,'OB History'!B:B,'Old Bow v2'!A20)-O20</f>
        <v>326</v>
      </c>
      <c r="Q20" s="88">
        <f>LOOKUP(2, 1/('OB History'!$B:$B=A20), 'OB History'!$AC:$AC)</f>
        <v>0.4984615384615384</v>
      </c>
      <c r="R20" s="2">
        <f>COUNTIFS('OB History'!$B:$B,$A$20,'OB History'!K:K, 1)</f>
        <v>4</v>
      </c>
      <c r="S20" s="2">
        <f>COUNTIFS('OB History'!$B:$B,$A$20,'OB History'!L:L, 1)</f>
        <v>6</v>
      </c>
      <c r="T20" s="2">
        <f>COUNTIFS('OB History'!$B:$B,$A$20,'OB History'!M:M, 1)</f>
        <v>2</v>
      </c>
      <c r="U20" s="2">
        <f>COUNTIFS('OB History'!$B:$B,$A$20,'OB History'!N:N, 1)</f>
        <v>9</v>
      </c>
      <c r="V20" s="2">
        <f>COUNTIFS('OB History'!$B:$B,$A$20,'OB History'!O:O, 1)</f>
        <v>2</v>
      </c>
      <c r="W20" s="2">
        <f>COUNTIFS('OB History'!$B:$B,$A$20,'OB History'!P:P, 1)</f>
        <v>7</v>
      </c>
      <c r="X20" s="2">
        <f>COUNTIFS('OB History'!$B:$B,$A$20,'OB History'!Q:Q, 1)</f>
        <v>1</v>
      </c>
      <c r="Y20" s="2">
        <f>COUNTIFS('OB History'!$B:$B,$A$20,'OB History'!R:R, 1)</f>
        <v>0</v>
      </c>
      <c r="Z20" s="2">
        <f>COUNTIFS('OB History'!$B:$B,$A$20,'OB History'!S:S, 1)</f>
        <v>0</v>
      </c>
      <c r="AA20" s="2">
        <f>COUNTIFS('OB History'!$B:$B,$A$20,'OB History'!T:T, 1)</f>
        <v>0</v>
      </c>
      <c r="AB20" s="2">
        <f>COUNTIFS('OB History'!$B:$B,$A$20,'OB History'!U:U, 1)</f>
        <v>0</v>
      </c>
      <c r="AC20" s="2">
        <f>COUNTIFS('OB History'!$B:$B,$A$20,'OB History'!V:V, 1)</f>
        <v>3</v>
      </c>
      <c r="AD20" s="2">
        <f>COUNTIFS('OB History'!$B:$B,$A$20,'OB History'!W:W, 1)</f>
        <v>10</v>
      </c>
      <c r="AE20" s="2">
        <f>COUNTIFS('OB History'!$B:$B,$A$20,'OB History'!X:X, 1)</f>
        <v>13</v>
      </c>
      <c r="AF20" s="2">
        <f>COUNTIFS('OB History'!$B:$B,$A$20,'OB History'!Y:Y, 1)</f>
        <v>7</v>
      </c>
      <c r="AG20" s="2">
        <f>COUNTIFS('OB History'!$B:$B,$A$20,'OB History'!Z:Z, 1)</f>
        <v>10</v>
      </c>
    </row>
    <row r="21" spans="1:33" x14ac:dyDescent="0.25">
      <c r="A21" s="2" t="s">
        <v>46</v>
      </c>
      <c r="B21" s="2" t="s">
        <v>79</v>
      </c>
      <c r="C21" s="2" t="s">
        <v>79</v>
      </c>
      <c r="D21" s="3"/>
      <c r="E21" s="3"/>
      <c r="F21" s="34">
        <f>SUMIFS('OB History'!C:C,'OB History'!B:B,A21)</f>
        <v>183</v>
      </c>
      <c r="G21" s="4">
        <f>AVERAGEIFS('OB History'!C:C,'OB History'!B:B,A21)</f>
        <v>20.333333333333332</v>
      </c>
      <c r="H21" s="35">
        <f t="array" ref="H21">MAX(IF('OB History'!B:B=A21, 'OB History'!C:C))</f>
        <v>36</v>
      </c>
      <c r="I21" s="34">
        <f>COUNTIFS('OB History'!B:B,A21,'OB History'!D:D, 1)</f>
        <v>4</v>
      </c>
      <c r="J21" s="2">
        <f>COUNTIFS('OB History'!B:B,A21,'OB History'!D:D, 0)</f>
        <v>5</v>
      </c>
      <c r="K21" s="88">
        <f>LOOKUP(2, 1/('OB History'!$B:$B=A21), 'OB History'!$AD:$AD)</f>
        <v>0.44444444444444442</v>
      </c>
      <c r="L21" s="34">
        <f>SUMIFS('OB History'!F:F,'OB History'!B:B,A21)</f>
        <v>16</v>
      </c>
      <c r="M21" s="2">
        <f>SUMIFS('OB History'!E:E,'OB History'!B:B,A21)-L21</f>
        <v>20</v>
      </c>
      <c r="N21" s="88">
        <f>LOOKUP(2, 1/('OB History'!$B:$B=A21), 'OB History'!$AB:$AB)</f>
        <v>0.41666666666666669</v>
      </c>
      <c r="O21" s="34">
        <f>SUMIFS('OB History'!H:H,'OB History'!B:B,'Old Bow v2'!A21)</f>
        <v>70</v>
      </c>
      <c r="P21" s="2">
        <f>SUMIFS('OB History'!G:G,'OB History'!B:B,'Old Bow v2'!A21)-O21</f>
        <v>83</v>
      </c>
      <c r="Q21" s="88">
        <f>LOOKUP(2, 1/('OB History'!$B:$B=A21), 'OB History'!$AC:$AC)</f>
        <v>0.44999999999999996</v>
      </c>
      <c r="R21" s="2">
        <f>COUNTIFS('OB History'!$B:$B,$A$21,'OB History'!K:K, 1)</f>
        <v>0</v>
      </c>
      <c r="S21" s="2">
        <f>COUNTIFS('OB History'!$B:$B,$A$21,'OB History'!L:L, 1)</f>
        <v>1</v>
      </c>
      <c r="T21" s="2">
        <f>COUNTIFS('OB History'!$B:$B,$A$21,'OB History'!M:M, 1)</f>
        <v>1</v>
      </c>
      <c r="U21" s="2">
        <f>COUNTIFS('OB History'!$B:$B,$A$21,'OB History'!N:N, 1)</f>
        <v>1</v>
      </c>
      <c r="V21" s="2">
        <f>COUNTIFS('OB History'!$B:$B,$A$21,'OB History'!O:O, 1)</f>
        <v>0</v>
      </c>
      <c r="W21" s="2">
        <f>COUNTIFS('OB History'!$B:$B,$A$21,'OB History'!P:P, 1)</f>
        <v>5</v>
      </c>
      <c r="X21" s="2">
        <f>COUNTIFS('OB History'!$B:$B,$A$21,'OB History'!Q:Q, 1)</f>
        <v>0</v>
      </c>
      <c r="Y21" s="2">
        <f>COUNTIFS('OB History'!$B:$B,$A$21,'OB History'!R:R, 1)</f>
        <v>1</v>
      </c>
      <c r="Z21" s="2">
        <f>COUNTIFS('OB History'!$B:$B,$A$21,'OB History'!S:S, 1)</f>
        <v>0</v>
      </c>
      <c r="AA21" s="2">
        <f>COUNTIFS('OB History'!$B:$B,$A$21,'OB History'!T:T, 1)</f>
        <v>0</v>
      </c>
      <c r="AB21" s="2">
        <f>COUNTIFS('OB History'!$B:$B,$A$21,'OB History'!U:U, 1)</f>
        <v>0</v>
      </c>
      <c r="AC21" s="2">
        <f>COUNTIFS('OB History'!$B:$B,$A$21,'OB History'!V:V, 1)</f>
        <v>0</v>
      </c>
      <c r="AD21" s="2">
        <f>COUNTIFS('OB History'!$B:$B,$A$21,'OB History'!W:W, 1)</f>
        <v>1</v>
      </c>
      <c r="AE21" s="2">
        <f>COUNTIFS('OB History'!$B:$B,$A$21,'OB History'!X:X, 1)</f>
        <v>3</v>
      </c>
      <c r="AF21" s="2">
        <f>COUNTIFS('OB History'!$B:$B,$A$21,'OB History'!Y:Y, 1)</f>
        <v>1</v>
      </c>
      <c r="AG21" s="2">
        <f>COUNTIFS('OB History'!$B:$B,$A$21,'OB History'!Z:Z, 1)</f>
        <v>2</v>
      </c>
    </row>
    <row r="22" spans="1:33" x14ac:dyDescent="0.25">
      <c r="A22" s="2" t="s">
        <v>139</v>
      </c>
      <c r="B22" s="2" t="s">
        <v>79</v>
      </c>
      <c r="C22" s="2" t="s">
        <v>79</v>
      </c>
      <c r="D22" s="3"/>
      <c r="E22" s="3"/>
      <c r="F22" s="34">
        <f>SUMIFS('OB History'!C:C,'OB History'!B:B,A22)</f>
        <v>147</v>
      </c>
      <c r="G22" s="4">
        <f>AVERAGEIFS('OB History'!C:C,'OB History'!B:B,A22)</f>
        <v>10.5</v>
      </c>
      <c r="H22" s="35">
        <f t="array" ref="H22">MAX(IF('OB History'!B:B=A22, 'OB History'!C:C))</f>
        <v>17</v>
      </c>
      <c r="I22" s="34">
        <f>COUNTIFS('OB History'!B:B,A22,'OB History'!D:D, 1)</f>
        <v>9</v>
      </c>
      <c r="J22" s="2">
        <f>COUNTIFS('OB History'!B:B,A22,'OB History'!D:D, 0)</f>
        <v>5</v>
      </c>
      <c r="K22" s="88">
        <f>LOOKUP(2, 1/('OB History'!$B:$B=A22), 'OB History'!$AD:$AD)</f>
        <v>0.6428571428571429</v>
      </c>
      <c r="L22" s="34">
        <f>SUMIFS('OB History'!F:F,'OB History'!B:B,A22)</f>
        <v>34</v>
      </c>
      <c r="M22" s="2">
        <f>SUMIFS('OB History'!E:E,'OB History'!B:B,A22)-L22</f>
        <v>27</v>
      </c>
      <c r="N22" s="88">
        <f>LOOKUP(2, 1/('OB History'!$B:$B=A22), 'OB History'!$AB:$AB)</f>
        <v>0.56785714285714284</v>
      </c>
      <c r="O22" s="34">
        <f>SUMIFS('OB History'!H:H,'OB History'!B:B,'Old Bow v2'!A22)</f>
        <v>128</v>
      </c>
      <c r="P22" s="2">
        <f>SUMIFS('OB History'!G:G,'OB History'!B:B,'Old Bow v2'!A22)-O22</f>
        <v>116</v>
      </c>
      <c r="Q22" s="88">
        <f>LOOKUP(2, 1/('OB History'!$B:$B=A22), 'OB History'!$AC:$AC)</f>
        <v>0.53214285714285703</v>
      </c>
      <c r="R22" s="2">
        <f>COUNTIFS('OB History'!$B:$B,$A$22,'OB History'!K:K, 1)</f>
        <v>1</v>
      </c>
      <c r="S22" s="2">
        <f>COUNTIFS('OB History'!$B:$B,$A$22,'OB History'!L:L, 1)</f>
        <v>4</v>
      </c>
      <c r="T22" s="2">
        <f>COUNTIFS('OB History'!$B:$B,$A$22,'OB History'!M:M, 1)</f>
        <v>1</v>
      </c>
      <c r="U22" s="2">
        <f>COUNTIFS('OB History'!$B:$B,$A$22,'OB History'!N:N, 1)</f>
        <v>3</v>
      </c>
      <c r="V22" s="2">
        <f>COUNTIFS('OB History'!$B:$B,$A$22,'OB History'!O:O, 1)</f>
        <v>0</v>
      </c>
      <c r="W22" s="2">
        <f>COUNTIFS('OB History'!$B:$B,$A$22,'OB History'!P:P, 1)</f>
        <v>2</v>
      </c>
      <c r="X22" s="2">
        <f>COUNTIFS('OB History'!$B:$B,$A$22,'OB History'!Q:Q, 1)</f>
        <v>2</v>
      </c>
      <c r="Y22" s="2">
        <f>COUNTIFS('OB History'!$B:$B,$A$22,'OB History'!R:R, 1)</f>
        <v>3</v>
      </c>
      <c r="Z22" s="2">
        <f>COUNTIFS('OB History'!$B:$B,$A$22,'OB History'!S:S, 1)</f>
        <v>0</v>
      </c>
      <c r="AA22" s="2">
        <f>COUNTIFS('OB History'!$B:$B,$A$22,'OB History'!T:T, 1)</f>
        <v>0</v>
      </c>
      <c r="AB22" s="2">
        <f>COUNTIFS('OB History'!$B:$B,$A$22,'OB History'!U:U, 1)</f>
        <v>0</v>
      </c>
      <c r="AC22" s="2">
        <f>COUNTIFS('OB History'!$B:$B,$A$22,'OB History'!V:V, 1)</f>
        <v>2</v>
      </c>
      <c r="AD22" s="2">
        <f>COUNTIFS('OB History'!$B:$B,$A$22,'OB History'!W:W, 1)</f>
        <v>0</v>
      </c>
      <c r="AE22" s="2">
        <f>COUNTIFS('OB History'!$B:$B,$A$22,'OB History'!X:X, 1)</f>
        <v>8</v>
      </c>
      <c r="AF22" s="2">
        <f>COUNTIFS('OB History'!$B:$B,$A$22,'OB History'!Y:Y, 1)</f>
        <v>4</v>
      </c>
      <c r="AG22" s="2">
        <f>COUNTIFS('OB History'!$B:$B,$A$22,'OB History'!Z:Z, 1)</f>
        <v>4</v>
      </c>
    </row>
    <row r="23" spans="1:33" x14ac:dyDescent="0.25">
      <c r="A23" s="2" t="s">
        <v>28</v>
      </c>
      <c r="B23" s="6" t="s">
        <v>60</v>
      </c>
      <c r="C23" s="2" t="s">
        <v>79</v>
      </c>
      <c r="D23" s="3"/>
      <c r="E23" s="3"/>
      <c r="F23" s="34">
        <f>SUMIFS('OB History'!C:C,'OB History'!B:B,A23)</f>
        <v>279</v>
      </c>
      <c r="G23" s="4">
        <f>AVERAGEIFS('OB History'!C:C,'OB History'!B:B,A23)</f>
        <v>13.285714285714286</v>
      </c>
      <c r="H23" s="35">
        <f t="array" ref="H23">MAX(IF('OB History'!B:B=A23, 'OB History'!C:C))</f>
        <v>27</v>
      </c>
      <c r="I23" s="34">
        <f>COUNTIFS('OB History'!B:B,A23,'OB History'!D:D, 1)</f>
        <v>8</v>
      </c>
      <c r="J23" s="2">
        <f>COUNTIFS('OB History'!B:B,A23,'OB History'!D:D, 0)</f>
        <v>13</v>
      </c>
      <c r="K23" s="88">
        <f>LOOKUP(2, 1/('OB History'!$B:$B=A23), 'OB History'!$AD:$AD)</f>
        <v>0.38095238095238093</v>
      </c>
      <c r="L23" s="34">
        <f>SUMIFS('OB History'!F:F,'OB History'!B:B,A23)</f>
        <v>37</v>
      </c>
      <c r="M23" s="2">
        <f>SUMIFS('OB History'!E:E,'OB History'!B:B,A23)-L23</f>
        <v>51</v>
      </c>
      <c r="N23" s="88">
        <f>LOOKUP(2, 1/('OB History'!$B:$B=A23), 'OB History'!$AB:$AB)</f>
        <v>0.39285714285714285</v>
      </c>
      <c r="O23" s="34">
        <f>SUMIFS('OB History'!H:H,'OB History'!B:B,'Old Bow v2'!A23)</f>
        <v>170</v>
      </c>
      <c r="P23" s="2">
        <f>SUMIFS('OB History'!G:G,'OB History'!B:B,'Old Bow v2'!A23)-O23</f>
        <v>196</v>
      </c>
      <c r="Q23" s="88">
        <f>LOOKUP(2, 1/('OB History'!$B:$B=A23), 'OB History'!$AC:$AC)</f>
        <v>0.45095238095238105</v>
      </c>
      <c r="R23" s="2">
        <f>COUNTIFS('OB History'!$B:$B,$A$23,'OB History'!K:K, 1)</f>
        <v>4</v>
      </c>
      <c r="S23" s="2">
        <f>COUNTIFS('OB History'!$B:$B,$A$23,'OB History'!L:L, 1)</f>
        <v>2</v>
      </c>
      <c r="T23" s="2">
        <f>COUNTIFS('OB History'!$B:$B,$A$23,'OB History'!M:M, 1)</f>
        <v>1</v>
      </c>
      <c r="U23" s="2">
        <f>COUNTIFS('OB History'!$B:$B,$A$23,'OB History'!N:N, 1)</f>
        <v>2</v>
      </c>
      <c r="V23" s="2">
        <f>COUNTIFS('OB History'!$B:$B,$A$23,'OB History'!O:O, 1)</f>
        <v>1</v>
      </c>
      <c r="W23" s="2">
        <f>COUNTIFS('OB History'!$B:$B,$A$23,'OB History'!P:P, 1)</f>
        <v>4</v>
      </c>
      <c r="X23" s="2">
        <f>COUNTIFS('OB History'!$B:$B,$A$23,'OB History'!Q:Q, 1)</f>
        <v>2</v>
      </c>
      <c r="Y23" s="2">
        <f>COUNTIFS('OB History'!$B:$B,$A$23,'OB History'!R:R, 1)</f>
        <v>1</v>
      </c>
      <c r="Z23" s="2">
        <f>COUNTIFS('OB History'!$B:$B,$A$23,'OB History'!S:S, 1)</f>
        <v>1</v>
      </c>
      <c r="AA23" s="2">
        <f>COUNTIFS('OB History'!$B:$B,$A$23,'OB History'!T:T, 1)</f>
        <v>0</v>
      </c>
      <c r="AB23" s="2">
        <f>COUNTIFS('OB History'!$B:$B,$A$23,'OB History'!U:U, 1)</f>
        <v>1</v>
      </c>
      <c r="AC23" s="2">
        <f>COUNTIFS('OB History'!$B:$B,$A$23,'OB History'!V:V, 1)</f>
        <v>1</v>
      </c>
      <c r="AD23" s="2">
        <f>COUNTIFS('OB History'!$B:$B,$A$23,'OB History'!W:W, 1)</f>
        <v>1</v>
      </c>
      <c r="AE23" s="2">
        <f>COUNTIFS('OB History'!$B:$B,$A$23,'OB History'!X:X, 1)</f>
        <v>6</v>
      </c>
      <c r="AF23" s="2">
        <f>COUNTIFS('OB History'!$B:$B,$A$23,'OB History'!Y:Y, 1)</f>
        <v>2</v>
      </c>
      <c r="AG23" s="2">
        <f>COUNTIFS('OB History'!$B:$B,$A$23,'OB History'!Z:Z, 1)</f>
        <v>8</v>
      </c>
    </row>
    <row r="24" spans="1:33" x14ac:dyDescent="0.25">
      <c r="A24" s="2" t="s">
        <v>53</v>
      </c>
      <c r="B24" s="6" t="s">
        <v>60</v>
      </c>
      <c r="C24" s="6" t="s">
        <v>79</v>
      </c>
      <c r="D24" s="3"/>
      <c r="E24" s="3"/>
      <c r="F24" s="34">
        <f>SUMIFS('OB History'!C:C,'OB History'!B:B,A24)</f>
        <v>43</v>
      </c>
      <c r="G24" s="4">
        <f>AVERAGEIFS('OB History'!C:C,'OB History'!B:B,A24)</f>
        <v>14.333333333333334</v>
      </c>
      <c r="H24" s="35">
        <f t="array" ref="H24">MAX(IF('OB History'!B:B=A24, 'OB History'!C:C))</f>
        <v>25</v>
      </c>
      <c r="I24" s="34">
        <f>COUNTIFS('OB History'!B:B,A24,'OB History'!D:D, 1)</f>
        <v>2</v>
      </c>
      <c r="J24" s="2">
        <f>COUNTIFS('OB History'!B:B,A24,'OB History'!D:D, 0)</f>
        <v>1</v>
      </c>
      <c r="K24" s="88">
        <f>LOOKUP(2, 1/('OB History'!$B:$B=A24), 'OB History'!$AD:$AD)</f>
        <v>0.66666666666666663</v>
      </c>
      <c r="L24" s="34">
        <f>SUMIFS('OB History'!F:F,'OB History'!B:B,A24)</f>
        <v>6</v>
      </c>
      <c r="M24" s="2">
        <f>SUMIFS('OB History'!E:E,'OB History'!B:B,A24)-L24</f>
        <v>7</v>
      </c>
      <c r="N24" s="88">
        <f>LOOKUP(2, 1/('OB History'!$B:$B=A24), 'OB History'!$AB:$AB)</f>
        <v>0.39999999999999997</v>
      </c>
      <c r="O24" s="34">
        <f>SUMIFS('OB History'!H:H,'OB History'!B:B,'Old Bow v2'!A24)</f>
        <v>27</v>
      </c>
      <c r="P24" s="2">
        <f>SUMIFS('OB History'!G:G,'OB History'!B:B,'Old Bow v2'!A24)-O24</f>
        <v>26</v>
      </c>
      <c r="Q24" s="88">
        <f>LOOKUP(2, 1/('OB History'!$B:$B=A24), 'OB History'!$AC:$AC)</f>
        <v>0.48666666666666664</v>
      </c>
      <c r="R24" s="2">
        <f>COUNTIFS('OB History'!$B:$B,$A$24,'OB History'!K:K, 1)</f>
        <v>0</v>
      </c>
      <c r="S24" s="2">
        <f>COUNTIFS('OB History'!$B:$B,$A$24,'OB History'!L:L, 1)</f>
        <v>0</v>
      </c>
      <c r="T24" s="2">
        <f>COUNTIFS('OB History'!$B:$B,$A$24,'OB History'!M:M, 1)</f>
        <v>0</v>
      </c>
      <c r="U24" s="2">
        <f>COUNTIFS('OB History'!$B:$B,$A$24,'OB History'!N:N, 1)</f>
        <v>1</v>
      </c>
      <c r="V24" s="2">
        <f>COUNTIFS('OB History'!$B:$B,$A$24,'OB History'!O:O, 1)</f>
        <v>2</v>
      </c>
      <c r="W24" s="2">
        <f>COUNTIFS('OB History'!$B:$B,$A$24,'OB History'!P:P, 1)</f>
        <v>1</v>
      </c>
      <c r="X24" s="2">
        <f>COUNTIFS('OB History'!$B:$B,$A$24,'OB History'!Q:Q, 1)</f>
        <v>2</v>
      </c>
      <c r="Y24" s="2">
        <f>COUNTIFS('OB History'!$B:$B,$A$24,'OB History'!R:R, 1)</f>
        <v>0</v>
      </c>
      <c r="Z24" s="2">
        <f>COUNTIFS('OB History'!$B:$B,$A$24,'OB History'!S:S, 1)</f>
        <v>0</v>
      </c>
      <c r="AA24" s="2">
        <f>COUNTIFS('OB History'!$B:$B,$A$24,'OB History'!T:T, 1)</f>
        <v>0</v>
      </c>
      <c r="AB24" s="2">
        <f>COUNTIFS('OB History'!$B:$B,$A$24,'OB History'!U:U, 1)</f>
        <v>0</v>
      </c>
      <c r="AC24" s="2">
        <f>COUNTIFS('OB History'!$B:$B,$A$24,'OB History'!V:V, 1)</f>
        <v>0</v>
      </c>
      <c r="AD24" s="2">
        <f>COUNTIFS('OB History'!$B:$B,$A$24,'OB History'!W:W, 1)</f>
        <v>0</v>
      </c>
      <c r="AE24" s="2">
        <f>COUNTIFS('OB History'!$B:$B,$A$24,'OB History'!X:X, 1)</f>
        <v>0</v>
      </c>
      <c r="AF24" s="2">
        <f>COUNTIFS('OB History'!$B:$B,$A$24,'OB History'!Y:Y, 1)</f>
        <v>0</v>
      </c>
      <c r="AG24" s="2">
        <f>COUNTIFS('OB History'!$B:$B,$A$24,'OB History'!Z:Z, 1)</f>
        <v>0</v>
      </c>
    </row>
    <row r="25" spans="1:33" x14ac:dyDescent="0.25">
      <c r="A25" s="2" t="s">
        <v>51</v>
      </c>
      <c r="B25" s="2" t="s">
        <v>79</v>
      </c>
      <c r="C25" s="2" t="s">
        <v>79</v>
      </c>
      <c r="D25" s="3"/>
      <c r="E25" s="3"/>
      <c r="F25" s="34">
        <f>SUMIFS('OB History'!C:C,'OB History'!B:B,A25)</f>
        <v>180</v>
      </c>
      <c r="G25" s="4">
        <f>AVERAGEIFS('OB History'!C:C,'OB History'!B:B,A25)</f>
        <v>13.846153846153847</v>
      </c>
      <c r="H25" s="35">
        <f t="array" ref="H25">MAX(IF('OB History'!B:B=A25, 'OB History'!C:C))</f>
        <v>22</v>
      </c>
      <c r="I25" s="34">
        <f>COUNTIFS('OB History'!B:B,A25,'OB History'!D:D, 1)</f>
        <v>7</v>
      </c>
      <c r="J25" s="2">
        <f>COUNTIFS('OB History'!B:B,A25,'OB History'!D:D, 0)</f>
        <v>6</v>
      </c>
      <c r="K25" s="88">
        <f>LOOKUP(2, 1/('OB History'!$B:$B=A25), 'OB History'!$AD:$AD)</f>
        <v>0.53846153846153844</v>
      </c>
      <c r="L25" s="34">
        <f>SUMIFS('OB History'!F:F,'OB History'!B:B,A25)</f>
        <v>29</v>
      </c>
      <c r="M25" s="2">
        <f>SUMIFS('OB History'!E:E,'OB History'!B:B,A25)-L25</f>
        <v>26</v>
      </c>
      <c r="N25" s="88">
        <f>LOOKUP(2, 1/('OB History'!$B:$B=A25), 'OB History'!$AB:$AB)</f>
        <v>0.53846153846153855</v>
      </c>
      <c r="O25" s="34">
        <f>SUMIFS('OB History'!H:H,'OB History'!B:B,'Old Bow v2'!A25)</f>
        <v>111</v>
      </c>
      <c r="P25" s="2">
        <f>SUMIFS('OB History'!G:G,'OB History'!B:B,'Old Bow v2'!A25)-O25</f>
        <v>111</v>
      </c>
      <c r="Q25" s="88">
        <f>LOOKUP(2, 1/('OB History'!$B:$B=A25), 'OB History'!$AC:$AC)</f>
        <v>0.50461538461538469</v>
      </c>
      <c r="R25" s="2">
        <f>COUNTIFS('OB History'!$B:$B,$A$25,'OB History'!K:K, 1)</f>
        <v>4</v>
      </c>
      <c r="S25" s="2">
        <f>COUNTIFS('OB History'!$B:$B,$A$25,'OB History'!L:L, 1)</f>
        <v>1</v>
      </c>
      <c r="T25" s="2">
        <f>COUNTIFS('OB History'!$B:$B,$A$25,'OB History'!M:M, 1)</f>
        <v>0</v>
      </c>
      <c r="U25" s="2">
        <f>COUNTIFS('OB History'!$B:$B,$A$25,'OB History'!N:N, 1)</f>
        <v>3</v>
      </c>
      <c r="V25" s="2">
        <f>COUNTIFS('OB History'!$B:$B,$A$25,'OB History'!O:O, 1)</f>
        <v>0</v>
      </c>
      <c r="W25" s="2">
        <f>COUNTIFS('OB History'!$B:$B,$A$25,'OB History'!P:P, 1)</f>
        <v>3</v>
      </c>
      <c r="X25" s="2">
        <f>COUNTIFS('OB History'!$B:$B,$A$25,'OB History'!Q:Q, 1)</f>
        <v>0</v>
      </c>
      <c r="Y25" s="2">
        <f>COUNTIFS('OB History'!$B:$B,$A$25,'OB History'!R:R, 1)</f>
        <v>1</v>
      </c>
      <c r="Z25" s="2">
        <f>COUNTIFS('OB History'!$B:$B,$A$25,'OB History'!S:S, 1)</f>
        <v>0</v>
      </c>
      <c r="AA25" s="2">
        <f>COUNTIFS('OB History'!$B:$B,$A$25,'OB History'!T:T, 1)</f>
        <v>0</v>
      </c>
      <c r="AB25" s="2">
        <f>COUNTIFS('OB History'!$B:$B,$A$25,'OB History'!U:U, 1)</f>
        <v>0</v>
      </c>
      <c r="AC25" s="2">
        <f>COUNTIFS('OB History'!$B:$B,$A$25,'OB History'!V:V, 1)</f>
        <v>2</v>
      </c>
      <c r="AD25" s="2">
        <f>COUNTIFS('OB History'!$B:$B,$A$25,'OB History'!W:W, 1)</f>
        <v>5</v>
      </c>
      <c r="AE25" s="2">
        <f>COUNTIFS('OB History'!$B:$B,$A$25,'OB History'!X:X, 1)</f>
        <v>4</v>
      </c>
      <c r="AF25" s="2">
        <f>COUNTIFS('OB History'!$B:$B,$A$25,'OB History'!Y:Y, 1)</f>
        <v>3</v>
      </c>
      <c r="AG25" s="2">
        <f>COUNTIFS('OB History'!$B:$B,$A$25,'OB History'!Z:Z, 1)</f>
        <v>3</v>
      </c>
    </row>
    <row r="26" spans="1:33" ht="15.75" x14ac:dyDescent="0.25">
      <c r="A26" s="2" t="s">
        <v>20</v>
      </c>
      <c r="B26" s="80" t="s">
        <v>60</v>
      </c>
      <c r="C26" s="2" t="s">
        <v>79</v>
      </c>
      <c r="D26" s="3"/>
      <c r="E26" s="3"/>
      <c r="F26" s="34">
        <f>SUMIFS('OB History'!C:C,'OB History'!B:B,A26)</f>
        <v>426</v>
      </c>
      <c r="G26" s="4">
        <f>AVERAGEIFS('OB History'!C:C,'OB History'!B:B,A26)</f>
        <v>13.741935483870968</v>
      </c>
      <c r="H26" s="35">
        <f t="array" ref="H26">MAX(IF('OB History'!B:B=A26, 'OB History'!C:C))</f>
        <v>28</v>
      </c>
      <c r="I26" s="34">
        <f>COUNTIFS('OB History'!B:B,A26,'OB History'!D:D, 1)</f>
        <v>13</v>
      </c>
      <c r="J26" s="2">
        <f>COUNTIFS('OB History'!B:B,A26,'OB History'!D:D, 0)</f>
        <v>18</v>
      </c>
      <c r="K26" s="88">
        <f>LOOKUP(2, 1/('OB History'!$B:$B=A26), 'OB History'!$AD:$AD)</f>
        <v>0.41935483870967744</v>
      </c>
      <c r="L26" s="34">
        <f>SUMIFS('OB History'!F:F,'OB History'!B:B,A26)</f>
        <v>64</v>
      </c>
      <c r="M26" s="2">
        <f>SUMIFS('OB History'!E:E,'OB History'!B:B,A26)-L26</f>
        <v>67</v>
      </c>
      <c r="N26" s="88">
        <f>LOOKUP(2, 1/('OB History'!$B:$B=A26), 'OB History'!$AB:$AB)</f>
        <v>0.49354838709677423</v>
      </c>
      <c r="O26" s="34">
        <f>SUMIFS('OB History'!H:H,'OB History'!B:B,'Old Bow v2'!A26)</f>
        <v>277</v>
      </c>
      <c r="P26" s="2">
        <f>SUMIFS('OB History'!G:G,'OB History'!B:B,'Old Bow v2'!A26)-O26</f>
        <v>274</v>
      </c>
      <c r="Q26" s="88">
        <f>LOOKUP(2, 1/('OB History'!$B:$B=A26), 'OB History'!$AC:$AC)</f>
        <v>0.50290322580645175</v>
      </c>
      <c r="R26" s="2">
        <f>COUNTIFS('OB History'!$B:$B,$A$26,'OB History'!K:K, 1)</f>
        <v>3</v>
      </c>
      <c r="S26" s="2">
        <f>COUNTIFS('OB History'!$B:$B,$A$26,'OB History'!L:L, 1)</f>
        <v>5</v>
      </c>
      <c r="T26" s="2">
        <f>COUNTIFS('OB History'!$B:$B,$A$26,'OB History'!M:M, 1)</f>
        <v>1</v>
      </c>
      <c r="U26" s="2">
        <f>COUNTIFS('OB History'!$B:$B,$A$26,'OB History'!N:N, 1)</f>
        <v>14</v>
      </c>
      <c r="V26" s="2">
        <f>COUNTIFS('OB History'!$B:$B,$A$26,'OB History'!O:O, 1)</f>
        <v>0</v>
      </c>
      <c r="W26" s="2">
        <f>COUNTIFS('OB History'!$B:$B,$A$26,'OB History'!P:P, 1)</f>
        <v>6</v>
      </c>
      <c r="X26" s="2">
        <f>COUNTIFS('OB History'!$B:$B,$A$26,'OB History'!Q:Q, 1)</f>
        <v>2</v>
      </c>
      <c r="Y26" s="2">
        <f>COUNTIFS('OB History'!$B:$B,$A$26,'OB History'!R:R, 1)</f>
        <v>3</v>
      </c>
      <c r="Z26" s="2">
        <f>COUNTIFS('OB History'!$B:$B,$A$26,'OB History'!S:S, 1)</f>
        <v>0</v>
      </c>
      <c r="AA26" s="2">
        <f>COUNTIFS('OB History'!$B:$B,$A$26,'OB History'!T:T, 1)</f>
        <v>1</v>
      </c>
      <c r="AB26" s="2">
        <f>COUNTIFS('OB History'!$B:$B,$A$26,'OB History'!U:U, 1)</f>
        <v>0</v>
      </c>
      <c r="AC26" s="2">
        <f>COUNTIFS('OB History'!$B:$B,$A$26,'OB History'!V:V, 1)</f>
        <v>2</v>
      </c>
      <c r="AD26" s="2">
        <f>COUNTIFS('OB History'!$B:$B,$A$26,'OB History'!W:W, 1)</f>
        <v>8</v>
      </c>
      <c r="AE26" s="2">
        <f>COUNTIFS('OB History'!$B:$B,$A$26,'OB History'!X:X, 1)</f>
        <v>8</v>
      </c>
      <c r="AF26" s="2">
        <f>COUNTIFS('OB History'!$B:$B,$A$26,'OB History'!Y:Y, 1)</f>
        <v>4</v>
      </c>
      <c r="AG26" s="2">
        <f>COUNTIFS('OB History'!$B:$B,$A$26,'OB History'!Z:Z, 1)</f>
        <v>7</v>
      </c>
    </row>
    <row r="27" spans="1:33" x14ac:dyDescent="0.25">
      <c r="A27" s="1" t="s">
        <v>47</v>
      </c>
      <c r="B27" s="2" t="s">
        <v>79</v>
      </c>
      <c r="C27" s="2" t="s">
        <v>79</v>
      </c>
      <c r="D27" s="3"/>
      <c r="E27" s="3"/>
      <c r="F27" s="34">
        <f>SUMIFS('OB History'!C:C,'OB History'!B:B,A27)</f>
        <v>78</v>
      </c>
      <c r="G27" s="4">
        <f>AVERAGEIFS('OB History'!C:C,'OB History'!B:B,A27)</f>
        <v>7.8</v>
      </c>
      <c r="H27" s="35">
        <f t="array" ref="H27">MAX(IF('OB History'!B:B=A27, 'OB History'!C:C))</f>
        <v>14</v>
      </c>
      <c r="I27" s="34">
        <f>COUNTIFS('OB History'!B:B,A27,'OB History'!D:D, 1)</f>
        <v>5</v>
      </c>
      <c r="J27" s="2">
        <f>COUNTIFS('OB History'!B:B,A27,'OB History'!D:D, 0)</f>
        <v>5</v>
      </c>
      <c r="K27" s="88">
        <f>LOOKUP(2, 1/('OB History'!$B:$B=A27), 'OB History'!$AD:$AD)</f>
        <v>0.5</v>
      </c>
      <c r="L27" s="34">
        <f>SUMIFS('OB History'!F:F,'OB History'!B:B,A27)</f>
        <v>22</v>
      </c>
      <c r="M27" s="2">
        <f>SUMIFS('OB History'!E:E,'OB History'!B:B,A27)-L27</f>
        <v>22</v>
      </c>
      <c r="N27" s="88">
        <f>LOOKUP(2, 1/('OB History'!$B:$B=A27), 'OB History'!$AB:$AB)</f>
        <v>0.5</v>
      </c>
      <c r="O27" s="34">
        <f>SUMIFS('OB History'!H:H,'OB History'!B:B,'Old Bow v2'!A27)</f>
        <v>93</v>
      </c>
      <c r="P27" s="2">
        <f>SUMIFS('OB History'!G:G,'OB History'!B:B,'Old Bow v2'!A27)-O27</f>
        <v>94</v>
      </c>
      <c r="Q27" s="88">
        <f>LOOKUP(2, 1/('OB History'!$B:$B=A27), 'OB History'!$AC:$AC)</f>
        <v>0.49299999999999999</v>
      </c>
      <c r="R27" s="2">
        <f>COUNTIFS('OB History'!$B:$B,$A$27,'OB History'!K:K, 1)</f>
        <v>1</v>
      </c>
      <c r="S27" s="2">
        <f>COUNTIFS('OB History'!$B:$B,$A$27,'OB History'!L:L, 1)</f>
        <v>1</v>
      </c>
      <c r="T27" s="2">
        <f>COUNTIFS('OB History'!$B:$B,$A$27,'OB History'!M:M, 1)</f>
        <v>1</v>
      </c>
      <c r="U27" s="2">
        <f>COUNTIFS('OB History'!$B:$B,$A$27,'OB History'!N:N, 1)</f>
        <v>4</v>
      </c>
      <c r="V27" s="2">
        <f>COUNTIFS('OB History'!$B:$B,$A$27,'OB History'!O:O, 1)</f>
        <v>1</v>
      </c>
      <c r="W27" s="2">
        <f>COUNTIFS('OB History'!$B:$B,$A$27,'OB History'!P:P, 1)</f>
        <v>2</v>
      </c>
      <c r="X27" s="2">
        <f>COUNTIFS('OB History'!$B:$B,$A$27,'OB History'!Q:Q, 1)</f>
        <v>0</v>
      </c>
      <c r="Y27" s="2">
        <f>COUNTIFS('OB History'!$B:$B,$A$27,'OB History'!R:R, 1)</f>
        <v>0</v>
      </c>
      <c r="Z27" s="2">
        <f>COUNTIFS('OB History'!$B:$B,$A$27,'OB History'!S:S, 1)</f>
        <v>0</v>
      </c>
      <c r="AA27" s="2">
        <f>COUNTIFS('OB History'!$B:$B,$A$27,'OB History'!T:T, 1)</f>
        <v>0</v>
      </c>
      <c r="AB27" s="2">
        <f>COUNTIFS('OB History'!$B:$B,$A$27,'OB History'!U:U, 1)</f>
        <v>0</v>
      </c>
      <c r="AC27" s="2">
        <f>COUNTIFS('OB History'!$B:$B,$A$27,'OB History'!V:V, 1)</f>
        <v>1</v>
      </c>
      <c r="AD27" s="2">
        <f>COUNTIFS('OB History'!$B:$B,$A$27,'OB History'!W:W, 1)</f>
        <v>4</v>
      </c>
      <c r="AE27" s="2">
        <f>COUNTIFS('OB History'!$B:$B,$A$27,'OB History'!X:X, 1)</f>
        <v>2</v>
      </c>
      <c r="AF27" s="2">
        <f>COUNTIFS('OB History'!$B:$B,$A$27,'OB History'!Y:Y, 1)</f>
        <v>0</v>
      </c>
      <c r="AG27" s="2">
        <f>COUNTIFS('OB History'!$B:$B,$A$27,'OB History'!Z:Z, 1)</f>
        <v>5</v>
      </c>
    </row>
    <row r="28" spans="1:33" x14ac:dyDescent="0.25">
      <c r="A28" s="2" t="s">
        <v>3</v>
      </c>
      <c r="B28" s="6" t="s">
        <v>60</v>
      </c>
      <c r="C28" s="1" t="s">
        <v>161</v>
      </c>
      <c r="D28" s="3"/>
      <c r="E28" s="3"/>
      <c r="F28" s="34">
        <f>SUMIFS('OB History'!C:C,'OB History'!B:B,A28)</f>
        <v>230</v>
      </c>
      <c r="G28" s="4">
        <f>AVERAGEIFS('OB History'!C:C,'OB History'!B:B,A28)</f>
        <v>23</v>
      </c>
      <c r="H28" s="35">
        <f t="array" ref="H28">MAX(IF('OB History'!B:B=A28, 'OB History'!C:C))</f>
        <v>44</v>
      </c>
      <c r="I28" s="34">
        <f>COUNTIFS('OB History'!B:B,A28,'OB History'!D:D, 1)</f>
        <v>6</v>
      </c>
      <c r="J28" s="2">
        <f>COUNTIFS('OB History'!B:B,A28,'OB History'!D:D, 0)</f>
        <v>4</v>
      </c>
      <c r="K28" s="88">
        <f>LOOKUP(2, 1/('OB History'!$B:$B=A28), 'OB History'!$AD:$AD)</f>
        <v>0.6</v>
      </c>
      <c r="L28" s="34">
        <f>SUMIFS('OB History'!F:F,'OB History'!B:B,A28)</f>
        <v>22</v>
      </c>
      <c r="M28" s="2">
        <f>SUMIFS('OB History'!E:E,'OB History'!B:B,A28)-L28</f>
        <v>21</v>
      </c>
      <c r="N28" s="88">
        <f>LOOKUP(2, 1/('OB History'!$B:$B=A28), 'OB History'!$AB:$AB)</f>
        <v>0.495</v>
      </c>
      <c r="O28" s="34">
        <f>SUMIFS('OB History'!H:H,'OB History'!B:B,'Old Bow v2'!A28)</f>
        <v>87</v>
      </c>
      <c r="P28" s="2">
        <f>SUMIFS('OB History'!G:G,'OB History'!B:B,'Old Bow v2'!A28)-O28</f>
        <v>88</v>
      </c>
      <c r="Q28" s="88">
        <f>LOOKUP(2, 1/('OB History'!$B:$B=A28), 'OB History'!$AC:$AC)</f>
        <v>0.48999999999999994</v>
      </c>
      <c r="R28" s="2">
        <f>COUNTIFS('OB History'!$B:$B,$A$28,'OB History'!K:K, 1)</f>
        <v>2</v>
      </c>
      <c r="S28" s="2">
        <f>COUNTIFS('OB History'!$B:$B,$A$28,'OB History'!L:L, 1)</f>
        <v>3</v>
      </c>
      <c r="T28" s="2">
        <f>COUNTIFS('OB History'!$B:$B,$A$28,'OB History'!M:M, 1)</f>
        <v>1</v>
      </c>
      <c r="U28" s="2">
        <f>COUNTIFS('OB History'!$B:$B,$A$28,'OB History'!N:N, 1)</f>
        <v>1</v>
      </c>
      <c r="V28" s="2">
        <f>COUNTIFS('OB History'!$B:$B,$A$28,'OB History'!O:O, 1)</f>
        <v>2</v>
      </c>
      <c r="W28" s="2">
        <f>COUNTIFS('OB History'!$B:$B,$A$28,'OB History'!P:P, 1)</f>
        <v>2</v>
      </c>
      <c r="X28" s="2">
        <f>COUNTIFS('OB History'!$B:$B,$A$28,'OB History'!Q:Q, 1)</f>
        <v>3</v>
      </c>
      <c r="Y28" s="2">
        <f>COUNTIFS('OB History'!$B:$B,$A$28,'OB History'!R:R, 1)</f>
        <v>0</v>
      </c>
      <c r="Z28" s="2">
        <f>COUNTIFS('OB History'!$B:$B,$A$28,'OB History'!S:S, 1)</f>
        <v>0</v>
      </c>
      <c r="AA28" s="2">
        <f>COUNTIFS('OB History'!$B:$B,$A$28,'OB History'!T:T, 1)</f>
        <v>0</v>
      </c>
      <c r="AB28" s="2">
        <f>COUNTIFS('OB History'!$B:$B,$A$28,'OB History'!U:U, 1)</f>
        <v>0</v>
      </c>
      <c r="AC28" s="2">
        <f>COUNTIFS('OB History'!$B:$B,$A$28,'OB History'!V:V, 1)</f>
        <v>1</v>
      </c>
      <c r="AD28" s="2">
        <f>COUNTIFS('OB History'!$B:$B,$A$28,'OB History'!W:W, 1)</f>
        <v>1</v>
      </c>
      <c r="AE28" s="2">
        <f>COUNTIFS('OB History'!$B:$B,$A$28,'OB History'!X:X, 1)</f>
        <v>3</v>
      </c>
      <c r="AF28" s="2">
        <f>COUNTIFS('OB History'!$B:$B,$A$28,'OB History'!Y:Y, 1)</f>
        <v>2</v>
      </c>
      <c r="AG28" s="2">
        <f>COUNTIFS('OB History'!$B:$B,$A$28,'OB History'!Z:Z, 1)</f>
        <v>1</v>
      </c>
    </row>
    <row r="29" spans="1:33" x14ac:dyDescent="0.25">
      <c r="A29" s="2" t="s">
        <v>148</v>
      </c>
      <c r="B29" s="6" t="s">
        <v>79</v>
      </c>
      <c r="C29" s="6" t="s">
        <v>79</v>
      </c>
      <c r="D29" s="3">
        <v>3</v>
      </c>
      <c r="E29" s="3">
        <v>1</v>
      </c>
      <c r="F29" s="34">
        <f>SUMIFS('OB History'!C:C,'OB History'!B:B,A29)</f>
        <v>307</v>
      </c>
      <c r="G29" s="4">
        <f>AVERAGEIFS('OB History'!C:C,'OB History'!B:B,A29)</f>
        <v>13.347826086956522</v>
      </c>
      <c r="H29" s="35">
        <f t="array" ref="H29">MAX(IF('OB History'!B:B=A29, 'OB History'!C:C))</f>
        <v>23</v>
      </c>
      <c r="I29" s="34">
        <f>COUNTIFS('OB History'!B:B,A29,'OB History'!D:D, 1)</f>
        <v>13</v>
      </c>
      <c r="J29" s="2">
        <f>COUNTIFS('OB History'!B:B,A29,'OB History'!D:D, 0)</f>
        <v>10</v>
      </c>
      <c r="K29" s="88">
        <f>LOOKUP(2, 1/('OB History'!$B:$B=A29), 'OB History'!$AD:$AD)</f>
        <v>0.56521739130434778</v>
      </c>
      <c r="L29" s="34">
        <f>SUMIFS('OB History'!F:F,'OB History'!B:B,A29)</f>
        <v>51</v>
      </c>
      <c r="M29" s="2">
        <f>SUMIFS('OB History'!E:E,'OB History'!B:B,A29)-L29</f>
        <v>42</v>
      </c>
      <c r="N29" s="88">
        <f>LOOKUP(2, 1/('OB History'!$B:$B=A29), 'OB History'!$AB:$AB)</f>
        <v>0.57391304347826089</v>
      </c>
      <c r="O29" s="34">
        <f>SUMIFS('OB History'!H:H,'OB History'!B:B,'Old Bow v2'!A29)</f>
        <v>194</v>
      </c>
      <c r="P29" s="2">
        <f>SUMIFS('OB History'!G:G,'OB History'!B:B,'Old Bow v2'!A29)-O29</f>
        <v>184</v>
      </c>
      <c r="Q29" s="88">
        <f>LOOKUP(2, 1/('OB History'!$B:$B=A29), 'OB History'!$AC:$AC)</f>
        <v>0.52434782608695663</v>
      </c>
      <c r="R29" s="2">
        <f>COUNTIFS('OB History'!$B:$B,$A$29,'OB History'!K:K, 1)</f>
        <v>2</v>
      </c>
      <c r="S29" s="2">
        <f>COUNTIFS('OB History'!$B:$B,$A$29,'OB History'!L:L, 1)</f>
        <v>5</v>
      </c>
      <c r="T29" s="2">
        <f>COUNTIFS('OB History'!$B:$B,$A$29,'OB History'!M:M, 1)</f>
        <v>1</v>
      </c>
      <c r="U29" s="2">
        <f>COUNTIFS('OB History'!$B:$B,$A$29,'OB History'!N:N, 1)</f>
        <v>5</v>
      </c>
      <c r="V29" s="2">
        <f>COUNTIFS('OB History'!$B:$B,$A$29,'OB History'!O:O, 1)</f>
        <v>0</v>
      </c>
      <c r="W29" s="2">
        <f>COUNTIFS('OB History'!$B:$B,$A$29,'OB History'!P:P, 1)</f>
        <v>3</v>
      </c>
      <c r="X29" s="2">
        <f>COUNTIFS('OB History'!$B:$B,$A$29,'OB History'!Q:Q, 1)</f>
        <v>1</v>
      </c>
      <c r="Y29" s="2">
        <f>COUNTIFS('OB History'!$B:$B,$A$29,'OB History'!R:R, 1)</f>
        <v>2</v>
      </c>
      <c r="Z29" s="2">
        <f>COUNTIFS('OB History'!$B:$B,$A$29,'OB History'!S:S, 1)</f>
        <v>1</v>
      </c>
      <c r="AA29" s="2">
        <f>COUNTIFS('OB History'!$B:$B,$A$29,'OB History'!T:T, 1)</f>
        <v>1</v>
      </c>
      <c r="AB29" s="2">
        <f>COUNTIFS('OB History'!$B:$B,$A$29,'OB History'!U:U, 1)</f>
        <v>1</v>
      </c>
      <c r="AC29" s="2">
        <f>COUNTIFS('OB History'!$B:$B,$A$29,'OB History'!V:V, 1)</f>
        <v>1</v>
      </c>
      <c r="AD29" s="2">
        <f>COUNTIFS('OB History'!$B:$B,$A$29,'OB History'!W:W, 1)</f>
        <v>3</v>
      </c>
      <c r="AE29" s="2">
        <f>COUNTIFS('OB History'!$B:$B,$A$29,'OB History'!X:X, 1)</f>
        <v>11</v>
      </c>
      <c r="AF29" s="2">
        <f>COUNTIFS('OB History'!$B:$B,$A$29,'OB History'!Y:Y, 1)</f>
        <v>8</v>
      </c>
      <c r="AG29" s="2">
        <f>COUNTIFS('OB History'!$B:$B,$A$29,'OB History'!Z:Z, 1)</f>
        <v>6</v>
      </c>
    </row>
    <row r="30" spans="1:33" x14ac:dyDescent="0.25">
      <c r="A30" s="2" t="s">
        <v>15</v>
      </c>
      <c r="B30" s="2" t="s">
        <v>79</v>
      </c>
      <c r="C30" s="2" t="s">
        <v>79</v>
      </c>
      <c r="D30" s="3"/>
      <c r="E30" s="3"/>
      <c r="F30" s="34">
        <f>SUMIFS('OB History'!C:C,'OB History'!B:B,A30)</f>
        <v>819</v>
      </c>
      <c r="G30" s="4">
        <f>AVERAGEIFS('OB History'!C:C,'OB History'!B:B,A30)</f>
        <v>24.088235294117649</v>
      </c>
      <c r="H30" s="35">
        <f t="array" ref="H30">MAX(IF('OB History'!B:B=A30, 'OB History'!C:C))</f>
        <v>55</v>
      </c>
      <c r="I30" s="34">
        <f>COUNTIFS('OB History'!B:B,A30,'OB History'!D:D, 1)</f>
        <v>13</v>
      </c>
      <c r="J30" s="2">
        <f>COUNTIFS('OB History'!B:B,A30,'OB History'!D:D, 0)</f>
        <v>21</v>
      </c>
      <c r="K30" s="88">
        <f>LOOKUP(2, 1/('OB History'!$B:$B=A30), 'OB History'!$AD:$AD)</f>
        <v>0.38235294117647056</v>
      </c>
      <c r="L30" s="34">
        <f>SUMIFS('OB History'!F:F,'OB History'!B:B,A30)</f>
        <v>65</v>
      </c>
      <c r="M30" s="2">
        <f>SUMIFS('OB History'!E:E,'OB History'!B:B,A30)-L30</f>
        <v>75</v>
      </c>
      <c r="N30" s="88">
        <f>LOOKUP(2, 1/('OB History'!$B:$B=A30), 'OB History'!$AB:$AB)</f>
        <v>0.47352941176470592</v>
      </c>
      <c r="O30" s="34">
        <f>SUMIFS('OB History'!H:H,'OB History'!B:B,'Old Bow v2'!A30)</f>
        <v>283</v>
      </c>
      <c r="P30" s="2">
        <f>SUMIFS('OB History'!G:G,'OB History'!B:B,'Old Bow v2'!A30)-O30</f>
        <v>300</v>
      </c>
      <c r="Q30" s="88">
        <f>LOOKUP(2, 1/('OB History'!$B:$B=A30), 'OB History'!$AC:$AC)</f>
        <v>0.49147058823529416</v>
      </c>
      <c r="R30" s="2">
        <f>COUNTIFS('OB History'!$B:$B,$A$30,'OB History'!K:K, 1)</f>
        <v>4</v>
      </c>
      <c r="S30" s="2">
        <f>COUNTIFS('OB History'!$B:$B,$A$30,'OB History'!L:L, 1)</f>
        <v>2</v>
      </c>
      <c r="T30" s="2">
        <f>COUNTIFS('OB History'!$B:$B,$A$30,'OB History'!M:M, 1)</f>
        <v>0</v>
      </c>
      <c r="U30" s="2">
        <f>COUNTIFS('OB History'!$B:$B,$A$30,'OB History'!N:N, 1)</f>
        <v>7</v>
      </c>
      <c r="V30" s="2">
        <f>COUNTIFS('OB History'!$B:$B,$A$30,'OB History'!O:O, 1)</f>
        <v>0</v>
      </c>
      <c r="W30" s="2">
        <f>COUNTIFS('OB History'!$B:$B,$A$30,'OB History'!P:P, 1)</f>
        <v>7</v>
      </c>
      <c r="X30" s="2">
        <f>COUNTIFS('OB History'!$B:$B,$A$30,'OB History'!Q:Q, 1)</f>
        <v>4</v>
      </c>
      <c r="Y30" s="2">
        <f>COUNTIFS('OB History'!$B:$B,$A$30,'OB History'!R:R, 1)</f>
        <v>1</v>
      </c>
      <c r="Z30" s="2">
        <f>COUNTIFS('OB History'!$B:$B,$A$30,'OB History'!S:S, 1)</f>
        <v>1</v>
      </c>
      <c r="AA30" s="2">
        <f>COUNTIFS('OB History'!$B:$B,$A$30,'OB History'!T:T, 1)</f>
        <v>0</v>
      </c>
      <c r="AB30" s="2">
        <f>COUNTIFS('OB History'!$B:$B,$A$30,'OB History'!U:U, 1)</f>
        <v>1</v>
      </c>
      <c r="AC30" s="2">
        <f>COUNTIFS('OB History'!$B:$B,$A$30,'OB History'!V:V, 1)</f>
        <v>1</v>
      </c>
      <c r="AD30" s="2">
        <f>COUNTIFS('OB History'!$B:$B,$A$30,'OB History'!W:W, 1)</f>
        <v>6</v>
      </c>
      <c r="AE30" s="2">
        <f>COUNTIFS('OB History'!$B:$B,$A$30,'OB History'!X:X, 1)</f>
        <v>16</v>
      </c>
      <c r="AF30" s="2">
        <f>COUNTIFS('OB History'!$B:$B,$A$30,'OB History'!Y:Y, 1)</f>
        <v>7</v>
      </c>
      <c r="AG30" s="2">
        <f>COUNTIFS('OB History'!$B:$B,$A$30,'OB History'!Z:Z, 1)</f>
        <v>8</v>
      </c>
    </row>
    <row r="31" spans="1:33" x14ac:dyDescent="0.25">
      <c r="A31" s="1" t="s">
        <v>43</v>
      </c>
      <c r="B31" s="2" t="s">
        <v>79</v>
      </c>
      <c r="C31" s="2" t="s">
        <v>79</v>
      </c>
      <c r="D31" s="3"/>
      <c r="E31" s="3"/>
      <c r="F31" s="34">
        <f>SUMIFS('OB History'!C:C,'OB History'!B:B,A31)</f>
        <v>4</v>
      </c>
      <c r="G31" s="4">
        <f>AVERAGEIFS('OB History'!C:C,'OB History'!B:B,A31)</f>
        <v>4</v>
      </c>
      <c r="H31" s="35">
        <f t="array" ref="H31">MAX(IF('OB History'!B:B=A31, 'OB History'!C:C))</f>
        <v>4</v>
      </c>
      <c r="I31" s="34">
        <f>COUNTIFS('OB History'!B:B,A31,'OB History'!D:D, 1)</f>
        <v>1</v>
      </c>
      <c r="J31" s="2">
        <f>COUNTIFS('OB History'!B:B,A31,'OB History'!D:D, 0)</f>
        <v>0</v>
      </c>
      <c r="K31" s="88">
        <f>LOOKUP(2, 1/('OB History'!$B:$B=A31), 'OB History'!$AD:$AD)</f>
        <v>1</v>
      </c>
      <c r="L31" s="34">
        <f>SUMIFS('OB History'!F:F,'OB History'!B:B,A31)</f>
        <v>3</v>
      </c>
      <c r="M31" s="2">
        <f>SUMIFS('OB History'!E:E,'OB History'!B:B,A31)-L31</f>
        <v>0</v>
      </c>
      <c r="N31" s="88">
        <f>LOOKUP(2, 1/('OB History'!$B:$B=A31), 'OB History'!$AB:$AB)</f>
        <v>1</v>
      </c>
      <c r="O31" s="34">
        <f>SUMIFS('OB History'!H:H,'OB History'!B:B,'Old Bow v2'!A31)</f>
        <v>9</v>
      </c>
      <c r="P31" s="2">
        <f>SUMIFS('OB History'!G:G,'OB History'!B:B,'Old Bow v2'!A31)-O31</f>
        <v>4</v>
      </c>
      <c r="Q31" s="88">
        <f>LOOKUP(2, 1/('OB History'!$B:$B=A31), 'OB History'!$AC:$AC)</f>
        <v>0.69</v>
      </c>
      <c r="R31" s="2">
        <f>COUNTIFS('OB History'!$B:$B,$A$31,'OB History'!K:K, 1)</f>
        <v>0</v>
      </c>
      <c r="S31" s="2">
        <f>COUNTIFS('OB History'!$B:$B,$A$31,'OB History'!L:L, 1)</f>
        <v>0</v>
      </c>
      <c r="T31" s="2">
        <f>COUNTIFS('OB History'!$B:$B,$A$31,'OB History'!M:M, 1)</f>
        <v>0</v>
      </c>
      <c r="U31" s="2">
        <f>COUNTIFS('OB History'!$B:$B,$A$31,'OB History'!N:N, 1)</f>
        <v>0</v>
      </c>
      <c r="V31" s="2">
        <f>COUNTIFS('OB History'!$B:$B,$A$31,'OB History'!O:O, 1)</f>
        <v>0</v>
      </c>
      <c r="W31" s="2">
        <f>COUNTIFS('OB History'!$B:$B,$A$31,'OB History'!P:P, 1)</f>
        <v>1</v>
      </c>
      <c r="X31" s="2">
        <f>COUNTIFS('OB History'!$B:$B,$A$31,'OB History'!Q:Q, 1)</f>
        <v>0</v>
      </c>
      <c r="Y31" s="2">
        <f>COUNTIFS('OB History'!$B:$B,$A$31,'OB History'!R:R, 1)</f>
        <v>0</v>
      </c>
      <c r="Z31" s="2">
        <f>COUNTIFS('OB History'!$B:$B,$A$31,'OB History'!S:S, 1)</f>
        <v>0</v>
      </c>
      <c r="AA31" s="2">
        <f>COUNTIFS('OB History'!$B:$B,$A$31,'OB History'!T:T, 1)</f>
        <v>0</v>
      </c>
      <c r="AB31" s="2">
        <f>COUNTIFS('OB History'!$B:$B,$A$31,'OB History'!U:U, 1)</f>
        <v>0</v>
      </c>
      <c r="AC31" s="2">
        <f>COUNTIFS('OB History'!$B:$B,$A$31,'OB History'!V:V, 1)</f>
        <v>0</v>
      </c>
      <c r="AD31" s="2">
        <f>COUNTIFS('OB History'!$B:$B,$A$31,'OB History'!W:W, 1)</f>
        <v>0</v>
      </c>
      <c r="AE31" s="2">
        <f>COUNTIFS('OB History'!$B:$B,$A$31,'OB History'!X:X, 1)</f>
        <v>1</v>
      </c>
      <c r="AF31" s="2">
        <f>COUNTIFS('OB History'!$B:$B,$A$31,'OB History'!Y:Y, 1)</f>
        <v>0</v>
      </c>
      <c r="AG31" s="2">
        <f>COUNTIFS('OB History'!$B:$B,$A$31,'OB History'!Z:Z, 1)</f>
        <v>1</v>
      </c>
    </row>
    <row r="32" spans="1:33" x14ac:dyDescent="0.25">
      <c r="A32" s="2" t="s">
        <v>13</v>
      </c>
      <c r="B32" s="6" t="s">
        <v>124</v>
      </c>
      <c r="C32" s="1" t="s">
        <v>161</v>
      </c>
      <c r="D32" s="3">
        <v>4</v>
      </c>
      <c r="E32" s="3">
        <v>1</v>
      </c>
      <c r="F32" s="34">
        <f>SUMIFS('OB History'!C:C,'OB History'!B:B,A32)</f>
        <v>1358</v>
      </c>
      <c r="G32" s="4">
        <f>AVERAGEIFS('OB History'!C:C,'OB History'!B:B,A32)</f>
        <v>26.115384615384617</v>
      </c>
      <c r="H32" s="35">
        <f t="array" ref="H32">MAX(IF('OB History'!B:B=A32, 'OB History'!C:C))</f>
        <v>57</v>
      </c>
      <c r="I32" s="34">
        <f>COUNTIFS('OB History'!B:B,A32,'OB History'!D:D, 1)</f>
        <v>34</v>
      </c>
      <c r="J32" s="2">
        <f>COUNTIFS('OB History'!B:B,A32,'OB History'!D:D, 0)</f>
        <v>18</v>
      </c>
      <c r="K32" s="88">
        <f>LOOKUP(2, 1/('OB History'!$B:$B=A32), 'OB History'!$AD:$AD)</f>
        <v>0.65384615384615385</v>
      </c>
      <c r="L32" s="34">
        <f>SUMIFS('OB History'!F:F,'OB History'!B:B,A32)</f>
        <v>122</v>
      </c>
      <c r="M32" s="2">
        <f>SUMIFS('OB History'!E:E,'OB History'!B:B,A32)-L32</f>
        <v>89</v>
      </c>
      <c r="N32" s="88">
        <f>LOOKUP(2, 1/('OB History'!$B:$B=A32), 'OB History'!$AB:$AB)</f>
        <v>0.58557692307692311</v>
      </c>
      <c r="O32" s="34">
        <f>SUMIFS('OB History'!H:H,'OB History'!B:B,'Old Bow v2'!A32)</f>
        <v>472</v>
      </c>
      <c r="P32" s="2">
        <f>SUMIFS('OB History'!G:G,'OB History'!B:B,'Old Bow v2'!A32)-O32</f>
        <v>389</v>
      </c>
      <c r="Q32" s="88">
        <f>LOOKUP(2, 1/('OB History'!$B:$B=A32), 'OB History'!$AC:$AC)</f>
        <v>0.55153846153846142</v>
      </c>
      <c r="R32" s="2">
        <f>COUNTIFS('OB History'!$B:$B,$A$32,'OB History'!K:K, 1)</f>
        <v>7</v>
      </c>
      <c r="S32" s="2">
        <f>COUNTIFS('OB History'!$B:$B,$A$32,'OB History'!L:L, 1)</f>
        <v>11</v>
      </c>
      <c r="T32" s="2">
        <f>COUNTIFS('OB History'!$B:$B,$A$32,'OB History'!M:M, 1)</f>
        <v>3</v>
      </c>
      <c r="U32" s="2">
        <f>COUNTIFS('OB History'!$B:$B,$A$32,'OB History'!N:N, 1)</f>
        <v>12</v>
      </c>
      <c r="V32" s="2">
        <f>COUNTIFS('OB History'!$B:$B,$A$32,'OB History'!O:O, 1)</f>
        <v>3</v>
      </c>
      <c r="W32" s="2">
        <f>COUNTIFS('OB History'!$B:$B,$A$32,'OB History'!P:P, 1)</f>
        <v>16</v>
      </c>
      <c r="X32" s="2">
        <f>COUNTIFS('OB History'!$B:$B,$A$32,'OB History'!Q:Q, 1)</f>
        <v>5</v>
      </c>
      <c r="Y32" s="2">
        <f>COUNTIFS('OB History'!$B:$B,$A$32,'OB History'!R:R, 1)</f>
        <v>4</v>
      </c>
      <c r="Z32" s="2">
        <f>COUNTIFS('OB History'!$B:$B,$A$32,'OB History'!S:S, 1)</f>
        <v>2</v>
      </c>
      <c r="AA32" s="2">
        <f>COUNTIFS('OB History'!$B:$B,$A$32,'OB History'!T:T, 1)</f>
        <v>2</v>
      </c>
      <c r="AB32" s="2">
        <f>COUNTIFS('OB History'!$B:$B,$A$32,'OB History'!U:U, 1)</f>
        <v>2</v>
      </c>
      <c r="AC32" s="2">
        <f>COUNTIFS('OB History'!$B:$B,$A$32,'OB History'!V:V, 1)</f>
        <v>5</v>
      </c>
      <c r="AD32" s="2">
        <f>COUNTIFS('OB History'!$B:$B,$A$32,'OB History'!W:W, 1)</f>
        <v>11</v>
      </c>
      <c r="AE32" s="2">
        <f>COUNTIFS('OB History'!$B:$B,$A$32,'OB History'!X:X, 1)</f>
        <v>13</v>
      </c>
      <c r="AF32" s="2">
        <f>COUNTIFS('OB History'!$B:$B,$A$32,'OB History'!Y:Y, 1)</f>
        <v>11</v>
      </c>
      <c r="AG32" s="2">
        <f>COUNTIFS('OB History'!$B:$B,$A$32,'OB History'!Z:Z, 1)</f>
        <v>15</v>
      </c>
    </row>
    <row r="33" spans="1:33" x14ac:dyDescent="0.25">
      <c r="A33" s="2" t="s">
        <v>2</v>
      </c>
      <c r="B33" s="6" t="s">
        <v>60</v>
      </c>
      <c r="C33" s="2" t="s">
        <v>79</v>
      </c>
      <c r="D33" s="3"/>
      <c r="E33" s="3"/>
      <c r="F33" s="34">
        <f>SUMIFS('OB History'!C:C,'OB History'!B:B,A33)</f>
        <v>372</v>
      </c>
      <c r="G33" s="4">
        <f>AVERAGEIFS('OB History'!C:C,'OB History'!B:B,A33)</f>
        <v>26.571428571428573</v>
      </c>
      <c r="H33" s="35">
        <f t="array" ref="H33">MAX(IF('OB History'!B:B=A33, 'OB History'!C:C))</f>
        <v>42</v>
      </c>
      <c r="I33" s="34">
        <f>COUNTIFS('OB History'!B:B,A33,'OB History'!D:D, 1)</f>
        <v>8</v>
      </c>
      <c r="J33" s="2">
        <f>COUNTIFS('OB History'!B:B,A33,'OB History'!D:D, 0)</f>
        <v>6</v>
      </c>
      <c r="K33" s="88">
        <f>LOOKUP(2, 1/('OB History'!$B:$B=A33), 'OB History'!$AD:$AD)</f>
        <v>0.5714285714285714</v>
      </c>
      <c r="L33" s="34">
        <f>SUMIFS('OB History'!F:F,'OB History'!B:B,A33)</f>
        <v>33</v>
      </c>
      <c r="M33" s="2">
        <f>SUMIFS('OB History'!E:E,'OB History'!B:B,A33)-L33</f>
        <v>26</v>
      </c>
      <c r="N33" s="88">
        <f>LOOKUP(2, 1/('OB History'!$B:$B=A33), 'OB History'!$AB:$AB)</f>
        <v>0.57500000000000007</v>
      </c>
      <c r="O33" s="34">
        <f>SUMIFS('OB History'!H:H,'OB History'!B:B,'Old Bow v2'!A33)</f>
        <v>133</v>
      </c>
      <c r="P33" s="2">
        <f>SUMIFS('OB History'!G:G,'OB History'!B:B,'Old Bow v2'!A33)-O33</f>
        <v>113</v>
      </c>
      <c r="Q33" s="88">
        <f>LOOKUP(2, 1/('OB History'!$B:$B=A33), 'OB History'!$AC:$AC)</f>
        <v>0.54999999999999993</v>
      </c>
      <c r="R33" s="2">
        <f>COUNTIFS('OB History'!$B:$B,$A$33,'OB History'!K:K, 1)</f>
        <v>2</v>
      </c>
      <c r="S33" s="2">
        <f>COUNTIFS('OB History'!$B:$B,$A$33,'OB History'!L:L, 1)</f>
        <v>2</v>
      </c>
      <c r="T33" s="2">
        <f>COUNTIFS('OB History'!$B:$B,$A$33,'OB History'!M:M, 1)</f>
        <v>2</v>
      </c>
      <c r="U33" s="2">
        <f>COUNTIFS('OB History'!$B:$B,$A$33,'OB History'!N:N, 1)</f>
        <v>7</v>
      </c>
      <c r="V33" s="2">
        <f>COUNTIFS('OB History'!$B:$B,$A$33,'OB History'!O:O, 1)</f>
        <v>0</v>
      </c>
      <c r="W33" s="2">
        <f>COUNTIFS('OB History'!$B:$B,$A$33,'OB History'!P:P, 1)</f>
        <v>3</v>
      </c>
      <c r="X33" s="2">
        <f>COUNTIFS('OB History'!$B:$B,$A$33,'OB History'!Q:Q, 1)</f>
        <v>0</v>
      </c>
      <c r="Y33" s="2">
        <f>COUNTIFS('OB History'!$B:$B,$A$33,'OB History'!R:R, 1)</f>
        <v>1</v>
      </c>
      <c r="Z33" s="2">
        <f>COUNTIFS('OB History'!$B:$B,$A$33,'OB History'!S:S, 1)</f>
        <v>0</v>
      </c>
      <c r="AA33" s="2">
        <f>COUNTIFS('OB History'!$B:$B,$A$33,'OB History'!T:T, 1)</f>
        <v>0</v>
      </c>
      <c r="AB33" s="2">
        <f>COUNTIFS('OB History'!$B:$B,$A$33,'OB History'!U:U, 1)</f>
        <v>0</v>
      </c>
      <c r="AC33" s="2">
        <f>COUNTIFS('OB History'!$B:$B,$A$33,'OB History'!V:V, 1)</f>
        <v>0</v>
      </c>
      <c r="AD33" s="2">
        <f>COUNTIFS('OB History'!$B:$B,$A$33,'OB History'!W:W, 1)</f>
        <v>5</v>
      </c>
      <c r="AE33" s="2">
        <f>COUNTIFS('OB History'!$B:$B,$A$33,'OB History'!X:X, 1)</f>
        <v>2</v>
      </c>
      <c r="AF33" s="2">
        <f>COUNTIFS('OB History'!$B:$B,$A$33,'OB History'!Y:Y, 1)</f>
        <v>4</v>
      </c>
      <c r="AG33" s="2">
        <f>COUNTIFS('OB History'!$B:$B,$A$33,'OB History'!Z:Z, 1)</f>
        <v>5</v>
      </c>
    </row>
    <row r="34" spans="1:33" x14ac:dyDescent="0.25">
      <c r="A34" s="2" t="s">
        <v>54</v>
      </c>
      <c r="B34" s="6" t="s">
        <v>60</v>
      </c>
      <c r="C34" s="6" t="s">
        <v>79</v>
      </c>
      <c r="D34" s="3"/>
      <c r="E34" s="3"/>
      <c r="F34" s="34">
        <f>SUMIFS('OB History'!C:C,'OB History'!B:B,A34)</f>
        <v>65</v>
      </c>
      <c r="G34" s="4">
        <f>AVERAGEIFS('OB History'!C:C,'OB History'!B:B,A34)</f>
        <v>21.666666666666668</v>
      </c>
      <c r="H34" s="35">
        <f t="array" ref="H34">MAX(IF('OB History'!B:B=A34, 'OB History'!C:C))</f>
        <v>29</v>
      </c>
      <c r="I34" s="34">
        <f>COUNTIFS('OB History'!B:B,A34,'OB History'!D:D, 1)</f>
        <v>3</v>
      </c>
      <c r="J34" s="2">
        <f>COUNTIFS('OB History'!B:B,A34,'OB History'!D:D, 0)</f>
        <v>0</v>
      </c>
      <c r="K34" s="88">
        <f>LOOKUP(2, 1/('OB History'!$B:$B=A34), 'OB History'!$AD:$AD)</f>
        <v>1</v>
      </c>
      <c r="L34" s="34">
        <f>SUMIFS('OB History'!F:F,'OB History'!B:B,A34)</f>
        <v>9</v>
      </c>
      <c r="M34" s="2">
        <f>SUMIFS('OB History'!E:E,'OB History'!B:B,A34)-L34</f>
        <v>6</v>
      </c>
      <c r="N34" s="88">
        <f>LOOKUP(2, 1/('OB History'!$B:$B=A34), 'OB History'!$AB:$AB)</f>
        <v>0.6</v>
      </c>
      <c r="O34" s="34">
        <f>SUMIFS('OB History'!H:H,'OB History'!B:B,'Old Bow v2'!A34)</f>
        <v>36</v>
      </c>
      <c r="P34" s="2">
        <f>SUMIFS('OB History'!G:G,'OB History'!B:B,'Old Bow v2'!A34)-O34</f>
        <v>26</v>
      </c>
      <c r="Q34" s="88">
        <f>LOOKUP(2, 1/('OB History'!$B:$B=A34), 'OB History'!$AC:$AC)</f>
        <v>0.57999999999999996</v>
      </c>
      <c r="R34" s="2">
        <f>COUNTIFS('OB History'!$B:$B,$A$34,'OB History'!K:K, 1)</f>
        <v>0</v>
      </c>
      <c r="S34" s="2">
        <f>COUNTIFS('OB History'!$B:$B,$A$34,'OB History'!L:L, 1)</f>
        <v>1</v>
      </c>
      <c r="T34" s="2">
        <f>COUNTIFS('OB History'!$B:$B,$A$34,'OB History'!M:M, 1)</f>
        <v>0</v>
      </c>
      <c r="U34" s="2">
        <f>COUNTIFS('OB History'!$B:$B,$A$34,'OB History'!N:N, 1)</f>
        <v>1</v>
      </c>
      <c r="V34" s="2">
        <f>COUNTIFS('OB History'!$B:$B,$A$34,'OB History'!O:O, 1)</f>
        <v>2</v>
      </c>
      <c r="W34" s="2">
        <f>COUNTIFS('OB History'!$B:$B,$A$34,'OB History'!P:P, 1)</f>
        <v>1</v>
      </c>
      <c r="X34" s="2">
        <f>COUNTIFS('OB History'!$B:$B,$A$34,'OB History'!Q:Q, 1)</f>
        <v>2</v>
      </c>
      <c r="Y34" s="2">
        <f>COUNTIFS('OB History'!$B:$B,$A$34,'OB History'!R:R, 1)</f>
        <v>0</v>
      </c>
      <c r="Z34" s="2">
        <f>COUNTIFS('OB History'!$B:$B,$A$34,'OB History'!S:S, 1)</f>
        <v>0</v>
      </c>
      <c r="AA34" s="2">
        <f>COUNTIFS('OB History'!$B:$B,$A$34,'OB History'!T:T, 1)</f>
        <v>0</v>
      </c>
      <c r="AB34" s="2">
        <f>COUNTIFS('OB History'!$B:$B,$A$34,'OB History'!U:U, 1)</f>
        <v>0</v>
      </c>
      <c r="AC34" s="2">
        <f>COUNTIFS('OB History'!$B:$B,$A$34,'OB History'!V:V, 1)</f>
        <v>1</v>
      </c>
      <c r="AD34" s="2">
        <f>COUNTIFS('OB History'!$B:$B,$A$34,'OB History'!W:W, 1)</f>
        <v>1</v>
      </c>
      <c r="AE34" s="2">
        <f>COUNTIFS('OB History'!$B:$B,$A$34,'OB History'!X:X, 1)</f>
        <v>0</v>
      </c>
      <c r="AF34" s="2">
        <f>COUNTIFS('OB History'!$B:$B,$A$34,'OB History'!Y:Y, 1)</f>
        <v>0</v>
      </c>
      <c r="AG34" s="2">
        <f>COUNTIFS('OB History'!$B:$B,$A$34,'OB History'!Z:Z, 1)</f>
        <v>0</v>
      </c>
    </row>
    <row r="35" spans="1:33" x14ac:dyDescent="0.25">
      <c r="A35" s="2" t="s">
        <v>5</v>
      </c>
      <c r="B35" s="6" t="s">
        <v>60</v>
      </c>
      <c r="C35" s="2" t="s">
        <v>79</v>
      </c>
      <c r="D35" s="3"/>
      <c r="E35" s="3"/>
      <c r="F35" s="34">
        <f>SUMIFS('OB History'!C:C,'OB History'!B:B,A35)</f>
        <v>266</v>
      </c>
      <c r="G35" s="4">
        <f>AVERAGEIFS('OB History'!C:C,'OB History'!B:B,A35)</f>
        <v>22.166666666666668</v>
      </c>
      <c r="H35" s="35">
        <f t="array" ref="H35">MAX(IF('OB History'!B:B=A35, 'OB History'!C:C))</f>
        <v>36</v>
      </c>
      <c r="I35" s="34">
        <f>COUNTIFS('OB History'!B:B,A35,'OB History'!D:D, 1)</f>
        <v>5</v>
      </c>
      <c r="J35" s="2">
        <f>COUNTIFS('OB History'!B:B,A35,'OB History'!D:D, 0)</f>
        <v>7</v>
      </c>
      <c r="K35" s="88">
        <f>LOOKUP(2, 1/('OB History'!$B:$B=A35), 'OB History'!$AD:$AD)</f>
        <v>0.41666666666666669</v>
      </c>
      <c r="L35" s="34">
        <f>SUMIFS('OB History'!F:F,'OB History'!B:B,A35)</f>
        <v>22</v>
      </c>
      <c r="M35" s="2">
        <f>SUMIFS('OB History'!E:E,'OB History'!B:B,A35)-L35</f>
        <v>29</v>
      </c>
      <c r="N35" s="88">
        <f>LOOKUP(2, 1/('OB History'!$B:$B=A35), 'OB History'!$AB:$AB)</f>
        <v>0.41249999999999992</v>
      </c>
      <c r="O35" s="34">
        <f>SUMIFS('OB History'!H:H,'OB History'!B:B,'Old Bow v2'!A35)</f>
        <v>101</v>
      </c>
      <c r="P35" s="2">
        <f>SUMIFS('OB History'!G:G,'OB History'!B:B,'Old Bow v2'!A35)-O35</f>
        <v>115</v>
      </c>
      <c r="Q35" s="88">
        <f>LOOKUP(2, 1/('OB History'!$B:$B=A35), 'OB History'!$AC:$AC)</f>
        <v>0.45333333333333331</v>
      </c>
      <c r="R35" s="2">
        <f>COUNTIFS('OB History'!$B:$B,$A$35,'OB History'!K:K, 1)</f>
        <v>1</v>
      </c>
      <c r="S35" s="2">
        <f>COUNTIFS('OB History'!$B:$B,$A$35,'OB History'!L:L, 1)</f>
        <v>2</v>
      </c>
      <c r="T35" s="2">
        <f>COUNTIFS('OB History'!$B:$B,$A$35,'OB History'!M:M, 1)</f>
        <v>3</v>
      </c>
      <c r="U35" s="2">
        <f>COUNTIFS('OB History'!$B:$B,$A$35,'OB History'!N:N, 1)</f>
        <v>2</v>
      </c>
      <c r="V35" s="2">
        <f>COUNTIFS('OB History'!$B:$B,$A$35,'OB History'!O:O, 1)</f>
        <v>1</v>
      </c>
      <c r="W35" s="2">
        <f>COUNTIFS('OB History'!$B:$B,$A$35,'OB History'!P:P, 1)</f>
        <v>1</v>
      </c>
      <c r="X35" s="2">
        <f>COUNTIFS('OB History'!$B:$B,$A$35,'OB History'!Q:Q, 1)</f>
        <v>0</v>
      </c>
      <c r="Y35" s="2">
        <f>COUNTIFS('OB History'!$B:$B,$A$35,'OB History'!R:R, 1)</f>
        <v>1</v>
      </c>
      <c r="Z35" s="2">
        <f>COUNTIFS('OB History'!$B:$B,$A$35,'OB History'!S:S, 1)</f>
        <v>0</v>
      </c>
      <c r="AA35" s="2">
        <f>COUNTIFS('OB History'!$B:$B,$A$35,'OB History'!T:T, 1)</f>
        <v>0</v>
      </c>
      <c r="AB35" s="2">
        <f>COUNTIFS('OB History'!$B:$B,$A$35,'OB History'!U:U, 1)</f>
        <v>0</v>
      </c>
      <c r="AC35" s="2">
        <f>COUNTIFS('OB History'!$B:$B,$A$35,'OB History'!V:V, 1)</f>
        <v>0</v>
      </c>
      <c r="AD35" s="2">
        <f>COUNTIFS('OB History'!$B:$B,$A$35,'OB History'!W:W, 1)</f>
        <v>1</v>
      </c>
      <c r="AE35" s="2">
        <f>COUNTIFS('OB History'!$B:$B,$A$35,'OB History'!X:X, 1)</f>
        <v>5</v>
      </c>
      <c r="AF35" s="2">
        <f>COUNTIFS('OB History'!$B:$B,$A$35,'OB History'!Y:Y, 1)</f>
        <v>3</v>
      </c>
      <c r="AG35" s="2">
        <f>COUNTIFS('OB History'!$B:$B,$A$35,'OB History'!Z:Z, 1)</f>
        <v>2</v>
      </c>
    </row>
    <row r="36" spans="1:33" x14ac:dyDescent="0.25">
      <c r="A36" s="2" t="s">
        <v>38</v>
      </c>
      <c r="B36" s="2" t="s">
        <v>79</v>
      </c>
      <c r="C36" s="2" t="s">
        <v>79</v>
      </c>
      <c r="D36" s="3">
        <v>1</v>
      </c>
      <c r="E36" s="3"/>
      <c r="F36" s="34">
        <f>SUMIFS('OB History'!C:C,'OB History'!B:B,A36)</f>
        <v>60</v>
      </c>
      <c r="G36" s="4">
        <f>AVERAGEIFS('OB History'!C:C,'OB History'!B:B,A36)</f>
        <v>6</v>
      </c>
      <c r="H36" s="35">
        <f t="array" ref="H36">MAX(IF('OB History'!B:B=A36, 'OB History'!C:C))</f>
        <v>13</v>
      </c>
      <c r="I36" s="34">
        <f>COUNTIFS('OB History'!B:B,A36,'OB History'!D:D, 1)</f>
        <v>4</v>
      </c>
      <c r="J36" s="2">
        <f>COUNTIFS('OB History'!B:B,A36,'OB History'!D:D, 0)</f>
        <v>6</v>
      </c>
      <c r="K36" s="88">
        <f>LOOKUP(2, 1/('OB History'!$B:$B=A36), 'OB History'!$AD:$AD)</f>
        <v>0.4</v>
      </c>
      <c r="L36" s="34">
        <f>SUMIFS('OB History'!F:F,'OB History'!B:B,A36)</f>
        <v>15</v>
      </c>
      <c r="M36" s="2">
        <f>SUMIFS('OB History'!E:E,'OB History'!B:B,A36)-L36</f>
        <v>23</v>
      </c>
      <c r="N36" s="88">
        <f>LOOKUP(2, 1/('OB History'!$B:$B=A36), 'OB History'!$AB:$AB)</f>
        <v>0.37</v>
      </c>
      <c r="O36" s="34">
        <f>SUMIFS('OB History'!H:H,'OB History'!B:B,'Old Bow v2'!A36)</f>
        <v>66</v>
      </c>
      <c r="P36" s="2">
        <f>SUMIFS('OB History'!G:G,'OB History'!B:B,'Old Bow v2'!A36)-O36</f>
        <v>86</v>
      </c>
      <c r="Q36" s="88">
        <f>LOOKUP(2, 1/('OB History'!$B:$B=A36), 'OB History'!$AC:$AC)</f>
        <v>0.43</v>
      </c>
      <c r="R36" s="2">
        <f>COUNTIFS('OB History'!$B:$B,$A$36,'OB History'!K:K, 1)</f>
        <v>1</v>
      </c>
      <c r="S36" s="2">
        <f>COUNTIFS('OB History'!$B:$B,$A$36,'OB History'!L:L, 1)</f>
        <v>1</v>
      </c>
      <c r="T36" s="2">
        <f>COUNTIFS('OB History'!$B:$B,$A$36,'OB History'!M:M, 1)</f>
        <v>1</v>
      </c>
      <c r="U36" s="2">
        <f>COUNTIFS('OB History'!$B:$B,$A$36,'OB History'!N:N, 1)</f>
        <v>2</v>
      </c>
      <c r="V36" s="2">
        <f>COUNTIFS('OB History'!$B:$B,$A$36,'OB History'!O:O, 1)</f>
        <v>0</v>
      </c>
      <c r="W36" s="2">
        <f>COUNTIFS('OB History'!$B:$B,$A$36,'OB History'!P:P, 1)</f>
        <v>2</v>
      </c>
      <c r="X36" s="2">
        <f>COUNTIFS('OB History'!$B:$B,$A$36,'OB History'!Q:Q, 1)</f>
        <v>0</v>
      </c>
      <c r="Y36" s="2">
        <f>COUNTIFS('OB History'!$B:$B,$A$36,'OB History'!R:R, 1)</f>
        <v>2</v>
      </c>
      <c r="Z36" s="2">
        <f>COUNTIFS('OB History'!$B:$B,$A$36,'OB History'!S:S, 1)</f>
        <v>0</v>
      </c>
      <c r="AA36" s="2">
        <f>COUNTIFS('OB History'!$B:$B,$A$36,'OB History'!T:T, 1)</f>
        <v>0</v>
      </c>
      <c r="AB36" s="2">
        <f>COUNTIFS('OB History'!$B:$B,$A$36,'OB History'!U:U, 1)</f>
        <v>0</v>
      </c>
      <c r="AC36" s="2">
        <f>COUNTIFS('OB History'!$B:$B,$A$36,'OB History'!V:V, 1)</f>
        <v>0</v>
      </c>
      <c r="AD36" s="2">
        <f>COUNTIFS('OB History'!$B:$B,$A$36,'OB History'!W:W, 1)</f>
        <v>1</v>
      </c>
      <c r="AE36" s="2">
        <f>COUNTIFS('OB History'!$B:$B,$A$36,'OB History'!X:X, 1)</f>
        <v>2</v>
      </c>
      <c r="AF36" s="2">
        <f>COUNTIFS('OB History'!$B:$B,$A$36,'OB History'!Y:Y, 1)</f>
        <v>2</v>
      </c>
      <c r="AG36" s="2">
        <f>COUNTIFS('OB History'!$B:$B,$A$36,'OB History'!Z:Z, 1)</f>
        <v>1</v>
      </c>
    </row>
    <row r="37" spans="1:33" x14ac:dyDescent="0.25">
      <c r="A37" s="2" t="s">
        <v>141</v>
      </c>
      <c r="B37" s="2" t="s">
        <v>79</v>
      </c>
      <c r="C37" s="2" t="s">
        <v>79</v>
      </c>
      <c r="D37" s="3"/>
      <c r="E37" s="3"/>
      <c r="F37" s="34">
        <f>SUMIFS('OB History'!C:C,'OB History'!B:B,A37)</f>
        <v>51</v>
      </c>
      <c r="G37" s="4">
        <f>AVERAGEIFS('OB History'!C:C,'OB History'!B:B,A37)</f>
        <v>17</v>
      </c>
      <c r="H37" s="35">
        <f t="array" ref="H37">MAX(IF('OB History'!B:B=A37, 'OB History'!C:C))</f>
        <v>20</v>
      </c>
      <c r="I37" s="34">
        <f>COUNTIFS('OB History'!B:B,A37,'OB History'!D:D, 1)</f>
        <v>1</v>
      </c>
      <c r="J37" s="2">
        <f>COUNTIFS('OB History'!B:B,A37,'OB History'!D:D, 0)</f>
        <v>2</v>
      </c>
      <c r="K37" s="88">
        <f>LOOKUP(2, 1/('OB History'!$B:$B=A37), 'OB History'!$AD:$AD)</f>
        <v>0.33333333333333331</v>
      </c>
      <c r="L37" s="34">
        <f>SUMIFS('OB History'!F:F,'OB History'!B:B,A37)</f>
        <v>7</v>
      </c>
      <c r="M37" s="2">
        <f>SUMIFS('OB History'!E:E,'OB History'!B:B,A37)-L37</f>
        <v>6</v>
      </c>
      <c r="N37" s="88">
        <f>LOOKUP(2, 1/('OB History'!$B:$B=A37), 'OB History'!$AB:$AB)</f>
        <v>0.6</v>
      </c>
      <c r="O37" s="34">
        <f>SUMIFS('OB History'!H:H,'OB History'!B:B,'Old Bow v2'!A37)</f>
        <v>27</v>
      </c>
      <c r="P37" s="2">
        <f>SUMIFS('OB History'!G:G,'OB History'!B:B,'Old Bow v2'!A37)-O37</f>
        <v>28</v>
      </c>
      <c r="Q37" s="88">
        <f>LOOKUP(2, 1/('OB History'!$B:$B=A37), 'OB History'!$AC:$AC)</f>
        <v>0.51666666666666661</v>
      </c>
      <c r="R37" s="2">
        <f>COUNTIFS('OB History'!$B:$B,$A$37,'OB History'!K:K, 1)</f>
        <v>1</v>
      </c>
      <c r="S37" s="2">
        <f>COUNTIFS('OB History'!$B:$B,$A$37,'OB History'!L:L, 1)</f>
        <v>1</v>
      </c>
      <c r="T37" s="2">
        <f>COUNTIFS('OB History'!$B:$B,$A$37,'OB History'!M:M, 1)</f>
        <v>0</v>
      </c>
      <c r="U37" s="2">
        <f>COUNTIFS('OB History'!$B:$B,$A$37,'OB History'!N:N, 1)</f>
        <v>0</v>
      </c>
      <c r="V37" s="2">
        <f>COUNTIFS('OB History'!$B:$B,$A$37,'OB History'!O:O, 1)</f>
        <v>0</v>
      </c>
      <c r="W37" s="2">
        <f>COUNTIFS('OB History'!$B:$B,$A$37,'OB History'!P:P, 1)</f>
        <v>1</v>
      </c>
      <c r="X37" s="2">
        <f>COUNTIFS('OB History'!$B:$B,$A$37,'OB History'!Q:Q, 1)</f>
        <v>1</v>
      </c>
      <c r="Y37" s="2">
        <f>COUNTIFS('OB History'!$B:$B,$A$37,'OB History'!R:R, 1)</f>
        <v>0</v>
      </c>
      <c r="Z37" s="2">
        <f>COUNTIFS('OB History'!$B:$B,$A$37,'OB History'!S:S, 1)</f>
        <v>0</v>
      </c>
      <c r="AA37" s="2">
        <f>COUNTIFS('OB History'!$B:$B,$A$37,'OB History'!T:T, 1)</f>
        <v>0</v>
      </c>
      <c r="AB37" s="2">
        <f>COUNTIFS('OB History'!$B:$B,$A$37,'OB History'!U:U, 1)</f>
        <v>0</v>
      </c>
      <c r="AC37" s="2">
        <f>COUNTIFS('OB History'!$B:$B,$A$37,'OB History'!V:V, 1)</f>
        <v>0</v>
      </c>
      <c r="AD37" s="2">
        <f>COUNTIFS('OB History'!$B:$B,$A$37,'OB History'!W:W, 1)</f>
        <v>1</v>
      </c>
      <c r="AE37" s="2">
        <f>COUNTIFS('OB History'!$B:$B,$A$37,'OB History'!X:X, 1)</f>
        <v>1</v>
      </c>
      <c r="AF37" s="2">
        <f>COUNTIFS('OB History'!$B:$B,$A$37,'OB History'!Y:Y, 1)</f>
        <v>0</v>
      </c>
      <c r="AG37" s="2">
        <f>COUNTIFS('OB History'!$B:$B,$A$37,'OB History'!Z:Z, 1)</f>
        <v>1</v>
      </c>
    </row>
    <row r="38" spans="1:33" x14ac:dyDescent="0.25">
      <c r="A38" s="2" t="s">
        <v>149</v>
      </c>
      <c r="B38" s="2" t="s">
        <v>79</v>
      </c>
      <c r="C38" s="2" t="s">
        <v>79</v>
      </c>
      <c r="D38" s="3"/>
      <c r="E38" s="3"/>
      <c r="F38" s="34">
        <f>SUMIFS('OB History'!C:C,'OB History'!B:B,A38)</f>
        <v>4</v>
      </c>
      <c r="G38" s="4">
        <f>AVERAGEIFS('OB History'!C:C,'OB History'!B:B,A38)</f>
        <v>4</v>
      </c>
      <c r="H38" s="35">
        <f t="array" ref="H38">MAX(IF('OB History'!B:B=A38, 'OB History'!C:C))</f>
        <v>4</v>
      </c>
      <c r="I38" s="34">
        <f>COUNTIFS('OB History'!B:B,A38,'OB History'!D:D, 1)</f>
        <v>0</v>
      </c>
      <c r="J38" s="2">
        <f>COUNTIFS('OB History'!B:B,A38,'OB History'!D:D, 0)</f>
        <v>1</v>
      </c>
      <c r="K38" s="88">
        <f>LOOKUP(2, 1/('OB History'!$B:$B=A38), 'OB History'!$AD:$AD)</f>
        <v>0</v>
      </c>
      <c r="L38" s="34">
        <f>SUMIFS('OB History'!F:F,'OB History'!B:B,A38)</f>
        <v>2</v>
      </c>
      <c r="M38" s="2">
        <f>SUMIFS('OB History'!E:E,'OB History'!B:B,A38)-L38</f>
        <v>3</v>
      </c>
      <c r="N38" s="88">
        <f>LOOKUP(2, 1/('OB History'!$B:$B=A38), 'OB History'!$AB:$AB)</f>
        <v>0.4</v>
      </c>
      <c r="O38" s="34">
        <f>SUMIFS('OB History'!H:H,'OB History'!B:B,'Old Bow v2'!A38)</f>
        <v>8</v>
      </c>
      <c r="P38" s="2">
        <f>SUMIFS('OB History'!G:G,'OB History'!B:B,'Old Bow v2'!A38)-O38</f>
        <v>10</v>
      </c>
      <c r="Q38" s="88">
        <f>LOOKUP(2, 1/('OB History'!$B:$B=A38), 'OB History'!$AC:$AC)</f>
        <v>0.44</v>
      </c>
      <c r="R38" s="2">
        <f>COUNTIFS('OB History'!$B:$B,$A$38,'OB History'!K:K, 1)</f>
        <v>1</v>
      </c>
      <c r="S38" s="2">
        <f>COUNTIFS('OB History'!$B:$B,$A$38,'OB History'!L:L, 1)</f>
        <v>0</v>
      </c>
      <c r="T38" s="2">
        <f>COUNTIFS('OB History'!$B:$B,$A$38,'OB History'!M:M, 1)</f>
        <v>0</v>
      </c>
      <c r="U38" s="2">
        <f>COUNTIFS('OB History'!$B:$B,$A$38,'OB History'!N:N, 1)</f>
        <v>0</v>
      </c>
      <c r="V38" s="2">
        <f>COUNTIFS('OB History'!$B:$B,$A$38,'OB History'!O:O, 1)</f>
        <v>0</v>
      </c>
      <c r="W38" s="2">
        <f>COUNTIFS('OB History'!$B:$B,$A$38,'OB History'!P:P, 1)</f>
        <v>1</v>
      </c>
      <c r="X38" s="2">
        <f>COUNTIFS('OB History'!$B:$B,$A$38,'OB History'!Q:Q, 1)</f>
        <v>0</v>
      </c>
      <c r="Y38" s="2">
        <f>COUNTIFS('OB History'!$B:$B,$A$38,'OB History'!R:R, 1)</f>
        <v>0</v>
      </c>
      <c r="Z38" s="2">
        <f>COUNTIFS('OB History'!$B:$B,$A$38,'OB History'!S:S, 1)</f>
        <v>0</v>
      </c>
      <c r="AA38" s="2">
        <f>COUNTIFS('OB History'!$B:$B,$A$38,'OB History'!T:T, 1)</f>
        <v>0</v>
      </c>
      <c r="AB38" s="2">
        <f>COUNTIFS('OB History'!$B:$B,$A$38,'OB History'!U:U, 1)</f>
        <v>0</v>
      </c>
      <c r="AC38" s="2">
        <f>COUNTIFS('OB History'!$B:$B,$A$38,'OB History'!V:V, 1)</f>
        <v>0</v>
      </c>
      <c r="AD38" s="2">
        <f>COUNTIFS('OB History'!$B:$B,$A$38,'OB History'!W:W, 1)</f>
        <v>0</v>
      </c>
      <c r="AE38" s="2">
        <f>COUNTIFS('OB History'!$B:$B,$A$38,'OB History'!X:X, 1)</f>
        <v>0</v>
      </c>
      <c r="AF38" s="2">
        <f>COUNTIFS('OB History'!$B:$B,$A$38,'OB History'!Y:Y, 1)</f>
        <v>0</v>
      </c>
      <c r="AG38" s="2">
        <f>COUNTIFS('OB History'!$B:$B,$A$38,'OB History'!Z:Z, 1)</f>
        <v>0</v>
      </c>
    </row>
    <row r="39" spans="1:33" x14ac:dyDescent="0.25">
      <c r="A39" s="2" t="s">
        <v>40</v>
      </c>
      <c r="B39" s="2" t="s">
        <v>79</v>
      </c>
      <c r="C39" s="2" t="s">
        <v>79</v>
      </c>
      <c r="D39" s="3"/>
      <c r="E39" s="3"/>
      <c r="F39" s="34">
        <f>SUMIFS('OB History'!C:C,'OB History'!B:B,A39)</f>
        <v>195</v>
      </c>
      <c r="G39" s="4">
        <f>AVERAGEIFS('OB History'!C:C,'OB History'!B:B,A39)</f>
        <v>16.25</v>
      </c>
      <c r="H39" s="35">
        <f t="array" ref="H39">MAX(IF('OB History'!B:B=A39, 'OB History'!C:C))</f>
        <v>28</v>
      </c>
      <c r="I39" s="34">
        <f>COUNTIFS('OB History'!B:B,A39,'OB History'!D:D, 1)</f>
        <v>3</v>
      </c>
      <c r="J39" s="2">
        <f>COUNTIFS('OB History'!B:B,A39,'OB History'!D:D, 0)</f>
        <v>9</v>
      </c>
      <c r="K39" s="88">
        <f>LOOKUP(2, 1/('OB History'!$B:$B=A39), 'OB History'!$AD:$AD)</f>
        <v>0.25</v>
      </c>
      <c r="L39" s="34">
        <f>SUMIFS('OB History'!F:F,'OB History'!B:B,A39)</f>
        <v>20</v>
      </c>
      <c r="M39" s="2">
        <f>SUMIFS('OB History'!E:E,'OB History'!B:B,A39)-L39</f>
        <v>29</v>
      </c>
      <c r="N39" s="88">
        <f>LOOKUP(2, 1/('OB History'!$B:$B=A39), 'OB History'!$AB:$AB)</f>
        <v>0.41249999999999992</v>
      </c>
      <c r="O39" s="34">
        <f>SUMIFS('OB History'!H:H,'OB History'!B:B,'Old Bow v2'!A39)</f>
        <v>84</v>
      </c>
      <c r="P39" s="2">
        <f>SUMIFS('OB History'!G:G,'OB History'!B:B,'Old Bow v2'!A39)-O39</f>
        <v>112</v>
      </c>
      <c r="Q39" s="88">
        <f>LOOKUP(2, 1/('OB History'!$B:$B=A39), 'OB History'!$AC:$AC)</f>
        <v>0.42166666666666669</v>
      </c>
      <c r="R39" s="2">
        <f>COUNTIFS('OB History'!$B:$B,$A$39,'OB History'!K:K, 1)</f>
        <v>2</v>
      </c>
      <c r="S39" s="2">
        <f>COUNTIFS('OB History'!$B:$B,$A$39,'OB History'!L:L, 1)</f>
        <v>2</v>
      </c>
      <c r="T39" s="2">
        <f>COUNTIFS('OB History'!$B:$B,$A$39,'OB History'!M:M, 1)</f>
        <v>1</v>
      </c>
      <c r="U39" s="2">
        <f>COUNTIFS('OB History'!$B:$B,$A$39,'OB History'!N:N, 1)</f>
        <v>1</v>
      </c>
      <c r="V39" s="2">
        <f>COUNTIFS('OB History'!$B:$B,$A$39,'OB History'!O:O, 1)</f>
        <v>0</v>
      </c>
      <c r="W39" s="2">
        <f>COUNTIFS('OB History'!$B:$B,$A$39,'OB History'!P:P, 1)</f>
        <v>1</v>
      </c>
      <c r="X39" s="2">
        <f>COUNTIFS('OB History'!$B:$B,$A$39,'OB History'!Q:Q, 1)</f>
        <v>2</v>
      </c>
      <c r="Y39" s="2">
        <f>COUNTIFS('OB History'!$B:$B,$A$39,'OB History'!R:R, 1)</f>
        <v>0</v>
      </c>
      <c r="Z39" s="2">
        <f>COUNTIFS('OB History'!$B:$B,$A$39,'OB History'!S:S, 1)</f>
        <v>1</v>
      </c>
      <c r="AA39" s="2">
        <f>COUNTIFS('OB History'!$B:$B,$A$39,'OB History'!T:T, 1)</f>
        <v>0</v>
      </c>
      <c r="AB39" s="2">
        <f>COUNTIFS('OB History'!$B:$B,$A$39,'OB History'!U:U, 1)</f>
        <v>0</v>
      </c>
      <c r="AC39" s="2">
        <f>COUNTIFS('OB History'!$B:$B,$A$39,'OB History'!V:V, 1)</f>
        <v>0</v>
      </c>
      <c r="AD39" s="2">
        <f>COUNTIFS('OB History'!$B:$B,$A$39,'OB History'!W:W, 1)</f>
        <v>1</v>
      </c>
      <c r="AE39" s="2">
        <f>COUNTIFS('OB History'!$B:$B,$A$39,'OB History'!X:X, 1)</f>
        <v>3</v>
      </c>
      <c r="AF39" s="2">
        <f>COUNTIFS('OB History'!$B:$B,$A$39,'OB History'!Y:Y, 1)</f>
        <v>3</v>
      </c>
      <c r="AG39" s="2">
        <f>COUNTIFS('OB History'!$B:$B,$A$39,'OB History'!Z:Z, 1)</f>
        <v>3</v>
      </c>
    </row>
    <row r="40" spans="1:33" x14ac:dyDescent="0.25">
      <c r="A40" s="2" t="s">
        <v>147</v>
      </c>
      <c r="B40" s="2" t="s">
        <v>79</v>
      </c>
      <c r="C40" s="2" t="s">
        <v>79</v>
      </c>
      <c r="D40" s="3"/>
      <c r="E40" s="3"/>
      <c r="F40" s="34">
        <f>SUMIFS('OB History'!C:C,'OB History'!B:B,A40)</f>
        <v>121</v>
      </c>
      <c r="G40" s="4">
        <f>AVERAGEIFS('OB History'!C:C,'OB History'!B:B,A40)</f>
        <v>15.125</v>
      </c>
      <c r="H40" s="35">
        <f t="array" ref="H40">MAX(IF('OB History'!B:B=A40, 'OB History'!C:C))</f>
        <v>24</v>
      </c>
      <c r="I40" s="34">
        <f>COUNTIFS('OB History'!B:B,A40,'OB History'!D:D, 1)</f>
        <v>1</v>
      </c>
      <c r="J40" s="2">
        <f>COUNTIFS('OB History'!B:B,A40,'OB History'!D:D, 0)</f>
        <v>7</v>
      </c>
      <c r="K40" s="88">
        <f>LOOKUP(2, 1/('OB History'!$B:$B=A40), 'OB History'!$AD:$AD)</f>
        <v>0.125</v>
      </c>
      <c r="L40" s="34">
        <f>SUMIFS('OB History'!F:F,'OB History'!B:B,A40)</f>
        <v>9</v>
      </c>
      <c r="M40" s="2">
        <f>SUMIFS('OB History'!E:E,'OB History'!B:B,A40)-L40</f>
        <v>21</v>
      </c>
      <c r="N40" s="88">
        <f>LOOKUP(2, 1/('OB History'!$B:$B=A40), 'OB History'!$AB:$AB)</f>
        <v>0.27500000000000002</v>
      </c>
      <c r="O40" s="34">
        <f>SUMIFS('OB History'!H:H,'OB History'!B:B,'Old Bow v2'!A40)</f>
        <v>49</v>
      </c>
      <c r="P40" s="2">
        <f>SUMIFS('OB History'!G:G,'OB History'!B:B,'Old Bow v2'!A40)-O40</f>
        <v>71</v>
      </c>
      <c r="Q40" s="88">
        <f>LOOKUP(2, 1/('OB History'!$B:$B=A40), 'OB History'!$AC:$AC)</f>
        <v>0.39500000000000002</v>
      </c>
      <c r="R40" s="2">
        <f>COUNTIFS('OB History'!$B:$B,$A$40,'OB History'!K:K, 1)</f>
        <v>3</v>
      </c>
      <c r="S40" s="2">
        <f>COUNTIFS('OB History'!$B:$B,$A$40,'OB History'!L:L, 1)</f>
        <v>0</v>
      </c>
      <c r="T40" s="2">
        <f>COUNTIFS('OB History'!$B:$B,$A$40,'OB History'!M:M, 1)</f>
        <v>0</v>
      </c>
      <c r="U40" s="2">
        <f>COUNTIFS('OB History'!$B:$B,$A$40,'OB History'!N:N, 1)</f>
        <v>0</v>
      </c>
      <c r="V40" s="2">
        <f>COUNTIFS('OB History'!$B:$B,$A$40,'OB History'!O:O, 1)</f>
        <v>0</v>
      </c>
      <c r="W40" s="2">
        <f>COUNTIFS('OB History'!$B:$B,$A$40,'OB History'!P:P, 1)</f>
        <v>2</v>
      </c>
      <c r="X40" s="2">
        <f>COUNTIFS('OB History'!$B:$B,$A$40,'OB History'!Q:Q, 1)</f>
        <v>0</v>
      </c>
      <c r="Y40" s="2">
        <f>COUNTIFS('OB History'!$B:$B,$A$40,'OB History'!R:R, 1)</f>
        <v>0</v>
      </c>
      <c r="Z40" s="2">
        <f>COUNTIFS('OB History'!$B:$B,$A$40,'OB History'!S:S, 1)</f>
        <v>1</v>
      </c>
      <c r="AA40" s="2">
        <f>COUNTIFS('OB History'!$B:$B,$A$40,'OB History'!T:T, 1)</f>
        <v>0</v>
      </c>
      <c r="AB40" s="2">
        <f>COUNTIFS('OB History'!$B:$B,$A$40,'OB History'!U:U, 1)</f>
        <v>0</v>
      </c>
      <c r="AC40" s="2">
        <f>COUNTIFS('OB History'!$B:$B,$A$40,'OB History'!V:V, 1)</f>
        <v>0</v>
      </c>
      <c r="AD40" s="2">
        <f>COUNTIFS('OB History'!$B:$B,$A$40,'OB History'!W:W, 1)</f>
        <v>0</v>
      </c>
      <c r="AE40" s="2">
        <f>COUNTIFS('OB History'!$B:$B,$A$40,'OB History'!X:X, 1)</f>
        <v>1</v>
      </c>
      <c r="AF40" s="2">
        <f>COUNTIFS('OB History'!$B:$B,$A$40,'OB History'!Y:Y, 1)</f>
        <v>1</v>
      </c>
      <c r="AG40" s="2">
        <f>COUNTIFS('OB History'!$B:$B,$A$40,'OB History'!Z:Z, 1)</f>
        <v>1</v>
      </c>
    </row>
    <row r="41" spans="1:33" x14ac:dyDescent="0.25">
      <c r="A41" s="2" t="s">
        <v>17</v>
      </c>
      <c r="B41" s="2" t="s">
        <v>79</v>
      </c>
      <c r="C41" s="2" t="s">
        <v>79</v>
      </c>
      <c r="D41" s="3">
        <v>6</v>
      </c>
      <c r="E41" s="3">
        <v>3</v>
      </c>
      <c r="F41" s="34">
        <f>SUMIFS('OB History'!C:C,'OB History'!B:B,A41)</f>
        <v>1166</v>
      </c>
      <c r="G41" s="4">
        <f>AVERAGEIFS('OB History'!C:C,'OB History'!B:B,A41)</f>
        <v>25.347826086956523</v>
      </c>
      <c r="H41" s="35">
        <f t="array" ref="H41">MAX(IF('OB History'!B:B=A41, 'OB History'!C:C))</f>
        <v>49</v>
      </c>
      <c r="I41" s="34">
        <f>COUNTIFS('OB History'!B:B,A41,'OB History'!D:D, 1)</f>
        <v>20</v>
      </c>
      <c r="J41" s="2">
        <f>COUNTIFS('OB History'!B:B,A41,'OB History'!D:D, 0)</f>
        <v>26</v>
      </c>
      <c r="K41" s="88">
        <f>LOOKUP(2, 1/('OB History'!$B:$B=A41), 'OB History'!$AD:$AD)</f>
        <v>0.43478260869565216</v>
      </c>
      <c r="L41" s="34">
        <f>SUMIFS('OB History'!F:F,'OB History'!B:B,A41)</f>
        <v>93</v>
      </c>
      <c r="M41" s="2">
        <f>SUMIFS('OB History'!E:E,'OB History'!B:B,A41)-L41</f>
        <v>95</v>
      </c>
      <c r="N41" s="88">
        <f>LOOKUP(2, 1/('OB History'!$B:$B=A41), 'OB History'!$AB:$AB)</f>
        <v>0.50869565217391322</v>
      </c>
      <c r="O41" s="34">
        <f>SUMIFS('OB History'!H:H,'OB History'!B:B,'Old Bow v2'!A41)</f>
        <v>387</v>
      </c>
      <c r="P41" s="2">
        <f>SUMIFS('OB History'!G:G,'OB History'!B:B,'Old Bow v2'!A41)-O41</f>
        <v>384</v>
      </c>
      <c r="Q41" s="88">
        <f>LOOKUP(2, 1/('OB History'!$B:$B=A41), 'OB History'!$AC:$AC)</f>
        <v>0.51260869565217382</v>
      </c>
      <c r="R41" s="2">
        <f>COUNTIFS('OB History'!$B:$B,$A$41,'OB History'!K:K, 1)</f>
        <v>6</v>
      </c>
      <c r="S41" s="2">
        <f>COUNTIFS('OB History'!$B:$B,$A$41,'OB History'!L:L, 1)</f>
        <v>6</v>
      </c>
      <c r="T41" s="2">
        <f>COUNTIFS('OB History'!$B:$B,$A$41,'OB History'!M:M, 1)</f>
        <v>3</v>
      </c>
      <c r="U41" s="2">
        <f>COUNTIFS('OB History'!$B:$B,$A$41,'OB History'!N:N, 1)</f>
        <v>9</v>
      </c>
      <c r="V41" s="2">
        <f>COUNTIFS('OB History'!$B:$B,$A$41,'OB History'!O:O, 1)</f>
        <v>0</v>
      </c>
      <c r="W41" s="2">
        <f>COUNTIFS('OB History'!$B:$B,$A$41,'OB History'!P:P, 1)</f>
        <v>10</v>
      </c>
      <c r="X41" s="2">
        <f>COUNTIFS('OB History'!$B:$B,$A$41,'OB History'!Q:Q, 1)</f>
        <v>4</v>
      </c>
      <c r="Y41" s="2">
        <f>COUNTIFS('OB History'!$B:$B,$A$41,'OB History'!R:R, 1)</f>
        <v>3</v>
      </c>
      <c r="Z41" s="2">
        <f>COUNTIFS('OB History'!$B:$B,$A$41,'OB History'!S:S, 1)</f>
        <v>1</v>
      </c>
      <c r="AA41" s="2">
        <f>COUNTIFS('OB History'!$B:$B,$A$41,'OB History'!T:T, 1)</f>
        <v>1</v>
      </c>
      <c r="AB41" s="2">
        <f>COUNTIFS('OB History'!$B:$B,$A$41,'OB History'!U:U, 1)</f>
        <v>1</v>
      </c>
      <c r="AC41" s="2">
        <f>COUNTIFS('OB History'!$B:$B,$A$41,'OB History'!V:V, 1)</f>
        <v>3</v>
      </c>
      <c r="AD41" s="2">
        <f>COUNTIFS('OB History'!$B:$B,$A$41,'OB History'!W:W, 1)</f>
        <v>7</v>
      </c>
      <c r="AE41" s="2">
        <f>COUNTIFS('OB History'!$B:$B,$A$41,'OB History'!X:X, 1)</f>
        <v>17</v>
      </c>
      <c r="AF41" s="2">
        <f>COUNTIFS('OB History'!$B:$B,$A$41,'OB History'!Y:Y, 1)</f>
        <v>8</v>
      </c>
      <c r="AG41" s="2">
        <f>COUNTIFS('OB History'!$B:$B,$A$41,'OB History'!Z:Z, 1)</f>
        <v>14</v>
      </c>
    </row>
    <row r="42" spans="1:33" x14ac:dyDescent="0.25">
      <c r="A42" s="2" t="s">
        <v>169</v>
      </c>
      <c r="B42" s="2" t="s">
        <v>79</v>
      </c>
      <c r="C42" s="2" t="s">
        <v>79</v>
      </c>
      <c r="D42" s="3"/>
      <c r="E42" s="3"/>
      <c r="F42" s="34">
        <f>SUMIFS('OB History'!C:C,'OB History'!B:B,A42)</f>
        <v>29</v>
      </c>
      <c r="G42" s="4">
        <f>AVERAGEIFS('OB History'!C:C,'OB History'!B:B,A42)</f>
        <v>14.5</v>
      </c>
      <c r="H42" s="35">
        <f t="array" ref="H42">MAX(IF('OB History'!B:B=A42, 'OB History'!C:C))</f>
        <v>18</v>
      </c>
      <c r="I42" s="34">
        <f>COUNTIFS('OB History'!B:B,A42,'OB History'!D:D, 1)</f>
        <v>0</v>
      </c>
      <c r="J42" s="2">
        <f>COUNTIFS('OB History'!B:B,A42,'OB History'!D:D, 0)</f>
        <v>2</v>
      </c>
      <c r="K42" s="88">
        <f>LOOKUP(2, 1/('OB History'!$B:$B=A42), 'OB History'!$AD:$AD)</f>
        <v>0</v>
      </c>
      <c r="L42" s="34">
        <f>SUMIFS('OB History'!F:F,'OB History'!B:B,A42)</f>
        <v>0</v>
      </c>
      <c r="M42" s="2">
        <f>SUMIFS('OB History'!E:E,'OB History'!B:B,A42)-L42</f>
        <v>6</v>
      </c>
      <c r="N42" s="88">
        <f>LOOKUP(2, 1/('OB History'!$B:$B=A42), 'OB History'!$AB:$AB)</f>
        <v>0</v>
      </c>
      <c r="O42" s="34">
        <f>SUMIFS('OB History'!H:H,'OB History'!B:B,'Old Bow v2'!A42)</f>
        <v>7</v>
      </c>
      <c r="P42" s="2">
        <f>SUMIFS('OB History'!G:G,'OB History'!B:B,'Old Bow v2'!A42)-O42</f>
        <v>18</v>
      </c>
      <c r="Q42" s="88">
        <f>LOOKUP(2, 1/('OB History'!$B:$B=A42), 'OB History'!$AC:$AC)</f>
        <v>0.28000000000000003</v>
      </c>
      <c r="R42" s="2">
        <f>COUNTIFS('OB History'!$B:$B,$A$42,'OB History'!K:K, 1)</f>
        <v>0</v>
      </c>
      <c r="S42" s="2">
        <f>COUNTIFS('OB History'!$B:$B,$A$42,'OB History'!L:L, 1)</f>
        <v>0</v>
      </c>
      <c r="T42" s="2">
        <f>COUNTIFS('OB History'!$B:$B,$A$42,'OB History'!M:M, 1)</f>
        <v>0</v>
      </c>
      <c r="U42" s="2">
        <f>COUNTIFS('OB History'!$B:$B,$A$42,'OB History'!N:N, 1)</f>
        <v>0</v>
      </c>
      <c r="V42" s="2">
        <f>COUNTIFS('OB History'!$B:$B,$A$42,'OB History'!O:O, 1)</f>
        <v>0</v>
      </c>
      <c r="W42" s="2">
        <f>COUNTIFS('OB History'!$B:$B,$A$42,'OB History'!P:P, 1)</f>
        <v>0</v>
      </c>
      <c r="X42" s="2">
        <f>COUNTIFS('OB History'!$B:$B,$A$42,'OB History'!Q:Q, 1)</f>
        <v>0</v>
      </c>
      <c r="Y42" s="2">
        <f>COUNTIFS('OB History'!$B:$B,$A$42,'OB History'!R:R, 1)</f>
        <v>0</v>
      </c>
      <c r="Z42" s="2">
        <f>COUNTIFS('OB History'!$B:$B,$A$42,'OB History'!S:S, 1)</f>
        <v>0</v>
      </c>
      <c r="AA42" s="2">
        <f>COUNTIFS('OB History'!$B:$B,$A$42,'OB History'!T:T, 1)</f>
        <v>0</v>
      </c>
      <c r="AB42" s="2">
        <f>COUNTIFS('OB History'!$B:$B,$A$42,'OB History'!U:U, 1)</f>
        <v>0</v>
      </c>
      <c r="AC42" s="2">
        <f>COUNTIFS('OB History'!$B:$B,$A$42,'OB History'!V:V, 1)</f>
        <v>0</v>
      </c>
      <c r="AD42" s="2">
        <f>COUNTIFS('OB History'!$B:$B,$A$42,'OB History'!W:W, 1)</f>
        <v>0</v>
      </c>
      <c r="AE42" s="2">
        <f>COUNTIFS('OB History'!$B:$B,$A$42,'OB History'!X:X, 1)</f>
        <v>0</v>
      </c>
      <c r="AF42" s="2">
        <f>COUNTIFS('OB History'!$B:$B,$A$42,'OB History'!Y:Y, 1)</f>
        <v>0</v>
      </c>
      <c r="AG42" s="2">
        <f>COUNTIFS('OB History'!$B:$B,$A$42,'OB History'!Z:Z, 1)</f>
        <v>0</v>
      </c>
    </row>
    <row r="43" spans="1:33" x14ac:dyDescent="0.25">
      <c r="A43" s="2" t="s">
        <v>155</v>
      </c>
      <c r="B43" s="2" t="s">
        <v>79</v>
      </c>
      <c r="C43" s="2" t="s">
        <v>79</v>
      </c>
      <c r="D43" s="3">
        <v>2</v>
      </c>
      <c r="E43" s="3">
        <v>1</v>
      </c>
      <c r="F43" s="34">
        <f>SUMIFS('OB History'!C:C,'OB History'!B:B,A43)</f>
        <v>220</v>
      </c>
      <c r="G43" s="4">
        <f>AVERAGEIFS('OB History'!C:C,'OB History'!B:B,A43)</f>
        <v>14.666666666666666</v>
      </c>
      <c r="H43" s="35">
        <f t="array" ref="H43">MAX(IF('OB History'!B:B=A43, 'OB History'!C:C))</f>
        <v>28</v>
      </c>
      <c r="I43" s="34">
        <f>COUNTIFS('OB History'!B:B,A43,'OB History'!D:D, 1)</f>
        <v>3</v>
      </c>
      <c r="J43" s="2">
        <f>COUNTIFS('OB History'!B:B,A43,'OB History'!D:D, 0)</f>
        <v>12</v>
      </c>
      <c r="K43" s="88">
        <f>LOOKUP(2, 1/('OB History'!$B:$B=A43), 'OB History'!$AD:$AD)</f>
        <v>0.2</v>
      </c>
      <c r="L43" s="34">
        <f>SUMIFS('OB History'!F:F,'OB History'!B:B,A43)</f>
        <v>23</v>
      </c>
      <c r="M43" s="2">
        <f>SUMIFS('OB History'!E:E,'OB History'!B:B,A43)-L43</f>
        <v>41</v>
      </c>
      <c r="N43" s="88">
        <f>LOOKUP(2, 1/('OB History'!$B:$B=A43), 'OB History'!$AB:$AB)</f>
        <v>0.33666666666666667</v>
      </c>
      <c r="O43" s="34">
        <f>SUMIFS('OB History'!H:H,'OB History'!B:B,'Old Bow v2'!A43)</f>
        <v>115</v>
      </c>
      <c r="P43" s="2">
        <f>SUMIFS('OB History'!G:G,'OB History'!B:B,'Old Bow v2'!A43)-O43</f>
        <v>144</v>
      </c>
      <c r="Q43" s="88">
        <f>LOOKUP(2, 1/('OB History'!$B:$B=A43), 'OB History'!$AC:$AC)</f>
        <v>0.42599999999999999</v>
      </c>
      <c r="R43" s="2">
        <f>COUNTIFS('OB History'!$B:$B,$A$43,'OB History'!K:K, 1)</f>
        <v>2</v>
      </c>
      <c r="S43" s="2">
        <f>COUNTIFS('OB History'!$B:$B,$A$43,'OB History'!L:L, 1)</f>
        <v>1</v>
      </c>
      <c r="T43" s="2">
        <f>COUNTIFS('OB History'!$B:$B,$A$43,'OB History'!M:M, 1)</f>
        <v>2</v>
      </c>
      <c r="U43" s="2">
        <f>COUNTIFS('OB History'!$B:$B,$A$43,'OB History'!N:N, 1)</f>
        <v>2</v>
      </c>
      <c r="V43" s="2">
        <f>COUNTIFS('OB History'!$B:$B,$A$43,'OB History'!O:O, 1)</f>
        <v>0</v>
      </c>
      <c r="W43" s="2">
        <f>COUNTIFS('OB History'!$B:$B,$A$43,'OB History'!P:P, 1)</f>
        <v>4</v>
      </c>
      <c r="X43" s="2">
        <f>COUNTIFS('OB History'!$B:$B,$A$43,'OB History'!Q:Q, 1)</f>
        <v>1</v>
      </c>
      <c r="Y43" s="2">
        <f>COUNTIFS('OB History'!$B:$B,$A$43,'OB History'!R:R, 1)</f>
        <v>0</v>
      </c>
      <c r="Z43" s="2">
        <f>COUNTIFS('OB History'!$B:$B,$A$43,'OB History'!S:S, 1)</f>
        <v>1</v>
      </c>
      <c r="AA43" s="2">
        <f>COUNTIFS('OB History'!$B:$B,$A$43,'OB History'!T:T, 1)</f>
        <v>1</v>
      </c>
      <c r="AB43" s="2">
        <f>COUNTIFS('OB History'!$B:$B,$A$43,'OB History'!U:U, 1)</f>
        <v>0</v>
      </c>
      <c r="AC43" s="2">
        <f>COUNTIFS('OB History'!$B:$B,$A$43,'OB History'!V:V, 1)</f>
        <v>1</v>
      </c>
      <c r="AD43" s="2">
        <f>COUNTIFS('OB History'!$B:$B,$A$43,'OB History'!W:W, 1)</f>
        <v>1</v>
      </c>
      <c r="AE43" s="2">
        <f>COUNTIFS('OB History'!$B:$B,$A$43,'OB History'!X:X, 1)</f>
        <v>3</v>
      </c>
      <c r="AF43" s="2">
        <f>COUNTIFS('OB History'!$B:$B,$A$43,'OB History'!Y:Y, 1)</f>
        <v>3</v>
      </c>
      <c r="AG43" s="2">
        <f>COUNTIFS('OB History'!$B:$B,$A$43,'OB History'!Z:Z, 1)</f>
        <v>1</v>
      </c>
    </row>
    <row r="44" spans="1:33" x14ac:dyDescent="0.25">
      <c r="A44" s="2" t="s">
        <v>6</v>
      </c>
      <c r="B44" s="2" t="s">
        <v>60</v>
      </c>
      <c r="C44" s="2" t="s">
        <v>79</v>
      </c>
      <c r="D44" s="3"/>
      <c r="E44" s="3"/>
      <c r="F44" s="34">
        <f>SUMIFS('OB History'!C:C,'OB History'!B:B,A44)</f>
        <v>545</v>
      </c>
      <c r="G44" s="4">
        <f>AVERAGEIFS('OB History'!C:C,'OB History'!B:B,A44)</f>
        <v>22.708333333333332</v>
      </c>
      <c r="H44" s="35">
        <f t="array" ref="H44">MAX(IF('OB History'!B:B=A44, 'OB History'!C:C))</f>
        <v>43</v>
      </c>
      <c r="I44" s="34">
        <f>COUNTIFS('OB History'!B:B,A44,'OB History'!D:D, 1)</f>
        <v>17</v>
      </c>
      <c r="J44" s="2">
        <f>COUNTIFS('OB History'!B:B,A44,'OB History'!D:D, 0)</f>
        <v>7</v>
      </c>
      <c r="K44" s="88">
        <f>LOOKUP(2, 1/('OB History'!$B:$B=A44), 'OB History'!$AD:$AD)</f>
        <v>0.70833333333333337</v>
      </c>
      <c r="L44" s="34">
        <f>SUMIFS('OB History'!F:F,'OB History'!B:B,A44)</f>
        <v>59</v>
      </c>
      <c r="M44" s="2">
        <f>SUMIFS('OB History'!E:E,'OB History'!B:B,A44)-L44</f>
        <v>38</v>
      </c>
      <c r="N44" s="88">
        <f>LOOKUP(2, 1/('OB History'!$B:$B=A44), 'OB History'!$AB:$AB)</f>
        <v>0.62708333333333333</v>
      </c>
      <c r="O44" s="34">
        <f>SUMIFS('OB History'!H:H,'OB History'!B:B,'Old Bow v2'!A44)</f>
        <v>227</v>
      </c>
      <c r="P44" s="2">
        <f>SUMIFS('OB History'!G:G,'OB History'!B:B,'Old Bow v2'!A44)-O44</f>
        <v>185</v>
      </c>
      <c r="Q44" s="88">
        <f>LOOKUP(2, 1/('OB History'!$B:$B=A44), 'OB History'!$AC:$AC)</f>
        <v>0.56125000000000003</v>
      </c>
      <c r="R44" s="2">
        <f>COUNTIFS('OB History'!$B:$B,$A$44,'OB History'!K:K, 1)</f>
        <v>2</v>
      </c>
      <c r="S44" s="2">
        <f>COUNTIFS('OB History'!$B:$B,$A$44,'OB History'!L:L, 1)</f>
        <v>5</v>
      </c>
      <c r="T44" s="2">
        <f>COUNTIFS('OB History'!$B:$B,$A$44,'OB History'!M:M, 1)</f>
        <v>6</v>
      </c>
      <c r="U44" s="2">
        <f>COUNTIFS('OB History'!$B:$B,$A$44,'OB History'!N:N, 1)</f>
        <v>3</v>
      </c>
      <c r="V44" s="2">
        <f>COUNTIFS('OB History'!$B:$B,$A$44,'OB History'!O:O, 1)</f>
        <v>1</v>
      </c>
      <c r="W44" s="2">
        <f>COUNTIFS('OB History'!$B:$B,$A$44,'OB History'!P:P, 1)</f>
        <v>7</v>
      </c>
      <c r="X44" s="2">
        <f>COUNTIFS('OB History'!$B:$B,$A$44,'OB History'!Q:Q, 1)</f>
        <v>3</v>
      </c>
      <c r="Y44" s="2">
        <f>COUNTIFS('OB History'!$B:$B,$A$44,'OB History'!R:R, 1)</f>
        <v>2</v>
      </c>
      <c r="Z44" s="2">
        <f>COUNTIFS('OB History'!$B:$B,$A$44,'OB History'!S:S, 1)</f>
        <v>1</v>
      </c>
      <c r="AA44" s="2">
        <f>COUNTIFS('OB History'!$B:$B,$A$44,'OB History'!T:T, 1)</f>
        <v>2</v>
      </c>
      <c r="AB44" s="2">
        <f>COUNTIFS('OB History'!$B:$B,$A$44,'OB History'!U:U, 1)</f>
        <v>0</v>
      </c>
      <c r="AC44" s="2">
        <f>COUNTIFS('OB History'!$B:$B,$A$44,'OB History'!V:V, 1)</f>
        <v>1</v>
      </c>
      <c r="AD44" s="2">
        <f>COUNTIFS('OB History'!$B:$B,$A$44,'OB History'!W:W, 1)</f>
        <v>7</v>
      </c>
      <c r="AE44" s="2">
        <f>COUNTIFS('OB History'!$B:$B,$A$44,'OB History'!X:X, 1)</f>
        <v>7</v>
      </c>
      <c r="AF44" s="2">
        <f>COUNTIFS('OB History'!$B:$B,$A$44,'OB History'!Y:Y, 1)</f>
        <v>4</v>
      </c>
      <c r="AG44" s="2">
        <f>COUNTIFS('OB History'!$B:$B,$A$44,'OB History'!Z:Z, 1)</f>
        <v>8</v>
      </c>
    </row>
    <row r="45" spans="1:33" x14ac:dyDescent="0.25">
      <c r="A45" s="2" t="s">
        <v>18</v>
      </c>
      <c r="B45" s="2" t="s">
        <v>79</v>
      </c>
      <c r="C45" s="2" t="s">
        <v>79</v>
      </c>
      <c r="D45" s="3"/>
      <c r="E45" s="3">
        <v>2</v>
      </c>
      <c r="F45" s="34">
        <f>SUMIFS('OB History'!C:C,'OB History'!B:B,A45)</f>
        <v>617</v>
      </c>
      <c r="G45" s="4">
        <f>AVERAGEIFS('OB History'!C:C,'OB History'!B:B,A45)</f>
        <v>24.68</v>
      </c>
      <c r="H45" s="35">
        <f t="array" ref="H45">MAX(IF('OB History'!B:B=A45, 'OB History'!C:C))</f>
        <v>41</v>
      </c>
      <c r="I45" s="34">
        <f>COUNTIFS('OB History'!B:B,A45,'OB History'!D:D, 1)</f>
        <v>11</v>
      </c>
      <c r="J45" s="2">
        <f>COUNTIFS('OB History'!B:B,A45,'OB History'!D:D, 0)</f>
        <v>14</v>
      </c>
      <c r="K45" s="88">
        <f>LOOKUP(2, 1/('OB History'!$B:$B=A45), 'OB History'!$AD:$AD)</f>
        <v>0.44</v>
      </c>
      <c r="L45" s="34">
        <f>SUMIFS('OB History'!F:F,'OB History'!B:B,A45)</f>
        <v>48</v>
      </c>
      <c r="M45" s="2">
        <f>SUMIFS('OB History'!E:E,'OB History'!B:B,A45)-L45</f>
        <v>54</v>
      </c>
      <c r="N45" s="88">
        <f>LOOKUP(2, 1/('OB History'!$B:$B=A45), 'OB History'!$AB:$AB)</f>
        <v>0.46200000000000002</v>
      </c>
      <c r="O45" s="34">
        <f>SUMIFS('OB History'!H:H,'OB History'!B:B,'Old Bow v2'!A45)</f>
        <v>206</v>
      </c>
      <c r="P45" s="2">
        <f>SUMIFS('OB History'!G:G,'OB History'!B:B,'Old Bow v2'!A45)-O45</f>
        <v>217</v>
      </c>
      <c r="Q45" s="88">
        <f>LOOKUP(2, 1/('OB History'!$B:$B=A45), 'OB History'!$AC:$AC)</f>
        <v>0.48400000000000004</v>
      </c>
      <c r="R45" s="2">
        <f>COUNTIFS('OB History'!$B:$B,$A$45,'OB History'!K:K, 1)</f>
        <v>2</v>
      </c>
      <c r="S45" s="2">
        <f>COUNTIFS('OB History'!$B:$B,$A$45,'OB History'!L:L, 1)</f>
        <v>2</v>
      </c>
      <c r="T45" s="2">
        <f>COUNTIFS('OB History'!$B:$B,$A$45,'OB History'!M:M, 1)</f>
        <v>1</v>
      </c>
      <c r="U45" s="2">
        <f>COUNTIFS('OB History'!$B:$B,$A$45,'OB History'!N:N, 1)</f>
        <v>9</v>
      </c>
      <c r="V45" s="2">
        <f>COUNTIFS('OB History'!$B:$B,$A$45,'OB History'!O:O, 1)</f>
        <v>1</v>
      </c>
      <c r="W45" s="2">
        <f>COUNTIFS('OB History'!$B:$B,$A$45,'OB History'!P:P, 1)</f>
        <v>6</v>
      </c>
      <c r="X45" s="2">
        <f>COUNTIFS('OB History'!$B:$B,$A$45,'OB History'!Q:Q, 1)</f>
        <v>3</v>
      </c>
      <c r="Y45" s="2">
        <f>COUNTIFS('OB History'!$B:$B,$A$45,'OB History'!R:R, 1)</f>
        <v>2</v>
      </c>
      <c r="Z45" s="2">
        <f>COUNTIFS('OB History'!$B:$B,$A$45,'OB History'!S:S, 1)</f>
        <v>0</v>
      </c>
      <c r="AA45" s="2">
        <f>COUNTIFS('OB History'!$B:$B,$A$45,'OB History'!T:T, 1)</f>
        <v>1</v>
      </c>
      <c r="AB45" s="2">
        <f>COUNTIFS('OB History'!$B:$B,$A$45,'OB History'!U:U, 1)</f>
        <v>1</v>
      </c>
      <c r="AC45" s="2">
        <f>COUNTIFS('OB History'!$B:$B,$A$45,'OB History'!V:V, 1)</f>
        <v>0</v>
      </c>
      <c r="AD45" s="2">
        <f>COUNTIFS('OB History'!$B:$B,$A$45,'OB History'!W:W, 1)</f>
        <v>5</v>
      </c>
      <c r="AE45" s="2">
        <f>COUNTIFS('OB History'!$B:$B,$A$45,'OB History'!X:X, 1)</f>
        <v>7</v>
      </c>
      <c r="AF45" s="2">
        <f>COUNTIFS('OB History'!$B:$B,$A$45,'OB History'!Y:Y, 1)</f>
        <v>2</v>
      </c>
      <c r="AG45" s="2">
        <f>COUNTIFS('OB History'!$B:$B,$A$45,'OB History'!Z:Z, 1)</f>
        <v>6</v>
      </c>
    </row>
    <row r="46" spans="1:33" x14ac:dyDescent="0.25">
      <c r="A46" s="2" t="s">
        <v>113</v>
      </c>
      <c r="B46" s="2" t="s">
        <v>79</v>
      </c>
      <c r="C46" s="2" t="s">
        <v>79</v>
      </c>
      <c r="D46" s="3">
        <v>1</v>
      </c>
      <c r="E46" s="3"/>
      <c r="F46" s="34">
        <f>SUMIFS('OB History'!C:C,'OB History'!B:B,A46)</f>
        <v>143</v>
      </c>
      <c r="G46" s="4">
        <f>AVERAGEIFS('OB History'!C:C,'OB History'!B:B,A46)</f>
        <v>15.888888888888889</v>
      </c>
      <c r="H46" s="35">
        <f t="array" ref="H46">MAX(IF('OB History'!B:B=A46, 'OB History'!C:C))</f>
        <v>26</v>
      </c>
      <c r="I46" s="34">
        <f>COUNTIFS('OB History'!B:B,A46,'OB History'!D:D, 1)</f>
        <v>7</v>
      </c>
      <c r="J46" s="2">
        <f>COUNTIFS('OB History'!B:B,A46,'OB History'!D:D, 0)</f>
        <v>2</v>
      </c>
      <c r="K46" s="88">
        <f>LOOKUP(2, 1/('OB History'!$B:$B=A46), 'OB History'!$AD:$AD)</f>
        <v>0.77777777777777779</v>
      </c>
      <c r="L46" s="34">
        <f>SUMIFS('OB History'!F:F,'OB History'!B:B,A46)</f>
        <v>21</v>
      </c>
      <c r="M46" s="2">
        <f>SUMIFS('OB History'!E:E,'OB History'!B:B,A46)-L46</f>
        <v>12</v>
      </c>
      <c r="N46" s="88">
        <f>LOOKUP(2, 1/('OB History'!$B:$B=A46), 'OB History'!$AB:$AB)</f>
        <v>0.6333333333333333</v>
      </c>
      <c r="O46" s="34">
        <f>SUMIFS('OB History'!H:H,'OB History'!B:B,'Old Bow v2'!A46)</f>
        <v>75</v>
      </c>
      <c r="P46" s="2">
        <f>SUMIFS('OB History'!G:G,'OB History'!B:B,'Old Bow v2'!A46)-O46</f>
        <v>60</v>
      </c>
      <c r="Q46" s="88">
        <f>LOOKUP(2, 1/('OB History'!$B:$B=A46), 'OB History'!$AC:$AC)</f>
        <v>0.5444444444444444</v>
      </c>
      <c r="R46" s="2">
        <f>COUNTIFS('OB History'!$B:$B,$A$46,'OB History'!K:K, 1)</f>
        <v>0</v>
      </c>
      <c r="S46" s="2">
        <f>COUNTIFS('OB History'!$B:$B,$A$46,'OB History'!L:L, 1)</f>
        <v>3</v>
      </c>
      <c r="T46" s="2">
        <f>COUNTIFS('OB History'!$B:$B,$A$46,'OB History'!M:M, 1)</f>
        <v>1</v>
      </c>
      <c r="U46" s="2">
        <f>COUNTIFS('OB History'!$B:$B,$A$46,'OB History'!N:N, 1)</f>
        <v>1</v>
      </c>
      <c r="V46" s="2">
        <f>COUNTIFS('OB History'!$B:$B,$A$46,'OB History'!O:O, 1)</f>
        <v>0</v>
      </c>
      <c r="W46" s="2">
        <f>COUNTIFS('OB History'!$B:$B,$A$46,'OB History'!P:P, 1)</f>
        <v>1</v>
      </c>
      <c r="X46" s="2">
        <f>COUNTIFS('OB History'!$B:$B,$A$46,'OB History'!Q:Q, 1)</f>
        <v>2</v>
      </c>
      <c r="Y46" s="2">
        <f>COUNTIFS('OB History'!$B:$B,$A$46,'OB History'!R:R, 1)</f>
        <v>1</v>
      </c>
      <c r="Z46" s="2">
        <f>COUNTIFS('OB History'!$B:$B,$A$46,'OB History'!S:S, 1)</f>
        <v>0</v>
      </c>
      <c r="AA46" s="2">
        <f>COUNTIFS('OB History'!$B:$B,$A$46,'OB History'!T:T, 1)</f>
        <v>0</v>
      </c>
      <c r="AB46" s="2">
        <f>COUNTIFS('OB History'!$B:$B,$A$46,'OB History'!U:U, 1)</f>
        <v>0</v>
      </c>
      <c r="AC46" s="2">
        <f>COUNTIFS('OB History'!$B:$B,$A$46,'OB History'!V:V, 1)</f>
        <v>1</v>
      </c>
      <c r="AD46" s="2">
        <f>COUNTIFS('OB History'!$B:$B,$A$46,'OB History'!W:W, 1)</f>
        <v>2</v>
      </c>
      <c r="AE46" s="2">
        <f>COUNTIFS('OB History'!$B:$B,$A$46,'OB History'!X:X, 1)</f>
        <v>4</v>
      </c>
      <c r="AF46" s="2">
        <f>COUNTIFS('OB History'!$B:$B,$A$46,'OB History'!Y:Y, 1)</f>
        <v>2</v>
      </c>
      <c r="AG46" s="2">
        <f>COUNTIFS('OB History'!$B:$B,$A$46,'OB History'!Z:Z, 1)</f>
        <v>3</v>
      </c>
    </row>
    <row r="47" spans="1:33" x14ac:dyDescent="0.25">
      <c r="A47" s="2" t="s">
        <v>14</v>
      </c>
      <c r="B47" s="6" t="s">
        <v>124</v>
      </c>
      <c r="C47" s="1" t="s">
        <v>162</v>
      </c>
      <c r="D47" s="3">
        <v>4</v>
      </c>
      <c r="E47" s="3">
        <v>1</v>
      </c>
      <c r="F47" s="34">
        <f>SUMIFS('OB History'!C:C,'OB History'!B:B,A47)</f>
        <v>917</v>
      </c>
      <c r="G47" s="4">
        <f>AVERAGEIFS('OB History'!C:C,'OB History'!B:B,A47)</f>
        <v>24.131578947368421</v>
      </c>
      <c r="H47" s="35">
        <f t="array" ref="H47">MAX(IF('OB History'!B:B=A47, 'OB History'!C:C))</f>
        <v>56</v>
      </c>
      <c r="I47" s="34">
        <f>COUNTIFS('OB History'!B:B,A47,'OB History'!D:D, 1)</f>
        <v>18</v>
      </c>
      <c r="J47" s="2">
        <f>COUNTIFS('OB History'!B:B,A47,'OB History'!D:D, 0)</f>
        <v>20</v>
      </c>
      <c r="K47" s="88">
        <f>LOOKUP(2, 1/('OB History'!$B:$B=A47), 'OB History'!$AD:$AD)</f>
        <v>0.47368421052631576</v>
      </c>
      <c r="L47" s="34">
        <f>SUMIFS('OB History'!F:F,'OB History'!B:B,A47)</f>
        <v>73</v>
      </c>
      <c r="M47" s="2">
        <f>SUMIFS('OB History'!E:E,'OB History'!B:B,A47)-L47</f>
        <v>80</v>
      </c>
      <c r="N47" s="88">
        <f>LOOKUP(2, 1/('OB History'!$B:$B=A47), 'OB History'!$AB:$AB)</f>
        <v>0.47763157894736841</v>
      </c>
      <c r="O47" s="34">
        <f>SUMIFS('OB History'!H:H,'OB History'!B:B,'Old Bow v2'!A47)</f>
        <v>306</v>
      </c>
      <c r="P47" s="2">
        <f>SUMIFS('OB History'!G:G,'OB History'!B:B,'Old Bow v2'!A47)-O47</f>
        <v>327</v>
      </c>
      <c r="Q47" s="88">
        <f>LOOKUP(2, 1/('OB History'!$B:$B=A47), 'OB History'!$AC:$AC)</f>
        <v>0.48894736842105269</v>
      </c>
      <c r="R47" s="2">
        <f>COUNTIFS('OB History'!$B:$B,$A$47,'OB History'!K:K, 1)</f>
        <v>3</v>
      </c>
      <c r="S47" s="2">
        <f>COUNTIFS('OB History'!$B:$B,$A$47,'OB History'!L:L, 1)</f>
        <v>9</v>
      </c>
      <c r="T47" s="2">
        <f>COUNTIFS('OB History'!$B:$B,$A$47,'OB History'!M:M, 1)</f>
        <v>3</v>
      </c>
      <c r="U47" s="2">
        <f>COUNTIFS('OB History'!$B:$B,$A$47,'OB History'!N:N, 1)</f>
        <v>8</v>
      </c>
      <c r="V47" s="2">
        <f>COUNTIFS('OB History'!$B:$B,$A$47,'OB History'!O:O, 1)</f>
        <v>2</v>
      </c>
      <c r="W47" s="2">
        <f>COUNTIFS('OB History'!$B:$B,$A$47,'OB History'!P:P, 1)</f>
        <v>6</v>
      </c>
      <c r="X47" s="2">
        <f>COUNTIFS('OB History'!$B:$B,$A$47,'OB History'!Q:Q, 1)</f>
        <v>1</v>
      </c>
      <c r="Y47" s="2">
        <f>COUNTIFS('OB History'!$B:$B,$A$47,'OB History'!R:R, 1)</f>
        <v>1</v>
      </c>
      <c r="Z47" s="2">
        <f>COUNTIFS('OB History'!$B:$B,$A$47,'OB History'!S:S, 1)</f>
        <v>0</v>
      </c>
      <c r="AA47" s="2">
        <f>COUNTIFS('OB History'!$B:$B,$A$47,'OB History'!T:T, 1)</f>
        <v>0</v>
      </c>
      <c r="AB47" s="2">
        <f>COUNTIFS('OB History'!$B:$B,$A$47,'OB History'!U:U, 1)</f>
        <v>0</v>
      </c>
      <c r="AC47" s="2">
        <f>COUNTIFS('OB History'!$B:$B,$A$47,'OB History'!V:V, 1)</f>
        <v>3</v>
      </c>
      <c r="AD47" s="2">
        <f>COUNTIFS('OB History'!$B:$B,$A$47,'OB History'!W:W, 1)</f>
        <v>7</v>
      </c>
      <c r="AE47" s="2">
        <f>COUNTIFS('OB History'!$B:$B,$A$47,'OB History'!X:X, 1)</f>
        <v>19</v>
      </c>
      <c r="AF47" s="2">
        <f>COUNTIFS('OB History'!$B:$B,$A$47,'OB History'!Y:Y, 1)</f>
        <v>3</v>
      </c>
      <c r="AG47" s="2">
        <f>COUNTIFS('OB History'!$B:$B,$A$47,'OB History'!Z:Z, 1)</f>
        <v>8</v>
      </c>
    </row>
    <row r="48" spans="1:33" x14ac:dyDescent="0.25">
      <c r="A48" s="2" t="s">
        <v>70</v>
      </c>
      <c r="B48" s="6" t="s">
        <v>79</v>
      </c>
      <c r="C48" s="6" t="s">
        <v>79</v>
      </c>
      <c r="D48" s="3"/>
      <c r="E48" s="3"/>
      <c r="F48" s="34">
        <f>SUMIFS('OB History'!C:C,'OB History'!B:B,A48)</f>
        <v>53</v>
      </c>
      <c r="G48" s="4">
        <f>AVERAGEIFS('OB History'!C:C,'OB History'!B:B,A48)</f>
        <v>17.666666666666668</v>
      </c>
      <c r="H48" s="35">
        <f t="array" ref="H48">MAX(IF('OB History'!B:B=A48, 'OB History'!C:C))</f>
        <v>25</v>
      </c>
      <c r="I48" s="34">
        <f>COUNTIFS('OB History'!B:B,A48,'OB History'!D:D, 1)</f>
        <v>2</v>
      </c>
      <c r="J48" s="2">
        <f>COUNTIFS('OB History'!B:B,A48,'OB History'!D:D, 0)</f>
        <v>1</v>
      </c>
      <c r="K48" s="88">
        <f>LOOKUP(2, 1/('OB History'!$B:$B=A48), 'OB History'!$AD:$AD)</f>
        <v>0.66666666666666663</v>
      </c>
      <c r="L48" s="34">
        <f>SUMIFS('OB History'!F:F,'OB History'!B:B,A48)</f>
        <v>8</v>
      </c>
      <c r="M48" s="2">
        <f>SUMIFS('OB History'!E:E,'OB History'!B:B,A48)-L48</f>
        <v>5</v>
      </c>
      <c r="N48" s="88">
        <f>LOOKUP(2, 1/('OB History'!$B:$B=A48), 'OB History'!$AB:$AB)</f>
        <v>0.66666666666666663</v>
      </c>
      <c r="O48" s="34">
        <f>SUMIFS('OB History'!H:H,'OB History'!B:B,'Old Bow v2'!A48)</f>
        <v>29</v>
      </c>
      <c r="P48" s="2">
        <f>SUMIFS('OB History'!G:G,'OB History'!B:B,'Old Bow v2'!A48)-O48</f>
        <v>24</v>
      </c>
      <c r="Q48" s="88">
        <f>LOOKUP(2, 1/('OB History'!$B:$B=A48), 'OB History'!$AC:$AC)</f>
        <v>0.56000000000000005</v>
      </c>
      <c r="R48" s="2">
        <f>COUNTIFS('OB History'!$B:$B,$A$48,'OB History'!K:K, 1)</f>
        <v>0</v>
      </c>
      <c r="S48" s="2">
        <f>COUNTIFS('OB History'!$B:$B,$A$48,'OB History'!L:L, 1)</f>
        <v>0</v>
      </c>
      <c r="T48" s="2">
        <f>COUNTIFS('OB History'!$B:$B,$A$48,'OB History'!M:M, 1)</f>
        <v>0</v>
      </c>
      <c r="U48" s="2">
        <f>COUNTIFS('OB History'!$B:$B,$A$48,'OB History'!N:N, 1)</f>
        <v>2</v>
      </c>
      <c r="V48" s="2">
        <f>COUNTIFS('OB History'!$B:$B,$A$48,'OB History'!O:O, 1)</f>
        <v>0</v>
      </c>
      <c r="W48" s="2">
        <f>COUNTIFS('OB History'!$B:$B,$A$48,'OB History'!P:P, 1)</f>
        <v>0</v>
      </c>
      <c r="X48" s="2">
        <f>COUNTIFS('OB History'!$B:$B,$A$48,'OB History'!Q:Q, 1)</f>
        <v>0</v>
      </c>
      <c r="Y48" s="2">
        <f>COUNTIFS('OB History'!$B:$B,$A$48,'OB History'!R:R, 1)</f>
        <v>2</v>
      </c>
      <c r="Z48" s="2">
        <f>COUNTIFS('OB History'!$B:$B,$A$48,'OB History'!S:S, 1)</f>
        <v>0</v>
      </c>
      <c r="AA48" s="2">
        <f>COUNTIFS('OB History'!$B:$B,$A$48,'OB History'!T:T, 1)</f>
        <v>0</v>
      </c>
      <c r="AB48" s="2">
        <f>COUNTIFS('OB History'!$B:$B,$A$48,'OB History'!U:U, 1)</f>
        <v>0</v>
      </c>
      <c r="AC48" s="2">
        <f>COUNTIFS('OB History'!$B:$B,$A$48,'OB History'!V:V, 1)</f>
        <v>1</v>
      </c>
      <c r="AD48" s="2">
        <f>COUNTIFS('OB History'!$B:$B,$A$48,'OB History'!W:W, 1)</f>
        <v>0</v>
      </c>
      <c r="AE48" s="2">
        <f>COUNTIFS('OB History'!$B:$B,$A$48,'OB History'!X:X, 1)</f>
        <v>2</v>
      </c>
      <c r="AF48" s="2">
        <f>COUNTIFS('OB History'!$B:$B,$A$48,'OB History'!Y:Y, 1)</f>
        <v>0</v>
      </c>
      <c r="AG48" s="2">
        <f>COUNTIFS('OB History'!$B:$B,$A$48,'OB History'!Z:Z, 1)</f>
        <v>1</v>
      </c>
    </row>
    <row r="49" spans="1:33" x14ac:dyDescent="0.25">
      <c r="A49" s="2" t="s">
        <v>4</v>
      </c>
      <c r="B49" s="2" t="s">
        <v>79</v>
      </c>
      <c r="C49" s="2" t="s">
        <v>79</v>
      </c>
      <c r="D49" s="3"/>
      <c r="E49" s="3"/>
      <c r="F49" s="34">
        <f>SUMIFS('OB History'!C:C,'OB History'!B:B,A49)</f>
        <v>174</v>
      </c>
      <c r="G49" s="4">
        <f>AVERAGEIFS('OB History'!C:C,'OB History'!B:B,A49)</f>
        <v>19.333333333333332</v>
      </c>
      <c r="H49" s="35">
        <f t="array" ref="H49">MAX(IF('OB History'!B:B=A49, 'OB History'!C:C))</f>
        <v>31</v>
      </c>
      <c r="I49" s="34">
        <f>COUNTIFS('OB History'!B:B,A49,'OB History'!D:D, 1)</f>
        <v>4</v>
      </c>
      <c r="J49" s="2">
        <f>COUNTIFS('OB History'!B:B,A49,'OB History'!D:D, 0)</f>
        <v>5</v>
      </c>
      <c r="K49" s="88">
        <f>LOOKUP(2, 1/('OB History'!$B:$B=A49), 'OB History'!$AD:$AD)</f>
        <v>0.44444444444444442</v>
      </c>
      <c r="L49" s="34">
        <f>SUMIFS('OB History'!F:F,'OB History'!B:B,A49)</f>
        <v>15</v>
      </c>
      <c r="M49" s="2">
        <f>SUMIFS('OB History'!E:E,'OB History'!B:B,A49)-L49</f>
        <v>20</v>
      </c>
      <c r="N49" s="88">
        <f>LOOKUP(2, 1/('OB History'!$B:$B=A49), 'OB History'!$AB:$AB)</f>
        <v>0.4</v>
      </c>
      <c r="O49" s="34">
        <f>SUMIFS('OB History'!H:H,'OB History'!B:B,'Old Bow v2'!A49)</f>
        <v>67</v>
      </c>
      <c r="P49" s="2">
        <f>SUMIFS('OB History'!G:G,'OB History'!B:B,'Old Bow v2'!A49)-O49</f>
        <v>77</v>
      </c>
      <c r="Q49" s="88">
        <f>LOOKUP(2, 1/('OB History'!$B:$B=A49), 'OB History'!$AC:$AC)</f>
        <v>0.44444444444444442</v>
      </c>
      <c r="R49" s="2">
        <f>COUNTIFS('OB History'!$B:$B,$A$49,'OB History'!K:K, 1)</f>
        <v>0</v>
      </c>
      <c r="S49" s="2">
        <f>COUNTIFS('OB History'!$B:$B,$A$49,'OB History'!L:L, 1)</f>
        <v>4</v>
      </c>
      <c r="T49" s="2">
        <f>COUNTIFS('OB History'!$B:$B,$A$49,'OB History'!M:M, 1)</f>
        <v>3</v>
      </c>
      <c r="U49" s="2">
        <f>COUNTIFS('OB History'!$B:$B,$A$49,'OB History'!N:N, 1)</f>
        <v>0</v>
      </c>
      <c r="V49" s="2">
        <f>COUNTIFS('OB History'!$B:$B,$A$49,'OB History'!O:O, 1)</f>
        <v>1</v>
      </c>
      <c r="W49" s="2">
        <f>COUNTIFS('OB History'!$B:$B,$A$49,'OB History'!P:P, 1)</f>
        <v>2</v>
      </c>
      <c r="X49" s="2">
        <f>COUNTIFS('OB History'!$B:$B,$A$49,'OB History'!Q:Q, 1)</f>
        <v>1</v>
      </c>
      <c r="Y49" s="2">
        <f>COUNTIFS('OB History'!$B:$B,$A$49,'OB History'!R:R, 1)</f>
        <v>0</v>
      </c>
      <c r="Z49" s="2">
        <f>COUNTIFS('OB History'!$B:$B,$A$49,'OB History'!S:S, 1)</f>
        <v>0</v>
      </c>
      <c r="AA49" s="2">
        <f>COUNTIFS('OB History'!$B:$B,$A$49,'OB History'!T:T, 1)</f>
        <v>0</v>
      </c>
      <c r="AB49" s="2">
        <f>COUNTIFS('OB History'!$B:$B,$A$49,'OB History'!U:U, 1)</f>
        <v>0</v>
      </c>
      <c r="AC49" s="2">
        <f>COUNTIFS('OB History'!$B:$B,$A$49,'OB History'!V:V, 1)</f>
        <v>0</v>
      </c>
      <c r="AD49" s="2">
        <f>COUNTIFS('OB History'!$B:$B,$A$49,'OB History'!W:W, 1)</f>
        <v>0</v>
      </c>
      <c r="AE49" s="2">
        <f>COUNTIFS('OB History'!$B:$B,$A$49,'OB History'!X:X, 1)</f>
        <v>1</v>
      </c>
      <c r="AF49" s="2">
        <f>COUNTIFS('OB History'!$B:$B,$A$49,'OB History'!Y:Y, 1)</f>
        <v>2</v>
      </c>
      <c r="AG49" s="2">
        <f>COUNTIFS('OB History'!$B:$B,$A$49,'OB History'!Z:Z, 1)</f>
        <v>1</v>
      </c>
    </row>
    <row r="50" spans="1:33" x14ac:dyDescent="0.25">
      <c r="A50" s="2" t="s">
        <v>55</v>
      </c>
      <c r="B50" s="2" t="s">
        <v>79</v>
      </c>
      <c r="C50" s="2" t="s">
        <v>79</v>
      </c>
      <c r="D50" s="3"/>
      <c r="E50" s="3"/>
      <c r="F50" s="34">
        <f>SUMIFS('OB History'!C:C,'OB History'!B:B,A50)</f>
        <v>139</v>
      </c>
      <c r="G50" s="4">
        <f>AVERAGEIFS('OB History'!C:C,'OB History'!B:B,A50)</f>
        <v>9.9285714285714288</v>
      </c>
      <c r="H50" s="35">
        <f t="array" ref="H50">MAX(IF('OB History'!B:B=A50, 'OB History'!C:C))</f>
        <v>20</v>
      </c>
      <c r="I50" s="34">
        <f>COUNTIFS('OB History'!B:B,A50,'OB History'!D:D, 1)</f>
        <v>8</v>
      </c>
      <c r="J50" s="2">
        <f>COUNTIFS('OB History'!B:B,A50,'OB History'!D:D, 0)</f>
        <v>6</v>
      </c>
      <c r="K50" s="88">
        <f>LOOKUP(2, 1/('OB History'!$B:$B=A50), 'OB History'!$AD:$AD)</f>
        <v>0.5714285714285714</v>
      </c>
      <c r="L50" s="34">
        <f>SUMIFS('OB History'!F:F,'OB History'!B:B,A50)</f>
        <v>32</v>
      </c>
      <c r="M50" s="2">
        <f>SUMIFS('OB History'!E:E,'OB History'!B:B,A50)-L50</f>
        <v>26</v>
      </c>
      <c r="N50" s="88">
        <f>LOOKUP(2, 1/('OB History'!$B:$B=A50), 'OB History'!$AB:$AB)</f>
        <v>0.5714285714285714</v>
      </c>
      <c r="O50" s="34">
        <f>SUMIFS('OB History'!H:H,'OB History'!B:B,'Old Bow v2'!A50)</f>
        <v>126</v>
      </c>
      <c r="P50" s="2">
        <f>SUMIFS('OB History'!G:G,'OB History'!B:B,'Old Bow v2'!A50)-O50</f>
        <v>108</v>
      </c>
      <c r="Q50" s="88">
        <f>LOOKUP(2, 1/('OB History'!$B:$B=A50), 'OB History'!$AC:$AC)</f>
        <v>0.54357142857142871</v>
      </c>
      <c r="R50" s="2">
        <f>COUNTIFS('OB History'!$B:$B,$A$50,'OB History'!K:K, 1)</f>
        <v>3</v>
      </c>
      <c r="S50" s="2">
        <f>COUNTIFS('OB History'!$B:$B,$A$50,'OB History'!L:L, 1)</f>
        <v>1</v>
      </c>
      <c r="T50" s="2">
        <f>COUNTIFS('OB History'!$B:$B,$A$50,'OB History'!M:M, 1)</f>
        <v>1</v>
      </c>
      <c r="U50" s="2">
        <f>COUNTIFS('OB History'!$B:$B,$A$50,'OB History'!N:N, 1)</f>
        <v>6</v>
      </c>
      <c r="V50" s="2">
        <f>COUNTIFS('OB History'!$B:$B,$A$50,'OB History'!O:O, 1)</f>
        <v>1</v>
      </c>
      <c r="W50" s="2">
        <f>COUNTIFS('OB History'!$B:$B,$A$50,'OB History'!P:P, 1)</f>
        <v>1</v>
      </c>
      <c r="X50" s="2">
        <f>COUNTIFS('OB History'!$B:$B,$A$50,'OB History'!Q:Q, 1)</f>
        <v>1</v>
      </c>
      <c r="Y50" s="2">
        <f>COUNTIFS('OB History'!$B:$B,$A$50,'OB History'!R:R, 1)</f>
        <v>0</v>
      </c>
      <c r="Z50" s="2">
        <f>COUNTIFS('OB History'!$B:$B,$A$50,'OB History'!S:S, 1)</f>
        <v>0</v>
      </c>
      <c r="AA50" s="2">
        <f>COUNTIFS('OB History'!$B:$B,$A$50,'OB History'!T:T, 1)</f>
        <v>0</v>
      </c>
      <c r="AB50" s="2">
        <f>COUNTIFS('OB History'!$B:$B,$A$50,'OB History'!U:U, 1)</f>
        <v>1</v>
      </c>
      <c r="AC50" s="2">
        <f>COUNTIFS('OB History'!$B:$B,$A$50,'OB History'!V:V, 1)</f>
        <v>0</v>
      </c>
      <c r="AD50" s="2">
        <f>COUNTIFS('OB History'!$B:$B,$A$50,'OB History'!W:W, 1)</f>
        <v>3</v>
      </c>
      <c r="AE50" s="2">
        <f>COUNTIFS('OB History'!$B:$B,$A$50,'OB History'!X:X, 1)</f>
        <v>8</v>
      </c>
      <c r="AF50" s="2">
        <f>COUNTIFS('OB History'!$B:$B,$A$50,'OB History'!Y:Y, 1)</f>
        <v>3</v>
      </c>
      <c r="AG50" s="2">
        <f>COUNTIFS('OB History'!$B:$B,$A$50,'OB History'!Z:Z, 1)</f>
        <v>3</v>
      </c>
    </row>
  </sheetData>
  <autoFilter ref="A1:AG50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754"/>
  <sheetViews>
    <sheetView tabSelected="1" workbookViewId="0">
      <pane ySplit="1" topLeftCell="A2" activePane="bottomLeft" state="frozen"/>
      <selection pane="bottomLeft" activeCell="AD1" sqref="AD1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157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6</v>
      </c>
      <c r="AB541" s="86">
        <f>AVERAGEIFS($I$2:I541, $B$2:B541, B541)</f>
        <v>0</v>
      </c>
      <c r="AC541" s="86">
        <f>AVERAGEIFS($J$2:J541, $B$2:B541, B541)</f>
        <v>0.31</v>
      </c>
      <c r="AD541" s="86">
        <f>AVERAGEIFS($D$2:D541, $B$2:B541, B541)</f>
        <v>0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13.428571428571429</v>
      </c>
      <c r="AB681" s="86">
        <f>AVERAGEIFS($I$2:I681, $B$2:B681, B681)</f>
        <v>0.41428571428571426</v>
      </c>
      <c r="AC681" s="86">
        <f>AVERAGEIFS($J$2:J681, $B$2:B681, B681)</f>
        <v>0.46714285714285714</v>
      </c>
      <c r="AD681" s="86">
        <f>AVERAGEIFS($D$2:D681, $B$2:B681, B681)</f>
        <v>0.2857142857142857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41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11.371428571428572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12.25</v>
      </c>
      <c r="AB707" s="86">
        <f>AVERAGEIFS($I$2:I707, $B$2:B707, B707)</f>
        <v>0.48749999999999999</v>
      </c>
      <c r="AC707" s="86">
        <f>AVERAGEIFS($J$2:J707, $B$2:B707, B707)</f>
        <v>0.50249999999999995</v>
      </c>
      <c r="AD707" s="86">
        <f>AVERAGEIFS($D$2:D707, $B$2:B707, B707)</f>
        <v>0.375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11.138888888888889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11.216216216216216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169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18</v>
      </c>
      <c r="AB736" s="86">
        <f>AVERAGEIFS($I$2:I736, $B$2:B736, B736)</f>
        <v>0</v>
      </c>
      <c r="AC736" s="86">
        <f>AVERAGEIFS($J$2:J736, $B$2:B736, B736)</f>
        <v>0.31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11.184210526315789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11.282051282051283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169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14.5</v>
      </c>
      <c r="AB751" s="86">
        <f>AVERAGEIFS($I$2:I751, $B$2:B751, B751)</f>
        <v>0</v>
      </c>
      <c r="AC751" s="86">
        <f>AVERAGEIFS($J$2:J751, $B$2:B751, B751)</f>
        <v>0.28000000000000003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12</v>
      </c>
      <c r="AB752" s="86">
        <f>AVERAGEIFS($I$2:I752, $B$2:B752, B752)</f>
        <v>0.43333333333333335</v>
      </c>
      <c r="AC752" s="86">
        <f>AVERAGEIFS($J$2:J752, $B$2:B752, B752)</f>
        <v>0.47444444444444439</v>
      </c>
      <c r="AD752" s="86">
        <f>AVERAGEIFS($D$2:D752, $B$2:B752, B752)</f>
        <v>0.33333333333333331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</sheetData>
  <autoFilter ref="A1:AD754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G4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37" sqref="C37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5" width="16.7109375" customWidth="1"/>
    <col min="8" max="8" width="17.140625" customWidth="1"/>
    <col min="9" max="16" width="9.140625" style="1"/>
    <col min="17" max="17" width="14.85546875" style="1" customWidth="1"/>
    <col min="18" max="19" width="13.28515625" bestFit="1" customWidth="1"/>
    <col min="20" max="20" width="12.7109375" bestFit="1" customWidth="1"/>
    <col min="21" max="21" width="18.7109375" bestFit="1" customWidth="1"/>
    <col min="22" max="22" width="8.5703125" bestFit="1" customWidth="1"/>
    <col min="23" max="23" width="11.7109375" bestFit="1" customWidth="1"/>
    <col min="24" max="24" width="11.85546875" customWidth="1"/>
    <col min="25" max="25" width="17" bestFit="1" customWidth="1"/>
    <col min="26" max="26" width="12.5703125" bestFit="1" customWidth="1"/>
    <col min="27" max="27" width="12.5703125" customWidth="1"/>
    <col min="28" max="28" width="10.7109375" bestFit="1" customWidth="1"/>
    <col min="29" max="30" width="12.85546875" bestFit="1" customWidth="1"/>
    <col min="31" max="31" width="12.7109375" bestFit="1" customWidth="1"/>
    <col min="32" max="32" width="13.85546875" bestFit="1" customWidth="1"/>
    <col min="33" max="33" width="15.7109375" bestFit="1" customWidth="1"/>
  </cols>
  <sheetData>
    <row r="1" spans="1:33" ht="30.75" thickBot="1" x14ac:dyDescent="0.3">
      <c r="A1" s="3" t="s">
        <v>0</v>
      </c>
      <c r="B1" s="3" t="s">
        <v>59</v>
      </c>
      <c r="C1" s="3" t="s">
        <v>61</v>
      </c>
      <c r="D1" s="3" t="s">
        <v>164</v>
      </c>
      <c r="E1" s="3" t="s">
        <v>165</v>
      </c>
      <c r="F1" s="31" t="s">
        <v>7</v>
      </c>
      <c r="G1" s="32" t="s">
        <v>36</v>
      </c>
      <c r="H1" s="33" t="s">
        <v>49</v>
      </c>
      <c r="I1" s="50" t="s">
        <v>97</v>
      </c>
      <c r="J1" s="22" t="s">
        <v>98</v>
      </c>
      <c r="K1" s="23" t="s">
        <v>123</v>
      </c>
      <c r="L1" s="50" t="s">
        <v>64</v>
      </c>
      <c r="M1" s="22" t="s">
        <v>101</v>
      </c>
      <c r="N1" s="23" t="s">
        <v>121</v>
      </c>
      <c r="O1" s="51" t="s">
        <v>99</v>
      </c>
      <c r="P1" s="52" t="s">
        <v>100</v>
      </c>
      <c r="Q1" s="46" t="s">
        <v>122</v>
      </c>
      <c r="R1" s="31" t="s">
        <v>41</v>
      </c>
      <c r="S1" s="32" t="s">
        <v>12</v>
      </c>
      <c r="T1" s="32" t="s">
        <v>10</v>
      </c>
      <c r="U1" s="32" t="s">
        <v>33</v>
      </c>
      <c r="V1" s="32" t="s">
        <v>48</v>
      </c>
      <c r="W1" s="32" t="s">
        <v>32</v>
      </c>
      <c r="X1" s="52" t="s">
        <v>65</v>
      </c>
      <c r="Y1" s="32" t="s">
        <v>31</v>
      </c>
      <c r="Z1" s="32" t="s">
        <v>58</v>
      </c>
      <c r="AA1" s="32" t="s">
        <v>145</v>
      </c>
      <c r="AB1" s="32" t="s">
        <v>57</v>
      </c>
      <c r="AC1" s="32" t="s">
        <v>56</v>
      </c>
      <c r="AD1" s="32" t="s">
        <v>9</v>
      </c>
      <c r="AE1" s="32" t="s">
        <v>30</v>
      </c>
      <c r="AF1" s="32" t="s">
        <v>11</v>
      </c>
      <c r="AG1" s="46" t="s">
        <v>39</v>
      </c>
    </row>
    <row r="2" spans="1:33" x14ac:dyDescent="0.25">
      <c r="A2" s="2" t="s">
        <v>154</v>
      </c>
      <c r="B2" s="3" t="s">
        <v>79</v>
      </c>
      <c r="C2" s="3" t="s">
        <v>79</v>
      </c>
      <c r="D2" s="3"/>
      <c r="E2" s="3"/>
      <c r="F2" s="34">
        <f>SUMIFS('OB History S2'!C:C,'OB History S2'!B:B,A2)</f>
        <v>52</v>
      </c>
      <c r="G2" s="4">
        <f>AVERAGEIFS('OB History S2'!C:C,'OB History S2'!B:B,A2)</f>
        <v>8.6666666666666661</v>
      </c>
      <c r="H2" s="35">
        <f t="array" ref="H2">MAX(IF('OB History S2'!B:B=A2, 'OB History S2'!C:C))</f>
        <v>11</v>
      </c>
      <c r="I2" s="34">
        <f>COUNTIFS('OB History S2'!B:B,A2,'OB History S2'!D:D, 1)</f>
        <v>5</v>
      </c>
      <c r="J2" s="2">
        <f>COUNTIFS('OB History S2'!B:B,A2,'OB History S2'!D:D, 0)</f>
        <v>1</v>
      </c>
      <c r="K2" s="88">
        <f>LOOKUP(2, 1/('OB History S2'!$B:$B=A2), 'OB History S2'!$AD:$AD)</f>
        <v>0.83333333333333337</v>
      </c>
      <c r="L2" s="34">
        <f>SUMIFS('OB History S2'!F:F,'OB History S2'!B:B,A2)</f>
        <v>15</v>
      </c>
      <c r="M2" s="2">
        <f>SUMIFS('OB History S2'!E:E,'OB History S2'!B:B,A2)-L2</f>
        <v>7</v>
      </c>
      <c r="N2" s="88">
        <f>LOOKUP(2, 1/('OB History S2'!$B:$B=A2), 'OB History S2'!$AB:$AB)</f>
        <v>0.68333333333333324</v>
      </c>
      <c r="O2" s="34">
        <f>SUMIFS('OB History S2'!H:H,'OB History S2'!B:B,A2)</f>
        <v>53</v>
      </c>
      <c r="P2" s="2">
        <f>SUMIFS('OB History S2'!G:G,'OB History S2'!B:B,A2)-O2</f>
        <v>35</v>
      </c>
      <c r="Q2" s="88">
        <f>LOOKUP(2, 1/('OB History S2'!$B:$B=A2), 'OB History S2'!$AC:$AC)</f>
        <v>0.6133333333333334</v>
      </c>
      <c r="R2" s="2">
        <f>COUNTIFS('OB History S2'!$B:$B,$A$2,'OB History S2'!K:K, 1)</f>
        <v>1</v>
      </c>
      <c r="S2" s="2">
        <f>COUNTIFS('OB History S2'!$B:$B,$A$2,'OB History S2'!L:L, 1)</f>
        <v>1</v>
      </c>
      <c r="T2" s="2">
        <f>COUNTIFS('OB History S2'!$B:$B,$A$2,'OB History S2'!M:M, 1)</f>
        <v>0</v>
      </c>
      <c r="U2" s="2">
        <f>COUNTIFS('OB History S2'!$B:$B,$A$2,'OB History S2'!N:N, 1)</f>
        <v>1</v>
      </c>
      <c r="V2" s="2">
        <f>COUNTIFS('OB History S2'!$B:$B,$A$2,'OB History S2'!O:O, 1)</f>
        <v>0</v>
      </c>
      <c r="W2" s="2">
        <f>COUNTIFS('OB History S2'!$B:$B,$A$2,'OB History S2'!P:P, 1)</f>
        <v>1</v>
      </c>
      <c r="X2" s="2">
        <f>COUNTIFS('OB History S2'!$B:$B,$A$2,'OB History S2'!Q:Q, 1)</f>
        <v>0</v>
      </c>
      <c r="Y2" s="2">
        <f>COUNTIFS('OB History S2'!$B:$B,$A$2,'OB History S2'!R:R, 1)</f>
        <v>1</v>
      </c>
      <c r="Z2" s="2">
        <f>COUNTIFS('OB History S2'!$B:$B,$A$2,'OB History S2'!S:S, 1)</f>
        <v>1</v>
      </c>
      <c r="AA2" s="2">
        <f>COUNTIFS('OB History S2'!$B:$B,$A$2,'OB History S2'!T:T, 1)</f>
        <v>0</v>
      </c>
      <c r="AB2" s="2">
        <f>COUNTIFS('OB History S2'!$B:$B,$A$2,'OB History S2'!U:U, 1)</f>
        <v>1</v>
      </c>
      <c r="AC2" s="2">
        <f>COUNTIFS('OB History S2'!$B:$B,$A$2,'OB History S2'!V:V, 1)</f>
        <v>1</v>
      </c>
      <c r="AD2" s="2">
        <f>COUNTIFS('OB History S2'!$B:$B,$A$2,'OB History S2'!W:W, 1)</f>
        <v>2</v>
      </c>
      <c r="AE2" s="2">
        <f>COUNTIFS('OB History S2'!$B:$B,$A$2,'OB History S2'!X:X, 1)</f>
        <v>1</v>
      </c>
      <c r="AF2" s="2">
        <f>COUNTIFS('OB History S2'!$B:$B,$A$2,'OB History S2'!Y:Y, 1)</f>
        <v>2</v>
      </c>
      <c r="AG2" s="2">
        <f>COUNTIFS('OB History S2'!$B:$B,$A$2,'OB History S2'!Z:Z, 1)</f>
        <v>2</v>
      </c>
    </row>
    <row r="3" spans="1:33" x14ac:dyDescent="0.25">
      <c r="A3" s="2" t="s">
        <v>140</v>
      </c>
      <c r="B3" s="3" t="s">
        <v>79</v>
      </c>
      <c r="C3" s="3" t="s">
        <v>79</v>
      </c>
      <c r="D3" s="3"/>
      <c r="E3" s="3"/>
      <c r="F3" s="34">
        <f>SUMIFS('OB History S2'!C:C,'OB History S2'!B:B,A3)</f>
        <v>28</v>
      </c>
      <c r="G3" s="4">
        <f>AVERAGEIFS('OB History S2'!C:C,'OB History S2'!B:B,A3)</f>
        <v>5.6</v>
      </c>
      <c r="H3" s="35">
        <f t="array" ref="H3">MAX(IF('OB History S2'!B:B=A3, 'OB History S2'!C:C))</f>
        <v>14</v>
      </c>
      <c r="I3" s="34">
        <f>COUNTIFS('OB History S2'!B:B,A3,'OB History S2'!D:D, 1)</f>
        <v>3</v>
      </c>
      <c r="J3" s="2">
        <f>COUNTIFS('OB History S2'!B:B,A3,'OB History S2'!D:D, 0)</f>
        <v>2</v>
      </c>
      <c r="K3" s="88">
        <f>LOOKUP(2, 1/('OB History S2'!$B:$B=A3), 'OB History S2'!$AD:$AD)</f>
        <v>0.6</v>
      </c>
      <c r="L3" s="34">
        <f>SUMIFS('OB History S2'!F:F,'OB History S2'!B:B,A3)</f>
        <v>9</v>
      </c>
      <c r="M3" s="2">
        <f>SUMIFS('OB History S2'!E:E,'OB History S2'!B:B,A3)-L3</f>
        <v>8</v>
      </c>
      <c r="N3" s="88">
        <f>LOOKUP(2, 1/('OB History S2'!$B:$B=A3), 'OB History S2'!$AB:$AB)</f>
        <v>0.52</v>
      </c>
      <c r="O3" s="34">
        <f>SUMIFS('OB History S2'!H:H,'OB History S2'!B:B,A3)</f>
        <v>37</v>
      </c>
      <c r="P3" s="2">
        <f>SUMIFS('OB History S2'!G:G,'OB History S2'!B:B,A3)-O3</f>
        <v>36</v>
      </c>
      <c r="Q3" s="88">
        <f>LOOKUP(2, 1/('OB History S2'!$B:$B=A3), 'OB History S2'!$AC:$AC)</f>
        <v>0.5</v>
      </c>
      <c r="R3" s="2">
        <f>COUNTIFS('OB History S2'!$B:$B,$A$3,'OB History S2'!K:K, 1)</f>
        <v>0</v>
      </c>
      <c r="S3" s="2">
        <f>COUNTIFS('OB History S2'!$B:$B,$A$3,'OB History S2'!L:L, 1)</f>
        <v>0</v>
      </c>
      <c r="T3" s="2">
        <f>COUNTIFS('OB History S2'!$B:$B,$A$3,'OB History S2'!M:M, 1)</f>
        <v>0</v>
      </c>
      <c r="U3" s="2">
        <f>COUNTIFS('OB History S2'!$B:$B,$A$3,'OB History S2'!N:N, 1)</f>
        <v>1</v>
      </c>
      <c r="V3" s="2">
        <f>COUNTIFS('OB History S2'!$B:$B,$A$3,'OB History S2'!O:O, 1)</f>
        <v>0</v>
      </c>
      <c r="W3" s="2">
        <f>COUNTIFS('OB History S2'!$B:$B,$A$3,'OB History S2'!P:P, 1)</f>
        <v>1</v>
      </c>
      <c r="X3" s="2">
        <f>COUNTIFS('OB History S2'!$B:$B,$A$3,'OB History S2'!Q:Q, 1)</f>
        <v>1</v>
      </c>
      <c r="Y3" s="2">
        <f>COUNTIFS('OB History S2'!$B:$B,$A$3,'OB History S2'!R:R, 1)</f>
        <v>0</v>
      </c>
      <c r="Z3" s="2">
        <f>COUNTIFS('OB History S2'!$B:$B,$A$3,'OB History S2'!S:S, 1)</f>
        <v>1</v>
      </c>
      <c r="AA3" s="2">
        <f>COUNTIFS('OB History S2'!$B:$B,$A$3,'OB History S2'!T:T, 1)</f>
        <v>0</v>
      </c>
      <c r="AB3" s="2">
        <f>COUNTIFS('OB History S2'!$B:$B,$A$3,'OB History S2'!U:U, 1)</f>
        <v>0</v>
      </c>
      <c r="AC3" s="2">
        <f>COUNTIFS('OB History S2'!$B:$B,$A$3,'OB History S2'!V:V, 1)</f>
        <v>1</v>
      </c>
      <c r="AD3" s="2">
        <f>COUNTIFS('OB History S2'!$B:$B,$A$3,'OB History S2'!W:W, 1)</f>
        <v>1</v>
      </c>
      <c r="AE3" s="2">
        <f>COUNTIFS('OB History S2'!$B:$B,$A$3,'OB History S2'!X:X, 1)</f>
        <v>1</v>
      </c>
      <c r="AF3" s="2">
        <f>COUNTIFS('OB History S2'!$B:$B,$A$3,'OB History S2'!Y:Y, 1)</f>
        <v>1</v>
      </c>
      <c r="AG3" s="2">
        <f>COUNTIFS('OB History S2'!$B:$B,$A$3,'OB History S2'!Z:Z, 1)</f>
        <v>1</v>
      </c>
    </row>
    <row r="4" spans="1:33" x14ac:dyDescent="0.25">
      <c r="A4" s="2" t="s">
        <v>37</v>
      </c>
      <c r="B4" s="2" t="s">
        <v>79</v>
      </c>
      <c r="C4" s="2" t="s">
        <v>79</v>
      </c>
      <c r="D4" s="2">
        <v>1</v>
      </c>
      <c r="E4" s="2"/>
      <c r="F4" s="34">
        <f>SUMIFS('OB History S2'!C:C,'OB History S2'!B:B,A4)</f>
        <v>157</v>
      </c>
      <c r="G4" s="4">
        <f>AVERAGEIFS('OB History S2'!C:C,'OB History S2'!B:B,A4)</f>
        <v>19.625</v>
      </c>
      <c r="H4" s="35">
        <f t="array" ref="H4">MAX(IF('OB History S2'!B:B=A4, 'OB History S2'!C:C))</f>
        <v>36</v>
      </c>
      <c r="I4" s="34">
        <f>COUNTIFS('OB History S2'!B:B,A4,'OB History S2'!D:D, 1)</f>
        <v>5</v>
      </c>
      <c r="J4" s="2">
        <f>COUNTIFS('OB History S2'!B:B,A4,'OB History S2'!D:D, 0)</f>
        <v>3</v>
      </c>
      <c r="K4" s="88">
        <f>LOOKUP(2, 1/('OB History S2'!$B:$B=A4), 'OB History S2'!$AD:$AD)</f>
        <v>0.625</v>
      </c>
      <c r="L4" s="34">
        <f>SUMIFS('OB History S2'!F:F,'OB History S2'!B:B,A4)</f>
        <v>15</v>
      </c>
      <c r="M4" s="2">
        <f>SUMIFS('OB History S2'!E:E,'OB History S2'!B:B,A4)-L4</f>
        <v>16</v>
      </c>
      <c r="N4" s="88">
        <f>LOOKUP(2, 1/('OB History S2'!$B:$B=A4), 'OB History S2'!$AB:$AB)</f>
        <v>0.44375000000000003</v>
      </c>
      <c r="O4" s="34">
        <f>SUMIFS('OB History S2'!H:H,'OB History S2'!B:B,A4)</f>
        <v>65</v>
      </c>
      <c r="P4" s="2">
        <f>SUMIFS('OB History S2'!G:G,'OB History S2'!B:B,A4)-O4</f>
        <v>67</v>
      </c>
      <c r="Q4" s="88">
        <f>LOOKUP(2, 1/('OB History S2'!$B:$B=A4), 'OB History S2'!$AC:$AC)</f>
        <v>0.47749999999999998</v>
      </c>
      <c r="R4" s="2">
        <f>COUNTIFS('OB History S2'!$B:$B,$A$4,'OB History S2'!K:K, 1)</f>
        <v>0</v>
      </c>
      <c r="S4" s="2">
        <f>COUNTIFS('OB History S2'!$B:$B,$A$4,'OB History S2'!L:L, 1)</f>
        <v>2</v>
      </c>
      <c r="T4" s="2">
        <f>COUNTIFS('OB History S2'!$B:$B,$A$4,'OB History S2'!M:M, 1)</f>
        <v>1</v>
      </c>
      <c r="U4" s="2">
        <f>COUNTIFS('OB History S2'!$B:$B,$A$4,'OB History S2'!N:N, 1)</f>
        <v>3</v>
      </c>
      <c r="V4" s="2">
        <f>COUNTIFS('OB History S2'!$B:$B,$A$4,'OB History S2'!O:O, 1)</f>
        <v>0</v>
      </c>
      <c r="W4" s="2">
        <f>COUNTIFS('OB History S2'!$B:$B,$A$4,'OB History S2'!P:P, 1)</f>
        <v>0</v>
      </c>
      <c r="X4" s="2">
        <f>COUNTIFS('OB History S2'!$B:$B,$A$4,'OB History S2'!Q:Q, 1)</f>
        <v>0</v>
      </c>
      <c r="Y4" s="2">
        <f>COUNTIFS('OB History S2'!$B:$B,$A$4,'OB History S2'!R:R, 1)</f>
        <v>1</v>
      </c>
      <c r="Z4" s="2">
        <f>COUNTIFS('OB History S2'!$B:$B,$A$4,'OB History S2'!S:S, 1)</f>
        <v>0</v>
      </c>
      <c r="AA4" s="2">
        <f>COUNTIFS('OB History S2'!$B:$B,$A$4,'OB History S2'!T:T, 1)</f>
        <v>1</v>
      </c>
      <c r="AB4" s="2">
        <f>COUNTIFS('OB History S2'!$B:$B,$A$4,'OB History S2'!U:U, 1)</f>
        <v>0</v>
      </c>
      <c r="AC4" s="2">
        <f>COUNTIFS('OB History S2'!$B:$B,$A$4,'OB History S2'!V:V, 1)</f>
        <v>0</v>
      </c>
      <c r="AD4" s="2">
        <f>COUNTIFS('OB History S2'!$B:$B,$A$4,'OB History S2'!W:W, 1)</f>
        <v>0</v>
      </c>
      <c r="AE4" s="2">
        <f>COUNTIFS('OB History S2'!$B:$B,$A$4,'OB History S2'!X:X, 1)</f>
        <v>2</v>
      </c>
      <c r="AF4" s="2">
        <f>COUNTIFS('OB History S2'!$B:$B,$A$4,'OB History S2'!Y:Y, 1)</f>
        <v>2</v>
      </c>
      <c r="AG4" s="2">
        <f>COUNTIFS('OB History S2'!$B:$B,$A$4,'OB History S2'!Z:Z, 1)</f>
        <v>3</v>
      </c>
    </row>
    <row r="5" spans="1:33" x14ac:dyDescent="0.25">
      <c r="A5" s="2" t="s">
        <v>34</v>
      </c>
      <c r="B5" s="2" t="s">
        <v>79</v>
      </c>
      <c r="C5" s="2" t="s">
        <v>79</v>
      </c>
      <c r="D5" s="2"/>
      <c r="E5" s="2"/>
      <c r="F5" s="34">
        <f>SUMIFS('OB History S2'!C:C,'OB History S2'!B:B,A5)</f>
        <v>29</v>
      </c>
      <c r="G5" s="4">
        <f>AVERAGEIFS('OB History S2'!C:C,'OB History S2'!B:B,A5)</f>
        <v>14.5</v>
      </c>
      <c r="H5" s="35">
        <f t="array" ref="H5">MAX(IF('OB History S2'!B:B=A5, 'OB History S2'!C:C))</f>
        <v>18</v>
      </c>
      <c r="I5" s="34">
        <f>COUNTIFS('OB History S2'!B:B,A5,'OB History S2'!D:D, 1)</f>
        <v>2</v>
      </c>
      <c r="J5" s="2">
        <f>COUNTIFS('OB History S2'!B:B,A5,'OB History S2'!D:D, 0)</f>
        <v>0</v>
      </c>
      <c r="K5" s="88">
        <f>LOOKUP(2, 1/('OB History S2'!$B:$B=A5), 'OB History S2'!$AD:$AD)</f>
        <v>1</v>
      </c>
      <c r="L5" s="34">
        <f>SUMIFS('OB History S2'!F:F,'OB History S2'!B:B,A5)</f>
        <v>6</v>
      </c>
      <c r="M5" s="2">
        <f>SUMIFS('OB History S2'!E:E,'OB History S2'!B:B,A5)-L5</f>
        <v>2</v>
      </c>
      <c r="N5" s="88">
        <f>LOOKUP(2, 1/('OB History S2'!$B:$B=A5), 'OB History S2'!$AB:$AB)</f>
        <v>0.8</v>
      </c>
      <c r="O5" s="34">
        <f>SUMIFS('OB History S2'!H:H,'OB History S2'!B:B,A5)</f>
        <v>20</v>
      </c>
      <c r="P5" s="2">
        <f>SUMIFS('OB History S2'!G:G,'OB History S2'!B:B,A5)-O5</f>
        <v>12</v>
      </c>
      <c r="Q5" s="88">
        <f>LOOKUP(2, 1/('OB History S2'!$B:$B=A5), 'OB History S2'!$AC:$AC)</f>
        <v>0.66999999999999993</v>
      </c>
      <c r="R5" s="2">
        <f>COUNTIFS('OB History S2'!$B:$B,$A$5,'OB History S2'!K:K, 1)</f>
        <v>0</v>
      </c>
      <c r="S5" s="2">
        <f>COUNTIFS('OB History S2'!$B:$B,$A$5,'OB History S2'!L:L, 1)</f>
        <v>2</v>
      </c>
      <c r="T5" s="2">
        <f>COUNTIFS('OB History S2'!$B:$B,$A$5,'OB History S2'!M:M, 1)</f>
        <v>0</v>
      </c>
      <c r="U5" s="2">
        <f>COUNTIFS('OB History S2'!$B:$B,$A$5,'OB History S2'!N:N, 1)</f>
        <v>0</v>
      </c>
      <c r="V5" s="2">
        <f>COUNTIFS('OB History S2'!$B:$B,$A$5,'OB History S2'!O:O, 1)</f>
        <v>0</v>
      </c>
      <c r="W5" s="2">
        <f>COUNTIFS('OB History S2'!$B:$B,$A$5,'OB History S2'!P:P, 1)</f>
        <v>0</v>
      </c>
      <c r="X5" s="2">
        <f>COUNTIFS('OB History S2'!$B:$B,$A$5,'OB History S2'!Q:Q, 1)</f>
        <v>0</v>
      </c>
      <c r="Y5" s="2">
        <f>COUNTIFS('OB History S2'!$B:$B,$A$5,'OB History S2'!R:R, 1)</f>
        <v>0</v>
      </c>
      <c r="Z5" s="2">
        <f>COUNTIFS('OB History S2'!$B:$B,$A$5,'OB History S2'!S:S, 1)</f>
        <v>0</v>
      </c>
      <c r="AA5" s="2">
        <f>COUNTIFS('OB History S2'!$B:$B,$A$5,'OB History S2'!T:T, 1)</f>
        <v>0</v>
      </c>
      <c r="AB5" s="2">
        <f>COUNTIFS('OB History S2'!$B:$B,$A$5,'OB History S2'!U:U, 1)</f>
        <v>0</v>
      </c>
      <c r="AC5" s="2">
        <f>COUNTIFS('OB History S2'!$B:$B,$A$5,'OB History S2'!V:V, 1)</f>
        <v>0</v>
      </c>
      <c r="AD5" s="2">
        <f>COUNTIFS('OB History S2'!$B:$B,$A$5,'OB History S2'!W:W, 1)</f>
        <v>0</v>
      </c>
      <c r="AE5" s="2">
        <f>COUNTIFS('OB History S2'!$B:$B,$A$5,'OB History S2'!X:X, 1)</f>
        <v>2</v>
      </c>
      <c r="AF5" s="2">
        <f>COUNTIFS('OB History S2'!$B:$B,$A$5,'OB History S2'!Y:Y, 1)</f>
        <v>2</v>
      </c>
      <c r="AG5" s="2">
        <f>COUNTIFS('OB History S2'!$B:$B,$A$5,'OB History S2'!Z:Z, 1)</f>
        <v>0</v>
      </c>
    </row>
    <row r="6" spans="1:33" ht="15.75" x14ac:dyDescent="0.25">
      <c r="A6" s="2" t="s">
        <v>35</v>
      </c>
      <c r="B6" s="80" t="s">
        <v>60</v>
      </c>
      <c r="C6" s="2" t="s">
        <v>79</v>
      </c>
      <c r="D6" s="2"/>
      <c r="E6" s="2"/>
      <c r="F6" s="34">
        <f>SUMIFS('OB History S2'!C:C,'OB History S2'!B:B,A6)</f>
        <v>136</v>
      </c>
      <c r="G6" s="4">
        <f>AVERAGEIFS('OB History S2'!C:C,'OB History S2'!B:B,A6)</f>
        <v>11.333333333333334</v>
      </c>
      <c r="H6" s="35">
        <f t="array" ref="H6">MAX(IF('OB History S2'!B:B=A6, 'OB History S2'!C:C))</f>
        <v>20</v>
      </c>
      <c r="I6" s="34">
        <f>COUNTIFS('OB History S2'!B:B,A6,'OB History S2'!D:D, 1)</f>
        <v>4</v>
      </c>
      <c r="J6" s="2">
        <f>COUNTIFS('OB History S2'!B:B,A6,'OB History S2'!D:D, 0)</f>
        <v>8</v>
      </c>
      <c r="K6" s="88">
        <f>LOOKUP(2, 1/('OB History S2'!$B:$B=A6), 'OB History S2'!$AD:$AD)</f>
        <v>0.33333333333333331</v>
      </c>
      <c r="L6" s="34">
        <f>SUMIFS('OB History S2'!F:F,'OB History S2'!B:B,A6)</f>
        <v>17</v>
      </c>
      <c r="M6" s="2">
        <f>SUMIFS('OB History S2'!E:E,'OB History S2'!B:B,A6)-L6</f>
        <v>29</v>
      </c>
      <c r="N6" s="88">
        <f>LOOKUP(2, 1/('OB History S2'!$B:$B=A6), 'OB History S2'!$AB:$AB)</f>
        <v>0.34166666666666662</v>
      </c>
      <c r="O6" s="34">
        <f>SUMIFS('OB History S2'!H:H,'OB History S2'!B:B,A6)</f>
        <v>76</v>
      </c>
      <c r="P6" s="2">
        <f>SUMIFS('OB History S2'!G:G,'OB History S2'!B:B,A6)-O6</f>
        <v>110</v>
      </c>
      <c r="Q6" s="88">
        <f>LOOKUP(2, 1/('OB History S2'!$B:$B=A6), 'OB History S2'!$AC:$AC)</f>
        <v>0.39166666666666661</v>
      </c>
      <c r="R6" s="2">
        <f>COUNTIFS('OB History S2'!$B:$B,$A$6,'OB History S2'!K:K, 1)</f>
        <v>1</v>
      </c>
      <c r="S6" s="2">
        <f>COUNTIFS('OB History S2'!$B:$B,$A$6,'OB History S2'!L:L, 1)</f>
        <v>1</v>
      </c>
      <c r="T6" s="2">
        <f>COUNTIFS('OB History S2'!$B:$B,$A$6,'OB History S2'!M:M, 1)</f>
        <v>0</v>
      </c>
      <c r="U6" s="2">
        <f>COUNTIFS('OB History S2'!$B:$B,$A$6,'OB History S2'!N:N, 1)</f>
        <v>2</v>
      </c>
      <c r="V6" s="2">
        <f>COUNTIFS('OB History S2'!$B:$B,$A$6,'OB History S2'!O:O, 1)</f>
        <v>0</v>
      </c>
      <c r="W6" s="2">
        <f>COUNTIFS('OB History S2'!$B:$B,$A$6,'OB History S2'!P:P, 1)</f>
        <v>1</v>
      </c>
      <c r="X6" s="2">
        <f>COUNTIFS('OB History S2'!$B:$B,$A$6,'OB History S2'!Q:Q, 1)</f>
        <v>0</v>
      </c>
      <c r="Y6" s="2">
        <f>COUNTIFS('OB History S2'!$B:$B,$A$6,'OB History S2'!R:R, 1)</f>
        <v>1</v>
      </c>
      <c r="Z6" s="2">
        <f>COUNTIFS('OB History S2'!$B:$B,$A$6,'OB History S2'!S:S, 1)</f>
        <v>0</v>
      </c>
      <c r="AA6" s="2">
        <f>COUNTIFS('OB History S2'!$B:$B,$A$6,'OB History S2'!T:T, 1)</f>
        <v>0</v>
      </c>
      <c r="AB6" s="2">
        <f>COUNTIFS('OB History S2'!$B:$B,$A$6,'OB History S2'!U:U, 1)</f>
        <v>0</v>
      </c>
      <c r="AC6" s="2">
        <f>COUNTIFS('OB History S2'!$B:$B,$A$6,'OB History S2'!V:V, 1)</f>
        <v>0</v>
      </c>
      <c r="AD6" s="2">
        <f>COUNTIFS('OB History S2'!$B:$B,$A$6,'OB History S2'!W:W, 1)</f>
        <v>2</v>
      </c>
      <c r="AE6" s="2">
        <f>COUNTIFS('OB History S2'!$B:$B,$A$6,'OB History S2'!X:X, 1)</f>
        <v>4</v>
      </c>
      <c r="AF6" s="2">
        <f>COUNTIFS('OB History S2'!$B:$B,$A$6,'OB History S2'!Y:Y, 1)</f>
        <v>2</v>
      </c>
      <c r="AG6" s="2">
        <f>COUNTIFS('OB History S2'!$B:$B,$A$6,'OB History S2'!Z:Z, 1)</f>
        <v>3</v>
      </c>
    </row>
    <row r="7" spans="1:33" ht="15.75" x14ac:dyDescent="0.25">
      <c r="A7" s="2" t="s">
        <v>19</v>
      </c>
      <c r="B7" s="80" t="s">
        <v>79</v>
      </c>
      <c r="C7" s="2" t="s">
        <v>79</v>
      </c>
      <c r="D7" s="2">
        <v>1</v>
      </c>
      <c r="E7" s="2">
        <v>1</v>
      </c>
      <c r="F7" s="34">
        <f>SUMIFS('OB History S2'!C:C,'OB History S2'!B:B,A7)</f>
        <v>53</v>
      </c>
      <c r="G7" s="4">
        <f>AVERAGEIFS('OB History S2'!C:C,'OB History S2'!B:B,A7)</f>
        <v>10.6</v>
      </c>
      <c r="H7" s="35">
        <f t="array" ref="H7">MAX(IF('OB History S2'!B:B=A7, 'OB History S2'!C:C))</f>
        <v>17</v>
      </c>
      <c r="I7" s="34">
        <f>COUNTIFS('OB History S2'!B:B,A7,'OB History S2'!D:D, 1)</f>
        <v>3</v>
      </c>
      <c r="J7" s="2">
        <f>COUNTIFS('OB History S2'!B:B,A7,'OB History S2'!D:D, 0)</f>
        <v>2</v>
      </c>
      <c r="K7" s="88">
        <f>LOOKUP(2, 1/('OB History S2'!$B:$B=A7), 'OB History S2'!$AD:$AD)</f>
        <v>0.6</v>
      </c>
      <c r="L7" s="34">
        <f>SUMIFS('OB History S2'!F:F,'OB History S2'!B:B,A7)</f>
        <v>12</v>
      </c>
      <c r="M7" s="2">
        <f>SUMIFS('OB History S2'!E:E,'OB History S2'!B:B,A7)-L7</f>
        <v>8</v>
      </c>
      <c r="N7" s="88">
        <f>LOOKUP(2, 1/('OB History S2'!$B:$B=A7), 'OB History S2'!$AB:$AB)</f>
        <v>0.63</v>
      </c>
      <c r="O7" s="34">
        <f>SUMIFS('OB History S2'!H:H,'OB History S2'!B:B,A7)</f>
        <v>45</v>
      </c>
      <c r="P7" s="2">
        <f>SUMIFS('OB History S2'!G:G,'OB History S2'!B:B,A7)-O7</f>
        <v>38</v>
      </c>
      <c r="Q7" s="88">
        <f>LOOKUP(2, 1/('OB History S2'!$B:$B=A7), 'OB History S2'!$AC:$AC)</f>
        <v>0.54600000000000004</v>
      </c>
      <c r="R7" s="2">
        <f>COUNTIFS('OB History S2'!$B:$B,$A$7,'OB History S2'!K:K, 1)</f>
        <v>2</v>
      </c>
      <c r="S7" s="2">
        <f>COUNTIFS('OB History S2'!$B:$B,$A$7,'OB History S2'!L:L, 1)</f>
        <v>1</v>
      </c>
      <c r="T7" s="2">
        <f>COUNTIFS('OB History S2'!$B:$B,$A$7,'OB History S2'!M:M, 1)</f>
        <v>0</v>
      </c>
      <c r="U7" s="2">
        <f>COUNTIFS('OB History S2'!$B:$B,$A$7,'OB History S2'!N:N, 1)</f>
        <v>1</v>
      </c>
      <c r="V7" s="2">
        <f>COUNTIFS('OB History S2'!$B:$B,$A$7,'OB History S2'!O:O, 1)</f>
        <v>0</v>
      </c>
      <c r="W7" s="2">
        <f>COUNTIFS('OB History S2'!$B:$B,$A$7,'OB History S2'!P:P, 1)</f>
        <v>1</v>
      </c>
      <c r="X7" s="2">
        <f>COUNTIFS('OB History S2'!$B:$B,$A$7,'OB History S2'!Q:Q, 1)</f>
        <v>0</v>
      </c>
      <c r="Y7" s="2">
        <f>COUNTIFS('OB History S2'!$B:$B,$A$7,'OB History S2'!R:R, 1)</f>
        <v>1</v>
      </c>
      <c r="Z7" s="2">
        <f>COUNTIFS('OB History S2'!$B:$B,$A$7,'OB History S2'!S:S, 1)</f>
        <v>0</v>
      </c>
      <c r="AA7" s="2">
        <f>COUNTIFS('OB History S2'!$B:$B,$A$7,'OB History S2'!T:T, 1)</f>
        <v>0</v>
      </c>
      <c r="AB7" s="2">
        <f>COUNTIFS('OB History S2'!$B:$B,$A$7,'OB History S2'!U:U, 1)</f>
        <v>0</v>
      </c>
      <c r="AC7" s="2">
        <f>COUNTIFS('OB History S2'!$B:$B,$A$7,'OB History S2'!V:V, 1)</f>
        <v>0</v>
      </c>
      <c r="AD7" s="2">
        <f>COUNTIFS('OB History S2'!$B:$B,$A$7,'OB History S2'!W:W, 1)</f>
        <v>0</v>
      </c>
      <c r="AE7" s="2">
        <f>COUNTIFS('OB History S2'!$B:$B,$A$7,'OB History S2'!X:X, 1)</f>
        <v>1</v>
      </c>
      <c r="AF7" s="2">
        <f>COUNTIFS('OB History S2'!$B:$B,$A$7,'OB History S2'!Y:Y, 1)</f>
        <v>2</v>
      </c>
      <c r="AG7" s="2">
        <f>COUNTIFS('OB History S2'!$B:$B,$A$7,'OB History S2'!Z:Z, 1)</f>
        <v>3</v>
      </c>
    </row>
    <row r="8" spans="1:33" x14ac:dyDescent="0.25">
      <c r="A8" s="1" t="s">
        <v>42</v>
      </c>
      <c r="B8" s="6" t="s">
        <v>60</v>
      </c>
      <c r="C8" s="2" t="s">
        <v>79</v>
      </c>
      <c r="D8" s="2"/>
      <c r="E8" s="2"/>
      <c r="F8" s="34">
        <f>SUMIFS('OB History S2'!C:C,'OB History S2'!B:B,A8)</f>
        <v>41</v>
      </c>
      <c r="G8" s="4">
        <f>AVERAGEIFS('OB History S2'!C:C,'OB History S2'!B:B,A8)</f>
        <v>13.666666666666666</v>
      </c>
      <c r="H8" s="35">
        <f t="array" ref="H8">MAX(IF('OB History S2'!B:B=A8, 'OB History S2'!C:C))</f>
        <v>29</v>
      </c>
      <c r="I8" s="34">
        <f>COUNTIFS('OB History S2'!B:B,A8,'OB History S2'!D:D, 1)</f>
        <v>0</v>
      </c>
      <c r="J8" s="2">
        <f>COUNTIFS('OB History S2'!B:B,A8,'OB History S2'!D:D, 0)</f>
        <v>3</v>
      </c>
      <c r="K8" s="88">
        <f>LOOKUP(2, 1/('OB History S2'!$B:$B=A8), 'OB History S2'!$AD:$AD)</f>
        <v>0</v>
      </c>
      <c r="L8" s="34">
        <f>SUMIFS('OB History S2'!F:F,'OB History S2'!B:B,A8)</f>
        <v>2</v>
      </c>
      <c r="M8" s="2">
        <f>SUMIFS('OB History S2'!E:E,'OB History S2'!B:B,A8)-L8</f>
        <v>9</v>
      </c>
      <c r="N8" s="88">
        <f>LOOKUP(2, 1/('OB History S2'!$B:$B=A8), 'OB History S2'!$AB:$AB)</f>
        <v>0.13333333333333333</v>
      </c>
      <c r="O8" s="34">
        <f>SUMIFS('OB History S2'!H:H,'OB History S2'!B:B,A8)</f>
        <v>16</v>
      </c>
      <c r="P8" s="2">
        <f>SUMIFS('OB History S2'!G:G,'OB History S2'!B:B,A8)-O8</f>
        <v>29</v>
      </c>
      <c r="Q8" s="88">
        <f>LOOKUP(2, 1/('OB History S2'!$B:$B=A8), 'OB History S2'!$AC:$AC)</f>
        <v>0.32333333333333331</v>
      </c>
      <c r="R8" s="2">
        <f>COUNTIFS('OB History S2'!$B:$B,$A$8,'OB History S2'!K:K, 1)</f>
        <v>1</v>
      </c>
      <c r="S8" s="2">
        <f>COUNTIFS('OB History S2'!$B:$B,$A$8,'OB History S2'!L:L, 1)</f>
        <v>0</v>
      </c>
      <c r="T8" s="2">
        <f>COUNTIFS('OB History S2'!$B:$B,$A$8,'OB History S2'!M:M, 1)</f>
        <v>0</v>
      </c>
      <c r="U8" s="2">
        <f>COUNTIFS('OB History S2'!$B:$B,$A$8,'OB History S2'!N:N, 1)</f>
        <v>0</v>
      </c>
      <c r="V8" s="2">
        <f>COUNTIFS('OB History S2'!$B:$B,$A$8,'OB History S2'!O:O, 1)</f>
        <v>0</v>
      </c>
      <c r="W8" s="2">
        <f>COUNTIFS('OB History S2'!$B:$B,$A$8,'OB History S2'!P:P, 1)</f>
        <v>0</v>
      </c>
      <c r="X8" s="2">
        <f>COUNTIFS('OB History S2'!$B:$B,$A$8,'OB History S2'!Q:Q, 1)</f>
        <v>0</v>
      </c>
      <c r="Y8" s="2">
        <f>COUNTIFS('OB History S2'!$B:$B,$A$8,'OB History S2'!R:R, 1)</f>
        <v>0</v>
      </c>
      <c r="Z8" s="2">
        <f>COUNTIFS('OB History S2'!$B:$B,$A$8,'OB History S2'!S:S, 1)</f>
        <v>0</v>
      </c>
      <c r="AA8" s="2">
        <f>COUNTIFS('OB History S2'!$B:$B,$A$8,'OB History S2'!T:T, 1)</f>
        <v>0</v>
      </c>
      <c r="AB8" s="2">
        <f>COUNTIFS('OB History S2'!$B:$B,$A$8,'OB History S2'!U:U, 1)</f>
        <v>0</v>
      </c>
      <c r="AC8" s="2">
        <f>COUNTIFS('OB History S2'!$B:$B,$A$8,'OB History S2'!V:V, 1)</f>
        <v>0</v>
      </c>
      <c r="AD8" s="2">
        <f>COUNTIFS('OB History S2'!$B:$B,$A$8,'OB History S2'!W:W, 1)</f>
        <v>1</v>
      </c>
      <c r="AE8" s="2">
        <f>COUNTIFS('OB History S2'!$B:$B,$A$8,'OB History S2'!X:X, 1)</f>
        <v>0</v>
      </c>
      <c r="AF8" s="2">
        <f>COUNTIFS('OB History S2'!$B:$B,$A$8,'OB History S2'!Y:Y, 1)</f>
        <v>0</v>
      </c>
      <c r="AG8" s="2">
        <f>COUNTIFS('OB History S2'!$B:$B,$A$8,'OB History S2'!Z:Z, 1)</f>
        <v>0</v>
      </c>
    </row>
    <row r="9" spans="1:33" x14ac:dyDescent="0.25">
      <c r="A9" s="1" t="s">
        <v>25</v>
      </c>
      <c r="B9" s="6" t="s">
        <v>79</v>
      </c>
      <c r="C9" s="2" t="s">
        <v>79</v>
      </c>
      <c r="D9" s="2"/>
      <c r="E9" s="2"/>
      <c r="F9" s="34">
        <f>SUMIFS('OB History S2'!C:C,'OB History S2'!B:B,A9)</f>
        <v>151</v>
      </c>
      <c r="G9" s="4">
        <f>AVERAGEIFS('OB History S2'!C:C,'OB History S2'!B:B,A9)</f>
        <v>16.777777777777779</v>
      </c>
      <c r="H9" s="35">
        <f t="array" ref="H9">MAX(IF('OB History S2'!B:B=A9, 'OB History S2'!C:C))</f>
        <v>25</v>
      </c>
      <c r="I9" s="34">
        <f>COUNTIFS('OB History S2'!B:B,A9,'OB History S2'!D:D, 1)</f>
        <v>6</v>
      </c>
      <c r="J9" s="2">
        <f>COUNTIFS('OB History S2'!B:B,A9,'OB History S2'!D:D, 0)</f>
        <v>3</v>
      </c>
      <c r="K9" s="88">
        <f>LOOKUP(2, 1/('OB History S2'!$B:$B=A9), 'OB History S2'!$AD:$AD)</f>
        <v>0.66666666666666663</v>
      </c>
      <c r="L9" s="34">
        <f>SUMIFS('OB History S2'!F:F,'OB History S2'!B:B,A9)</f>
        <v>20</v>
      </c>
      <c r="M9" s="2">
        <f>SUMIFS('OB History S2'!E:E,'OB History S2'!B:B,A9)-L9</f>
        <v>16</v>
      </c>
      <c r="N9" s="88">
        <f>LOOKUP(2, 1/('OB History S2'!$B:$B=A9), 'OB History S2'!$AB:$AB)</f>
        <v>0.55000000000000004</v>
      </c>
      <c r="O9" s="34">
        <f>SUMIFS('OB History S2'!H:H,'OB History S2'!B:B,A9)</f>
        <v>75</v>
      </c>
      <c r="P9" s="2">
        <f>SUMIFS('OB History S2'!G:G,'OB History S2'!B:B,A9)-O9</f>
        <v>72</v>
      </c>
      <c r="Q9" s="88">
        <f>LOOKUP(2, 1/('OB History S2'!$B:$B=A9), 'OB History S2'!$AC:$AC)</f>
        <v>0.51555555555555566</v>
      </c>
      <c r="R9" s="2">
        <f>COUNTIFS('OB History S2'!$B:$B,$A$9,'OB History S2'!K:K, 1)</f>
        <v>1</v>
      </c>
      <c r="S9" s="2">
        <f>COUNTIFS('OB History S2'!$B:$B,$A$9,'OB History S2'!L:L, 1)</f>
        <v>2</v>
      </c>
      <c r="T9" s="2">
        <f>COUNTIFS('OB History S2'!$B:$B,$A$9,'OB History S2'!M:M, 1)</f>
        <v>0</v>
      </c>
      <c r="U9" s="2">
        <f>COUNTIFS('OB History S2'!$B:$B,$A$9,'OB History S2'!N:N, 1)</f>
        <v>2</v>
      </c>
      <c r="V9" s="2">
        <f>COUNTIFS('OB History S2'!$B:$B,$A$9,'OB History S2'!O:O, 1)</f>
        <v>0</v>
      </c>
      <c r="W9" s="2">
        <f>COUNTIFS('OB History S2'!$B:$B,$A$9,'OB History S2'!P:P, 1)</f>
        <v>2</v>
      </c>
      <c r="X9" s="2">
        <f>COUNTIFS('OB History S2'!$B:$B,$A$9,'OB History S2'!Q:Q, 1)</f>
        <v>2</v>
      </c>
      <c r="Y9" s="2">
        <f>COUNTIFS('OB History S2'!$B:$B,$A$9,'OB History S2'!R:R, 1)</f>
        <v>1</v>
      </c>
      <c r="Z9" s="2">
        <f>COUNTIFS('OB History S2'!$B:$B,$A$9,'OB History S2'!S:S, 1)</f>
        <v>1</v>
      </c>
      <c r="AA9" s="2">
        <f>COUNTIFS('OB History S2'!$B:$B,$A$9,'OB History S2'!T:T, 1)</f>
        <v>0</v>
      </c>
      <c r="AB9" s="2">
        <f>COUNTIFS('OB History S2'!$B:$B,$A$9,'OB History S2'!U:U, 1)</f>
        <v>0</v>
      </c>
      <c r="AC9" s="2">
        <f>COUNTIFS('OB History S2'!$B:$B,$A$9,'OB History S2'!V:V, 1)</f>
        <v>1</v>
      </c>
      <c r="AD9" s="2">
        <f>COUNTIFS('OB History S2'!$B:$B,$A$9,'OB History S2'!W:W, 1)</f>
        <v>1</v>
      </c>
      <c r="AE9" s="2">
        <f>COUNTIFS('OB History S2'!$B:$B,$A$9,'OB History S2'!X:X, 1)</f>
        <v>2</v>
      </c>
      <c r="AF9" s="2">
        <f>COUNTIFS('OB History S2'!$B:$B,$A$9,'OB History S2'!Y:Y, 1)</f>
        <v>2</v>
      </c>
      <c r="AG9" s="2">
        <f>COUNTIFS('OB History S2'!$B:$B,$A$9,'OB History S2'!Z:Z, 1)</f>
        <v>3</v>
      </c>
    </row>
    <row r="10" spans="1:33" x14ac:dyDescent="0.25">
      <c r="A10" s="1" t="s">
        <v>146</v>
      </c>
      <c r="B10" s="6" t="s">
        <v>79</v>
      </c>
      <c r="C10" s="2" t="s">
        <v>79</v>
      </c>
      <c r="D10" s="2"/>
      <c r="E10" s="2"/>
      <c r="F10" s="34">
        <f>SUMIFS('OB History S2'!C:C,'OB History S2'!B:B,A10)</f>
        <v>32</v>
      </c>
      <c r="G10" s="4">
        <f>AVERAGEIFS('OB History S2'!C:C,'OB History S2'!B:B,A10)</f>
        <v>8</v>
      </c>
      <c r="H10" s="35">
        <f t="array" ref="H10">MAX(IF('OB History S2'!B:B=A10, 'OB History S2'!C:C))</f>
        <v>12</v>
      </c>
      <c r="I10" s="34">
        <f>COUNTIFS('OB History S2'!B:B,A10,'OB History S2'!D:D, 1)</f>
        <v>1</v>
      </c>
      <c r="J10" s="2">
        <f>COUNTIFS('OB History S2'!B:B,A10,'OB History S2'!D:D, 0)</f>
        <v>3</v>
      </c>
      <c r="K10" s="88">
        <f>LOOKUP(2, 1/('OB History S2'!$B:$B=A10), 'OB History S2'!$AD:$AD)</f>
        <v>0.25</v>
      </c>
      <c r="L10" s="34">
        <f>SUMIFS('OB History S2'!F:F,'OB History S2'!B:B,A10)</f>
        <v>5</v>
      </c>
      <c r="M10" s="2">
        <f>SUMIFS('OB History S2'!E:E,'OB History S2'!B:B,A10)-L10</f>
        <v>9</v>
      </c>
      <c r="N10" s="88">
        <f>LOOKUP(2, 1/('OB History S2'!$B:$B=A10), 'OB History S2'!$AB:$AB)</f>
        <v>0.35</v>
      </c>
      <c r="O10" s="34">
        <f>SUMIFS('OB History S2'!H:H,'OB History S2'!B:B,A10)</f>
        <v>27</v>
      </c>
      <c r="P10" s="2">
        <f>SUMIFS('OB History S2'!G:G,'OB History S2'!B:B,A10)-O10</f>
        <v>33</v>
      </c>
      <c r="Q10" s="88">
        <f>LOOKUP(2, 1/('OB History S2'!$B:$B=A10), 'OB History S2'!$AC:$AC)</f>
        <v>0.44750000000000001</v>
      </c>
      <c r="R10" s="2">
        <f>COUNTIFS('OB History S2'!$B:$B,$A$10,'OB History S2'!K:K, 1)</f>
        <v>0</v>
      </c>
      <c r="S10" s="2">
        <f>COUNTIFS('OB History S2'!$B:$B,$A$10,'OB History S2'!L:L, 1)</f>
        <v>0</v>
      </c>
      <c r="T10" s="2">
        <f>COUNTIFS('OB History S2'!$B:$B,$A$10,'OB History S2'!M:M, 1)</f>
        <v>1</v>
      </c>
      <c r="U10" s="2">
        <f>COUNTIFS('OB History S2'!$B:$B,$A$10,'OB History S2'!N:N, 1)</f>
        <v>1</v>
      </c>
      <c r="V10" s="2">
        <f>COUNTIFS('OB History S2'!$B:$B,$A$10,'OB History S2'!O:O, 1)</f>
        <v>0</v>
      </c>
      <c r="W10" s="2">
        <f>COUNTIFS('OB History S2'!$B:$B,$A$10,'OB History S2'!P:P, 1)</f>
        <v>0</v>
      </c>
      <c r="X10" s="2">
        <f>COUNTIFS('OB History S2'!$B:$B,$A$10,'OB History S2'!Q:Q, 1)</f>
        <v>1</v>
      </c>
      <c r="Y10" s="2">
        <f>COUNTIFS('OB History S2'!$B:$B,$A$10,'OB History S2'!R:R, 1)</f>
        <v>0</v>
      </c>
      <c r="Z10" s="2">
        <f>COUNTIFS('OB History S2'!$B:$B,$A$10,'OB History S2'!S:S, 1)</f>
        <v>0</v>
      </c>
      <c r="AA10" s="2">
        <f>COUNTIFS('OB History S2'!$B:$B,$A$10,'OB History S2'!T:T, 1)</f>
        <v>0</v>
      </c>
      <c r="AB10" s="2">
        <f>COUNTIFS('OB History S2'!$B:$B,$A$10,'OB History S2'!U:U, 1)</f>
        <v>0</v>
      </c>
      <c r="AC10" s="2">
        <f>COUNTIFS('OB History S2'!$B:$B,$A$10,'OB History S2'!V:V, 1)</f>
        <v>0</v>
      </c>
      <c r="AD10" s="2">
        <f>COUNTIFS('OB History S2'!$B:$B,$A$10,'OB History S2'!W:W, 1)</f>
        <v>1</v>
      </c>
      <c r="AE10" s="2">
        <f>COUNTIFS('OB History S2'!$B:$B,$A$10,'OB History S2'!X:X, 1)</f>
        <v>0</v>
      </c>
      <c r="AF10" s="2">
        <f>COUNTIFS('OB History S2'!$B:$B,$A$10,'OB History S2'!Y:Y, 1)</f>
        <v>1</v>
      </c>
      <c r="AG10" s="2">
        <f>COUNTIFS('OB History S2'!$B:$B,$A$10,'OB History S2'!Z:Z, 1)</f>
        <v>0</v>
      </c>
    </row>
    <row r="11" spans="1:33" x14ac:dyDescent="0.25">
      <c r="A11" s="1" t="s">
        <v>27</v>
      </c>
      <c r="B11" s="6" t="s">
        <v>76</v>
      </c>
      <c r="C11" s="6" t="s">
        <v>79</v>
      </c>
      <c r="D11" s="6"/>
      <c r="E11" s="6"/>
      <c r="F11" s="34">
        <f>SUMIFS('OB History S2'!C:C,'OB History S2'!B:B,A11)</f>
        <v>62</v>
      </c>
      <c r="G11" s="4">
        <f>AVERAGEIFS('OB History S2'!C:C,'OB History S2'!B:B,A11)</f>
        <v>12.4</v>
      </c>
      <c r="H11" s="35">
        <f t="array" ref="H11">MAX(IF('OB History S2'!B:B=A11, 'OB History S2'!C:C))</f>
        <v>15</v>
      </c>
      <c r="I11" s="34">
        <f>COUNTIFS('OB History S2'!B:B,A11,'OB History S2'!D:D, 1)</f>
        <v>5</v>
      </c>
      <c r="J11" s="2">
        <f>COUNTIFS('OB History S2'!B:B,A11,'OB History S2'!D:D, 0)</f>
        <v>0</v>
      </c>
      <c r="K11" s="88">
        <f>LOOKUP(2, 1/('OB History S2'!$B:$B=A11), 'OB History S2'!$AD:$AD)</f>
        <v>1</v>
      </c>
      <c r="L11" s="34">
        <f>SUMIFS('OB History S2'!F:F,'OB History S2'!B:B,A11)</f>
        <v>15</v>
      </c>
      <c r="M11" s="2">
        <f>SUMIFS('OB History S2'!E:E,'OB History S2'!B:B,A11)-L11</f>
        <v>6</v>
      </c>
      <c r="N11" s="88">
        <f>LOOKUP(2, 1/('OB History S2'!$B:$B=A11), 'OB History S2'!$AB:$AB)</f>
        <v>0.72</v>
      </c>
      <c r="O11" s="34">
        <f>SUMIFS('OB History S2'!H:H,'OB History S2'!B:B,A11)</f>
        <v>49</v>
      </c>
      <c r="P11" s="2">
        <f>SUMIFS('OB History S2'!G:G,'OB History S2'!B:B,A11)-O11</f>
        <v>26</v>
      </c>
      <c r="Q11" s="88">
        <f>LOOKUP(2, 1/('OB History S2'!$B:$B=A11), 'OB History S2'!$AC:$AC)</f>
        <v>0.65200000000000002</v>
      </c>
      <c r="R11" s="2">
        <f>COUNTIFS('OB History S2'!$B:$B,$A$11,'OB History S2'!K:K, 1)</f>
        <v>0</v>
      </c>
      <c r="S11" s="2">
        <f>COUNTIFS('OB History S2'!$B:$B,$A$11,'OB History S2'!L:L, 1)</f>
        <v>2</v>
      </c>
      <c r="T11" s="2">
        <f>COUNTIFS('OB History S2'!$B:$B,$A$11,'OB History S2'!M:M, 1)</f>
        <v>0</v>
      </c>
      <c r="U11" s="2">
        <f>COUNTIFS('OB History S2'!$B:$B,$A$11,'OB History S2'!N:N, 1)</f>
        <v>1</v>
      </c>
      <c r="V11" s="2">
        <f>COUNTIFS('OB History S2'!$B:$B,$A$11,'OB History S2'!O:O, 1)</f>
        <v>0</v>
      </c>
      <c r="W11" s="2">
        <f>COUNTIFS('OB History S2'!$B:$B,$A$11,'OB History S2'!P:P, 1)</f>
        <v>1</v>
      </c>
      <c r="X11" s="2">
        <f>COUNTIFS('OB History S2'!$B:$B,$A$11,'OB History S2'!Q:Q, 1)</f>
        <v>2</v>
      </c>
      <c r="Y11" s="2">
        <f>COUNTIFS('OB History S2'!$B:$B,$A$11,'OB History S2'!R:R, 1)</f>
        <v>2</v>
      </c>
      <c r="Z11" s="2">
        <f>COUNTIFS('OB History S2'!$B:$B,$A$11,'OB History S2'!S:S, 1)</f>
        <v>0</v>
      </c>
      <c r="AA11" s="2">
        <f>COUNTIFS('OB History S2'!$B:$B,$A$11,'OB History S2'!T:T, 1)</f>
        <v>0</v>
      </c>
      <c r="AB11" s="2">
        <f>COUNTIFS('OB History S2'!$B:$B,$A$11,'OB History S2'!U:U, 1)</f>
        <v>1</v>
      </c>
      <c r="AC11" s="2">
        <f>COUNTIFS('OB History S2'!$B:$B,$A$11,'OB History S2'!V:V, 1)</f>
        <v>0</v>
      </c>
      <c r="AD11" s="2">
        <f>COUNTIFS('OB History S2'!$B:$B,$A$11,'OB History S2'!W:W, 1)</f>
        <v>1</v>
      </c>
      <c r="AE11" s="2">
        <f>COUNTIFS('OB History S2'!$B:$B,$A$11,'OB History S2'!X:X, 1)</f>
        <v>3</v>
      </c>
      <c r="AF11" s="2">
        <f>COUNTIFS('OB History S2'!$B:$B,$A$11,'OB History S2'!Y:Y, 1)</f>
        <v>2</v>
      </c>
      <c r="AG11" s="2">
        <f>COUNTIFS('OB History S2'!$B:$B,$A$11,'OB History S2'!Z:Z, 1)</f>
        <v>0</v>
      </c>
    </row>
    <row r="12" spans="1:33" x14ac:dyDescent="0.25">
      <c r="A12" s="1" t="s">
        <v>26</v>
      </c>
      <c r="B12" s="6" t="s">
        <v>124</v>
      </c>
      <c r="C12" s="6" t="s">
        <v>79</v>
      </c>
      <c r="D12" s="6"/>
      <c r="E12" s="6"/>
      <c r="F12" s="34">
        <f>SUMIFS('OB History S2'!C:C,'OB History S2'!B:B,A12)</f>
        <v>108</v>
      </c>
      <c r="G12" s="4">
        <f>AVERAGEIFS('OB History S2'!C:C,'OB History S2'!B:B,A12)</f>
        <v>13.5</v>
      </c>
      <c r="H12" s="35">
        <f t="array" ref="H12">MAX(IF('OB History S2'!B:B=A12, 'OB History S2'!C:C))</f>
        <v>23</v>
      </c>
      <c r="I12" s="34">
        <f>COUNTIFS('OB History S2'!B:B,A12,'OB History S2'!D:D, 1)</f>
        <v>4</v>
      </c>
      <c r="J12" s="2">
        <f>COUNTIFS('OB History S2'!B:B,A12,'OB History S2'!D:D, 0)</f>
        <v>4</v>
      </c>
      <c r="K12" s="88">
        <f>LOOKUP(2, 1/('OB History S2'!$B:$B=A12), 'OB History S2'!$AD:$AD)</f>
        <v>0.5</v>
      </c>
      <c r="L12" s="34">
        <f>SUMIFS('OB History S2'!F:F,'OB History S2'!B:B,A12)</f>
        <v>16</v>
      </c>
      <c r="M12" s="2">
        <f>SUMIFS('OB History S2'!E:E,'OB History S2'!B:B,A12)-L12</f>
        <v>16</v>
      </c>
      <c r="N12" s="88">
        <f>LOOKUP(2, 1/('OB History S2'!$B:$B=A12), 'OB History S2'!$AB:$AB)</f>
        <v>0.5</v>
      </c>
      <c r="O12" s="34">
        <f>SUMIFS('OB History S2'!H:H,'OB History S2'!B:B,A12)</f>
        <v>65</v>
      </c>
      <c r="P12" s="2">
        <f>SUMIFS('OB History S2'!G:G,'OB History S2'!B:B,A12)-O12</f>
        <v>69</v>
      </c>
      <c r="Q12" s="88">
        <f>LOOKUP(2, 1/('OB History S2'!$B:$B=A12), 'OB History S2'!$AC:$AC)</f>
        <v>0.47125</v>
      </c>
      <c r="R12" s="2">
        <f>COUNTIFS('OB History S2'!$B:$B,$A$12,'OB History S2'!K:K, 1)</f>
        <v>1</v>
      </c>
      <c r="S12" s="2">
        <f>COUNTIFS('OB History S2'!$B:$B,$A$12,'OB History S2'!L:L, 1)</f>
        <v>1</v>
      </c>
      <c r="T12" s="2">
        <f>COUNTIFS('OB History S2'!$B:$B,$A$12,'OB History S2'!M:M, 1)</f>
        <v>0</v>
      </c>
      <c r="U12" s="2">
        <f>COUNTIFS('OB History S2'!$B:$B,$A$12,'OB History S2'!N:N, 1)</f>
        <v>0</v>
      </c>
      <c r="V12" s="2">
        <f>COUNTIFS('OB History S2'!$B:$B,$A$12,'OB History S2'!O:O, 1)</f>
        <v>0</v>
      </c>
      <c r="W12" s="2">
        <f>COUNTIFS('OB History S2'!$B:$B,$A$12,'OB History S2'!P:P, 1)</f>
        <v>2</v>
      </c>
      <c r="X12" s="2">
        <f>COUNTIFS('OB History S2'!$B:$B,$A$12,'OB History S2'!Q:Q, 1)</f>
        <v>1</v>
      </c>
      <c r="Y12" s="2">
        <f>COUNTIFS('OB History S2'!$B:$B,$A$12,'OB History S2'!R:R, 1)</f>
        <v>2</v>
      </c>
      <c r="Z12" s="2">
        <f>COUNTIFS('OB History S2'!$B:$B,$A$12,'OB History S2'!S:S, 1)</f>
        <v>1</v>
      </c>
      <c r="AA12" s="2">
        <f>COUNTIFS('OB History S2'!$B:$B,$A$12,'OB History S2'!T:T, 1)</f>
        <v>0</v>
      </c>
      <c r="AB12" s="2">
        <f>COUNTIFS('OB History S2'!$B:$B,$A$12,'OB History S2'!U:U, 1)</f>
        <v>0</v>
      </c>
      <c r="AC12" s="2">
        <f>COUNTIFS('OB History S2'!$B:$B,$A$12,'OB History S2'!V:V, 1)</f>
        <v>1</v>
      </c>
      <c r="AD12" s="2">
        <f>COUNTIFS('OB History S2'!$B:$B,$A$12,'OB History S2'!W:W, 1)</f>
        <v>1</v>
      </c>
      <c r="AE12" s="2">
        <f>COUNTIFS('OB History S2'!$B:$B,$A$12,'OB History S2'!X:X, 1)</f>
        <v>2</v>
      </c>
      <c r="AF12" s="2">
        <f>COUNTIFS('OB History S2'!$B:$B,$A$12,'OB History S2'!Y:Y, 1)</f>
        <v>2</v>
      </c>
      <c r="AG12" s="2">
        <f>COUNTIFS('OB History S2'!$B:$B,$A$12,'OB History S2'!Z:Z, 1)</f>
        <v>2</v>
      </c>
    </row>
    <row r="13" spans="1:33" x14ac:dyDescent="0.25">
      <c r="A13" s="1" t="s">
        <v>152</v>
      </c>
      <c r="B13" s="6" t="s">
        <v>79</v>
      </c>
      <c r="C13" s="2" t="s">
        <v>79</v>
      </c>
      <c r="D13" s="2"/>
      <c r="E13" s="2"/>
      <c r="F13" s="34">
        <f>SUMIFS('OB History S2'!C:C,'OB History S2'!B:B,A13)</f>
        <v>47</v>
      </c>
      <c r="G13" s="4">
        <f>AVERAGEIFS('OB History S2'!C:C,'OB History S2'!B:B,A13)</f>
        <v>15.666666666666666</v>
      </c>
      <c r="H13" s="35">
        <f t="array" ref="H13">MAX(IF('OB History S2'!B:B=A13, 'OB History S2'!C:C))</f>
        <v>19</v>
      </c>
      <c r="I13" s="34">
        <f>COUNTIFS('OB History S2'!B:B,A13,'OB History S2'!D:D, 1)</f>
        <v>0</v>
      </c>
      <c r="J13" s="2">
        <f>COUNTIFS('OB History S2'!B:B,A13,'OB History S2'!D:D, 0)</f>
        <v>3</v>
      </c>
      <c r="K13" s="88">
        <f>LOOKUP(2, 1/('OB History S2'!$B:$B=A13), 'OB History S2'!$AD:$AD)</f>
        <v>0</v>
      </c>
      <c r="L13" s="34">
        <f>SUMIFS('OB History S2'!F:F,'OB History S2'!B:B,A13)</f>
        <v>4</v>
      </c>
      <c r="M13" s="2">
        <f>SUMIFS('OB History S2'!E:E,'OB History S2'!B:B,A13)-L13</f>
        <v>9</v>
      </c>
      <c r="N13" s="88">
        <f>LOOKUP(2, 1/('OB History S2'!$B:$B=A13), 'OB History S2'!$AB:$AB)</f>
        <v>0.26666666666666666</v>
      </c>
      <c r="O13" s="34">
        <f>SUMIFS('OB History S2'!H:H,'OB History S2'!B:B,A13)</f>
        <v>22</v>
      </c>
      <c r="P13" s="2">
        <f>SUMIFS('OB History S2'!G:G,'OB History S2'!B:B,A13)-O13</f>
        <v>33</v>
      </c>
      <c r="Q13" s="88">
        <f>LOOKUP(2, 1/('OB History S2'!$B:$B=A13), 'OB History S2'!$AC:$AC)</f>
        <v>0.37666666666666665</v>
      </c>
      <c r="R13" s="2">
        <f>COUNTIFS('OB History S2'!$B:$B,$A$13,'OB History S2'!K:K, 1)</f>
        <v>0</v>
      </c>
      <c r="S13" s="2">
        <f>COUNTIFS('OB History S2'!$B:$B,$A$13,'OB History S2'!L:L, 1)</f>
        <v>0</v>
      </c>
      <c r="T13" s="2">
        <f>COUNTIFS('OB History S2'!$B:$B,$A$13,'OB History S2'!M:M, 1)</f>
        <v>1</v>
      </c>
      <c r="U13" s="2">
        <f>COUNTIFS('OB History S2'!$B:$B,$A$13,'OB History S2'!N:N, 1)</f>
        <v>0</v>
      </c>
      <c r="V13" s="2">
        <f>COUNTIFS('OB History S2'!$B:$B,$A$13,'OB History S2'!O:O, 1)</f>
        <v>0</v>
      </c>
      <c r="W13" s="2">
        <f>COUNTIFS('OB History S2'!$B:$B,$A$13,'OB History S2'!P:P, 1)</f>
        <v>1</v>
      </c>
      <c r="X13" s="2">
        <f>COUNTIFS('OB History S2'!$B:$B,$A$13,'OB History S2'!Q:Q, 1)</f>
        <v>1</v>
      </c>
      <c r="Y13" s="2">
        <f>COUNTIFS('OB History S2'!$B:$B,$A$13,'OB History S2'!R:R, 1)</f>
        <v>0</v>
      </c>
      <c r="Z13" s="2">
        <f>COUNTIFS('OB History S2'!$B:$B,$A$13,'OB History S2'!S:S, 1)</f>
        <v>0</v>
      </c>
      <c r="AA13" s="2">
        <f>COUNTIFS('OB History S2'!$B:$B,$A$13,'OB History S2'!T:T, 1)</f>
        <v>0</v>
      </c>
      <c r="AB13" s="2">
        <f>COUNTIFS('OB History S2'!$B:$B,$A$13,'OB History S2'!U:U, 1)</f>
        <v>0</v>
      </c>
      <c r="AC13" s="2">
        <f>COUNTIFS('OB History S2'!$B:$B,$A$13,'OB History S2'!V:V, 1)</f>
        <v>0</v>
      </c>
      <c r="AD13" s="2">
        <f>COUNTIFS('OB History S2'!$B:$B,$A$13,'OB History S2'!W:W, 1)</f>
        <v>0</v>
      </c>
      <c r="AE13" s="2">
        <f>COUNTIFS('OB History S2'!$B:$B,$A$13,'OB History S2'!X:X, 1)</f>
        <v>1</v>
      </c>
      <c r="AF13" s="2">
        <f>COUNTIFS('OB History S2'!$B:$B,$A$13,'OB History S2'!Y:Y, 1)</f>
        <v>0</v>
      </c>
      <c r="AG13" s="2">
        <f>COUNTIFS('OB History S2'!$B:$B,$A$13,'OB History S2'!Z:Z, 1)</f>
        <v>0</v>
      </c>
    </row>
    <row r="14" spans="1:33" ht="15.75" x14ac:dyDescent="0.25">
      <c r="A14" s="1" t="s">
        <v>45</v>
      </c>
      <c r="B14" s="80" t="s">
        <v>60</v>
      </c>
      <c r="C14" s="2" t="s">
        <v>79</v>
      </c>
      <c r="D14" s="2"/>
      <c r="E14" s="2"/>
      <c r="F14" s="34">
        <f>SUMIFS('OB History S2'!C:C,'OB History S2'!B:B,A14)</f>
        <v>75</v>
      </c>
      <c r="G14" s="4">
        <f>AVERAGEIFS('OB History S2'!C:C,'OB History S2'!B:B,A14)</f>
        <v>15</v>
      </c>
      <c r="H14" s="35">
        <f t="array" ref="H14">MAX(IF('OB History S2'!B:B=A14, 'OB History S2'!C:C))</f>
        <v>26</v>
      </c>
      <c r="I14" s="34">
        <f>COUNTIFS('OB History S2'!B:B,A14,'OB History S2'!D:D, 1)</f>
        <v>3</v>
      </c>
      <c r="J14" s="2">
        <f>COUNTIFS('OB History S2'!B:B,A14,'OB History S2'!D:D, 0)</f>
        <v>2</v>
      </c>
      <c r="K14" s="88">
        <f>LOOKUP(2, 1/('OB History S2'!$B:$B=A14), 'OB History S2'!$AD:$AD)</f>
        <v>0.6</v>
      </c>
      <c r="L14" s="34">
        <f>SUMIFS('OB History S2'!F:F,'OB History S2'!B:B,A14)</f>
        <v>11</v>
      </c>
      <c r="M14" s="2">
        <f>SUMIFS('OB History S2'!E:E,'OB History S2'!B:B,A14)-L14</f>
        <v>10</v>
      </c>
      <c r="N14" s="88">
        <f>LOOKUP(2, 1/('OB History S2'!$B:$B=A14), 'OB History S2'!$AB:$AB)</f>
        <v>0.52</v>
      </c>
      <c r="O14" s="34">
        <f>SUMIFS('OB History S2'!H:H,'OB History S2'!B:B,A14)</f>
        <v>42</v>
      </c>
      <c r="P14" s="2">
        <f>SUMIFS('OB History S2'!G:G,'OB History S2'!B:B,A14)-O14</f>
        <v>39</v>
      </c>
      <c r="Q14" s="88">
        <f>LOOKUP(2, 1/('OB History S2'!$B:$B=A14), 'OB History S2'!$AC:$AC)</f>
        <v>0.51</v>
      </c>
      <c r="R14" s="2">
        <f>COUNTIFS('OB History S2'!$B:$B,$A$14,'OB History S2'!K:K, 1)</f>
        <v>1</v>
      </c>
      <c r="S14" s="2">
        <f>COUNTIFS('OB History S2'!$B:$B,$A$14,'OB History S2'!L:L, 1)</f>
        <v>1</v>
      </c>
      <c r="T14" s="2">
        <f>COUNTIFS('OB History S2'!$B:$B,$A$14,'OB History S2'!M:M, 1)</f>
        <v>1</v>
      </c>
      <c r="U14" s="2">
        <f>COUNTIFS('OB History S2'!$B:$B,$A$14,'OB History S2'!N:N, 1)</f>
        <v>1</v>
      </c>
      <c r="V14" s="2">
        <f>COUNTIFS('OB History S2'!$B:$B,$A$14,'OB History S2'!O:O, 1)</f>
        <v>0</v>
      </c>
      <c r="W14" s="2">
        <f>COUNTIFS('OB History S2'!$B:$B,$A$14,'OB History S2'!P:P, 1)</f>
        <v>1</v>
      </c>
      <c r="X14" s="2">
        <f>COUNTIFS('OB History S2'!$B:$B,$A$14,'OB History S2'!Q:Q, 1)</f>
        <v>0</v>
      </c>
      <c r="Y14" s="2">
        <f>COUNTIFS('OB History S2'!$B:$B,$A$14,'OB History S2'!R:R, 1)</f>
        <v>0</v>
      </c>
      <c r="Z14" s="2">
        <f>COUNTIFS('OB History S2'!$B:$B,$A$14,'OB History S2'!S:S, 1)</f>
        <v>0</v>
      </c>
      <c r="AA14" s="2">
        <f>COUNTIFS('OB History S2'!$B:$B,$A$14,'OB History S2'!T:T, 1)</f>
        <v>1</v>
      </c>
      <c r="AB14" s="2">
        <f>COUNTIFS('OB History S2'!$B:$B,$A$14,'OB History S2'!U:U, 1)</f>
        <v>0</v>
      </c>
      <c r="AC14" s="2">
        <f>COUNTIFS('OB History S2'!$B:$B,$A$14,'OB History S2'!V:V, 1)</f>
        <v>0</v>
      </c>
      <c r="AD14" s="2">
        <f>COUNTIFS('OB History S2'!$B:$B,$A$14,'OB History S2'!W:W, 1)</f>
        <v>0</v>
      </c>
      <c r="AE14" s="2">
        <f>COUNTIFS('OB History S2'!$B:$B,$A$14,'OB History S2'!X:X, 1)</f>
        <v>1</v>
      </c>
      <c r="AF14" s="2">
        <f>COUNTIFS('OB History S2'!$B:$B,$A$14,'OB History S2'!Y:Y, 1)</f>
        <v>2</v>
      </c>
      <c r="AG14" s="2">
        <f>COUNTIFS('OB History S2'!$B:$B,$A$14,'OB History S2'!Z:Z, 1)</f>
        <v>2</v>
      </c>
    </row>
    <row r="15" spans="1:33" x14ac:dyDescent="0.25">
      <c r="A15" s="2" t="s">
        <v>52</v>
      </c>
      <c r="B15" s="2" t="s">
        <v>79</v>
      </c>
      <c r="C15" s="2" t="s">
        <v>79</v>
      </c>
      <c r="D15" s="2"/>
      <c r="E15" s="2"/>
      <c r="F15" s="34">
        <f>SUMIFS('OB History S2'!C:C,'OB History S2'!B:B,A15)</f>
        <v>34</v>
      </c>
      <c r="G15" s="4">
        <f>AVERAGEIFS('OB History S2'!C:C,'OB History S2'!B:B,A15)</f>
        <v>34</v>
      </c>
      <c r="H15" s="35">
        <f t="array" ref="H15">MAX(IF('OB History S2'!B:B=A15, 'OB History S2'!C:C))</f>
        <v>34</v>
      </c>
      <c r="I15" s="34">
        <f>COUNTIFS('OB History S2'!B:B,A15,'OB History S2'!D:D, 1)</f>
        <v>0</v>
      </c>
      <c r="J15" s="2">
        <f>COUNTIFS('OB History S2'!B:B,A15,'OB History S2'!D:D, 0)</f>
        <v>1</v>
      </c>
      <c r="K15" s="88">
        <f>LOOKUP(2, 1/('OB History S2'!$B:$B=A15), 'OB History S2'!$AD:$AD)</f>
        <v>0</v>
      </c>
      <c r="L15" s="34">
        <f>SUMIFS('OB History S2'!F:F,'OB History S2'!B:B,A15)</f>
        <v>2</v>
      </c>
      <c r="M15" s="2">
        <f>SUMIFS('OB History S2'!E:E,'OB History S2'!B:B,A15)-L15</f>
        <v>3</v>
      </c>
      <c r="N15" s="88">
        <f>LOOKUP(2, 1/('OB History S2'!$B:$B=A15), 'OB History S2'!$AB:$AB)</f>
        <v>0.4</v>
      </c>
      <c r="O15" s="34">
        <f>SUMIFS('OB History S2'!H:H,'OB History S2'!B:B,A15)</f>
        <v>8</v>
      </c>
      <c r="P15" s="2">
        <f>SUMIFS('OB History S2'!G:G,'OB History S2'!B:B,A15)-O15</f>
        <v>13</v>
      </c>
      <c r="Q15" s="88">
        <f>LOOKUP(2, 1/('OB History S2'!$B:$B=A15), 'OB History S2'!$AC:$AC)</f>
        <v>0.38</v>
      </c>
      <c r="R15" s="2">
        <f>COUNTIFS('OB History S2'!$B:$B,$A$15,'OB History S2'!K:K, 1)</f>
        <v>0</v>
      </c>
      <c r="S15" s="2">
        <f>COUNTIFS('OB History S2'!$B:$B,$A$15,'OB History S2'!L:L, 1)</f>
        <v>0</v>
      </c>
      <c r="T15" s="2">
        <f>COUNTIFS('OB History S2'!$B:$B,$A$15,'OB History S2'!M:M, 1)</f>
        <v>0</v>
      </c>
      <c r="U15" s="2">
        <f>COUNTIFS('OB History S2'!$B:$B,$A$15,'OB History S2'!N:N, 1)</f>
        <v>0</v>
      </c>
      <c r="V15" s="2">
        <f>COUNTIFS('OB History S2'!$B:$B,$A$15,'OB History S2'!O:O, 1)</f>
        <v>0</v>
      </c>
      <c r="W15" s="2">
        <f>COUNTIFS('OB History S2'!$B:$B,$A$15,'OB History S2'!P:P, 1)</f>
        <v>1</v>
      </c>
      <c r="X15" s="2">
        <f>COUNTIFS('OB History S2'!$B:$B,$A$15,'OB History S2'!Q:Q, 1)</f>
        <v>0</v>
      </c>
      <c r="Y15" s="2">
        <f>COUNTIFS('OB History S2'!$B:$B,$A$15,'OB History S2'!R:R, 1)</f>
        <v>0</v>
      </c>
      <c r="Z15" s="2">
        <f>COUNTIFS('OB History S2'!$B:$B,$A$15,'OB History S2'!S:S, 1)</f>
        <v>0</v>
      </c>
      <c r="AA15" s="2">
        <f>COUNTIFS('OB History S2'!$B:$B,$A$15,'OB History S2'!T:T, 1)</f>
        <v>0</v>
      </c>
      <c r="AB15" s="2">
        <f>COUNTIFS('OB History S2'!$B:$B,$A$15,'OB History S2'!U:U, 1)</f>
        <v>0</v>
      </c>
      <c r="AC15" s="2">
        <f>COUNTIFS('OB History S2'!$B:$B,$A$15,'OB History S2'!V:V, 1)</f>
        <v>0</v>
      </c>
      <c r="AD15" s="2">
        <f>COUNTIFS('OB History S2'!$B:$B,$A$15,'OB History S2'!W:W, 1)</f>
        <v>0</v>
      </c>
      <c r="AE15" s="2">
        <f>COUNTIFS('OB History S2'!$B:$B,$A$15,'OB History S2'!X:X, 1)</f>
        <v>1</v>
      </c>
      <c r="AF15" s="2">
        <f>COUNTIFS('OB History S2'!$B:$B,$A$15,'OB History S2'!Y:Y, 1)</f>
        <v>0</v>
      </c>
      <c r="AG15" s="2">
        <f>COUNTIFS('OB History S2'!$B:$B,$A$15,'OB History S2'!Z:Z, 1)</f>
        <v>0</v>
      </c>
    </row>
    <row r="16" spans="1:33" x14ac:dyDescent="0.25">
      <c r="A16" s="1" t="s">
        <v>44</v>
      </c>
      <c r="B16" s="2" t="s">
        <v>79</v>
      </c>
      <c r="C16" s="2" t="s">
        <v>79</v>
      </c>
      <c r="D16" s="2"/>
      <c r="E16" s="2"/>
      <c r="F16" s="34">
        <f>SUMIFS('OB History S2'!C:C,'OB History S2'!B:B,A16)</f>
        <v>38</v>
      </c>
      <c r="G16" s="4">
        <f>AVERAGEIFS('OB History S2'!C:C,'OB History S2'!B:B,A16)</f>
        <v>19</v>
      </c>
      <c r="H16" s="35">
        <f t="array" ref="H16">MAX(IF('OB History S2'!B:B=A16, 'OB History S2'!C:C))</f>
        <v>28</v>
      </c>
      <c r="I16" s="34">
        <f>COUNTIFS('OB History S2'!B:B,A16,'OB History S2'!D:D, 1)</f>
        <v>2</v>
      </c>
      <c r="J16" s="2">
        <f>COUNTIFS('OB History S2'!B:B,A16,'OB History S2'!D:D, 0)</f>
        <v>0</v>
      </c>
      <c r="K16" s="88">
        <f>LOOKUP(2, 1/('OB History S2'!$B:$B=A16), 'OB History S2'!$AD:$AD)</f>
        <v>1</v>
      </c>
      <c r="L16" s="34">
        <f>SUMIFS('OB History S2'!F:F,'OB History S2'!B:B,A16)</f>
        <v>6</v>
      </c>
      <c r="M16" s="2">
        <f>SUMIFS('OB History S2'!E:E,'OB History S2'!B:B,A16)-L16</f>
        <v>2</v>
      </c>
      <c r="N16" s="88">
        <f>LOOKUP(2, 1/('OB History S2'!$B:$B=A16), 'OB History S2'!$AB:$AB)</f>
        <v>0.8</v>
      </c>
      <c r="O16" s="34">
        <f>SUMIFS('OB History S2'!H:H,'OB History S2'!B:B,A16)</f>
        <v>20</v>
      </c>
      <c r="P16" s="2">
        <f>SUMIFS('OB History S2'!G:G,'OB History S2'!B:B,A16)-O16</f>
        <v>13</v>
      </c>
      <c r="Q16" s="88">
        <f>LOOKUP(2, 1/('OB History S2'!$B:$B=A16), 'OB History S2'!$AC:$AC)</f>
        <v>0.63500000000000001</v>
      </c>
      <c r="R16" s="2">
        <f>COUNTIFS('OB History S2'!$B:$B,$A$16,'OB History S2'!K:K, 1)</f>
        <v>0</v>
      </c>
      <c r="S16" s="2">
        <f>COUNTIFS('OB History S2'!$B:$B,$A$16,'OB History S2'!L:L, 1)</f>
        <v>1</v>
      </c>
      <c r="T16" s="2">
        <f>COUNTIFS('OB History S2'!$B:$B,$A$16,'OB History S2'!M:M, 1)</f>
        <v>0</v>
      </c>
      <c r="U16" s="2">
        <f>COUNTIFS('OB History S2'!$B:$B,$A$16,'OB History S2'!N:N, 1)</f>
        <v>0</v>
      </c>
      <c r="V16" s="2">
        <f>COUNTIFS('OB History S2'!$B:$B,$A$16,'OB History S2'!O:O, 1)</f>
        <v>0</v>
      </c>
      <c r="W16" s="2">
        <f>COUNTIFS('OB History S2'!$B:$B,$A$16,'OB History S2'!P:P, 1)</f>
        <v>0</v>
      </c>
      <c r="X16" s="2">
        <f>COUNTIFS('OB History S2'!$B:$B,$A$16,'OB History S2'!Q:Q, 1)</f>
        <v>1</v>
      </c>
      <c r="Y16" s="2">
        <f>COUNTIFS('OB History S2'!$B:$B,$A$16,'OB History S2'!R:R, 1)</f>
        <v>0</v>
      </c>
      <c r="Z16" s="2">
        <f>COUNTIFS('OB History S2'!$B:$B,$A$16,'OB History S2'!S:S, 1)</f>
        <v>0</v>
      </c>
      <c r="AA16" s="2">
        <f>COUNTIFS('OB History S2'!$B:$B,$A$16,'OB History S2'!T:T, 1)</f>
        <v>0</v>
      </c>
      <c r="AB16" s="2">
        <f>COUNTIFS('OB History S2'!$B:$B,$A$16,'OB History S2'!U:U, 1)</f>
        <v>0</v>
      </c>
      <c r="AC16" s="2">
        <f>COUNTIFS('OB History S2'!$B:$B,$A$16,'OB History S2'!V:V, 1)</f>
        <v>0</v>
      </c>
      <c r="AD16" s="2">
        <f>COUNTIFS('OB History S2'!$B:$B,$A$16,'OB History S2'!W:W, 1)</f>
        <v>1</v>
      </c>
      <c r="AE16" s="2">
        <f>COUNTIFS('OB History S2'!$B:$B,$A$16,'OB History S2'!X:X, 1)</f>
        <v>1</v>
      </c>
      <c r="AF16" s="2">
        <f>COUNTIFS('OB History S2'!$B:$B,$A$16,'OB History S2'!Y:Y, 1)</f>
        <v>2</v>
      </c>
      <c r="AG16" s="2">
        <f>COUNTIFS('OB History S2'!$B:$B,$A$16,'OB History S2'!Z:Z, 1)</f>
        <v>0</v>
      </c>
    </row>
    <row r="17" spans="1:33" x14ac:dyDescent="0.25">
      <c r="A17" s="2" t="s">
        <v>1</v>
      </c>
      <c r="B17" s="6" t="s">
        <v>124</v>
      </c>
      <c r="C17" s="2" t="s">
        <v>79</v>
      </c>
      <c r="D17" s="2"/>
      <c r="E17" s="2"/>
      <c r="F17" s="34">
        <f>SUMIFS('OB History S2'!C:C,'OB History S2'!B:B,A17)</f>
        <v>63</v>
      </c>
      <c r="G17" s="4">
        <f>AVERAGEIFS('OB History S2'!C:C,'OB History S2'!B:B,A17)</f>
        <v>15.75</v>
      </c>
      <c r="H17" s="35">
        <f t="array" ref="H17">MAX(IF('OB History S2'!B:B=A17, 'OB History S2'!C:C))</f>
        <v>24</v>
      </c>
      <c r="I17" s="34">
        <f>COUNTIFS('OB History S2'!B:B,A17,'OB History S2'!D:D, 1)</f>
        <v>1</v>
      </c>
      <c r="J17" s="2">
        <f>COUNTIFS('OB History S2'!B:B,A17,'OB History S2'!D:D, 0)</f>
        <v>3</v>
      </c>
      <c r="K17" s="88">
        <f>LOOKUP(2, 1/('OB History S2'!$B:$B=A17), 'OB History S2'!$AD:$AD)</f>
        <v>0.25</v>
      </c>
      <c r="L17" s="34">
        <f>SUMIFS('OB History S2'!F:F,'OB History S2'!B:B,A17)</f>
        <v>6</v>
      </c>
      <c r="M17" s="2">
        <f>SUMIFS('OB History S2'!E:E,'OB History S2'!B:B,A17)-L17</f>
        <v>10</v>
      </c>
      <c r="N17" s="88">
        <f>LOOKUP(2, 1/('OB History S2'!$B:$B=A17), 'OB History S2'!$AB:$AB)</f>
        <v>0.35</v>
      </c>
      <c r="O17" s="34">
        <f>SUMIFS('OB History S2'!H:H,'OB History S2'!B:B,A17)</f>
        <v>24</v>
      </c>
      <c r="P17" s="2">
        <f>SUMIFS('OB History S2'!G:G,'OB History S2'!B:B,A17)-O17</f>
        <v>36</v>
      </c>
      <c r="Q17" s="88">
        <f>LOOKUP(2, 1/('OB History S2'!$B:$B=A17), 'OB History S2'!$AC:$AC)</f>
        <v>0.375</v>
      </c>
      <c r="R17" s="2">
        <f>COUNTIFS('OB History S2'!$B:$B,$A$17,'OB History S2'!K:K, 1)</f>
        <v>0</v>
      </c>
      <c r="S17" s="2">
        <f>COUNTIFS('OB History S2'!$B:$B,$A$17,'OB History S2'!L:L, 1)</f>
        <v>0</v>
      </c>
      <c r="T17" s="2">
        <f>COUNTIFS('OB History S2'!$B:$B,$A$17,'OB History S2'!M:M, 1)</f>
        <v>0</v>
      </c>
      <c r="U17" s="2">
        <f>COUNTIFS('OB History S2'!$B:$B,$A$17,'OB History S2'!N:N, 1)</f>
        <v>1</v>
      </c>
      <c r="V17" s="2">
        <f>COUNTIFS('OB History S2'!$B:$B,$A$17,'OB History S2'!O:O, 1)</f>
        <v>0</v>
      </c>
      <c r="W17" s="2">
        <f>COUNTIFS('OB History S2'!$B:$B,$A$17,'OB History S2'!P:P, 1)</f>
        <v>1</v>
      </c>
      <c r="X17" s="2">
        <f>COUNTIFS('OB History S2'!$B:$B,$A$17,'OB History S2'!Q:Q, 1)</f>
        <v>0</v>
      </c>
      <c r="Y17" s="2">
        <f>COUNTIFS('OB History S2'!$B:$B,$A$17,'OB History S2'!R:R, 1)</f>
        <v>0</v>
      </c>
      <c r="Z17" s="2">
        <f>COUNTIFS('OB History S2'!$B:$B,$A$17,'OB History S2'!S:S, 1)</f>
        <v>0</v>
      </c>
      <c r="AA17" s="2">
        <f>COUNTIFS('OB History S2'!$B:$B,$A$17,'OB History S2'!T:T, 1)</f>
        <v>0</v>
      </c>
      <c r="AB17" s="2">
        <f>COUNTIFS('OB History S2'!$B:$B,$A$17,'OB History S2'!U:U, 1)</f>
        <v>0</v>
      </c>
      <c r="AC17" s="2">
        <f>COUNTIFS('OB History S2'!$B:$B,$A$17,'OB History S2'!V:V, 1)</f>
        <v>0</v>
      </c>
      <c r="AD17" s="2">
        <f>COUNTIFS('OB History S2'!$B:$B,$A$17,'OB History S2'!W:W, 1)</f>
        <v>2</v>
      </c>
      <c r="AE17" s="2">
        <f>COUNTIFS('OB History S2'!$B:$B,$A$17,'OB History S2'!X:X, 1)</f>
        <v>0</v>
      </c>
      <c r="AF17" s="2">
        <f>COUNTIFS('OB History S2'!$B:$B,$A$17,'OB History S2'!Y:Y, 1)</f>
        <v>2</v>
      </c>
      <c r="AG17" s="2">
        <f>COUNTIFS('OB History S2'!$B:$B,$A$17,'OB History S2'!Z:Z, 1)</f>
        <v>0</v>
      </c>
    </row>
    <row r="18" spans="1:33" x14ac:dyDescent="0.25">
      <c r="A18" s="1" t="s">
        <v>150</v>
      </c>
      <c r="B18" s="2" t="s">
        <v>79</v>
      </c>
      <c r="C18" s="2" t="s">
        <v>79</v>
      </c>
      <c r="D18" s="2">
        <v>1</v>
      </c>
      <c r="E18" s="2"/>
      <c r="F18" s="34">
        <f>SUMIFS('OB History S2'!C:C,'OB History S2'!B:B,A18)</f>
        <v>109</v>
      </c>
      <c r="G18" s="4">
        <f>AVERAGEIFS('OB History S2'!C:C,'OB History S2'!B:B,A18)</f>
        <v>18.166666666666668</v>
      </c>
      <c r="H18" s="35">
        <f t="array" ref="H18">MAX(IF('OB History S2'!B:B=A18, 'OB History S2'!C:C))</f>
        <v>26</v>
      </c>
      <c r="I18" s="34">
        <f>COUNTIFS('OB History S2'!B:B,A18,'OB History S2'!D:D, 1)</f>
        <v>5</v>
      </c>
      <c r="J18" s="2">
        <f>COUNTIFS('OB History S2'!B:B,A18,'OB History S2'!D:D, 0)</f>
        <v>1</v>
      </c>
      <c r="K18" s="88">
        <f>LOOKUP(2, 1/('OB History S2'!$B:$B=A18), 'OB History S2'!$AD:$AD)</f>
        <v>0.83333333333333337</v>
      </c>
      <c r="L18" s="34">
        <f>SUMIFS('OB History S2'!F:F,'OB History S2'!B:B,A18)</f>
        <v>17</v>
      </c>
      <c r="M18" s="2">
        <f>SUMIFS('OB History S2'!E:E,'OB History S2'!B:B,A18)-L18</f>
        <v>8</v>
      </c>
      <c r="N18" s="88">
        <f>LOOKUP(2, 1/('OB History S2'!$B:$B=A18), 'OB History S2'!$AB:$AB)</f>
        <v>0.70833333333333337</v>
      </c>
      <c r="O18" s="34">
        <f>SUMIFS('OB History S2'!H:H,'OB History S2'!B:B,A18)</f>
        <v>62</v>
      </c>
      <c r="P18" s="2">
        <f>SUMIFS('OB History S2'!G:G,'OB History S2'!B:B,A18)-O18</f>
        <v>37</v>
      </c>
      <c r="Q18" s="88">
        <f>LOOKUP(2, 1/('OB History S2'!$B:$B=A18), 'OB History S2'!$AC:$AC)</f>
        <v>0.64333333333333331</v>
      </c>
      <c r="R18" s="2">
        <f>COUNTIFS('OB History S2'!$B:$B,$A$18,'OB History S2'!K:K, 1)</f>
        <v>0</v>
      </c>
      <c r="S18" s="2">
        <f>COUNTIFS('OB History S2'!$B:$B,$A$18,'OB History S2'!L:L, 1)</f>
        <v>0</v>
      </c>
      <c r="T18" s="2">
        <f>COUNTIFS('OB History S2'!$B:$B,$A$18,'OB History S2'!M:M, 1)</f>
        <v>1</v>
      </c>
      <c r="U18" s="2">
        <f>COUNTIFS('OB History S2'!$B:$B,$A$18,'OB History S2'!N:N, 1)</f>
        <v>2</v>
      </c>
      <c r="V18" s="2">
        <f>COUNTIFS('OB History S2'!$B:$B,$A$18,'OB History S2'!O:O, 1)</f>
        <v>0</v>
      </c>
      <c r="W18" s="2">
        <f>COUNTIFS('OB History S2'!$B:$B,$A$18,'OB History S2'!P:P, 1)</f>
        <v>2</v>
      </c>
      <c r="X18" s="2">
        <f>COUNTIFS('OB History S2'!$B:$B,$A$18,'OB History S2'!Q:Q, 1)</f>
        <v>1</v>
      </c>
      <c r="Y18" s="2">
        <f>COUNTIFS('OB History S2'!$B:$B,$A$18,'OB History S2'!R:R, 1)</f>
        <v>1</v>
      </c>
      <c r="Z18" s="2">
        <f>COUNTIFS('OB History S2'!$B:$B,$A$18,'OB History S2'!S:S, 1)</f>
        <v>0</v>
      </c>
      <c r="AA18" s="2">
        <f>COUNTIFS('OB History S2'!$B:$B,$A$18,'OB History S2'!T:T, 1)</f>
        <v>0</v>
      </c>
      <c r="AB18" s="2">
        <f>COUNTIFS('OB History S2'!$B:$B,$A$18,'OB History S2'!U:U, 1)</f>
        <v>1</v>
      </c>
      <c r="AC18" s="2">
        <f>COUNTIFS('OB History S2'!$B:$B,$A$18,'OB History S2'!V:V, 1)</f>
        <v>0</v>
      </c>
      <c r="AD18" s="2">
        <f>COUNTIFS('OB History S2'!$B:$B,$A$18,'OB History S2'!W:W, 1)</f>
        <v>3</v>
      </c>
      <c r="AE18" s="2">
        <f>COUNTIFS('OB History S2'!$B:$B,$A$18,'OB History S2'!X:X, 1)</f>
        <v>2</v>
      </c>
      <c r="AF18" s="2">
        <f>COUNTIFS('OB History S2'!$B:$B,$A$18,'OB History S2'!Y:Y, 1)</f>
        <v>4</v>
      </c>
      <c r="AG18" s="2">
        <f>COUNTIFS('OB History S2'!$B:$B,$A$18,'OB History S2'!Z:Z, 1)</f>
        <v>0</v>
      </c>
    </row>
    <row r="19" spans="1:33" x14ac:dyDescent="0.25">
      <c r="A19" s="2" t="s">
        <v>29</v>
      </c>
      <c r="B19" s="6" t="s">
        <v>156</v>
      </c>
      <c r="C19" s="2" t="s">
        <v>79</v>
      </c>
      <c r="D19" s="2">
        <v>1</v>
      </c>
      <c r="E19" s="2"/>
      <c r="F19" s="34">
        <f>SUMIFS('OB History S2'!C:C,'OB History S2'!B:B,A19)</f>
        <v>196</v>
      </c>
      <c r="G19" s="4">
        <f>AVERAGEIFS('OB History S2'!C:C,'OB History S2'!B:B,A19)</f>
        <v>14</v>
      </c>
      <c r="H19" s="35">
        <f t="array" ref="H19">MAX(IF('OB History S2'!B:B=A19, 'OB History S2'!C:C))</f>
        <v>41</v>
      </c>
      <c r="I19" s="34">
        <f>COUNTIFS('OB History S2'!B:B,A19,'OB History S2'!D:D, 1)</f>
        <v>4</v>
      </c>
      <c r="J19" s="2">
        <f>COUNTIFS('OB History S2'!B:B,A19,'OB History S2'!D:D, 0)</f>
        <v>10</v>
      </c>
      <c r="K19" s="88">
        <f>LOOKUP(2, 1/('OB History S2'!$B:$B=A19), 'OB History S2'!$AD:$AD)</f>
        <v>0.2857142857142857</v>
      </c>
      <c r="L19" s="34">
        <f>SUMIFS('OB History S2'!F:F,'OB History S2'!B:B,A19)</f>
        <v>21</v>
      </c>
      <c r="M19" s="2">
        <f>SUMIFS('OB History S2'!E:E,'OB History S2'!B:B,A19)-L19</f>
        <v>32</v>
      </c>
      <c r="N19" s="88">
        <f>LOOKUP(2, 1/('OB History S2'!$B:$B=A19), 'OB History S2'!$AB:$AB)</f>
        <v>0.38928571428571423</v>
      </c>
      <c r="O19" s="34">
        <f>SUMIFS('OB History S2'!H:H,'OB History S2'!B:B,A19)</f>
        <v>99</v>
      </c>
      <c r="P19" s="2">
        <f>SUMIFS('OB History S2'!G:G,'OB History S2'!B:B,A19)-O19</f>
        <v>115</v>
      </c>
      <c r="Q19" s="88">
        <f>LOOKUP(2, 1/('OB History S2'!$B:$B=A19), 'OB History S2'!$AC:$AC)</f>
        <v>0.46500000000000002</v>
      </c>
      <c r="R19" s="2">
        <f>COUNTIFS('OB History S2'!$B:$B,$A$19,'OB History S2'!K:K, 1)</f>
        <v>2</v>
      </c>
      <c r="S19" s="2">
        <f>COUNTIFS('OB History S2'!$B:$B,$A$19,'OB History S2'!L:L, 1)</f>
        <v>1</v>
      </c>
      <c r="T19" s="2">
        <f>COUNTIFS('OB History S2'!$B:$B,$A$19,'OB History S2'!M:M, 1)</f>
        <v>0</v>
      </c>
      <c r="U19" s="2">
        <f>COUNTIFS('OB History S2'!$B:$B,$A$19,'OB History S2'!N:N, 1)</f>
        <v>1</v>
      </c>
      <c r="V19" s="2">
        <f>COUNTIFS('OB History S2'!$B:$B,$A$19,'OB History S2'!O:O, 1)</f>
        <v>0</v>
      </c>
      <c r="W19" s="2">
        <f>COUNTIFS('OB History S2'!$B:$B,$A$19,'OB History S2'!P:P, 1)</f>
        <v>3</v>
      </c>
      <c r="X19" s="2">
        <f>COUNTIFS('OB History S2'!$B:$B,$A$19,'OB History S2'!Q:Q, 1)</f>
        <v>0</v>
      </c>
      <c r="Y19" s="2">
        <f>COUNTIFS('OB History S2'!$B:$B,$A$19,'OB History S2'!R:R, 1)</f>
        <v>0</v>
      </c>
      <c r="Z19" s="2">
        <f>COUNTIFS('OB History S2'!$B:$B,$A$19,'OB History S2'!S:S, 1)</f>
        <v>0</v>
      </c>
      <c r="AA19" s="2">
        <f>COUNTIFS('OB History S2'!$B:$B,$A$19,'OB History S2'!T:T, 1)</f>
        <v>0</v>
      </c>
      <c r="AB19" s="2">
        <f>COUNTIFS('OB History S2'!$B:$B,$A$19,'OB History S2'!U:U, 1)</f>
        <v>0</v>
      </c>
      <c r="AC19" s="2">
        <f>COUNTIFS('OB History S2'!$B:$B,$A$19,'OB History S2'!V:V, 1)</f>
        <v>1</v>
      </c>
      <c r="AD19" s="2">
        <f>COUNTIFS('OB History S2'!$B:$B,$A$19,'OB History S2'!W:W, 1)</f>
        <v>5</v>
      </c>
      <c r="AE19" s="2">
        <f>COUNTIFS('OB History S2'!$B:$B,$A$19,'OB History S2'!X:X, 1)</f>
        <v>3</v>
      </c>
      <c r="AF19" s="2">
        <f>COUNTIFS('OB History S2'!$B:$B,$A$19,'OB History S2'!Y:Y, 1)</f>
        <v>4</v>
      </c>
      <c r="AG19" s="2">
        <f>COUNTIFS('OB History S2'!$B:$B,$A$19,'OB History S2'!Z:Z, 1)</f>
        <v>1</v>
      </c>
    </row>
    <row r="20" spans="1:33" x14ac:dyDescent="0.25">
      <c r="A20" s="2" t="s">
        <v>28</v>
      </c>
      <c r="B20" s="6" t="s">
        <v>60</v>
      </c>
      <c r="C20" s="2" t="s">
        <v>79</v>
      </c>
      <c r="D20" s="2"/>
      <c r="E20" s="2"/>
      <c r="F20" s="34">
        <f>SUMIFS('OB History S2'!C:C,'OB History S2'!B:B,A20)</f>
        <v>18</v>
      </c>
      <c r="G20" s="4">
        <f>AVERAGEIFS('OB History S2'!C:C,'OB History S2'!B:B,A20)</f>
        <v>9</v>
      </c>
      <c r="H20" s="35">
        <f t="array" ref="H20">MAX(IF('OB History S2'!B:B=A20, 'OB History S2'!C:C))</f>
        <v>16</v>
      </c>
      <c r="I20" s="34">
        <f>COUNTIFS('OB History S2'!B:B,A20,'OB History S2'!D:D, 1)</f>
        <v>1</v>
      </c>
      <c r="J20" s="2">
        <f>COUNTIFS('OB History S2'!B:B,A20,'OB History S2'!D:D, 0)</f>
        <v>1</v>
      </c>
      <c r="K20" s="88">
        <f>LOOKUP(2, 1/('OB History S2'!$B:$B=A20), 'OB History S2'!$AD:$AD)</f>
        <v>0.5</v>
      </c>
      <c r="L20" s="34">
        <f>SUMIFS('OB History S2'!F:F,'OB History S2'!B:B,A20)</f>
        <v>4</v>
      </c>
      <c r="M20" s="2">
        <f>SUMIFS('OB History S2'!E:E,'OB History S2'!B:B,A20)-L20</f>
        <v>4</v>
      </c>
      <c r="N20" s="88">
        <f>LOOKUP(2, 1/('OB History S2'!$B:$B=A20), 'OB History S2'!$AB:$AB)</f>
        <v>0.5</v>
      </c>
      <c r="O20" s="34">
        <f>SUMIFS('OB History S2'!H:H,'OB History S2'!B:B,A20)</f>
        <v>15</v>
      </c>
      <c r="P20" s="2">
        <f>SUMIFS('OB History S2'!G:G,'OB History S2'!B:B,A20)-O20</f>
        <v>15</v>
      </c>
      <c r="Q20" s="88">
        <f>LOOKUP(2, 1/('OB History S2'!$B:$B=A20), 'OB History S2'!$AC:$AC)</f>
        <v>0.51</v>
      </c>
      <c r="R20" s="2">
        <f>COUNTIFS('OB History S2'!$B:$B,$A$20,'OB History S2'!K:K, 1)</f>
        <v>0</v>
      </c>
      <c r="S20" s="2">
        <f>COUNTIFS('OB History S2'!$B:$B,$A$20,'OB History S2'!L:L, 1)</f>
        <v>1</v>
      </c>
      <c r="T20" s="2">
        <f>COUNTIFS('OB History S2'!$B:$B,$A$20,'OB History S2'!M:M, 1)</f>
        <v>0</v>
      </c>
      <c r="U20" s="2">
        <f>COUNTIFS('OB History S2'!$B:$B,$A$20,'OB History S2'!N:N, 1)</f>
        <v>0</v>
      </c>
      <c r="V20" s="2">
        <f>COUNTIFS('OB History S2'!$B:$B,$A$20,'OB History S2'!O:O, 1)</f>
        <v>0</v>
      </c>
      <c r="W20" s="2">
        <f>COUNTIFS('OB History S2'!$B:$B,$A$20,'OB History S2'!P:P, 1)</f>
        <v>0</v>
      </c>
      <c r="X20" s="2">
        <f>COUNTIFS('OB History S2'!$B:$B,$A$20,'OB History S2'!Q:Q, 1)</f>
        <v>1</v>
      </c>
      <c r="Y20" s="2">
        <f>COUNTIFS('OB History S2'!$B:$B,$A$20,'OB History S2'!R:R, 1)</f>
        <v>0</v>
      </c>
      <c r="Z20" s="2">
        <f>COUNTIFS('OB History S2'!$B:$B,$A$20,'OB History S2'!S:S, 1)</f>
        <v>0</v>
      </c>
      <c r="AA20" s="2">
        <f>COUNTIFS('OB History S2'!$B:$B,$A$20,'OB History S2'!T:T, 1)</f>
        <v>0</v>
      </c>
      <c r="AB20" s="2">
        <f>COUNTIFS('OB History S2'!$B:$B,$A$20,'OB History S2'!U:U, 1)</f>
        <v>0</v>
      </c>
      <c r="AC20" s="2">
        <f>COUNTIFS('OB History S2'!$B:$B,$A$20,'OB History S2'!V:V, 1)</f>
        <v>0</v>
      </c>
      <c r="AD20" s="2">
        <f>COUNTIFS('OB History S2'!$B:$B,$A$20,'OB History S2'!W:W, 1)</f>
        <v>0</v>
      </c>
      <c r="AE20" s="2">
        <f>COUNTIFS('OB History S2'!$B:$B,$A$20,'OB History S2'!X:X, 1)</f>
        <v>2</v>
      </c>
      <c r="AF20" s="2">
        <f>COUNTIFS('OB History S2'!$B:$B,$A$20,'OB History S2'!Y:Y, 1)</f>
        <v>0</v>
      </c>
      <c r="AG20" s="2">
        <f>COUNTIFS('OB History S2'!$B:$B,$A$20,'OB History S2'!Z:Z, 1)</f>
        <v>0</v>
      </c>
    </row>
    <row r="21" spans="1:33" x14ac:dyDescent="0.25">
      <c r="A21" s="2" t="s">
        <v>139</v>
      </c>
      <c r="B21" s="6" t="s">
        <v>79</v>
      </c>
      <c r="C21" s="2" t="s">
        <v>79</v>
      </c>
      <c r="D21" s="2"/>
      <c r="E21" s="2"/>
      <c r="F21" s="34">
        <f>SUMIFS('OB History S2'!C:C,'OB History S2'!B:B,A21)</f>
        <v>93</v>
      </c>
      <c r="G21" s="4">
        <f>AVERAGEIFS('OB History S2'!C:C,'OB History S2'!B:B,A21)</f>
        <v>10.333333333333334</v>
      </c>
      <c r="H21" s="35">
        <f t="array" ref="H21">MAX(IF('OB History S2'!B:B=A21, 'OB History S2'!C:C))</f>
        <v>17</v>
      </c>
      <c r="I21" s="34">
        <f>COUNTIFS('OB History S2'!B:B,A21,'OB History S2'!D:D, 1)</f>
        <v>6</v>
      </c>
      <c r="J21" s="2">
        <f>COUNTIFS('OB History S2'!B:B,A21,'OB History S2'!D:D, 0)</f>
        <v>3</v>
      </c>
      <c r="K21" s="88">
        <f>LOOKUP(2, 1/('OB History S2'!$B:$B=A21), 'OB History S2'!$AD:$AD)</f>
        <v>0.66666666666666663</v>
      </c>
      <c r="L21" s="34">
        <f>SUMIFS('OB History S2'!F:F,'OB History S2'!B:B,A21)</f>
        <v>21</v>
      </c>
      <c r="M21" s="2">
        <f>SUMIFS('OB History S2'!E:E,'OB History S2'!B:B,A21)-L21</f>
        <v>17</v>
      </c>
      <c r="N21" s="88">
        <f>LOOKUP(2, 1/('OB History S2'!$B:$B=A21), 'OB History S2'!$AB:$AB)</f>
        <v>0.55000000000000004</v>
      </c>
      <c r="O21" s="34">
        <f>SUMIFS('OB History S2'!H:H,'OB History S2'!B:B,A21)</f>
        <v>76</v>
      </c>
      <c r="P21" s="2">
        <f>SUMIFS('OB History S2'!G:G,'OB History S2'!B:B,A21)-O21</f>
        <v>71</v>
      </c>
      <c r="Q21" s="88">
        <f>LOOKUP(2, 1/('OB History S2'!$B:$B=A21), 'OB History S2'!$AC:$AC)</f>
        <v>0.52111111111111108</v>
      </c>
      <c r="R21" s="2">
        <f>COUNTIFS('OB History S2'!$B:$B,$A$21,'OB History S2'!K:K, 1)</f>
        <v>1</v>
      </c>
      <c r="S21" s="2">
        <f>COUNTIFS('OB History S2'!$B:$B,$A$21,'OB History S2'!L:L, 1)</f>
        <v>4</v>
      </c>
      <c r="T21" s="2">
        <f>COUNTIFS('OB History S2'!$B:$B,$A$21,'OB History S2'!M:M, 1)</f>
        <v>0</v>
      </c>
      <c r="U21" s="2">
        <f>COUNTIFS('OB History S2'!$B:$B,$A$21,'OB History S2'!N:N, 1)</f>
        <v>2</v>
      </c>
      <c r="V21" s="2">
        <f>COUNTIFS('OB History S2'!$B:$B,$A$21,'OB History S2'!O:O, 1)</f>
        <v>0</v>
      </c>
      <c r="W21" s="2">
        <f>COUNTIFS('OB History S2'!$B:$B,$A$21,'OB History S2'!P:P, 1)</f>
        <v>1</v>
      </c>
      <c r="X21" s="2">
        <f>COUNTIFS('OB History S2'!$B:$B,$A$21,'OB History S2'!Q:Q, 1)</f>
        <v>2</v>
      </c>
      <c r="Y21" s="2">
        <f>COUNTIFS('OB History S2'!$B:$B,$A$21,'OB History S2'!R:R, 1)</f>
        <v>2</v>
      </c>
      <c r="Z21" s="2">
        <f>COUNTIFS('OB History S2'!$B:$B,$A$21,'OB History S2'!S:S, 1)</f>
        <v>0</v>
      </c>
      <c r="AA21" s="2">
        <f>COUNTIFS('OB History S2'!$B:$B,$A$21,'OB History S2'!T:T, 1)</f>
        <v>0</v>
      </c>
      <c r="AB21" s="2">
        <f>COUNTIFS('OB History S2'!$B:$B,$A$21,'OB History S2'!U:U, 1)</f>
        <v>0</v>
      </c>
      <c r="AC21" s="2">
        <f>COUNTIFS('OB History S2'!$B:$B,$A$21,'OB History S2'!V:V, 1)</f>
        <v>0</v>
      </c>
      <c r="AD21" s="2">
        <f>COUNTIFS('OB History S2'!$B:$B,$A$21,'OB History S2'!W:W, 1)</f>
        <v>0</v>
      </c>
      <c r="AE21" s="2">
        <f>COUNTIFS('OB History S2'!$B:$B,$A$21,'OB History S2'!X:X, 1)</f>
        <v>4</v>
      </c>
      <c r="AF21" s="2">
        <f>COUNTIFS('OB History S2'!$B:$B,$A$21,'OB History S2'!Y:Y, 1)</f>
        <v>2</v>
      </c>
      <c r="AG21" s="2">
        <f>COUNTIFS('OB History S2'!$B:$B,$A$21,'OB History S2'!Z:Z, 1)</f>
        <v>3</v>
      </c>
    </row>
    <row r="22" spans="1:33" ht="15.75" x14ac:dyDescent="0.25">
      <c r="A22" s="2" t="s">
        <v>20</v>
      </c>
      <c r="B22" s="80" t="s">
        <v>60</v>
      </c>
      <c r="C22" s="2" t="s">
        <v>79</v>
      </c>
      <c r="D22" s="2"/>
      <c r="E22" s="2"/>
      <c r="F22" s="34">
        <f>SUMIFS('OB History S2'!C:C,'OB History S2'!B:B,A22)</f>
        <v>85</v>
      </c>
      <c r="G22" s="4">
        <f>AVERAGEIFS('OB History S2'!C:C,'OB History S2'!B:B,A22)</f>
        <v>12.142857142857142</v>
      </c>
      <c r="H22" s="35">
        <f t="array" ref="H22">MAX(IF('OB History S2'!B:B=A22, 'OB History S2'!C:C))</f>
        <v>28</v>
      </c>
      <c r="I22" s="34">
        <f>COUNTIFS('OB History S2'!B:B,A22,'OB History S2'!D:D, 1)</f>
        <v>3</v>
      </c>
      <c r="J22" s="2">
        <f>COUNTIFS('OB History S2'!B:B,A22,'OB History S2'!D:D, 0)</f>
        <v>4</v>
      </c>
      <c r="K22" s="88">
        <f>LOOKUP(2, 1/('OB History S2'!$B:$B=A22), 'OB History S2'!$AD:$AD)</f>
        <v>0.42857142857142855</v>
      </c>
      <c r="L22" s="34">
        <f>SUMIFS('OB History S2'!F:F,'OB History S2'!B:B,A22)</f>
        <v>14</v>
      </c>
      <c r="M22" s="2">
        <f>SUMIFS('OB History S2'!E:E,'OB History S2'!B:B,A22)-L22</f>
        <v>14</v>
      </c>
      <c r="N22" s="88">
        <f>LOOKUP(2, 1/('OB History S2'!$B:$B=A22), 'OB History S2'!$AB:$AB)</f>
        <v>0.50714285714285712</v>
      </c>
      <c r="O22" s="34">
        <f>SUMIFS('OB History S2'!H:H,'OB History S2'!B:B,A22)</f>
        <v>62</v>
      </c>
      <c r="P22" s="2">
        <f>SUMIFS('OB History S2'!G:G,'OB History S2'!B:B,A22)-O22</f>
        <v>57</v>
      </c>
      <c r="Q22" s="88">
        <f>LOOKUP(2, 1/('OB History S2'!$B:$B=A22), 'OB History S2'!$AC:$AC)</f>
        <v>0.52142857142857146</v>
      </c>
      <c r="R22" s="2">
        <f>COUNTIFS('OB History S2'!$B:$B,$A$22,'OB History S2'!K:K, 1)</f>
        <v>2</v>
      </c>
      <c r="S22" s="2">
        <f>COUNTIFS('OB History S2'!$B:$B,$A$22,'OB History S2'!L:L, 1)</f>
        <v>1</v>
      </c>
      <c r="T22" s="2">
        <f>COUNTIFS('OB History S2'!$B:$B,$A$22,'OB History S2'!M:M, 1)</f>
        <v>1</v>
      </c>
      <c r="U22" s="2">
        <f>COUNTIFS('OB History S2'!$B:$B,$A$22,'OB History S2'!N:N, 1)</f>
        <v>2</v>
      </c>
      <c r="V22" s="2">
        <f>COUNTIFS('OB History S2'!$B:$B,$A$22,'OB History S2'!O:O, 1)</f>
        <v>0</v>
      </c>
      <c r="W22" s="2">
        <f>COUNTIFS('OB History S2'!$B:$B,$A$22,'OB History S2'!P:P, 1)</f>
        <v>2</v>
      </c>
      <c r="X22" s="2">
        <f>COUNTIFS('OB History S2'!$B:$B,$A$22,'OB History S2'!Q:Q, 1)</f>
        <v>0</v>
      </c>
      <c r="Y22" s="2">
        <f>COUNTIFS('OB History S2'!$B:$B,$A$22,'OB History S2'!R:R, 1)</f>
        <v>1</v>
      </c>
      <c r="Z22" s="2">
        <f>COUNTIFS('OB History S2'!$B:$B,$A$22,'OB History S2'!S:S, 1)</f>
        <v>0</v>
      </c>
      <c r="AA22" s="2">
        <f>COUNTIFS('OB History S2'!$B:$B,$A$22,'OB History S2'!T:T, 1)</f>
        <v>0</v>
      </c>
      <c r="AB22" s="2">
        <f>COUNTIFS('OB History S2'!$B:$B,$A$22,'OB History S2'!U:U, 1)</f>
        <v>0</v>
      </c>
      <c r="AC22" s="2">
        <f>COUNTIFS('OB History S2'!$B:$B,$A$22,'OB History S2'!V:V, 1)</f>
        <v>0</v>
      </c>
      <c r="AD22" s="2">
        <f>COUNTIFS('OB History S2'!$B:$B,$A$22,'OB History S2'!W:W, 1)</f>
        <v>0</v>
      </c>
      <c r="AE22" s="2">
        <f>COUNTIFS('OB History S2'!$B:$B,$A$22,'OB History S2'!X:X, 1)</f>
        <v>1</v>
      </c>
      <c r="AF22" s="2">
        <f>COUNTIFS('OB History S2'!$B:$B,$A$22,'OB History S2'!Y:Y, 1)</f>
        <v>2</v>
      </c>
      <c r="AG22" s="2">
        <f>COUNTIFS('OB History S2'!$B:$B,$A$22,'OB History S2'!Z:Z, 1)</f>
        <v>2</v>
      </c>
    </row>
    <row r="23" spans="1:33" x14ac:dyDescent="0.25">
      <c r="A23" s="1" t="s">
        <v>47</v>
      </c>
      <c r="B23" s="2" t="s">
        <v>79</v>
      </c>
      <c r="C23" s="2" t="s">
        <v>79</v>
      </c>
      <c r="D23" s="2"/>
      <c r="E23" s="2"/>
      <c r="F23" s="34">
        <f>SUMIFS('OB History S2'!C:C,'OB History S2'!B:B,A23)</f>
        <v>9</v>
      </c>
      <c r="G23" s="4">
        <f>AVERAGEIFS('OB History S2'!C:C,'OB History S2'!B:B,A23)</f>
        <v>9</v>
      </c>
      <c r="H23" s="35">
        <f t="array" ref="H23">MAX(IF('OB History S2'!B:B=A23, 'OB History S2'!C:C))</f>
        <v>9</v>
      </c>
      <c r="I23" s="34">
        <f>COUNTIFS('OB History S2'!B:B,A23,'OB History S2'!D:D, 1)</f>
        <v>0</v>
      </c>
      <c r="J23" s="2">
        <f>COUNTIFS('OB History S2'!B:B,A23,'OB History S2'!D:D, 0)</f>
        <v>1</v>
      </c>
      <c r="K23" s="88">
        <f>LOOKUP(2, 1/('OB History S2'!$B:$B=A23), 'OB History S2'!$AD:$AD)</f>
        <v>0</v>
      </c>
      <c r="L23" s="34">
        <f>SUMIFS('OB History S2'!F:F,'OB History S2'!B:B,A23)</f>
        <v>2</v>
      </c>
      <c r="M23" s="2">
        <f>SUMIFS('OB History S2'!E:E,'OB History S2'!B:B,A23)-L23</f>
        <v>3</v>
      </c>
      <c r="N23" s="88">
        <f>LOOKUP(2, 1/('OB History S2'!$B:$B=A23), 'OB History S2'!$AB:$AB)</f>
        <v>0.4</v>
      </c>
      <c r="O23" s="34">
        <f>SUMIFS('OB History S2'!H:H,'OB History S2'!B:B,A23)</f>
        <v>10</v>
      </c>
      <c r="P23" s="2">
        <f>SUMIFS('OB History S2'!G:G,'OB History S2'!B:B,A23)-O23</f>
        <v>11</v>
      </c>
      <c r="Q23" s="88">
        <f>LOOKUP(2, 1/('OB History S2'!$B:$B=A23), 'OB History S2'!$AC:$AC)</f>
        <v>0.48</v>
      </c>
      <c r="R23" s="2">
        <f>COUNTIFS('OB History S2'!$B:$B,$A$23,'OB History S2'!K:K, 1)</f>
        <v>1</v>
      </c>
      <c r="S23" s="2">
        <f>COUNTIFS('OB History S2'!$B:$B,$A$23,'OB History S2'!L:L, 1)</f>
        <v>0</v>
      </c>
      <c r="T23" s="2">
        <f>COUNTIFS('OB History S2'!$B:$B,$A$23,'OB History S2'!M:M, 1)</f>
        <v>0</v>
      </c>
      <c r="U23" s="2">
        <f>COUNTIFS('OB History S2'!$B:$B,$A$23,'OB History S2'!N:N, 1)</f>
        <v>0</v>
      </c>
      <c r="V23" s="2">
        <f>COUNTIFS('OB History S2'!$B:$B,$A$23,'OB History S2'!O:O, 1)</f>
        <v>0</v>
      </c>
      <c r="W23" s="2">
        <f>COUNTIFS('OB History S2'!$B:$B,$A$23,'OB History S2'!P:P, 1)</f>
        <v>0</v>
      </c>
      <c r="X23" s="2">
        <f>COUNTIFS('OB History S2'!$B:$B,$A$23,'OB History S2'!Q:Q, 1)</f>
        <v>0</v>
      </c>
      <c r="Y23" s="2">
        <f>COUNTIFS('OB History S2'!$B:$B,$A$23,'OB History S2'!R:R, 1)</f>
        <v>0</v>
      </c>
      <c r="Z23" s="2">
        <f>COUNTIFS('OB History S2'!$B:$B,$A$23,'OB History S2'!S:S, 1)</f>
        <v>0</v>
      </c>
      <c r="AA23" s="2">
        <f>COUNTIFS('OB History S2'!$B:$B,$A$23,'OB History S2'!T:T, 1)</f>
        <v>0</v>
      </c>
      <c r="AB23" s="2">
        <f>COUNTIFS('OB History S2'!$B:$B,$A$23,'OB History S2'!U:U, 1)</f>
        <v>0</v>
      </c>
      <c r="AC23" s="2">
        <f>COUNTIFS('OB History S2'!$B:$B,$A$23,'OB History S2'!V:V, 1)</f>
        <v>0</v>
      </c>
      <c r="AD23" s="2">
        <f>COUNTIFS('OB History S2'!$B:$B,$A$23,'OB History S2'!W:W, 1)</f>
        <v>1</v>
      </c>
      <c r="AE23" s="2">
        <f>COUNTIFS('OB History S2'!$B:$B,$A$23,'OB History S2'!X:X, 1)</f>
        <v>0</v>
      </c>
      <c r="AF23" s="2">
        <f>COUNTIFS('OB History S2'!$B:$B,$A$23,'OB History S2'!Y:Y, 1)</f>
        <v>0</v>
      </c>
      <c r="AG23" s="2">
        <f>COUNTIFS('OB History S2'!$B:$B,$A$23,'OB History S2'!Z:Z, 1)</f>
        <v>0</v>
      </c>
    </row>
    <row r="24" spans="1:33" x14ac:dyDescent="0.25">
      <c r="A24" s="2" t="s">
        <v>148</v>
      </c>
      <c r="B24" s="6" t="s">
        <v>79</v>
      </c>
      <c r="C24" s="6" t="s">
        <v>79</v>
      </c>
      <c r="D24" s="3">
        <v>3</v>
      </c>
      <c r="E24" s="6">
        <v>1</v>
      </c>
      <c r="F24" s="34">
        <f>SUMIFS('OB History S2'!C:C,'OB History S2'!B:B,A24)</f>
        <v>257</v>
      </c>
      <c r="G24" s="4">
        <f>AVERAGEIFS('OB History S2'!C:C,'OB History S2'!B:B,A24)</f>
        <v>13.526315789473685</v>
      </c>
      <c r="H24" s="35">
        <f t="array" ref="H24">MAX(IF('OB History S2'!B:B=A24, 'OB History S2'!C:C))</f>
        <v>23</v>
      </c>
      <c r="I24" s="34">
        <f>COUNTIFS('OB History S2'!B:B,A24,'OB History S2'!D:D, 1)</f>
        <v>12</v>
      </c>
      <c r="J24" s="2">
        <f>COUNTIFS('OB History S2'!B:B,A24,'OB History S2'!D:D, 0)</f>
        <v>7</v>
      </c>
      <c r="K24" s="88">
        <f>LOOKUP(2, 1/('OB History S2'!$B:$B=A24), 'OB History S2'!$AD:$AD)</f>
        <v>0.63157894736842102</v>
      </c>
      <c r="L24" s="34">
        <f>SUMIFS('OB History S2'!F:F,'OB History S2'!B:B,A24)</f>
        <v>43</v>
      </c>
      <c r="M24" s="2">
        <f>SUMIFS('OB History S2'!E:E,'OB History S2'!B:B,A24)-L24</f>
        <v>31</v>
      </c>
      <c r="N24" s="88">
        <f>LOOKUP(2, 1/('OB History S2'!$B:$B=A24), 'OB History S2'!$AB:$AB)</f>
        <v>0.60789473684210527</v>
      </c>
      <c r="O24" s="34">
        <f>SUMIFS('OB History S2'!H:H,'OB History S2'!B:B,A24)</f>
        <v>158</v>
      </c>
      <c r="P24" s="2">
        <f>SUMIFS('OB History S2'!G:G,'OB History S2'!B:B,A24)-O24</f>
        <v>140</v>
      </c>
      <c r="Q24" s="88">
        <f>LOOKUP(2, 1/('OB History S2'!$B:$B=A24), 'OB History S2'!$AC:$AC)</f>
        <v>0.54157894736842105</v>
      </c>
      <c r="R24" s="2">
        <f>COUNTIFS('OB History S2'!$B:$B,$A$24,'OB History S2'!K:K, 1)</f>
        <v>1</v>
      </c>
      <c r="S24" s="2">
        <f>COUNTIFS('OB History S2'!$B:$B,$A$24,'OB History S2'!L:L, 1)</f>
        <v>5</v>
      </c>
      <c r="T24" s="2">
        <f>COUNTIFS('OB History S2'!$B:$B,$A$24,'OB History S2'!M:M, 1)</f>
        <v>1</v>
      </c>
      <c r="U24" s="2">
        <f>COUNTIFS('OB History S2'!$B:$B,$A$24,'OB History S2'!N:N, 1)</f>
        <v>4</v>
      </c>
      <c r="V24" s="2">
        <f>COUNTIFS('OB History S2'!$B:$B,$A$24,'OB History S2'!O:O, 1)</f>
        <v>0</v>
      </c>
      <c r="W24" s="2">
        <f>COUNTIFS('OB History S2'!$B:$B,$A$24,'OB History S2'!P:P, 1)</f>
        <v>2</v>
      </c>
      <c r="X24" s="2">
        <f>COUNTIFS('OB History S2'!$B:$B,$A$24,'OB History S2'!Q:Q, 1)</f>
        <v>1</v>
      </c>
      <c r="Y24" s="2">
        <f>COUNTIFS('OB History S2'!$B:$B,$A$24,'OB History S2'!R:R, 1)</f>
        <v>2</v>
      </c>
      <c r="Z24" s="2">
        <f>COUNTIFS('OB History S2'!$B:$B,$A$24,'OB History S2'!S:S, 1)</f>
        <v>1</v>
      </c>
      <c r="AA24" s="2">
        <f>COUNTIFS('OB History S2'!$B:$B,$A$24,'OB History S2'!T:T, 1)</f>
        <v>1</v>
      </c>
      <c r="AB24" s="2">
        <f>COUNTIFS('OB History S2'!$B:$B,$A$24,'OB History S2'!U:U, 1)</f>
        <v>1</v>
      </c>
      <c r="AC24" s="2">
        <f>COUNTIFS('OB History S2'!$B:$B,$A$24,'OB History S2'!V:V, 1)</f>
        <v>1</v>
      </c>
      <c r="AD24" s="2">
        <f>COUNTIFS('OB History S2'!$B:$B,$A$24,'OB History S2'!W:W, 1)</f>
        <v>3</v>
      </c>
      <c r="AE24" s="2">
        <f>COUNTIFS('OB History S2'!$B:$B,$A$24,'OB History S2'!X:X, 1)</f>
        <v>8</v>
      </c>
      <c r="AF24" s="2">
        <f>COUNTIFS('OB History S2'!$B:$B,$A$24,'OB History S2'!Y:Y, 1)</f>
        <v>6</v>
      </c>
      <c r="AG24" s="2">
        <f>COUNTIFS('OB History S2'!$B:$B,$A$24,'OB History S2'!Z:Z, 1)</f>
        <v>6</v>
      </c>
    </row>
    <row r="25" spans="1:33" x14ac:dyDescent="0.25">
      <c r="A25" s="2" t="s">
        <v>15</v>
      </c>
      <c r="B25" s="2" t="s">
        <v>79</v>
      </c>
      <c r="C25" s="2" t="s">
        <v>79</v>
      </c>
      <c r="D25" s="3"/>
      <c r="E25" s="2"/>
      <c r="F25" s="34">
        <f>SUMIFS('OB History S2'!C:C,'OB History S2'!B:B,A25)</f>
        <v>238</v>
      </c>
      <c r="G25" s="4">
        <f>AVERAGEIFS('OB History S2'!C:C,'OB History S2'!B:B,A25)</f>
        <v>21.636363636363637</v>
      </c>
      <c r="H25" s="35">
        <f t="array" ref="H25">MAX(IF('OB History S2'!B:B=A25, 'OB History S2'!C:C))</f>
        <v>39</v>
      </c>
      <c r="I25" s="34">
        <f>COUNTIFS('OB History S2'!B:B,A25,'OB History S2'!D:D, 1)</f>
        <v>6</v>
      </c>
      <c r="J25" s="2">
        <f>COUNTIFS('OB History S2'!B:B,A25,'OB History S2'!D:D, 0)</f>
        <v>5</v>
      </c>
      <c r="K25" s="88">
        <f>LOOKUP(2, 1/('OB History S2'!$B:$B=A25), 'OB History S2'!$AD:$AD)</f>
        <v>0.54545454545454541</v>
      </c>
      <c r="L25" s="34">
        <f>SUMIFS('OB History S2'!F:F,'OB History S2'!B:B,A25)</f>
        <v>24</v>
      </c>
      <c r="M25" s="2">
        <f>SUMIFS('OB History S2'!E:E,'OB History S2'!B:B,A25)-L25</f>
        <v>20</v>
      </c>
      <c r="N25" s="88">
        <f>LOOKUP(2, 1/('OB History S2'!$B:$B=A25), 'OB History S2'!$AB:$AB)</f>
        <v>0.55909090909090908</v>
      </c>
      <c r="O25" s="34">
        <f>SUMIFS('OB History S2'!H:H,'OB History S2'!B:B,A25)</f>
        <v>95</v>
      </c>
      <c r="P25" s="2">
        <f>SUMIFS('OB History S2'!G:G,'OB History S2'!B:B,A25)-O25</f>
        <v>86</v>
      </c>
      <c r="Q25" s="88">
        <f>LOOKUP(2, 1/('OB History S2'!$B:$B=A25), 'OB History S2'!$AC:$AC)</f>
        <v>0.53363636363636369</v>
      </c>
      <c r="R25" s="2">
        <f>COUNTIFS('OB History S2'!$B:$B,$A$25,'OB History S2'!K:K, 1)</f>
        <v>2</v>
      </c>
      <c r="S25" s="2">
        <f>COUNTIFS('OB History S2'!$B:$B,$A$25,'OB History S2'!L:L, 1)</f>
        <v>2</v>
      </c>
      <c r="T25" s="2">
        <f>COUNTIFS('OB History S2'!$B:$B,$A$25,'OB History S2'!M:M, 1)</f>
        <v>0</v>
      </c>
      <c r="U25" s="2">
        <f>COUNTIFS('OB History S2'!$B:$B,$A$25,'OB History S2'!N:N, 1)</f>
        <v>1</v>
      </c>
      <c r="V25" s="2">
        <f>COUNTIFS('OB History S2'!$B:$B,$A$25,'OB History S2'!O:O, 1)</f>
        <v>0</v>
      </c>
      <c r="W25" s="2">
        <f>COUNTIFS('OB History S2'!$B:$B,$A$25,'OB History S2'!P:P, 1)</f>
        <v>3</v>
      </c>
      <c r="X25" s="2">
        <f>COUNTIFS('OB History S2'!$B:$B,$A$25,'OB History S2'!Q:Q, 1)</f>
        <v>3</v>
      </c>
      <c r="Y25" s="2">
        <f>COUNTIFS('OB History S2'!$B:$B,$A$25,'OB History S2'!R:R, 1)</f>
        <v>1</v>
      </c>
      <c r="Z25" s="2">
        <f>COUNTIFS('OB History S2'!$B:$B,$A$25,'OB History S2'!S:S, 1)</f>
        <v>1</v>
      </c>
      <c r="AA25" s="2">
        <f>COUNTIFS('OB History S2'!$B:$B,$A$25,'OB History S2'!T:T, 1)</f>
        <v>0</v>
      </c>
      <c r="AB25" s="2">
        <f>COUNTIFS('OB History S2'!$B:$B,$A$25,'OB History S2'!U:U, 1)</f>
        <v>1</v>
      </c>
      <c r="AC25" s="2">
        <f>COUNTIFS('OB History S2'!$B:$B,$A$25,'OB History S2'!V:V, 1)</f>
        <v>1</v>
      </c>
      <c r="AD25" s="2">
        <f>COUNTIFS('OB History S2'!$B:$B,$A$25,'OB History S2'!W:W, 1)</f>
        <v>1</v>
      </c>
      <c r="AE25" s="2">
        <f>COUNTIFS('OB History S2'!$B:$B,$A$25,'OB History S2'!X:X, 1)</f>
        <v>4</v>
      </c>
      <c r="AF25" s="2">
        <f>COUNTIFS('OB History S2'!$B:$B,$A$25,'OB History S2'!Y:Y, 1)</f>
        <v>3</v>
      </c>
      <c r="AG25" s="2">
        <f>COUNTIFS('OB History S2'!$B:$B,$A$25,'OB History S2'!Z:Z, 1)</f>
        <v>1</v>
      </c>
    </row>
    <row r="26" spans="1:33" x14ac:dyDescent="0.25">
      <c r="A26" s="2" t="s">
        <v>13</v>
      </c>
      <c r="B26" s="6" t="s">
        <v>124</v>
      </c>
      <c r="C26" s="6" t="s">
        <v>60</v>
      </c>
      <c r="D26" s="3">
        <v>4</v>
      </c>
      <c r="E26" s="6">
        <v>1</v>
      </c>
      <c r="F26" s="34">
        <f>SUMIFS('OB History S2'!C:C,'OB History S2'!B:B,A26)</f>
        <v>440</v>
      </c>
      <c r="G26" s="4">
        <f>AVERAGEIFS('OB History S2'!C:C,'OB History S2'!B:B,A26)</f>
        <v>23.157894736842106</v>
      </c>
      <c r="H26" s="35">
        <f t="array" ref="H26">MAX(IF('OB History S2'!B:B=A26, 'OB History S2'!C:C))</f>
        <v>36</v>
      </c>
      <c r="I26" s="34">
        <f>COUNTIFS('OB History S2'!B:B,A26,'OB History S2'!D:D, 1)</f>
        <v>14</v>
      </c>
      <c r="J26" s="2">
        <f>COUNTIFS('OB History S2'!B:B,A26,'OB History S2'!D:D, 0)</f>
        <v>5</v>
      </c>
      <c r="K26" s="88">
        <f>LOOKUP(2, 1/('OB History S2'!$B:$B=A26), 'OB History S2'!$AD:$AD)</f>
        <v>0.73684210526315785</v>
      </c>
      <c r="L26" s="34">
        <f>SUMIFS('OB History S2'!F:F,'OB History S2'!B:B,A26)</f>
        <v>48</v>
      </c>
      <c r="M26" s="2">
        <f>SUMIFS('OB History S2'!E:E,'OB History S2'!B:B,A26)-L26</f>
        <v>26</v>
      </c>
      <c r="N26" s="88">
        <f>LOOKUP(2, 1/('OB History S2'!$B:$B=A26), 'OB History S2'!$AB:$AB)</f>
        <v>0.6763157894736842</v>
      </c>
      <c r="O26" s="34">
        <f>SUMIFS('OB History S2'!H:H,'OB History S2'!B:B,A26)</f>
        <v>176</v>
      </c>
      <c r="P26" s="2">
        <f>SUMIFS('OB History S2'!G:G,'OB History S2'!B:B,A26)-O26</f>
        <v>122</v>
      </c>
      <c r="Q26" s="88">
        <f>LOOKUP(2, 1/('OB History S2'!$B:$B=A26), 'OB History S2'!$AC:$AC)</f>
        <v>0.6</v>
      </c>
      <c r="R26" s="2">
        <f>COUNTIFS('OB History S2'!$B:$B,$A$26,'OB History S2'!K:K, 1)</f>
        <v>4</v>
      </c>
      <c r="S26" s="2">
        <f>COUNTIFS('OB History S2'!$B:$B,$A$26,'OB History S2'!L:L, 1)</f>
        <v>4</v>
      </c>
      <c r="T26" s="2">
        <f>COUNTIFS('OB History S2'!$B:$B,$A$26,'OB History S2'!M:M, 1)</f>
        <v>1</v>
      </c>
      <c r="U26" s="2">
        <f>COUNTIFS('OB History S2'!$B:$B,$A$26,'OB History S2'!N:N, 1)</f>
        <v>3</v>
      </c>
      <c r="V26" s="2">
        <f>COUNTIFS('OB History S2'!$B:$B,$A$26,'OB History S2'!O:O, 1)</f>
        <v>0</v>
      </c>
      <c r="W26" s="2">
        <f>COUNTIFS('OB History S2'!$B:$B,$A$26,'OB History S2'!P:P, 1)</f>
        <v>4</v>
      </c>
      <c r="X26" s="2">
        <f>COUNTIFS('OB History S2'!$B:$B,$A$26,'OB History S2'!Q:Q, 1)</f>
        <v>1</v>
      </c>
      <c r="Y26" s="2">
        <f>COUNTIFS('OB History S2'!$B:$B,$A$26,'OB History S2'!R:R, 1)</f>
        <v>3</v>
      </c>
      <c r="Z26" s="2">
        <f>COUNTIFS('OB History S2'!$B:$B,$A$26,'OB History S2'!S:S, 1)</f>
        <v>1</v>
      </c>
      <c r="AA26" s="2">
        <f>COUNTIFS('OB History S2'!$B:$B,$A$26,'OB History S2'!T:T, 1)</f>
        <v>1</v>
      </c>
      <c r="AB26" s="2">
        <f>COUNTIFS('OB History S2'!$B:$B,$A$26,'OB History S2'!U:U, 1)</f>
        <v>1</v>
      </c>
      <c r="AC26" s="2">
        <f>COUNTIFS('OB History S2'!$B:$B,$A$26,'OB History S2'!V:V, 1)</f>
        <v>1</v>
      </c>
      <c r="AD26" s="2">
        <f>COUNTIFS('OB History S2'!$B:$B,$A$26,'OB History S2'!W:W, 1)</f>
        <v>4</v>
      </c>
      <c r="AE26" s="2">
        <f>COUNTIFS('OB History S2'!$B:$B,$A$26,'OB History S2'!X:X, 1)</f>
        <v>5</v>
      </c>
      <c r="AF26" s="2">
        <f>COUNTIFS('OB History S2'!$B:$B,$A$26,'OB History S2'!Y:Y, 1)</f>
        <v>9</v>
      </c>
      <c r="AG26" s="2">
        <f>COUNTIFS('OB History S2'!$B:$B,$A$26,'OB History S2'!Z:Z, 1)</f>
        <v>6</v>
      </c>
    </row>
    <row r="27" spans="1:33" x14ac:dyDescent="0.25">
      <c r="A27" s="2" t="s">
        <v>2</v>
      </c>
      <c r="B27" s="6" t="s">
        <v>60</v>
      </c>
      <c r="C27" s="6" t="s">
        <v>79</v>
      </c>
      <c r="D27" s="3"/>
      <c r="E27" s="6"/>
      <c r="F27" s="34">
        <f>SUMIFS('OB History S2'!C:C,'OB History S2'!B:B,A27)</f>
        <v>18</v>
      </c>
      <c r="G27" s="4">
        <f>AVERAGEIFS('OB History S2'!C:C,'OB History S2'!B:B,A27)</f>
        <v>18</v>
      </c>
      <c r="H27" s="35">
        <f t="array" ref="H27">MAX(IF('OB History S2'!B:B=A27, 'OB History S2'!C:C))</f>
        <v>18</v>
      </c>
      <c r="I27" s="34">
        <f>COUNTIFS('OB History S2'!B:B,A27,'OB History S2'!D:D, 1)</f>
        <v>1</v>
      </c>
      <c r="J27" s="2">
        <f>COUNTIFS('OB History S2'!B:B,A27,'OB History S2'!D:D, 0)</f>
        <v>0</v>
      </c>
      <c r="K27" s="88">
        <f>LOOKUP(2, 1/('OB History S2'!$B:$B=A27), 'OB History S2'!$AD:$AD)</f>
        <v>1</v>
      </c>
      <c r="L27" s="34">
        <f>SUMIFS('OB History S2'!F:F,'OB History S2'!B:B,A27)</f>
        <v>3</v>
      </c>
      <c r="M27" s="2">
        <f>SUMIFS('OB History S2'!E:E,'OB History S2'!B:B,A27)-L27</f>
        <v>0</v>
      </c>
      <c r="N27" s="88">
        <f>LOOKUP(2, 1/('OB History S2'!$B:$B=A27), 'OB History S2'!$AB:$AB)</f>
        <v>1</v>
      </c>
      <c r="O27" s="34">
        <f>SUMIFS('OB History S2'!H:H,'OB History S2'!B:B,A27)</f>
        <v>9</v>
      </c>
      <c r="P27" s="2">
        <f>SUMIFS('OB History S2'!G:G,'OB History S2'!B:B,A27)-O27</f>
        <v>4</v>
      </c>
      <c r="Q27" s="88">
        <f>LOOKUP(2, 1/('OB History S2'!$B:$B=A27), 'OB History S2'!$AC:$AC)</f>
        <v>0.69</v>
      </c>
      <c r="R27" s="2">
        <f>COUNTIFS('OB History S2'!$B:$B,$A$27,'OB History S2'!K:K, 1)</f>
        <v>0</v>
      </c>
      <c r="S27" s="2">
        <f>COUNTIFS('OB History S2'!$B:$B,$A$27,'OB History S2'!L:L, 1)</f>
        <v>0</v>
      </c>
      <c r="T27" s="2">
        <f>COUNTIFS('OB History S2'!$B:$B,$A$27,'OB History S2'!M:M, 1)</f>
        <v>0</v>
      </c>
      <c r="U27" s="2">
        <f>COUNTIFS('OB History S2'!$B:$B,$A$27,'OB History S2'!N:N, 1)</f>
        <v>1</v>
      </c>
      <c r="V27" s="2">
        <f>COUNTIFS('OB History S2'!$B:$B,$A$27,'OB History S2'!O:O, 1)</f>
        <v>0</v>
      </c>
      <c r="W27" s="2">
        <f>COUNTIFS('OB History S2'!$B:$B,$A$27,'OB History S2'!P:P, 1)</f>
        <v>0</v>
      </c>
      <c r="X27" s="2">
        <f>COUNTIFS('OB History S2'!$B:$B,$A$27,'OB History S2'!Q:Q, 1)</f>
        <v>0</v>
      </c>
      <c r="Y27" s="2">
        <f>COUNTIFS('OB History S2'!$B:$B,$A$27,'OB History S2'!R:R, 1)</f>
        <v>0</v>
      </c>
      <c r="Z27" s="2">
        <f>COUNTIFS('OB History S2'!$B:$B,$A$27,'OB History S2'!S:S, 1)</f>
        <v>0</v>
      </c>
      <c r="AA27" s="2">
        <f>COUNTIFS('OB History S2'!$B:$B,$A$27,'OB History S2'!T:T, 1)</f>
        <v>0</v>
      </c>
      <c r="AB27" s="2">
        <f>COUNTIFS('OB History S2'!$B:$B,$A$27,'OB History S2'!U:U, 1)</f>
        <v>0</v>
      </c>
      <c r="AC27" s="2">
        <f>COUNTIFS('OB History S2'!$B:$B,$A$27,'OB History S2'!V:V, 1)</f>
        <v>0</v>
      </c>
      <c r="AD27" s="2">
        <f>COUNTIFS('OB History S2'!$B:$B,$A$27,'OB History S2'!W:W, 1)</f>
        <v>0</v>
      </c>
      <c r="AE27" s="2">
        <f>COUNTIFS('OB History S2'!$B:$B,$A$27,'OB History S2'!X:X, 1)</f>
        <v>1</v>
      </c>
      <c r="AF27" s="2">
        <f>COUNTIFS('OB History S2'!$B:$B,$A$27,'OB History S2'!Y:Y, 1)</f>
        <v>0</v>
      </c>
      <c r="AG27" s="2">
        <f>COUNTIFS('OB History S2'!$B:$B,$A$27,'OB History S2'!Z:Z, 1)</f>
        <v>1</v>
      </c>
    </row>
    <row r="28" spans="1:33" x14ac:dyDescent="0.25">
      <c r="A28" s="2" t="s">
        <v>5</v>
      </c>
      <c r="B28" s="6" t="s">
        <v>60</v>
      </c>
      <c r="C28" s="6" t="s">
        <v>79</v>
      </c>
      <c r="D28" s="3"/>
      <c r="E28" s="6"/>
      <c r="F28" s="34">
        <f>SUMIFS('OB History S2'!C:C,'OB History S2'!B:B,A28)</f>
        <v>30</v>
      </c>
      <c r="G28" s="4">
        <f>AVERAGEIFS('OB History S2'!C:C,'OB History S2'!B:B,A28)</f>
        <v>15</v>
      </c>
      <c r="H28" s="35">
        <f t="array" ref="H28">MAX(IF('OB History S2'!B:B=A28, 'OB History S2'!C:C))</f>
        <v>18</v>
      </c>
      <c r="I28" s="34">
        <f>COUNTIFS('OB History S2'!B:B,A28,'OB History S2'!D:D, 1)</f>
        <v>0</v>
      </c>
      <c r="J28" s="2">
        <f>COUNTIFS('OB History S2'!B:B,A28,'OB History S2'!D:D, 0)</f>
        <v>2</v>
      </c>
      <c r="K28" s="88">
        <f>LOOKUP(2, 1/('OB History S2'!$B:$B=A28), 'OB History S2'!$AD:$AD)</f>
        <v>0</v>
      </c>
      <c r="L28" s="34">
        <f>SUMIFS('OB History S2'!F:F,'OB History S2'!B:B,A28)</f>
        <v>1</v>
      </c>
      <c r="M28" s="2">
        <f>SUMIFS('OB History S2'!E:E,'OB History S2'!B:B,A28)-L28</f>
        <v>6</v>
      </c>
      <c r="N28" s="88">
        <f>LOOKUP(2, 1/('OB History S2'!$B:$B=A28), 'OB History S2'!$AB:$AB)</f>
        <v>0.125</v>
      </c>
      <c r="O28" s="34">
        <f>SUMIFS('OB History S2'!H:H,'OB History S2'!B:B,A28)</f>
        <v>10</v>
      </c>
      <c r="P28" s="2">
        <f>SUMIFS('OB History S2'!G:G,'OB History S2'!B:B,A28)-O28</f>
        <v>20</v>
      </c>
      <c r="Q28" s="88">
        <f>LOOKUP(2, 1/('OB History S2'!$B:$B=A28), 'OB History S2'!$AC:$AC)</f>
        <v>0.32</v>
      </c>
      <c r="R28" s="2">
        <f>COUNTIFS('OB History S2'!$B:$B,$A$28,'OB History S2'!K:K, 1)</f>
        <v>0</v>
      </c>
      <c r="S28" s="2">
        <f>COUNTIFS('OB History S2'!$B:$B,$A$28,'OB History S2'!L:L, 1)</f>
        <v>1</v>
      </c>
      <c r="T28" s="2">
        <f>COUNTIFS('OB History S2'!$B:$B,$A$28,'OB History S2'!M:M, 1)</f>
        <v>0</v>
      </c>
      <c r="U28" s="2">
        <f>COUNTIFS('OB History S2'!$B:$B,$A$28,'OB History S2'!N:N, 1)</f>
        <v>0</v>
      </c>
      <c r="V28" s="2">
        <f>COUNTIFS('OB History S2'!$B:$B,$A$28,'OB History S2'!O:O, 1)</f>
        <v>0</v>
      </c>
      <c r="W28" s="2">
        <f>COUNTIFS('OB History S2'!$B:$B,$A$28,'OB History S2'!P:P, 1)</f>
        <v>0</v>
      </c>
      <c r="X28" s="2">
        <f>COUNTIFS('OB History S2'!$B:$B,$A$28,'OB History S2'!Q:Q, 1)</f>
        <v>0</v>
      </c>
      <c r="Y28" s="2">
        <f>COUNTIFS('OB History S2'!$B:$B,$A$28,'OB History S2'!R:R, 1)</f>
        <v>0</v>
      </c>
      <c r="Z28" s="2">
        <f>COUNTIFS('OB History S2'!$B:$B,$A$28,'OB History S2'!S:S, 1)</f>
        <v>0</v>
      </c>
      <c r="AA28" s="2">
        <f>COUNTIFS('OB History S2'!$B:$B,$A$28,'OB History S2'!T:T, 1)</f>
        <v>0</v>
      </c>
      <c r="AB28" s="2">
        <f>COUNTIFS('OB History S2'!$B:$B,$A$28,'OB History S2'!U:U, 1)</f>
        <v>0</v>
      </c>
      <c r="AC28" s="2">
        <f>COUNTIFS('OB History S2'!$B:$B,$A$28,'OB History S2'!V:V, 1)</f>
        <v>0</v>
      </c>
      <c r="AD28" s="2">
        <f>COUNTIFS('OB History S2'!$B:$B,$A$28,'OB History S2'!W:W, 1)</f>
        <v>0</v>
      </c>
      <c r="AE28" s="2">
        <f>COUNTIFS('OB History S2'!$B:$B,$A$28,'OB History S2'!X:X, 1)</f>
        <v>0</v>
      </c>
      <c r="AF28" s="2">
        <f>COUNTIFS('OB History S2'!$B:$B,$A$28,'OB History S2'!Y:Y, 1)</f>
        <v>0</v>
      </c>
      <c r="AG28" s="2">
        <f>COUNTIFS('OB History S2'!$B:$B,$A$28,'OB History S2'!Z:Z, 1)</f>
        <v>0</v>
      </c>
    </row>
    <row r="29" spans="1:33" x14ac:dyDescent="0.25">
      <c r="A29" s="2" t="s">
        <v>38</v>
      </c>
      <c r="B29" s="6" t="s">
        <v>79</v>
      </c>
      <c r="C29" s="6" t="s">
        <v>79</v>
      </c>
      <c r="D29" s="3">
        <v>1</v>
      </c>
      <c r="E29" s="6"/>
      <c r="F29" s="34">
        <f>SUMIFS('OB History S2'!C:C,'OB History S2'!B:B,A29)</f>
        <v>36</v>
      </c>
      <c r="G29" s="4">
        <f>AVERAGEIFS('OB History S2'!C:C,'OB History S2'!B:B,A29)</f>
        <v>9</v>
      </c>
      <c r="H29" s="35">
        <f t="array" ref="H29">MAX(IF('OB History S2'!B:B=A29, 'OB History S2'!C:C))</f>
        <v>13</v>
      </c>
      <c r="I29" s="34">
        <f>COUNTIFS('OB History S2'!B:B,A29,'OB History S2'!D:D, 1)</f>
        <v>2</v>
      </c>
      <c r="J29" s="2">
        <f>COUNTIFS('OB History S2'!B:B,A29,'OB History S2'!D:D, 0)</f>
        <v>2</v>
      </c>
      <c r="K29" s="88">
        <f>LOOKUP(2, 1/('OB History S2'!$B:$B=A29), 'OB History S2'!$AD:$AD)</f>
        <v>0.5</v>
      </c>
      <c r="L29" s="34">
        <f>SUMIFS('OB History S2'!F:F,'OB History S2'!B:B,A29)</f>
        <v>7</v>
      </c>
      <c r="M29" s="2">
        <f>SUMIFS('OB History S2'!E:E,'OB History S2'!B:B,A29)-L29</f>
        <v>10</v>
      </c>
      <c r="N29" s="88">
        <f>LOOKUP(2, 1/('OB History S2'!$B:$B=A29), 'OB History S2'!$AB:$AB)</f>
        <v>0.36249999999999999</v>
      </c>
      <c r="O29" s="34">
        <f>SUMIFS('OB History S2'!H:H,'OB History S2'!B:B,A29)</f>
        <v>31</v>
      </c>
      <c r="P29" s="2">
        <f>SUMIFS('OB History S2'!G:G,'OB History S2'!B:B,A29)-O29</f>
        <v>36</v>
      </c>
      <c r="Q29" s="88">
        <f>LOOKUP(2, 1/('OB History S2'!$B:$B=A29), 'OB History S2'!$AC:$AC)</f>
        <v>0.45</v>
      </c>
      <c r="R29" s="2">
        <f>COUNTIFS('OB History S2'!$B:$B,$A$29,'OB History S2'!K:K, 1)</f>
        <v>0</v>
      </c>
      <c r="S29" s="2">
        <f>COUNTIFS('OB History S2'!$B:$B,$A$29,'OB History S2'!L:L, 1)</f>
        <v>0</v>
      </c>
      <c r="T29" s="2">
        <f>COUNTIFS('OB History S2'!$B:$B,$A$29,'OB History S2'!M:M, 1)</f>
        <v>0</v>
      </c>
      <c r="U29" s="2">
        <f>COUNTIFS('OB History S2'!$B:$B,$A$29,'OB History S2'!N:N, 1)</f>
        <v>1</v>
      </c>
      <c r="V29" s="2">
        <f>COUNTIFS('OB History S2'!$B:$B,$A$29,'OB History S2'!O:O, 1)</f>
        <v>0</v>
      </c>
      <c r="W29" s="2">
        <f>COUNTIFS('OB History S2'!$B:$B,$A$29,'OB History S2'!P:P, 1)</f>
        <v>0</v>
      </c>
      <c r="X29" s="2">
        <f>COUNTIFS('OB History S2'!$B:$B,$A$29,'OB History S2'!Q:Q, 1)</f>
        <v>0</v>
      </c>
      <c r="Y29" s="2">
        <f>COUNTIFS('OB History S2'!$B:$B,$A$29,'OB History S2'!R:R, 1)</f>
        <v>1</v>
      </c>
      <c r="Z29" s="2">
        <f>COUNTIFS('OB History S2'!$B:$B,$A$29,'OB History S2'!S:S, 1)</f>
        <v>0</v>
      </c>
      <c r="AA29" s="2">
        <f>COUNTIFS('OB History S2'!$B:$B,$A$29,'OB History S2'!T:T, 1)</f>
        <v>0</v>
      </c>
      <c r="AB29" s="2">
        <f>COUNTIFS('OB History S2'!$B:$B,$A$29,'OB History S2'!U:U, 1)</f>
        <v>0</v>
      </c>
      <c r="AC29" s="2">
        <f>COUNTIFS('OB History S2'!$B:$B,$A$29,'OB History S2'!V:V, 1)</f>
        <v>0</v>
      </c>
      <c r="AD29" s="2">
        <f>COUNTIFS('OB History S2'!$B:$B,$A$29,'OB History S2'!W:W, 1)</f>
        <v>0</v>
      </c>
      <c r="AE29" s="2">
        <f>COUNTIFS('OB History S2'!$B:$B,$A$29,'OB History S2'!X:X, 1)</f>
        <v>2</v>
      </c>
      <c r="AF29" s="2">
        <f>COUNTIFS('OB History S2'!$B:$B,$A$29,'OB History S2'!Y:Y, 1)</f>
        <v>2</v>
      </c>
      <c r="AG29" s="2">
        <f>COUNTIFS('OB History S2'!$B:$B,$A$29,'OB History S2'!Z:Z, 1)</f>
        <v>1</v>
      </c>
    </row>
    <row r="30" spans="1:33" x14ac:dyDescent="0.25">
      <c r="A30" s="2" t="s">
        <v>141</v>
      </c>
      <c r="B30" s="2" t="s">
        <v>79</v>
      </c>
      <c r="C30" s="2" t="s">
        <v>79</v>
      </c>
      <c r="D30" s="3"/>
      <c r="E30" s="2"/>
      <c r="F30" s="34">
        <f>SUMIFS('OB History S2'!C:C,'OB History S2'!B:B,A30)</f>
        <v>51</v>
      </c>
      <c r="G30" s="4">
        <f>AVERAGEIFS('OB History S2'!C:C,'OB History S2'!B:B,A30)</f>
        <v>17</v>
      </c>
      <c r="H30" s="35">
        <f t="array" ref="H30">MAX(IF('OB History S2'!B:B=A30, 'OB History S2'!C:C))</f>
        <v>20</v>
      </c>
      <c r="I30" s="34">
        <f>COUNTIFS('OB History S2'!B:B,A30,'OB History S2'!D:D, 1)</f>
        <v>1</v>
      </c>
      <c r="J30" s="2">
        <f>COUNTIFS('OB History S2'!B:B,A30,'OB History S2'!D:D, 0)</f>
        <v>2</v>
      </c>
      <c r="K30" s="88">
        <f>LOOKUP(2, 1/('OB History S2'!$B:$B=A30), 'OB History S2'!$AD:$AD)</f>
        <v>0.33333333333333331</v>
      </c>
      <c r="L30" s="34">
        <f>SUMIFS('OB History S2'!F:F,'OB History S2'!B:B,A30)</f>
        <v>7</v>
      </c>
      <c r="M30" s="2">
        <f>SUMIFS('OB History S2'!E:E,'OB History S2'!B:B,A30)-L30</f>
        <v>6</v>
      </c>
      <c r="N30" s="88">
        <f>LOOKUP(2, 1/('OB History S2'!$B:$B=A30), 'OB History S2'!$AB:$AB)</f>
        <v>0.6</v>
      </c>
      <c r="O30" s="34">
        <f>SUMIFS('OB History S2'!H:H,'OB History S2'!B:B,A30)</f>
        <v>27</v>
      </c>
      <c r="P30" s="2">
        <f>SUMIFS('OB History S2'!G:G,'OB History S2'!B:B,A30)-O30</f>
        <v>28</v>
      </c>
      <c r="Q30" s="88">
        <f>LOOKUP(2, 1/('OB History S2'!$B:$B=A30), 'OB History S2'!$AC:$AC)</f>
        <v>0.51666666666666661</v>
      </c>
      <c r="R30" s="2">
        <f>COUNTIFS('OB History S2'!$B:$B,$A$30,'OB History S2'!K:K, 1)</f>
        <v>1</v>
      </c>
      <c r="S30" s="2">
        <f>COUNTIFS('OB History S2'!$B:$B,$A$30,'OB History S2'!L:L, 1)</f>
        <v>1</v>
      </c>
      <c r="T30" s="2">
        <f>COUNTIFS('OB History S2'!$B:$B,$A$30,'OB History S2'!M:M, 1)</f>
        <v>0</v>
      </c>
      <c r="U30" s="2">
        <f>COUNTIFS('OB History S2'!$B:$B,$A$30,'OB History S2'!N:N, 1)</f>
        <v>0</v>
      </c>
      <c r="V30" s="2">
        <f>COUNTIFS('OB History S2'!$B:$B,$A$30,'OB History S2'!O:O, 1)</f>
        <v>0</v>
      </c>
      <c r="W30" s="2">
        <f>COUNTIFS('OB History S2'!$B:$B,$A$30,'OB History S2'!P:P, 1)</f>
        <v>1</v>
      </c>
      <c r="X30" s="2">
        <f>COUNTIFS('OB History S2'!$B:$B,$A$30,'OB History S2'!Q:Q, 1)</f>
        <v>1</v>
      </c>
      <c r="Y30" s="2">
        <f>COUNTIFS('OB History S2'!$B:$B,$A$30,'OB History S2'!R:R, 1)</f>
        <v>0</v>
      </c>
      <c r="Z30" s="2">
        <f>COUNTIFS('OB History S2'!$B:$B,$A$30,'OB History S2'!S:S, 1)</f>
        <v>0</v>
      </c>
      <c r="AA30" s="2">
        <f>COUNTIFS('OB History S2'!$B:$B,$A$30,'OB History S2'!T:T, 1)</f>
        <v>0</v>
      </c>
      <c r="AB30" s="2">
        <f>COUNTIFS('OB History S2'!$B:$B,$A$30,'OB History S2'!U:U, 1)</f>
        <v>0</v>
      </c>
      <c r="AC30" s="2">
        <f>COUNTIFS('OB History S2'!$B:$B,$A$30,'OB History S2'!V:V, 1)</f>
        <v>0</v>
      </c>
      <c r="AD30" s="2">
        <f>COUNTIFS('OB History S2'!$B:$B,$A$30,'OB History S2'!W:W, 1)</f>
        <v>1</v>
      </c>
      <c r="AE30" s="2">
        <f>COUNTIFS('OB History S2'!$B:$B,$A$30,'OB History S2'!X:X, 1)</f>
        <v>1</v>
      </c>
      <c r="AF30" s="2">
        <f>COUNTIFS('OB History S2'!$B:$B,$A$30,'OB History S2'!Y:Y, 1)</f>
        <v>0</v>
      </c>
      <c r="AG30" s="2">
        <f>COUNTIFS('OB History S2'!$B:$B,$A$30,'OB History S2'!Z:Z, 1)</f>
        <v>1</v>
      </c>
    </row>
    <row r="31" spans="1:33" x14ac:dyDescent="0.25">
      <c r="A31" s="2" t="s">
        <v>40</v>
      </c>
      <c r="B31" s="2" t="s">
        <v>79</v>
      </c>
      <c r="C31" s="2" t="s">
        <v>79</v>
      </c>
      <c r="D31" s="3"/>
      <c r="E31" s="2"/>
      <c r="F31" s="34">
        <f>SUMIFS('OB History S2'!C:C,'OB History S2'!B:B,A31)</f>
        <v>130</v>
      </c>
      <c r="G31" s="4">
        <f>AVERAGEIFS('OB History S2'!C:C,'OB History S2'!B:B,A31)</f>
        <v>16.25</v>
      </c>
      <c r="H31" s="35">
        <f t="array" ref="H31">MAX(IF('OB History S2'!B:B=A31, 'OB History S2'!C:C))</f>
        <v>25</v>
      </c>
      <c r="I31" s="34">
        <f>COUNTIFS('OB History S2'!B:B,A31,'OB History S2'!D:D, 1)</f>
        <v>3</v>
      </c>
      <c r="J31" s="2">
        <f>COUNTIFS('OB History S2'!B:B,A31,'OB History S2'!D:D, 0)</f>
        <v>5</v>
      </c>
      <c r="K31" s="88">
        <f>LOOKUP(2, 1/('OB History S2'!$B:$B=A31), 'OB History S2'!$AD:$AD)</f>
        <v>0.375</v>
      </c>
      <c r="L31" s="34">
        <f>SUMIFS('OB History S2'!F:F,'OB History S2'!B:B,A31)</f>
        <v>16</v>
      </c>
      <c r="M31" s="2">
        <f>SUMIFS('OB History S2'!E:E,'OB History S2'!B:B,A31)-L31</f>
        <v>17</v>
      </c>
      <c r="N31" s="88">
        <f>LOOKUP(2, 1/('OB History S2'!$B:$B=A31), 'OB History S2'!$AB:$AB)</f>
        <v>0.50624999999999998</v>
      </c>
      <c r="O31" s="34">
        <f>SUMIFS('OB History S2'!H:H,'OB History S2'!B:B,A31)</f>
        <v>61</v>
      </c>
      <c r="P31" s="2">
        <f>SUMIFS('OB History S2'!G:G,'OB History S2'!B:B,A31)-O31</f>
        <v>70</v>
      </c>
      <c r="Q31" s="88">
        <f>LOOKUP(2, 1/('OB History S2'!$B:$B=A31), 'OB History S2'!$AC:$AC)</f>
        <v>0.46625</v>
      </c>
      <c r="R31" s="2">
        <f>COUNTIFS('OB History S2'!$B:$B,$A$31,'OB History S2'!K:K, 1)</f>
        <v>1</v>
      </c>
      <c r="S31" s="2">
        <f>COUNTIFS('OB History S2'!$B:$B,$A$31,'OB History S2'!L:L, 1)</f>
        <v>2</v>
      </c>
      <c r="T31" s="2">
        <f>COUNTIFS('OB History S2'!$B:$B,$A$31,'OB History S2'!M:M, 1)</f>
        <v>1</v>
      </c>
      <c r="U31" s="2">
        <f>COUNTIFS('OB History S2'!$B:$B,$A$31,'OB History S2'!N:N, 1)</f>
        <v>1</v>
      </c>
      <c r="V31" s="2">
        <f>COUNTIFS('OB History S2'!$B:$B,$A$31,'OB History S2'!O:O, 1)</f>
        <v>0</v>
      </c>
      <c r="W31" s="2">
        <f>COUNTIFS('OB History S2'!$B:$B,$A$31,'OB History S2'!P:P, 1)</f>
        <v>1</v>
      </c>
      <c r="X31" s="2">
        <f>COUNTIFS('OB History S2'!$B:$B,$A$31,'OB History S2'!Q:Q, 1)</f>
        <v>2</v>
      </c>
      <c r="Y31" s="2">
        <f>COUNTIFS('OB History S2'!$B:$B,$A$31,'OB History S2'!R:R, 1)</f>
        <v>0</v>
      </c>
      <c r="Z31" s="2">
        <f>COUNTIFS('OB History S2'!$B:$B,$A$31,'OB History S2'!S:S, 1)</f>
        <v>1</v>
      </c>
      <c r="AA31" s="2">
        <f>COUNTIFS('OB History S2'!$B:$B,$A$31,'OB History S2'!T:T, 1)</f>
        <v>0</v>
      </c>
      <c r="AB31" s="2">
        <f>COUNTIFS('OB History S2'!$B:$B,$A$31,'OB History S2'!U:U, 1)</f>
        <v>0</v>
      </c>
      <c r="AC31" s="2">
        <f>COUNTIFS('OB History S2'!$B:$B,$A$31,'OB History S2'!V:V, 1)</f>
        <v>0</v>
      </c>
      <c r="AD31" s="2">
        <f>COUNTIFS('OB History S2'!$B:$B,$A$31,'OB History S2'!W:W, 1)</f>
        <v>1</v>
      </c>
      <c r="AE31" s="2">
        <f>COUNTIFS('OB History S2'!$B:$B,$A$31,'OB History S2'!X:X, 1)</f>
        <v>2</v>
      </c>
      <c r="AF31" s="2">
        <f>COUNTIFS('OB History S2'!$B:$B,$A$31,'OB History S2'!Y:Y, 1)</f>
        <v>2</v>
      </c>
      <c r="AG31" s="2">
        <f>COUNTIFS('OB History S2'!$B:$B,$A$31,'OB History S2'!Z:Z, 1)</f>
        <v>2</v>
      </c>
    </row>
    <row r="32" spans="1:33" x14ac:dyDescent="0.25">
      <c r="A32" s="2" t="s">
        <v>147</v>
      </c>
      <c r="B32" s="2" t="s">
        <v>79</v>
      </c>
      <c r="C32" s="2" t="s">
        <v>79</v>
      </c>
      <c r="D32" s="3"/>
      <c r="E32" s="2"/>
      <c r="F32" s="34">
        <f>SUMIFS('OB History S2'!C:C,'OB History S2'!B:B,A32)</f>
        <v>60</v>
      </c>
      <c r="G32" s="4">
        <f>AVERAGEIFS('OB History S2'!C:C,'OB History S2'!B:B,A32)</f>
        <v>12</v>
      </c>
      <c r="H32" s="35">
        <f t="array" ref="H32">MAX(IF('OB History S2'!B:B=A32, 'OB History S2'!C:C))</f>
        <v>17</v>
      </c>
      <c r="I32" s="34">
        <f>COUNTIFS('OB History S2'!B:B,A32,'OB History S2'!D:D, 1)</f>
        <v>1</v>
      </c>
      <c r="J32" s="2">
        <f>COUNTIFS('OB History S2'!B:B,A32,'OB History S2'!D:D, 0)</f>
        <v>4</v>
      </c>
      <c r="K32" s="88">
        <f>LOOKUP(2, 1/('OB History S2'!$B:$B=A32), 'OB History S2'!$AD:$AD)</f>
        <v>0.2</v>
      </c>
      <c r="L32" s="34">
        <f>SUMIFS('OB History S2'!F:F,'OB History S2'!B:B,A32)</f>
        <v>3</v>
      </c>
      <c r="M32" s="2">
        <f>SUMIFS('OB History S2'!E:E,'OB History S2'!B:B,A32)-L32</f>
        <v>12</v>
      </c>
      <c r="N32" s="88">
        <f>LOOKUP(2, 1/('OB History S2'!$B:$B=A32), 'OB History S2'!$AB:$AB)</f>
        <v>0.2</v>
      </c>
      <c r="O32" s="34">
        <f>SUMIFS('OB History S2'!H:H,'OB History S2'!B:B,A32)</f>
        <v>22</v>
      </c>
      <c r="P32" s="2">
        <f>SUMIFS('OB History S2'!G:G,'OB History S2'!B:B,A32)-O32</f>
        <v>39</v>
      </c>
      <c r="Q32" s="88">
        <f>LOOKUP(2, 1/('OB History S2'!$B:$B=A32), 'OB History S2'!$AC:$AC)</f>
        <v>0.36</v>
      </c>
      <c r="R32" s="2">
        <f>COUNTIFS('OB History S2'!$B:$B,$A$32,'OB History S2'!K:K, 1)</f>
        <v>1</v>
      </c>
      <c r="S32" s="2">
        <f>COUNTIFS('OB History S2'!$B:$B,$A$32,'OB History S2'!L:L, 1)</f>
        <v>0</v>
      </c>
      <c r="T32" s="2">
        <f>COUNTIFS('OB History S2'!$B:$B,$A$32,'OB History S2'!M:M, 1)</f>
        <v>0</v>
      </c>
      <c r="U32" s="2">
        <f>COUNTIFS('OB History S2'!$B:$B,$A$32,'OB History S2'!N:N, 1)</f>
        <v>0</v>
      </c>
      <c r="V32" s="2">
        <f>COUNTIFS('OB History S2'!$B:$B,$A$32,'OB History S2'!O:O, 1)</f>
        <v>0</v>
      </c>
      <c r="W32" s="2">
        <f>COUNTIFS('OB History S2'!$B:$B,$A$32,'OB History S2'!P:P, 1)</f>
        <v>0</v>
      </c>
      <c r="X32" s="2">
        <f>COUNTIFS('OB History S2'!$B:$B,$A$32,'OB History S2'!Q:Q, 1)</f>
        <v>0</v>
      </c>
      <c r="Y32" s="2">
        <f>COUNTIFS('OB History S2'!$B:$B,$A$32,'OB History S2'!R:R, 1)</f>
        <v>0</v>
      </c>
      <c r="Z32" s="2">
        <f>COUNTIFS('OB History S2'!$B:$B,$A$32,'OB History S2'!S:S, 1)</f>
        <v>1</v>
      </c>
      <c r="AA32" s="2">
        <f>COUNTIFS('OB History S2'!$B:$B,$A$32,'OB History S2'!T:T, 1)</f>
        <v>0</v>
      </c>
      <c r="AB32" s="2">
        <f>COUNTIFS('OB History S2'!$B:$B,$A$32,'OB History S2'!U:U, 1)</f>
        <v>0</v>
      </c>
      <c r="AC32" s="2">
        <f>COUNTIFS('OB History S2'!$B:$B,$A$32,'OB History S2'!V:V, 1)</f>
        <v>0</v>
      </c>
      <c r="AD32" s="2">
        <f>COUNTIFS('OB History S2'!$B:$B,$A$32,'OB History S2'!W:W, 1)</f>
        <v>0</v>
      </c>
      <c r="AE32" s="2">
        <f>COUNTIFS('OB History S2'!$B:$B,$A$32,'OB History S2'!X:X, 1)</f>
        <v>0</v>
      </c>
      <c r="AF32" s="2">
        <f>COUNTIFS('OB History S2'!$B:$B,$A$32,'OB History S2'!Y:Y, 1)</f>
        <v>0</v>
      </c>
      <c r="AG32" s="2">
        <f>COUNTIFS('OB History S2'!$B:$B,$A$32,'OB History S2'!Z:Z, 1)</f>
        <v>1</v>
      </c>
    </row>
    <row r="33" spans="1:33" x14ac:dyDescent="0.25">
      <c r="A33" s="2" t="s">
        <v>17</v>
      </c>
      <c r="B33" s="2" t="s">
        <v>79</v>
      </c>
      <c r="C33" s="2" t="s">
        <v>79</v>
      </c>
      <c r="D33" s="3">
        <v>6</v>
      </c>
      <c r="E33" s="2">
        <v>3</v>
      </c>
      <c r="F33" s="34">
        <f>SUMIFS('OB History S2'!C:C,'OB History S2'!B:B,A33)</f>
        <v>334</v>
      </c>
      <c r="G33" s="4">
        <f>AVERAGEIFS('OB History S2'!C:C,'OB History S2'!B:B,A33)</f>
        <v>22.266666666666666</v>
      </c>
      <c r="H33" s="35">
        <f t="array" ref="H33">MAX(IF('OB History S2'!B:B=A33, 'OB History S2'!C:C))</f>
        <v>43</v>
      </c>
      <c r="I33" s="34">
        <f>COUNTIFS('OB History S2'!B:B,A33,'OB History S2'!D:D, 1)</f>
        <v>8</v>
      </c>
      <c r="J33" s="2">
        <f>COUNTIFS('OB History S2'!B:B,A33,'OB History S2'!D:D, 0)</f>
        <v>7</v>
      </c>
      <c r="K33" s="88">
        <f>LOOKUP(2, 1/('OB History S2'!$B:$B=A33), 'OB History S2'!$AD:$AD)</f>
        <v>0.53333333333333333</v>
      </c>
      <c r="L33" s="34">
        <f>SUMIFS('OB History S2'!F:F,'OB History S2'!B:B,A33)</f>
        <v>29</v>
      </c>
      <c r="M33" s="2">
        <f>SUMIFS('OB History S2'!E:E,'OB History S2'!B:B,A33)-L33</f>
        <v>29</v>
      </c>
      <c r="N33" s="88">
        <f>LOOKUP(2, 1/('OB History S2'!$B:$B=A33), 'OB History S2'!$AB:$AB)</f>
        <v>0.5033333333333333</v>
      </c>
      <c r="O33" s="34">
        <f>SUMIFS('OB History S2'!H:H,'OB History S2'!B:B,A33)</f>
        <v>115</v>
      </c>
      <c r="P33" s="2">
        <f>SUMIFS('OB History S2'!G:G,'OB History S2'!B:B,A33)-O33</f>
        <v>116</v>
      </c>
      <c r="Q33" s="88">
        <f>LOOKUP(2, 1/('OB History S2'!$B:$B=A33), 'OB History S2'!$AC:$AC)</f>
        <v>0.50333333333333319</v>
      </c>
      <c r="R33" s="2">
        <f>COUNTIFS('OB History S2'!$B:$B,$A$33,'OB History S2'!K:K, 1)</f>
        <v>0</v>
      </c>
      <c r="S33" s="2">
        <f>COUNTIFS('OB History S2'!$B:$B,$A$33,'OB History S2'!L:L, 1)</f>
        <v>4</v>
      </c>
      <c r="T33" s="2">
        <f>COUNTIFS('OB History S2'!$B:$B,$A$33,'OB History S2'!M:M, 1)</f>
        <v>1</v>
      </c>
      <c r="U33" s="2">
        <f>COUNTIFS('OB History S2'!$B:$B,$A$33,'OB History S2'!N:N, 1)</f>
        <v>1</v>
      </c>
      <c r="V33" s="2">
        <f>COUNTIFS('OB History S2'!$B:$B,$A$33,'OB History S2'!O:O, 1)</f>
        <v>0</v>
      </c>
      <c r="W33" s="2">
        <f>COUNTIFS('OB History S2'!$B:$B,$A$33,'OB History S2'!P:P, 1)</f>
        <v>0</v>
      </c>
      <c r="X33" s="2">
        <f>COUNTIFS('OB History S2'!$B:$B,$A$33,'OB History S2'!Q:Q, 1)</f>
        <v>2</v>
      </c>
      <c r="Y33" s="2">
        <f>COUNTIFS('OB History S2'!$B:$B,$A$33,'OB History S2'!R:R, 1)</f>
        <v>3</v>
      </c>
      <c r="Z33" s="2">
        <f>COUNTIFS('OB History S2'!$B:$B,$A$33,'OB History S2'!S:S, 1)</f>
        <v>0</v>
      </c>
      <c r="AA33" s="2">
        <f>COUNTIFS('OB History S2'!$B:$B,$A$33,'OB History S2'!T:T, 1)</f>
        <v>1</v>
      </c>
      <c r="AB33" s="2">
        <f>COUNTIFS('OB History S2'!$B:$B,$A$33,'OB History S2'!U:U, 1)</f>
        <v>0</v>
      </c>
      <c r="AC33" s="2">
        <f>COUNTIFS('OB History S2'!$B:$B,$A$33,'OB History S2'!V:V, 1)</f>
        <v>1</v>
      </c>
      <c r="AD33" s="2">
        <f>COUNTIFS('OB History S2'!$B:$B,$A$33,'OB History S2'!W:W, 1)</f>
        <v>1</v>
      </c>
      <c r="AE33" s="2">
        <f>COUNTIFS('OB History S2'!$B:$B,$A$33,'OB History S2'!X:X, 1)</f>
        <v>8</v>
      </c>
      <c r="AF33" s="2">
        <f>COUNTIFS('OB History S2'!$B:$B,$A$33,'OB History S2'!Y:Y, 1)</f>
        <v>3</v>
      </c>
      <c r="AG33" s="2">
        <f>COUNTIFS('OB History S2'!$B:$B,$A$33,'OB History S2'!Z:Z, 1)</f>
        <v>4</v>
      </c>
    </row>
    <row r="34" spans="1:33" x14ac:dyDescent="0.25">
      <c r="A34" s="2" t="s">
        <v>169</v>
      </c>
      <c r="B34" s="2" t="s">
        <v>79</v>
      </c>
      <c r="C34" s="2" t="s">
        <v>79</v>
      </c>
      <c r="D34" s="3">
        <v>1</v>
      </c>
      <c r="E34" s="2"/>
      <c r="F34" s="34">
        <f>SUMIFS('OB History S2'!C:C,'OB History S2'!B:B,A34)</f>
        <v>29</v>
      </c>
      <c r="G34" s="4">
        <f>AVERAGEIFS('OB History S2'!C:C,'OB History S2'!B:B,A34)</f>
        <v>14.5</v>
      </c>
      <c r="H34" s="35">
        <f t="array" ref="H34">MAX(IF('OB History S2'!B:B=A34, 'OB History S2'!C:C))</f>
        <v>18</v>
      </c>
      <c r="I34" s="34">
        <f>COUNTIFS('OB History S2'!B:B,A34,'OB History S2'!D:D, 1)</f>
        <v>0</v>
      </c>
      <c r="J34" s="2">
        <f>COUNTIFS('OB History S2'!B:B,A34,'OB History S2'!D:D, 0)</f>
        <v>2</v>
      </c>
      <c r="K34" s="88">
        <f>LOOKUP(2, 1/('OB History S2'!$B:$B=A34), 'OB History S2'!$AD:$AD)</f>
        <v>0</v>
      </c>
      <c r="L34" s="34">
        <f>SUMIFS('OB History S2'!F:F,'OB History S2'!B:B,A34)</f>
        <v>0</v>
      </c>
      <c r="M34" s="2">
        <f>SUMIFS('OB History S2'!E:E,'OB History S2'!B:B,A34)-L34</f>
        <v>6</v>
      </c>
      <c r="N34" s="88">
        <f>LOOKUP(2, 1/('OB History S2'!$B:$B=A34), 'OB History S2'!$AB:$AB)</f>
        <v>0</v>
      </c>
      <c r="O34" s="34">
        <f>SUMIFS('OB History S2'!H:H,'OB History S2'!B:B,A34)</f>
        <v>7</v>
      </c>
      <c r="P34" s="2">
        <f>SUMIFS('OB History S2'!G:G,'OB History S2'!B:B,A34)-O34</f>
        <v>18</v>
      </c>
      <c r="Q34" s="88">
        <f>LOOKUP(2, 1/('OB History S2'!$B:$B=A34), 'OB History S2'!$AC:$AC)</f>
        <v>0.28000000000000003</v>
      </c>
      <c r="R34" s="2">
        <f>COUNTIFS('OB History S2'!$B:$B,$A$34,'OB History S2'!K:K, 1)</f>
        <v>0</v>
      </c>
      <c r="S34" s="2">
        <f>COUNTIFS('OB History S2'!$B:$B,$A$34,'OB History S2'!L:L, 1)</f>
        <v>0</v>
      </c>
      <c r="T34" s="2">
        <f>COUNTIFS('OB History S2'!$B:$B,$A$34,'OB History S2'!M:M, 1)</f>
        <v>0</v>
      </c>
      <c r="U34" s="2">
        <f>COUNTIFS('OB History S2'!$B:$B,$A$34,'OB History S2'!N:N, 1)</f>
        <v>0</v>
      </c>
      <c r="V34" s="2">
        <f>COUNTIFS('OB History S2'!$B:$B,$A$34,'OB History S2'!O:O, 1)</f>
        <v>0</v>
      </c>
      <c r="W34" s="2">
        <f>COUNTIFS('OB History S2'!$B:$B,$A$34,'OB History S2'!P:P, 1)</f>
        <v>0</v>
      </c>
      <c r="X34" s="2">
        <f>COUNTIFS('OB History S2'!$B:$B,$A$34,'OB History S2'!Q:Q, 1)</f>
        <v>0</v>
      </c>
      <c r="Y34" s="2">
        <f>COUNTIFS('OB History S2'!$B:$B,$A$34,'OB History S2'!R:R, 1)</f>
        <v>0</v>
      </c>
      <c r="Z34" s="2">
        <f>COUNTIFS('OB History S2'!$B:$B,$A$34,'OB History S2'!S:S, 1)</f>
        <v>0</v>
      </c>
      <c r="AA34" s="2">
        <f>COUNTIFS('OB History S2'!$B:$B,$A$34,'OB History S2'!T:T, 1)</f>
        <v>0</v>
      </c>
      <c r="AB34" s="2">
        <f>COUNTIFS('OB History S2'!$B:$B,$A$34,'OB History S2'!U:U, 1)</f>
        <v>0</v>
      </c>
      <c r="AC34" s="2">
        <f>COUNTIFS('OB History S2'!$B:$B,$A$34,'OB History S2'!V:V, 1)</f>
        <v>0</v>
      </c>
      <c r="AD34" s="2">
        <f>COUNTIFS('OB History S2'!$B:$B,$A$34,'OB History S2'!W:W, 1)</f>
        <v>0</v>
      </c>
      <c r="AE34" s="2">
        <f>COUNTIFS('OB History S2'!$B:$B,$A$34,'OB History S2'!X:X, 1)</f>
        <v>0</v>
      </c>
      <c r="AF34" s="2">
        <f>COUNTIFS('OB History S2'!$B:$B,$A$34,'OB History S2'!Y:Y, 1)</f>
        <v>0</v>
      </c>
      <c r="AG34" s="2">
        <f>COUNTIFS('OB History S2'!$B:$B,$A$34,'OB History S2'!Z:Z, 1)</f>
        <v>0</v>
      </c>
    </row>
    <row r="35" spans="1:33" x14ac:dyDescent="0.25">
      <c r="A35" s="2" t="s">
        <v>155</v>
      </c>
      <c r="B35" s="2" t="s">
        <v>79</v>
      </c>
      <c r="C35" s="2" t="s">
        <v>79</v>
      </c>
      <c r="D35" s="3">
        <v>2</v>
      </c>
      <c r="E35" s="3">
        <v>1</v>
      </c>
      <c r="F35" s="34">
        <f>SUMIFS('OB History S2'!C:C,'OB History S2'!B:B,A35)</f>
        <v>205</v>
      </c>
      <c r="G35" s="4">
        <f>AVERAGEIFS('OB History S2'!C:C,'OB History S2'!B:B,A35)</f>
        <v>15.76923076923077</v>
      </c>
      <c r="H35" s="35">
        <f t="array" ref="H35">MAX(IF('OB History S2'!B:B=A35, 'OB History S2'!C:C))</f>
        <v>28</v>
      </c>
      <c r="I35" s="34">
        <f>COUNTIFS('OB History S2'!B:B,A35,'OB History S2'!D:D, 1)</f>
        <v>2</v>
      </c>
      <c r="J35" s="2">
        <f>COUNTIFS('OB History S2'!B:B,A35,'OB History S2'!D:D, 0)</f>
        <v>11</v>
      </c>
      <c r="K35" s="88">
        <f>LOOKUP(2, 1/('OB History S2'!$B:$B=A35), 'OB History S2'!$AD:$AD)</f>
        <v>0.15384615384615385</v>
      </c>
      <c r="L35" s="34">
        <f>SUMIFS('OB History S2'!F:F,'OB History S2'!B:B,A35)</f>
        <v>18</v>
      </c>
      <c r="M35" s="2">
        <f>SUMIFS('OB History S2'!E:E,'OB History S2'!B:B,A35)-L35</f>
        <v>37</v>
      </c>
      <c r="N35" s="88">
        <f>LOOKUP(2, 1/('OB History S2'!$B:$B=A35), 'OB History S2'!$AB:$AB)</f>
        <v>0.3</v>
      </c>
      <c r="O35" s="34">
        <f>SUMIFS('OB History S2'!H:H,'OB History S2'!B:B,A35)</f>
        <v>93</v>
      </c>
      <c r="P35" s="2">
        <f>SUMIFS('OB History S2'!G:G,'OB History S2'!B:B,A35)-O35</f>
        <v>128</v>
      </c>
      <c r="Q35" s="88">
        <f>LOOKUP(2, 1/('OB History S2'!$B:$B=A35), 'OB History S2'!$AC:$AC)</f>
        <v>0.40153846153846151</v>
      </c>
      <c r="R35" s="2">
        <f>COUNTIFS('OB History S2'!$B:$B,$A$35,'OB History S2'!K:K, 1)</f>
        <v>1</v>
      </c>
      <c r="S35" s="2">
        <f>COUNTIFS('OB History S2'!$B:$B,$A$35,'OB History S2'!L:L, 1)</f>
        <v>0</v>
      </c>
      <c r="T35" s="2">
        <f>COUNTIFS('OB History S2'!$B:$B,$A$35,'OB History S2'!M:M, 1)</f>
        <v>2</v>
      </c>
      <c r="U35" s="2">
        <f>COUNTIFS('OB History S2'!$B:$B,$A$35,'OB History S2'!N:N, 1)</f>
        <v>1</v>
      </c>
      <c r="V35" s="2">
        <f>COUNTIFS('OB History S2'!$B:$B,$A$35,'OB History S2'!O:O, 1)</f>
        <v>0</v>
      </c>
      <c r="W35" s="2">
        <f>COUNTIFS('OB History S2'!$B:$B,$A$35,'OB History S2'!P:P, 1)</f>
        <v>2</v>
      </c>
      <c r="X35" s="2">
        <f>COUNTIFS('OB History S2'!$B:$B,$A$35,'OB History S2'!Q:Q, 1)</f>
        <v>1</v>
      </c>
      <c r="Y35" s="2">
        <f>COUNTIFS('OB History S2'!$B:$B,$A$35,'OB History S2'!R:R, 1)</f>
        <v>0</v>
      </c>
      <c r="Z35" s="2">
        <f>COUNTIFS('OB History S2'!$B:$B,$A$35,'OB History S2'!S:S, 1)</f>
        <v>1</v>
      </c>
      <c r="AA35" s="2">
        <f>COUNTIFS('OB History S2'!$B:$B,$A$35,'OB History S2'!T:T, 1)</f>
        <v>1</v>
      </c>
      <c r="AB35" s="2">
        <f>COUNTIFS('OB History S2'!$B:$B,$A$35,'OB History S2'!U:U, 1)</f>
        <v>0</v>
      </c>
      <c r="AC35" s="2">
        <f>COUNTIFS('OB History S2'!$B:$B,$A$35,'OB History S2'!V:V, 1)</f>
        <v>1</v>
      </c>
      <c r="AD35" s="2">
        <f>COUNTIFS('OB History S2'!$B:$B,$A$35,'OB History S2'!W:W, 1)</f>
        <v>1</v>
      </c>
      <c r="AE35" s="2">
        <f>COUNTIFS('OB History S2'!$B:$B,$A$35,'OB History S2'!X:X, 1)</f>
        <v>3</v>
      </c>
      <c r="AF35" s="2">
        <f>COUNTIFS('OB History S2'!$B:$B,$A$35,'OB History S2'!Y:Y, 1)</f>
        <v>3</v>
      </c>
      <c r="AG35" s="2">
        <f>COUNTIFS('OB History S2'!$B:$B,$A$35,'OB History S2'!Z:Z, 1)</f>
        <v>1</v>
      </c>
    </row>
    <row r="36" spans="1:33" x14ac:dyDescent="0.25">
      <c r="A36" s="2" t="s">
        <v>6</v>
      </c>
      <c r="B36" s="2" t="s">
        <v>60</v>
      </c>
      <c r="C36" s="2" t="s">
        <v>79</v>
      </c>
      <c r="D36" s="3"/>
      <c r="E36" s="2"/>
      <c r="F36" s="34">
        <f>SUMIFS('OB History S2'!C:C,'OB History S2'!B:B,A36)</f>
        <v>133</v>
      </c>
      <c r="G36" s="4">
        <f>AVERAGEIFS('OB History S2'!C:C,'OB History S2'!B:B,A36)</f>
        <v>22.166666666666668</v>
      </c>
      <c r="H36" s="35">
        <f t="array" ref="H36">MAX(IF('OB History S2'!B:B=A36, 'OB History S2'!C:C))</f>
        <v>42</v>
      </c>
      <c r="I36" s="34">
        <f>COUNTIFS('OB History S2'!B:B,A36,'OB History S2'!D:D, 1)</f>
        <v>3</v>
      </c>
      <c r="J36" s="2">
        <f>COUNTIFS('OB History S2'!B:B,A36,'OB History S2'!D:D, 0)</f>
        <v>3</v>
      </c>
      <c r="K36" s="88">
        <f>LOOKUP(2, 1/('OB History S2'!$B:$B=A36), 'OB History S2'!$AD:$AD)</f>
        <v>0.5</v>
      </c>
      <c r="L36" s="34">
        <f>SUMIFS('OB History S2'!F:F,'OB History S2'!B:B,A36)</f>
        <v>13</v>
      </c>
      <c r="M36" s="2">
        <f>SUMIFS('OB History S2'!E:E,'OB History S2'!B:B,A36)-L36</f>
        <v>11</v>
      </c>
      <c r="N36" s="88">
        <f>LOOKUP(2, 1/('OB History S2'!$B:$B=A36), 'OB History S2'!$AB:$AB)</f>
        <v>0.56666666666666665</v>
      </c>
      <c r="O36" s="34">
        <f>SUMIFS('OB History S2'!H:H,'OB History S2'!B:B,A36)</f>
        <v>57</v>
      </c>
      <c r="P36" s="2">
        <f>SUMIFS('OB History S2'!G:G,'OB History S2'!B:B,A36)-O36</f>
        <v>46</v>
      </c>
      <c r="Q36" s="88">
        <f>LOOKUP(2, 1/('OB History S2'!$B:$B=A36), 'OB History S2'!$AC:$AC)</f>
        <v>0.56833333333333325</v>
      </c>
      <c r="R36" s="2">
        <f>COUNTIFS('OB History S2'!$B:$B,$A$36,'OB History S2'!K:K, 1)</f>
        <v>1</v>
      </c>
      <c r="S36" s="2">
        <f>COUNTIFS('OB History S2'!$B:$B,$A$36,'OB History S2'!L:L, 1)</f>
        <v>0</v>
      </c>
      <c r="T36" s="2">
        <f>COUNTIFS('OB History S2'!$B:$B,$A$36,'OB History S2'!M:M, 1)</f>
        <v>3</v>
      </c>
      <c r="U36" s="2">
        <f>COUNTIFS('OB History S2'!$B:$B,$A$36,'OB History S2'!N:N, 1)</f>
        <v>1</v>
      </c>
      <c r="V36" s="2">
        <f>COUNTIFS('OB History S2'!$B:$B,$A$36,'OB History S2'!O:O, 1)</f>
        <v>0</v>
      </c>
      <c r="W36" s="2">
        <f>COUNTIFS('OB History S2'!$B:$B,$A$36,'OB History S2'!P:P, 1)</f>
        <v>0</v>
      </c>
      <c r="X36" s="2">
        <f>COUNTIFS('OB History S2'!$B:$B,$A$36,'OB History S2'!Q:Q, 1)</f>
        <v>2</v>
      </c>
      <c r="Y36" s="2">
        <f>COUNTIFS('OB History S2'!$B:$B,$A$36,'OB History S2'!R:R, 1)</f>
        <v>0</v>
      </c>
      <c r="Z36" s="2">
        <f>COUNTIFS('OB History S2'!$B:$B,$A$36,'OB History S2'!S:S, 1)</f>
        <v>1</v>
      </c>
      <c r="AA36" s="2">
        <f>COUNTIFS('OB History S2'!$B:$B,$A$36,'OB History S2'!T:T, 1)</f>
        <v>1</v>
      </c>
      <c r="AB36" s="2">
        <f>COUNTIFS('OB History S2'!$B:$B,$A$36,'OB History S2'!U:U, 1)</f>
        <v>0</v>
      </c>
      <c r="AC36" s="2">
        <f>COUNTIFS('OB History S2'!$B:$B,$A$36,'OB History S2'!V:V, 1)</f>
        <v>0</v>
      </c>
      <c r="AD36" s="2">
        <f>COUNTIFS('OB History S2'!$B:$B,$A$36,'OB History S2'!W:W, 1)</f>
        <v>1</v>
      </c>
      <c r="AE36" s="2">
        <f>COUNTIFS('OB History S2'!$B:$B,$A$36,'OB History S2'!X:X, 1)</f>
        <v>0</v>
      </c>
      <c r="AF36" s="2">
        <f>COUNTIFS('OB History S2'!$B:$B,$A$36,'OB History S2'!Y:Y, 1)</f>
        <v>2</v>
      </c>
      <c r="AG36" s="2">
        <f>COUNTIFS('OB History S2'!$B:$B,$A$36,'OB History S2'!Z:Z, 1)</f>
        <v>1</v>
      </c>
    </row>
    <row r="37" spans="1:33" x14ac:dyDescent="0.25">
      <c r="A37" s="2" t="s">
        <v>18</v>
      </c>
      <c r="B37" s="2" t="s">
        <v>79</v>
      </c>
      <c r="C37" s="2" t="s">
        <v>79</v>
      </c>
      <c r="D37" s="3"/>
      <c r="E37" s="2">
        <v>2</v>
      </c>
      <c r="F37" s="34">
        <f>SUMIFS('OB History S2'!C:C,'OB History S2'!B:B,A37)</f>
        <v>203</v>
      </c>
      <c r="G37" s="4">
        <f>AVERAGEIFS('OB History S2'!C:C,'OB History S2'!B:B,A37)</f>
        <v>22.555555555555557</v>
      </c>
      <c r="H37" s="35">
        <f t="array" ref="H37">MAX(IF('OB History S2'!B:B=A37, 'OB History S2'!C:C))</f>
        <v>36</v>
      </c>
      <c r="I37" s="34">
        <f>COUNTIFS('OB History S2'!B:B,A37,'OB History S2'!D:D, 1)</f>
        <v>5</v>
      </c>
      <c r="J37" s="2">
        <f>COUNTIFS('OB History S2'!B:B,A37,'OB History S2'!D:D, 0)</f>
        <v>4</v>
      </c>
      <c r="K37" s="88">
        <f>LOOKUP(2, 1/('OB History S2'!$B:$B=A37), 'OB History S2'!$AD:$AD)</f>
        <v>0.55555555555555558</v>
      </c>
      <c r="L37" s="34">
        <f>SUMIFS('OB History S2'!F:F,'OB History S2'!B:B,A37)</f>
        <v>18</v>
      </c>
      <c r="M37" s="2">
        <f>SUMIFS('OB History S2'!E:E,'OB History S2'!B:B,A37)-L37</f>
        <v>16</v>
      </c>
      <c r="N37" s="88">
        <f>LOOKUP(2, 1/('OB History S2'!$B:$B=A37), 'OB History S2'!$AB:$AB)</f>
        <v>0.52777777777777779</v>
      </c>
      <c r="O37" s="34">
        <f>SUMIFS('OB History S2'!H:H,'OB History S2'!B:B,A37)</f>
        <v>73</v>
      </c>
      <c r="P37" s="2">
        <f>SUMIFS('OB History S2'!G:G,'OB History S2'!B:B,A37)-O37</f>
        <v>66</v>
      </c>
      <c r="Q37" s="88">
        <f>LOOKUP(2, 1/('OB History S2'!$B:$B=A37), 'OB History S2'!$AC:$AC)</f>
        <v>0.53333333333333333</v>
      </c>
      <c r="R37" s="2">
        <f>COUNTIFS('OB History S2'!$B:$B,$A$37,'OB History S2'!K:K, 1)</f>
        <v>0</v>
      </c>
      <c r="S37" s="2">
        <f>COUNTIFS('OB History S2'!$B:$B,$A$37,'OB History S2'!L:L, 1)</f>
        <v>2</v>
      </c>
      <c r="T37" s="2">
        <f>COUNTIFS('OB History S2'!$B:$B,$A$37,'OB History S2'!M:M, 1)</f>
        <v>1</v>
      </c>
      <c r="U37" s="2">
        <f>COUNTIFS('OB History S2'!$B:$B,$A$37,'OB History S2'!N:N, 1)</f>
        <v>3</v>
      </c>
      <c r="V37" s="2">
        <f>COUNTIFS('OB History S2'!$B:$B,$A$37,'OB History S2'!O:O, 1)</f>
        <v>0</v>
      </c>
      <c r="W37" s="2">
        <f>COUNTIFS('OB History S2'!$B:$B,$A$37,'OB History S2'!P:P, 1)</f>
        <v>2</v>
      </c>
      <c r="X37" s="2">
        <f>COUNTIFS('OB History S2'!$B:$B,$A$37,'OB History S2'!Q:Q, 1)</f>
        <v>1</v>
      </c>
      <c r="Y37" s="2">
        <f>COUNTIFS('OB History S2'!$B:$B,$A$37,'OB History S2'!R:R, 1)</f>
        <v>0</v>
      </c>
      <c r="Z37" s="2">
        <f>COUNTIFS('OB History S2'!$B:$B,$A$37,'OB History S2'!S:S, 1)</f>
        <v>0</v>
      </c>
      <c r="AA37" s="2">
        <f>COUNTIFS('OB History S2'!$B:$B,$A$37,'OB History S2'!T:T, 1)</f>
        <v>0</v>
      </c>
      <c r="AB37" s="2">
        <f>COUNTIFS('OB History S2'!$B:$B,$A$37,'OB History S2'!U:U, 1)</f>
        <v>1</v>
      </c>
      <c r="AC37" s="2">
        <f>COUNTIFS('OB History S2'!$B:$B,$A$37,'OB History S2'!V:V, 1)</f>
        <v>0</v>
      </c>
      <c r="AD37" s="2">
        <f>COUNTIFS('OB History S2'!$B:$B,$A$37,'OB History S2'!W:W, 1)</f>
        <v>1</v>
      </c>
      <c r="AE37" s="2">
        <f>COUNTIFS('OB History S2'!$B:$B,$A$37,'OB History S2'!X:X, 1)</f>
        <v>3</v>
      </c>
      <c r="AF37" s="2">
        <f>COUNTIFS('OB History S2'!$B:$B,$A$37,'OB History S2'!Y:Y, 1)</f>
        <v>2</v>
      </c>
      <c r="AG37" s="2">
        <f>COUNTIFS('OB History S2'!$B:$B,$A$37,'OB History S2'!Z:Z, 1)</f>
        <v>2</v>
      </c>
    </row>
    <row r="38" spans="1:33" x14ac:dyDescent="0.25">
      <c r="A38" s="2" t="s">
        <v>113</v>
      </c>
      <c r="B38" s="2" t="s">
        <v>79</v>
      </c>
      <c r="C38" s="2" t="s">
        <v>79</v>
      </c>
      <c r="D38" s="3">
        <v>1</v>
      </c>
      <c r="E38" s="2"/>
      <c r="F38" s="34">
        <f>SUMIFS('OB History S2'!C:C,'OB History S2'!B:B,A38)</f>
        <v>135</v>
      </c>
      <c r="G38" s="4">
        <f>AVERAGEIFS('OB History S2'!C:C,'OB History S2'!B:B,A38)</f>
        <v>16.875</v>
      </c>
      <c r="H38" s="35">
        <f t="array" ref="H38">MAX(IF('OB History S2'!B:B=A38, 'OB History S2'!C:C))</f>
        <v>26</v>
      </c>
      <c r="I38" s="34">
        <f>COUNTIFS('OB History S2'!B:B,A38,'OB History S2'!D:D, 1)</f>
        <v>6</v>
      </c>
      <c r="J38" s="2">
        <f>COUNTIFS('OB History S2'!B:B,A38,'OB History S2'!D:D, 0)</f>
        <v>2</v>
      </c>
      <c r="K38" s="88">
        <f>LOOKUP(2, 1/('OB History S2'!$B:$B=A38), 'OB History S2'!$AD:$AD)</f>
        <v>0.75</v>
      </c>
      <c r="L38" s="34">
        <f>SUMIFS('OB History S2'!F:F,'OB History S2'!B:B,A38)</f>
        <v>18</v>
      </c>
      <c r="M38" s="2">
        <f>SUMIFS('OB History S2'!E:E,'OB History S2'!B:B,A38)-L38</f>
        <v>10</v>
      </c>
      <c r="N38" s="88">
        <f>LOOKUP(2, 1/('OB History S2'!$B:$B=A38), 'OB History S2'!$AB:$AB)</f>
        <v>0.63749999999999996</v>
      </c>
      <c r="O38" s="34">
        <f>SUMIFS('OB History S2'!H:H,'OB History S2'!B:B,A38)</f>
        <v>63</v>
      </c>
      <c r="P38" s="2">
        <f>SUMIFS('OB History S2'!G:G,'OB History S2'!B:B,A38)-O38</f>
        <v>51</v>
      </c>
      <c r="Q38" s="88">
        <f>LOOKUP(2, 1/('OB History S2'!$B:$B=A38), 'OB History S2'!$AC:$AC)</f>
        <v>0.54125000000000001</v>
      </c>
      <c r="R38" s="2">
        <f>COUNTIFS('OB History S2'!$B:$B,$A$38,'OB History S2'!K:K, 1)</f>
        <v>0</v>
      </c>
      <c r="S38" s="2">
        <f>COUNTIFS('OB History S2'!$B:$B,$A$38,'OB History S2'!L:L, 1)</f>
        <v>3</v>
      </c>
      <c r="T38" s="2">
        <f>COUNTIFS('OB History S2'!$B:$B,$A$38,'OB History S2'!M:M, 1)</f>
        <v>0</v>
      </c>
      <c r="U38" s="2">
        <f>COUNTIFS('OB History S2'!$B:$B,$A$38,'OB History S2'!N:N, 1)</f>
        <v>1</v>
      </c>
      <c r="V38" s="2">
        <f>COUNTIFS('OB History S2'!$B:$B,$A$38,'OB History S2'!O:O, 1)</f>
        <v>0</v>
      </c>
      <c r="W38" s="2">
        <f>COUNTIFS('OB History S2'!$B:$B,$A$38,'OB History S2'!P:P, 1)</f>
        <v>1</v>
      </c>
      <c r="X38" s="2">
        <f>COUNTIFS('OB History S2'!$B:$B,$A$38,'OB History S2'!Q:Q, 1)</f>
        <v>2</v>
      </c>
      <c r="Y38" s="2">
        <f>COUNTIFS('OB History S2'!$B:$B,$A$38,'OB History S2'!R:R, 1)</f>
        <v>0</v>
      </c>
      <c r="Z38" s="2">
        <f>COUNTIFS('OB History S2'!$B:$B,$A$38,'OB History S2'!S:S, 1)</f>
        <v>0</v>
      </c>
      <c r="AA38" s="2">
        <f>COUNTIFS('OB History S2'!$B:$B,$A$38,'OB History S2'!T:T, 1)</f>
        <v>0</v>
      </c>
      <c r="AB38" s="2">
        <f>COUNTIFS('OB History S2'!$B:$B,$A$38,'OB History S2'!U:U, 1)</f>
        <v>0</v>
      </c>
      <c r="AC38" s="2">
        <f>COUNTIFS('OB History S2'!$B:$B,$A$38,'OB History S2'!V:V, 1)</f>
        <v>1</v>
      </c>
      <c r="AD38" s="2">
        <f>COUNTIFS('OB History S2'!$B:$B,$A$38,'OB History S2'!W:W, 1)</f>
        <v>2</v>
      </c>
      <c r="AE38" s="2">
        <f>COUNTIFS('OB History S2'!$B:$B,$A$38,'OB History S2'!X:X, 1)</f>
        <v>3</v>
      </c>
      <c r="AF38" s="2">
        <f>COUNTIFS('OB History S2'!$B:$B,$A$38,'OB History S2'!Y:Y, 1)</f>
        <v>2</v>
      </c>
      <c r="AG38" s="2">
        <f>COUNTIFS('OB History S2'!$B:$B,$A$38,'OB History S2'!Z:Z, 1)</f>
        <v>3</v>
      </c>
    </row>
    <row r="39" spans="1:33" x14ac:dyDescent="0.25">
      <c r="A39" s="2" t="s">
        <v>14</v>
      </c>
      <c r="B39" s="6" t="s">
        <v>124</v>
      </c>
      <c r="C39" s="6" t="s">
        <v>124</v>
      </c>
      <c r="D39" s="3">
        <v>4</v>
      </c>
      <c r="E39" s="6">
        <v>1</v>
      </c>
      <c r="F39" s="34">
        <f>SUMIFS('OB History S2'!C:C,'OB History S2'!B:B,A39)</f>
        <v>220</v>
      </c>
      <c r="G39" s="4">
        <f>AVERAGEIFS('OB History S2'!C:C,'OB History S2'!B:B,A39)</f>
        <v>20</v>
      </c>
      <c r="H39" s="35">
        <f t="array" ref="H39">MAX(IF('OB History S2'!B:B=A39, 'OB History S2'!C:C))</f>
        <v>37</v>
      </c>
      <c r="I39" s="34">
        <f>COUNTIFS('OB History S2'!B:B,A39,'OB History S2'!D:D, 1)</f>
        <v>2</v>
      </c>
      <c r="J39" s="2">
        <f>COUNTIFS('OB History S2'!B:B,A39,'OB History S2'!D:D, 0)</f>
        <v>9</v>
      </c>
      <c r="K39" s="88">
        <f>LOOKUP(2, 1/('OB History S2'!$B:$B=A39), 'OB History S2'!$AD:$AD)</f>
        <v>0.18181818181818182</v>
      </c>
      <c r="L39" s="34">
        <f>SUMIFS('OB History S2'!F:F,'OB History S2'!B:B,A39)</f>
        <v>13</v>
      </c>
      <c r="M39" s="2">
        <f>SUMIFS('OB History S2'!E:E,'OB History S2'!B:B,A39)-L39</f>
        <v>28</v>
      </c>
      <c r="N39" s="88">
        <f>LOOKUP(2, 1/('OB History S2'!$B:$B=A39), 'OB History S2'!$AB:$AB)</f>
        <v>0.3</v>
      </c>
      <c r="O39" s="34">
        <f>SUMIFS('OB History S2'!H:H,'OB History S2'!B:B,A39)</f>
        <v>66</v>
      </c>
      <c r="P39" s="2">
        <f>SUMIFS('OB History S2'!G:G,'OB History S2'!B:B,A39)-O39</f>
        <v>98</v>
      </c>
      <c r="Q39" s="88">
        <f>LOOKUP(2, 1/('OB History S2'!$B:$B=A39), 'OB History S2'!$AC:$AC)</f>
        <v>0.41090909090909089</v>
      </c>
      <c r="R39" s="2">
        <f>COUNTIFS('OB History S2'!$B:$B,$A$39,'OB History S2'!K:K, 1)</f>
        <v>0</v>
      </c>
      <c r="S39" s="2">
        <f>COUNTIFS('OB History S2'!$B:$B,$A$39,'OB History S2'!L:L, 1)</f>
        <v>3</v>
      </c>
      <c r="T39" s="2">
        <f>COUNTIFS('OB History S2'!$B:$B,$A$39,'OB History S2'!M:M, 1)</f>
        <v>0</v>
      </c>
      <c r="U39" s="2">
        <f>COUNTIFS('OB History S2'!$B:$B,$A$39,'OB History S2'!N:N, 1)</f>
        <v>1</v>
      </c>
      <c r="V39" s="2">
        <f>COUNTIFS('OB History S2'!$B:$B,$A$39,'OB History S2'!O:O, 1)</f>
        <v>0</v>
      </c>
      <c r="W39" s="2">
        <f>COUNTIFS('OB History S2'!$B:$B,$A$39,'OB History S2'!P:P, 1)</f>
        <v>1</v>
      </c>
      <c r="X39" s="2">
        <f>COUNTIFS('OB History S2'!$B:$B,$A$39,'OB History S2'!Q:Q, 1)</f>
        <v>1</v>
      </c>
      <c r="Y39" s="2">
        <f>COUNTIFS('OB History S2'!$B:$B,$A$39,'OB History S2'!R:R, 1)</f>
        <v>0</v>
      </c>
      <c r="Z39" s="2">
        <f>COUNTIFS('OB History S2'!$B:$B,$A$39,'OB History S2'!S:S, 1)</f>
        <v>0</v>
      </c>
      <c r="AA39" s="2">
        <f>COUNTIFS('OB History S2'!$B:$B,$A$39,'OB History S2'!T:T, 1)</f>
        <v>0</v>
      </c>
      <c r="AB39" s="2">
        <f>COUNTIFS('OB History S2'!$B:$B,$A$39,'OB History S2'!U:U, 1)</f>
        <v>0</v>
      </c>
      <c r="AC39" s="2">
        <f>COUNTIFS('OB History S2'!$B:$B,$A$39,'OB History S2'!V:V, 1)</f>
        <v>0</v>
      </c>
      <c r="AD39" s="2">
        <f>COUNTIFS('OB History S2'!$B:$B,$A$39,'OB History S2'!W:W, 1)</f>
        <v>1</v>
      </c>
      <c r="AE39" s="2">
        <f>COUNTIFS('OB History S2'!$B:$B,$A$39,'OB History S2'!X:X, 1)</f>
        <v>5</v>
      </c>
      <c r="AF39" s="2">
        <f>COUNTIFS('OB History S2'!$B:$B,$A$39,'OB History S2'!Y:Y, 1)</f>
        <v>1</v>
      </c>
      <c r="AG39" s="2">
        <f>COUNTIFS('OB History S2'!$B:$B,$A$39,'OB History S2'!Z:Z, 1)</f>
        <v>0</v>
      </c>
    </row>
    <row r="40" spans="1:33" x14ac:dyDescent="0.25">
      <c r="A40" s="2" t="s">
        <v>70</v>
      </c>
      <c r="B40" s="6" t="s">
        <v>79</v>
      </c>
      <c r="C40" s="6" t="s">
        <v>79</v>
      </c>
      <c r="D40" s="3"/>
      <c r="E40" s="6"/>
      <c r="F40" s="34">
        <f>SUMIFS('OB History S2'!C:C,'OB History S2'!B:B,A40)</f>
        <v>7</v>
      </c>
      <c r="G40" s="4">
        <f>AVERAGEIFS('OB History S2'!C:C,'OB History S2'!B:B,A40)</f>
        <v>7</v>
      </c>
      <c r="H40" s="35">
        <f t="array" ref="H40">MAX(IF('OB History S2'!B:B=A40, 'OB History S2'!C:C))</f>
        <v>7</v>
      </c>
      <c r="I40" s="34">
        <f>COUNTIFS('OB History S2'!B:B,A40,'OB History S2'!D:D, 1)</f>
        <v>1</v>
      </c>
      <c r="J40" s="2">
        <f>COUNTIFS('OB History S2'!B:B,A40,'OB History S2'!D:D, 0)</f>
        <v>0</v>
      </c>
      <c r="K40" s="88">
        <f>LOOKUP(2, 1/('OB History S2'!$B:$B=A40), 'OB History S2'!$AD:$AD)</f>
        <v>1</v>
      </c>
      <c r="L40" s="34">
        <f>SUMIFS('OB History S2'!F:F,'OB History S2'!B:B,A40)</f>
        <v>3</v>
      </c>
      <c r="M40" s="2">
        <f>SUMIFS('OB History S2'!E:E,'OB History S2'!B:B,A40)-L40</f>
        <v>0</v>
      </c>
      <c r="N40" s="88">
        <f>LOOKUP(2, 1/('OB History S2'!$B:$B=A40), 'OB History S2'!$AB:$AB)</f>
        <v>1</v>
      </c>
      <c r="O40" s="34">
        <f>SUMIFS('OB History S2'!H:H,'OB History S2'!B:B,A40)</f>
        <v>9</v>
      </c>
      <c r="P40" s="2">
        <f>SUMIFS('OB History S2'!G:G,'OB History S2'!B:B,A40)-O40</f>
        <v>5</v>
      </c>
      <c r="Q40" s="88">
        <f>LOOKUP(2, 1/('OB History S2'!$B:$B=A40), 'OB History S2'!$AC:$AC)</f>
        <v>0.64</v>
      </c>
      <c r="R40" s="2">
        <f>COUNTIFS('OB History S2'!$B:$B,$A$40,'OB History S2'!K:K, 1)</f>
        <v>0</v>
      </c>
      <c r="S40" s="2">
        <f>COUNTIFS('OB History S2'!$B:$B,$A$40,'OB History S2'!L:L, 1)</f>
        <v>0</v>
      </c>
      <c r="T40" s="2">
        <f>COUNTIFS('OB History S2'!$B:$B,$A$40,'OB History S2'!M:M, 1)</f>
        <v>0</v>
      </c>
      <c r="U40" s="2">
        <f>COUNTIFS('OB History S2'!$B:$B,$A$40,'OB History S2'!N:N, 1)</f>
        <v>0</v>
      </c>
      <c r="V40" s="2">
        <f>COUNTIFS('OB History S2'!$B:$B,$A$40,'OB History S2'!O:O, 1)</f>
        <v>0</v>
      </c>
      <c r="W40" s="2">
        <f>COUNTIFS('OB History S2'!$B:$B,$A$40,'OB History S2'!P:P, 1)</f>
        <v>0</v>
      </c>
      <c r="X40" s="2">
        <f>COUNTIFS('OB History S2'!$B:$B,$A$40,'OB History S2'!Q:Q, 1)</f>
        <v>0</v>
      </c>
      <c r="Y40" s="2">
        <f>COUNTIFS('OB History S2'!$B:$B,$A$40,'OB History S2'!R:R, 1)</f>
        <v>1</v>
      </c>
      <c r="Z40" s="2">
        <f>COUNTIFS('OB History S2'!$B:$B,$A$40,'OB History S2'!S:S, 1)</f>
        <v>0</v>
      </c>
      <c r="AA40" s="2">
        <f>COUNTIFS('OB History S2'!$B:$B,$A$40,'OB History S2'!T:T, 1)</f>
        <v>0</v>
      </c>
      <c r="AB40" s="2">
        <f>COUNTIFS('OB History S2'!$B:$B,$A$40,'OB History S2'!U:U, 1)</f>
        <v>0</v>
      </c>
      <c r="AC40" s="2">
        <f>COUNTIFS('OB History S2'!$B:$B,$A$40,'OB History S2'!V:V, 1)</f>
        <v>0</v>
      </c>
      <c r="AD40" s="2">
        <f>COUNTIFS('OB History S2'!$B:$B,$A$40,'OB History S2'!W:W, 1)</f>
        <v>0</v>
      </c>
      <c r="AE40" s="2">
        <f>COUNTIFS('OB History S2'!$B:$B,$A$40,'OB History S2'!X:X, 1)</f>
        <v>1</v>
      </c>
      <c r="AF40" s="2">
        <f>COUNTIFS('OB History S2'!$B:$B,$A$40,'OB History S2'!Y:Y, 1)</f>
        <v>0</v>
      </c>
      <c r="AG40" s="2">
        <f>COUNTIFS('OB History S2'!$B:$B,$A$40,'OB History S2'!Z:Z, 1)</f>
        <v>1</v>
      </c>
    </row>
    <row r="41" spans="1:33" x14ac:dyDescent="0.25">
      <c r="A41" s="2" t="s">
        <v>4</v>
      </c>
      <c r="B41" s="2" t="s">
        <v>79</v>
      </c>
      <c r="C41" s="2" t="s">
        <v>79</v>
      </c>
      <c r="D41" s="3"/>
      <c r="E41" s="2"/>
      <c r="F41" s="34">
        <f>SUMIFS('OB History S2'!C:C,'OB History S2'!B:B,A41)</f>
        <v>104</v>
      </c>
      <c r="G41" s="4">
        <f>AVERAGEIFS('OB History S2'!C:C,'OB History S2'!B:B,A41)</f>
        <v>20.8</v>
      </c>
      <c r="H41" s="35">
        <f t="array" ref="H41">MAX(IF('OB History S2'!B:B=A41, 'OB History S2'!C:C))</f>
        <v>31</v>
      </c>
      <c r="I41" s="34">
        <f>COUNTIFS('OB History S2'!B:B,A41,'OB History S2'!D:D, 1)</f>
        <v>1</v>
      </c>
      <c r="J41" s="2">
        <f>COUNTIFS('OB History S2'!B:B,A41,'OB History S2'!D:D, 0)</f>
        <v>4</v>
      </c>
      <c r="K41" s="88">
        <f>LOOKUP(2, 1/('OB History S2'!$B:$B=A41), 'OB History S2'!$AD:$AD)</f>
        <v>0.2</v>
      </c>
      <c r="L41" s="34">
        <f>SUMIFS('OB History S2'!F:F,'OB History S2'!B:B,A41)</f>
        <v>6</v>
      </c>
      <c r="M41" s="2">
        <f>SUMIFS('OB History S2'!E:E,'OB History S2'!B:B,A41)-L41</f>
        <v>14</v>
      </c>
      <c r="N41" s="88">
        <f>LOOKUP(2, 1/('OB History S2'!$B:$B=A41), 'OB History S2'!$AB:$AB)</f>
        <v>0.25</v>
      </c>
      <c r="O41" s="34">
        <f>SUMIFS('OB History S2'!H:H,'OB History S2'!B:B,A41)</f>
        <v>34</v>
      </c>
      <c r="P41" s="2">
        <f>SUMIFS('OB History S2'!G:G,'OB History S2'!B:B,A41)-O41</f>
        <v>50</v>
      </c>
      <c r="Q41" s="88">
        <f>LOOKUP(2, 1/('OB History S2'!$B:$B=A41), 'OB History S2'!$AC:$AC)</f>
        <v>0.36799999999999999</v>
      </c>
      <c r="R41" s="2">
        <f>COUNTIFS('OB History S2'!$B:$B,$A$41,'OB History S2'!K:K, 1)</f>
        <v>0</v>
      </c>
      <c r="S41" s="2">
        <f>COUNTIFS('OB History S2'!$B:$B,$A$41,'OB History S2'!L:L, 1)</f>
        <v>2</v>
      </c>
      <c r="T41" s="2">
        <f>COUNTIFS('OB History S2'!$B:$B,$A$41,'OB History S2'!M:M, 1)</f>
        <v>1</v>
      </c>
      <c r="U41" s="2">
        <f>COUNTIFS('OB History S2'!$B:$B,$A$41,'OB History S2'!N:N, 1)</f>
        <v>0</v>
      </c>
      <c r="V41" s="2">
        <f>COUNTIFS('OB History S2'!$B:$B,$A$41,'OB History S2'!O:O, 1)</f>
        <v>0</v>
      </c>
      <c r="W41" s="2">
        <f>COUNTIFS('OB History S2'!$B:$B,$A$41,'OB History S2'!P:P, 1)</f>
        <v>0</v>
      </c>
      <c r="X41" s="2">
        <f>COUNTIFS('OB History S2'!$B:$B,$A$41,'OB History S2'!Q:Q, 1)</f>
        <v>1</v>
      </c>
      <c r="Y41" s="2">
        <f>COUNTIFS('OB History S2'!$B:$B,$A$41,'OB History S2'!R:R, 1)</f>
        <v>0</v>
      </c>
      <c r="Z41" s="2">
        <f>COUNTIFS('OB History S2'!$B:$B,$A$41,'OB History S2'!S:S, 1)</f>
        <v>0</v>
      </c>
      <c r="AA41" s="2">
        <f>COUNTIFS('OB History S2'!$B:$B,$A$41,'OB History S2'!T:T, 1)</f>
        <v>0</v>
      </c>
      <c r="AB41" s="2">
        <f>COUNTIFS('OB History S2'!$B:$B,$A$41,'OB History S2'!U:U, 1)</f>
        <v>0</v>
      </c>
      <c r="AC41" s="2">
        <f>COUNTIFS('OB History S2'!$B:$B,$A$41,'OB History S2'!V:V, 1)</f>
        <v>0</v>
      </c>
      <c r="AD41" s="2">
        <f>COUNTIFS('OB History S2'!$B:$B,$A$41,'OB History S2'!W:W, 1)</f>
        <v>0</v>
      </c>
      <c r="AE41" s="2">
        <f>COUNTIFS('OB History S2'!$B:$B,$A$41,'OB History S2'!X:X, 1)</f>
        <v>1</v>
      </c>
      <c r="AF41" s="2">
        <f>COUNTIFS('OB History S2'!$B:$B,$A$41,'OB History S2'!Y:Y, 1)</f>
        <v>1</v>
      </c>
      <c r="AG41" s="2">
        <f>COUNTIFS('OB History S2'!$B:$B,$A$41,'OB History S2'!Z:Z, 1)</f>
        <v>0</v>
      </c>
    </row>
    <row r="42" spans="1:33" x14ac:dyDescent="0.25">
      <c r="A42" s="2" t="s">
        <v>55</v>
      </c>
      <c r="B42" s="2" t="s">
        <v>79</v>
      </c>
      <c r="C42" s="2" t="s">
        <v>79</v>
      </c>
      <c r="D42" s="2"/>
      <c r="E42" s="2"/>
      <c r="F42" s="34">
        <f>SUMIFS('OB History S2'!C:C,'OB History S2'!B:B,A42)</f>
        <v>48</v>
      </c>
      <c r="G42" s="4">
        <f>AVERAGEIFS('OB History S2'!C:C,'OB History S2'!B:B,A42)</f>
        <v>9.6</v>
      </c>
      <c r="H42" s="35">
        <f t="array" ref="H42">MAX(IF('OB History S2'!B:B=A42, 'OB History S2'!C:C))</f>
        <v>20</v>
      </c>
      <c r="I42" s="34">
        <f>COUNTIFS('OB History S2'!B:B,A42,'OB History S2'!D:D, 1)</f>
        <v>3</v>
      </c>
      <c r="J42" s="2">
        <f>COUNTIFS('OB History S2'!B:B,A42,'OB History S2'!D:D, 0)</f>
        <v>2</v>
      </c>
      <c r="K42" s="88">
        <f>LOOKUP(2, 1/('OB History S2'!$B:$B=A42), 'OB History S2'!$AD:$AD)</f>
        <v>0.6</v>
      </c>
      <c r="L42" s="34">
        <f>SUMIFS('OB History S2'!F:F,'OB History S2'!B:B,A42)</f>
        <v>12</v>
      </c>
      <c r="M42" s="2">
        <f>SUMIFS('OB History S2'!E:E,'OB History S2'!B:B,A42)-L42</f>
        <v>7</v>
      </c>
      <c r="N42" s="88">
        <f>LOOKUP(2, 1/('OB History S2'!$B:$B=A42), 'OB History S2'!$AB:$AB)</f>
        <v>0.67999999999999994</v>
      </c>
      <c r="O42" s="34">
        <f>SUMIFS('OB History S2'!H:H,'OB History S2'!B:B,A42)</f>
        <v>46</v>
      </c>
      <c r="P42" s="2">
        <f>SUMIFS('OB History S2'!G:G,'OB History S2'!B:B,A42)-O42</f>
        <v>30</v>
      </c>
      <c r="Q42" s="88">
        <f>LOOKUP(2, 1/('OB History S2'!$B:$B=A42), 'OB History S2'!$AC:$AC)</f>
        <v>0.62399999999999989</v>
      </c>
      <c r="R42" s="2">
        <f>COUNTIFS('OB History S2'!$B:$B,$A$42,'OB History S2'!K:K, 1)</f>
        <v>1</v>
      </c>
      <c r="S42" s="2">
        <f>COUNTIFS('OB History S2'!$B:$B,$A$42,'OB History S2'!L:L, 1)</f>
        <v>1</v>
      </c>
      <c r="T42" s="2">
        <f>COUNTIFS('OB History S2'!$B:$B,$A$42,'OB History S2'!M:M, 1)</f>
        <v>0</v>
      </c>
      <c r="U42" s="2">
        <f>COUNTIFS('OB History S2'!$B:$B,$A$42,'OB History S2'!N:N, 1)</f>
        <v>2</v>
      </c>
      <c r="V42" s="2">
        <f>COUNTIFS('OB History S2'!$B:$B,$A$42,'OB History S2'!O:O, 1)</f>
        <v>0</v>
      </c>
      <c r="W42" s="2">
        <f>COUNTIFS('OB History S2'!$B:$B,$A$42,'OB History S2'!P:P, 1)</f>
        <v>0</v>
      </c>
      <c r="X42" s="2">
        <f>COUNTIFS('OB History S2'!$B:$B,$A$42,'OB History S2'!Q:Q, 1)</f>
        <v>0</v>
      </c>
      <c r="Y42" s="2">
        <f>COUNTIFS('OB History S2'!$B:$B,$A$42,'OB History S2'!R:R, 1)</f>
        <v>0</v>
      </c>
      <c r="Z42" s="2">
        <f>COUNTIFS('OB History S2'!$B:$B,$A$42,'OB History S2'!S:S, 1)</f>
        <v>0</v>
      </c>
      <c r="AA42" s="2">
        <f>COUNTIFS('OB History S2'!$B:$B,$A$42,'OB History S2'!T:T, 1)</f>
        <v>0</v>
      </c>
      <c r="AB42" s="2">
        <f>COUNTIFS('OB History S2'!$B:$B,$A$42,'OB History S2'!U:U, 1)</f>
        <v>1</v>
      </c>
      <c r="AC42" s="2">
        <f>COUNTIFS('OB History S2'!$B:$B,$A$42,'OB History S2'!V:V, 1)</f>
        <v>0</v>
      </c>
      <c r="AD42" s="2">
        <f>COUNTIFS('OB History S2'!$B:$B,$A$42,'OB History S2'!W:W, 1)</f>
        <v>0</v>
      </c>
      <c r="AE42" s="2">
        <f>COUNTIFS('OB History S2'!$B:$B,$A$42,'OB History S2'!X:X, 1)</f>
        <v>4</v>
      </c>
      <c r="AF42" s="2">
        <f>COUNTIFS('OB History S2'!$B:$B,$A$42,'OB History S2'!Y:Y, 1)</f>
        <v>2</v>
      </c>
      <c r="AG42" s="2">
        <f>COUNTIFS('OB History S2'!$B:$B,$A$42,'OB History S2'!Z:Z, 1)</f>
        <v>1</v>
      </c>
    </row>
  </sheetData>
  <autoFilter ref="A1:AG41" xr:uid="{EEC03B8F-669F-4FC0-BA62-50F3D395660C}">
    <sortState xmlns:xlrd2="http://schemas.microsoft.com/office/spreadsheetml/2017/richdata2" ref="A2:AG42">
      <sortCondition ref="A1:A41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8"/>
  <sheetViews>
    <sheetView topLeftCell="C1" workbookViewId="0">
      <pane ySplit="1" topLeftCell="A98" activePane="bottomLeft" state="frozen"/>
      <selection pane="bottomLeft" activeCell="H1" sqref="H1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41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15.4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14.272727272727273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14.25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169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18</v>
      </c>
      <c r="AB251" s="86">
        <f>AVERAGEIFS($I$2:I251, $B$2:B251, B251)</f>
        <v>0</v>
      </c>
      <c r="AC251" s="86">
        <f>AVERAGEIFS($J$2:J251, $B$2:B251, B251)</f>
        <v>0.31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13.923076923076923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14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169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14.5</v>
      </c>
      <c r="AB266" s="86">
        <f>AVERAGEIFS($I$2:I266, $B$2:B266, B266)</f>
        <v>0</v>
      </c>
      <c r="AC266" s="86">
        <f>AVERAGEIFS($J$2:J266, $B$2:B266, B266)</f>
        <v>0.28000000000000003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/>
      <c r="AA270" s="86"/>
      <c r="AB270" s="86"/>
      <c r="AC270" s="86"/>
      <c r="AD270" s="86"/>
    </row>
    <row r="271" spans="1:30" x14ac:dyDescent="0.25">
      <c r="A271" s="85"/>
      <c r="AA271" s="86"/>
      <c r="AB271" s="86"/>
      <c r="AC271" s="86"/>
      <c r="AD271" s="86"/>
    </row>
    <row r="272" spans="1:30" x14ac:dyDescent="0.25">
      <c r="A272" s="85"/>
      <c r="AA272" s="86"/>
      <c r="AB272" s="86"/>
      <c r="AC272" s="86"/>
      <c r="AD272" s="86"/>
    </row>
    <row r="273" spans="1:30" x14ac:dyDescent="0.25">
      <c r="A273" s="85"/>
      <c r="AA273" s="86"/>
      <c r="AB273" s="86"/>
      <c r="AC273" s="86"/>
      <c r="AD273" s="86"/>
    </row>
    <row r="274" spans="1:30" x14ac:dyDescent="0.25">
      <c r="A274" s="85"/>
      <c r="AA274" s="86"/>
      <c r="AB274" s="86"/>
      <c r="AC274" s="86"/>
      <c r="AD274" s="86"/>
    </row>
    <row r="275" spans="1:30" x14ac:dyDescent="0.25">
      <c r="A275" s="85"/>
      <c r="AA275" s="86"/>
      <c r="AB275" s="86"/>
      <c r="AC275" s="86"/>
      <c r="AD275" s="86"/>
    </row>
    <row r="276" spans="1:30" x14ac:dyDescent="0.25">
      <c r="A276" s="85"/>
      <c r="AA276" s="86"/>
      <c r="AB276" s="86"/>
      <c r="AC276" s="86"/>
      <c r="AD276" s="86"/>
    </row>
    <row r="277" spans="1:30" x14ac:dyDescent="0.25">
      <c r="A277" s="85"/>
      <c r="AA277" s="86"/>
      <c r="AB277" s="86"/>
      <c r="AC277" s="86"/>
      <c r="AD277" s="86"/>
    </row>
    <row r="278" spans="1:30" x14ac:dyDescent="0.25">
      <c r="A278" s="85"/>
      <c r="AA278" s="86"/>
      <c r="AB278" s="86"/>
      <c r="AC278" s="86"/>
      <c r="AD278" s="86"/>
    </row>
    <row r="279" spans="1:30" x14ac:dyDescent="0.25">
      <c r="A279" s="85"/>
      <c r="AA279" s="86"/>
      <c r="AB279" s="86"/>
      <c r="AC279" s="86"/>
      <c r="AD279" s="86"/>
    </row>
    <row r="280" spans="1:30" x14ac:dyDescent="0.25">
      <c r="A280" s="85"/>
      <c r="AA280" s="86"/>
      <c r="AB280" s="86"/>
      <c r="AC280" s="86"/>
      <c r="AD280" s="86"/>
    </row>
    <row r="281" spans="1:30" x14ac:dyDescent="0.25">
      <c r="A281" s="85"/>
      <c r="AA281" s="86"/>
      <c r="AB281" s="86"/>
      <c r="AC281" s="86"/>
      <c r="AD281" s="86"/>
    </row>
    <row r="282" spans="1:30" x14ac:dyDescent="0.25">
      <c r="A282" s="85"/>
      <c r="AA282" s="86"/>
      <c r="AB282" s="86"/>
      <c r="AC282" s="86"/>
      <c r="AD282" s="86"/>
    </row>
    <row r="283" spans="1:30" x14ac:dyDescent="0.25">
      <c r="A283" s="85"/>
      <c r="AA283" s="86"/>
      <c r="AB283" s="86"/>
      <c r="AC283" s="86"/>
      <c r="AD283" s="86"/>
    </row>
    <row r="284" spans="1:30" x14ac:dyDescent="0.25">
      <c r="A284" s="85"/>
      <c r="AA284" s="86"/>
      <c r="AB284" s="86"/>
      <c r="AC284" s="86"/>
      <c r="AD284" s="86"/>
    </row>
    <row r="285" spans="1:30" x14ac:dyDescent="0.25">
      <c r="A285" s="85"/>
      <c r="AA285" s="86"/>
      <c r="AB285" s="86"/>
      <c r="AC285" s="86"/>
      <c r="AD285" s="86"/>
    </row>
    <row r="286" spans="1:30" x14ac:dyDescent="0.25">
      <c r="A286" s="85"/>
      <c r="AA286" s="86"/>
      <c r="AB286" s="86"/>
      <c r="AC286" s="86"/>
      <c r="AD286" s="86"/>
    </row>
    <row r="287" spans="1:30" x14ac:dyDescent="0.25">
      <c r="A287" s="85"/>
      <c r="AA287" s="86"/>
      <c r="AB287" s="86"/>
      <c r="AC287" s="86"/>
      <c r="AD287" s="86"/>
    </row>
    <row r="288" spans="1:30" x14ac:dyDescent="0.25">
      <c r="A288" s="85"/>
      <c r="AA288" s="86"/>
      <c r="AB288" s="86"/>
      <c r="AC288" s="86"/>
      <c r="AD288" s="86"/>
    </row>
    <row r="289" spans="1:30" x14ac:dyDescent="0.25">
      <c r="A289" s="85"/>
      <c r="AA289" s="86"/>
      <c r="AB289" s="86"/>
      <c r="AC289" s="86"/>
      <c r="AD289" s="86"/>
    </row>
    <row r="290" spans="1:30" x14ac:dyDescent="0.25">
      <c r="A290" s="85"/>
      <c r="AA290" s="86"/>
      <c r="AB290" s="86"/>
      <c r="AC290" s="86"/>
      <c r="AD290" s="86"/>
    </row>
    <row r="291" spans="1:30" x14ac:dyDescent="0.25">
      <c r="A291" s="85"/>
      <c r="AA291" s="86"/>
      <c r="AB291" s="86"/>
      <c r="AC291" s="86"/>
      <c r="AD291" s="86"/>
    </row>
    <row r="292" spans="1:30" x14ac:dyDescent="0.25">
      <c r="A292" s="85"/>
      <c r="AA292" s="86"/>
      <c r="AB292" s="86"/>
      <c r="AC292" s="86"/>
      <c r="AD292" s="86"/>
    </row>
    <row r="293" spans="1:30" x14ac:dyDescent="0.25">
      <c r="A293" s="85"/>
      <c r="AA293" s="86"/>
      <c r="AB293" s="86"/>
      <c r="AC293" s="86"/>
      <c r="AD293" s="86"/>
    </row>
    <row r="294" spans="1:30" x14ac:dyDescent="0.25">
      <c r="A294" s="85"/>
      <c r="AA294" s="86"/>
      <c r="AB294" s="86"/>
      <c r="AC294" s="86"/>
      <c r="AD294" s="86"/>
    </row>
    <row r="295" spans="1:30" x14ac:dyDescent="0.25">
      <c r="A295" s="85"/>
      <c r="AA295" s="86"/>
      <c r="AB295" s="86"/>
      <c r="AC295" s="86"/>
      <c r="AD295" s="86"/>
    </row>
    <row r="296" spans="1:30" x14ac:dyDescent="0.25">
      <c r="A296" s="85"/>
      <c r="AA296" s="86"/>
      <c r="AB296" s="86"/>
      <c r="AC296" s="86"/>
      <c r="AD296" s="86"/>
    </row>
    <row r="297" spans="1:30" x14ac:dyDescent="0.25">
      <c r="A297" s="85"/>
      <c r="AA297" s="86"/>
      <c r="AB297" s="86"/>
      <c r="AC297" s="86"/>
      <c r="AD297" s="86"/>
    </row>
    <row r="298" spans="1:30" x14ac:dyDescent="0.25">
      <c r="A298" s="85"/>
      <c r="AA298" s="86"/>
      <c r="AB298" s="86"/>
      <c r="AC298" s="86"/>
      <c r="AD298" s="86"/>
    </row>
    <row r="299" spans="1:30" x14ac:dyDescent="0.25">
      <c r="A299" s="85"/>
      <c r="AA299" s="86"/>
      <c r="AB299" s="86"/>
      <c r="AC299" s="86"/>
      <c r="AD299" s="86"/>
    </row>
    <row r="300" spans="1:30" x14ac:dyDescent="0.25">
      <c r="A300" s="85"/>
      <c r="AA300" s="86"/>
      <c r="AB300" s="86"/>
      <c r="AC300" s="86"/>
      <c r="AD300" s="86"/>
    </row>
    <row r="301" spans="1:30" x14ac:dyDescent="0.25">
      <c r="A301" s="85"/>
      <c r="AA301" s="86"/>
      <c r="AB301" s="86"/>
      <c r="AC301" s="86"/>
      <c r="AD301" s="86"/>
    </row>
    <row r="302" spans="1:30" x14ac:dyDescent="0.25">
      <c r="A302" s="85"/>
      <c r="AA302" s="86"/>
      <c r="AB302" s="86"/>
      <c r="AC302" s="86"/>
      <c r="AD302" s="86"/>
    </row>
    <row r="303" spans="1:30" x14ac:dyDescent="0.25">
      <c r="A303" s="85"/>
      <c r="AA303" s="86"/>
      <c r="AB303" s="86"/>
      <c r="AC303" s="86"/>
      <c r="AD303" s="86"/>
    </row>
    <row r="304" spans="1:30" x14ac:dyDescent="0.25">
      <c r="A304" s="85"/>
      <c r="AA304" s="86"/>
      <c r="AB304" s="86"/>
      <c r="AC304" s="86"/>
      <c r="AD304" s="86"/>
    </row>
    <row r="305" spans="1:30" x14ac:dyDescent="0.25">
      <c r="A305" s="85"/>
      <c r="AA305" s="86"/>
      <c r="AB305" s="86"/>
      <c r="AC305" s="86"/>
      <c r="AD305" s="86"/>
    </row>
    <row r="306" spans="1:30" x14ac:dyDescent="0.25">
      <c r="A306" s="85"/>
      <c r="AA306" s="86"/>
      <c r="AB306" s="86"/>
      <c r="AC306" s="86"/>
      <c r="AD306" s="86"/>
    </row>
    <row r="307" spans="1:30" x14ac:dyDescent="0.25">
      <c r="A307" s="85"/>
      <c r="AA307" s="86"/>
      <c r="AB307" s="86"/>
      <c r="AC307" s="86"/>
      <c r="AD307" s="86"/>
    </row>
    <row r="308" spans="1:30" x14ac:dyDescent="0.25">
      <c r="A308" s="85"/>
      <c r="AA308" s="86"/>
      <c r="AB308" s="86"/>
      <c r="AC308" s="86"/>
      <c r="AD308" s="86"/>
    </row>
    <row r="309" spans="1:30" x14ac:dyDescent="0.25">
      <c r="A309" s="85"/>
      <c r="AA309" s="86"/>
      <c r="AB309" s="86"/>
      <c r="AC309" s="86"/>
      <c r="AD309" s="86"/>
    </row>
    <row r="310" spans="1:30" x14ac:dyDescent="0.25">
      <c r="A310" s="85"/>
      <c r="AA310" s="86"/>
      <c r="AB310" s="86"/>
      <c r="AC310" s="86"/>
      <c r="AD310" s="86"/>
    </row>
    <row r="311" spans="1:30" x14ac:dyDescent="0.25">
      <c r="A311" s="85"/>
      <c r="AA311" s="86"/>
      <c r="AB311" s="86"/>
      <c r="AC311" s="86"/>
      <c r="AD311" s="86"/>
    </row>
    <row r="312" spans="1:30" x14ac:dyDescent="0.25">
      <c r="A312" s="85"/>
      <c r="AA312" s="86"/>
      <c r="AB312" s="86"/>
      <c r="AC312" s="86"/>
      <c r="AD312" s="86"/>
    </row>
    <row r="313" spans="1:30" x14ac:dyDescent="0.25">
      <c r="A313" s="85"/>
      <c r="AA313" s="86"/>
      <c r="AB313" s="86"/>
      <c r="AC313" s="86"/>
      <c r="AD313" s="86"/>
    </row>
    <row r="314" spans="1:30" x14ac:dyDescent="0.25">
      <c r="A314" s="85"/>
      <c r="AA314" s="86"/>
      <c r="AB314" s="86"/>
      <c r="AC314" s="86"/>
      <c r="AD314" s="86"/>
    </row>
    <row r="315" spans="1:30" x14ac:dyDescent="0.25">
      <c r="A315" s="85"/>
      <c r="AA315" s="86"/>
      <c r="AB315" s="86"/>
      <c r="AC315" s="86"/>
      <c r="AD315" s="86"/>
    </row>
    <row r="316" spans="1:30" x14ac:dyDescent="0.25">
      <c r="A316" s="85"/>
      <c r="AA316" s="86"/>
      <c r="AB316" s="86"/>
      <c r="AC316" s="86"/>
      <c r="AD316" s="86"/>
    </row>
    <row r="317" spans="1:30" x14ac:dyDescent="0.25">
      <c r="A317" s="85"/>
      <c r="AA317" s="86"/>
      <c r="AB317" s="86"/>
      <c r="AC317" s="86"/>
      <c r="AD317" s="86"/>
    </row>
    <row r="318" spans="1:30" x14ac:dyDescent="0.25">
      <c r="A318" s="85"/>
      <c r="AA318" s="86"/>
      <c r="AB318" s="86"/>
      <c r="AC318" s="86"/>
      <c r="AD318" s="86"/>
    </row>
    <row r="319" spans="1:30" x14ac:dyDescent="0.25">
      <c r="A319" s="85"/>
      <c r="AA319" s="86"/>
      <c r="AB319" s="86"/>
      <c r="AC319" s="86"/>
      <c r="AD319" s="86"/>
    </row>
    <row r="320" spans="1:30" x14ac:dyDescent="0.25">
      <c r="A320" s="85"/>
      <c r="AA320" s="86"/>
      <c r="AB320" s="86"/>
      <c r="AC320" s="86"/>
      <c r="AD320" s="86"/>
    </row>
    <row r="321" spans="1:30" x14ac:dyDescent="0.25">
      <c r="A321" s="85"/>
      <c r="AA321" s="86"/>
      <c r="AB321" s="86"/>
      <c r="AC321" s="86"/>
      <c r="AD321" s="86"/>
    </row>
    <row r="322" spans="1:30" x14ac:dyDescent="0.25">
      <c r="A322" s="85"/>
      <c r="AA322" s="86"/>
      <c r="AB322" s="86"/>
      <c r="AC322" s="86"/>
      <c r="AD322" s="86"/>
    </row>
    <row r="323" spans="1:30" x14ac:dyDescent="0.25">
      <c r="A323" s="85"/>
      <c r="AA323" s="86"/>
      <c r="AB323" s="86"/>
      <c r="AC323" s="86"/>
      <c r="AD323" s="86"/>
    </row>
    <row r="324" spans="1:30" x14ac:dyDescent="0.25">
      <c r="A324" s="85"/>
      <c r="AA324" s="86"/>
      <c r="AB324" s="86"/>
      <c r="AC324" s="86"/>
      <c r="AD324" s="86"/>
    </row>
    <row r="325" spans="1:30" x14ac:dyDescent="0.25">
      <c r="A325" s="85"/>
      <c r="AA325" s="86"/>
      <c r="AB325" s="86"/>
      <c r="AC325" s="86"/>
      <c r="AD325" s="86"/>
    </row>
    <row r="326" spans="1:30" x14ac:dyDescent="0.25">
      <c r="A326" s="85"/>
      <c r="AA326" s="86"/>
      <c r="AB326" s="86"/>
      <c r="AC326" s="86"/>
      <c r="AD326" s="86"/>
    </row>
    <row r="327" spans="1:30" x14ac:dyDescent="0.25">
      <c r="A327" s="85"/>
      <c r="AA327" s="86"/>
      <c r="AB327" s="86"/>
      <c r="AC327" s="86"/>
      <c r="AD327" s="86"/>
    </row>
    <row r="328" spans="1:30" x14ac:dyDescent="0.25">
      <c r="A328" s="85"/>
      <c r="AA328" s="86"/>
      <c r="AB328" s="86"/>
      <c r="AC328" s="86"/>
      <c r="AD328" s="86"/>
    </row>
    <row r="329" spans="1:30" x14ac:dyDescent="0.25">
      <c r="A329" s="85"/>
      <c r="AA329" s="86"/>
      <c r="AB329" s="86"/>
      <c r="AC329" s="86"/>
      <c r="AD329" s="86"/>
    </row>
    <row r="330" spans="1:30" x14ac:dyDescent="0.25">
      <c r="A330" s="85"/>
      <c r="AA330" s="86"/>
      <c r="AB330" s="86"/>
      <c r="AC330" s="86"/>
      <c r="AD330" s="86"/>
    </row>
    <row r="331" spans="1:30" x14ac:dyDescent="0.25">
      <c r="A331" s="85"/>
      <c r="AA331" s="86"/>
      <c r="AB331" s="86"/>
      <c r="AC331" s="86"/>
      <c r="AD331" s="86"/>
    </row>
    <row r="332" spans="1:30" x14ac:dyDescent="0.25">
      <c r="A332" s="85"/>
      <c r="AA332" s="86"/>
      <c r="AB332" s="86"/>
      <c r="AC332" s="86"/>
      <c r="AD332" s="86"/>
    </row>
    <row r="333" spans="1:30" x14ac:dyDescent="0.25">
      <c r="A333" s="85"/>
      <c r="AA333" s="86"/>
      <c r="AB333" s="86"/>
      <c r="AC333" s="86"/>
      <c r="AD333" s="86"/>
    </row>
    <row r="334" spans="1:30" x14ac:dyDescent="0.25">
      <c r="A334" s="85"/>
      <c r="AA334" s="86"/>
      <c r="AB334" s="86"/>
      <c r="AC334" s="86"/>
      <c r="AD334" s="86"/>
    </row>
    <row r="335" spans="1:30" x14ac:dyDescent="0.25">
      <c r="A335" s="85"/>
      <c r="AA335" s="86"/>
      <c r="AB335" s="86"/>
      <c r="AC335" s="86"/>
      <c r="AD335" s="86"/>
    </row>
    <row r="336" spans="1:30" x14ac:dyDescent="0.25">
      <c r="A336" s="85"/>
      <c r="AA336" s="86"/>
      <c r="AB336" s="86"/>
      <c r="AC336" s="86"/>
      <c r="AD336" s="86"/>
    </row>
    <row r="337" spans="1:30" x14ac:dyDescent="0.25">
      <c r="A337" s="85"/>
      <c r="AA337" s="86"/>
      <c r="AB337" s="86"/>
      <c r="AC337" s="86"/>
      <c r="AD337" s="86"/>
    </row>
    <row r="338" spans="1:30" x14ac:dyDescent="0.25">
      <c r="A338" s="85"/>
      <c r="AA338" s="86"/>
      <c r="AB338" s="86"/>
      <c r="AC338" s="86"/>
      <c r="AD338" s="86"/>
    </row>
    <row r="339" spans="1:30" x14ac:dyDescent="0.25">
      <c r="A339" s="85"/>
      <c r="AA339" s="86"/>
      <c r="AB339" s="86"/>
      <c r="AC339" s="86"/>
      <c r="AD339" s="86"/>
    </row>
    <row r="340" spans="1:30" x14ac:dyDescent="0.25">
      <c r="A340" s="85"/>
      <c r="AA340" s="86"/>
      <c r="AB340" s="86"/>
      <c r="AC340" s="86"/>
      <c r="AD340" s="86"/>
    </row>
    <row r="341" spans="1:30" x14ac:dyDescent="0.25">
      <c r="A341" s="85"/>
      <c r="AA341" s="86"/>
      <c r="AB341" s="86"/>
      <c r="AC341" s="86"/>
      <c r="AD341" s="86"/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  <row r="478" spans="1:30" x14ac:dyDescent="0.25">
      <c r="A478" s="85"/>
      <c r="AA478" s="86"/>
      <c r="AB478" s="86"/>
      <c r="AC478" s="86"/>
      <c r="AD478" s="86"/>
    </row>
  </sheetData>
  <autoFilter ref="A1:AD478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7" t="s">
        <v>119</v>
      </c>
      <c r="B4" s="98"/>
      <c r="C4" s="98"/>
    </row>
    <row r="5" spans="1:3" x14ac:dyDescent="0.25">
      <c r="A5" s="97" t="s">
        <v>120</v>
      </c>
      <c r="B5" s="98"/>
      <c r="C5" s="98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0" t="s">
        <v>7</v>
      </c>
      <c r="D1" s="101"/>
      <c r="E1" s="101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1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2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3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3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3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3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3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3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3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3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2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99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99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99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99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99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99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99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99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M58"/>
  <sheetViews>
    <sheetView workbookViewId="0">
      <pane xSplit="1" ySplit="1" topLeftCell="B7" activePane="bottomRight" state="frozen"/>
      <selection pane="topRight" activeCell="B1" sqref="B1"/>
      <selection pane="bottomLeft" activeCell="A2" sqref="A2"/>
      <selection pane="bottomRight" activeCell="C12" sqref="C12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164</v>
      </c>
      <c r="D1" s="3" t="s">
        <v>165</v>
      </c>
      <c r="E1" s="3" t="s">
        <v>166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174</v>
      </c>
      <c r="G2" s="66">
        <f>AVERAGEIFS('BA History'!C:C,'BA History'!B:B,A2)</f>
        <v>12.428571428571429</v>
      </c>
      <c r="H2" s="35">
        <f t="array" ref="H2">MAX(IF('BA History'!B:B=A2, 'BA History'!C:C))</f>
        <v>23</v>
      </c>
      <c r="I2" s="34">
        <f>COUNTIFS('BA History'!B:B,A2,'BA History'!D:D, 1)</f>
        <v>7</v>
      </c>
      <c r="J2" s="2">
        <f>COUNTIFS('BA History'!B:B,A2,'BA History'!D:D, 0)</f>
        <v>7</v>
      </c>
      <c r="K2" s="75">
        <f>LOOKUP(2, 1/('BA History'!$B:$B=A2), 'BA History'!$AJ:$AJ)</f>
        <v>0.5</v>
      </c>
      <c r="L2" s="34">
        <f>SUMIFS('BA History'!F:F,'BA History'!B:B,A2)</f>
        <v>28</v>
      </c>
      <c r="M2" s="2">
        <f>SUMIFS('BA History'!E:E,'BA History'!B:B,A2)-L2</f>
        <v>28</v>
      </c>
      <c r="N2" s="75">
        <f>LOOKUP(2, 1/('BA History'!$B:$B=A2), 'BA History'!$AH:$AH)</f>
        <v>0.49285714285714288</v>
      </c>
      <c r="O2" s="34">
        <f>SUMIFS('BA History'!H:H,'BA History'!B:B,A2)</f>
        <v>116</v>
      </c>
      <c r="P2" s="2">
        <f>SUMIFS('BA History'!G:G,'BA History'!B:B,A2)-O2</f>
        <v>112</v>
      </c>
      <c r="Q2" s="89">
        <f>LOOKUP(2, 1/('BA History'!$B:$B=A2), 'BA History'!$AI:$AI)</f>
        <v>0.49571428571428572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5</v>
      </c>
      <c r="U2" s="2">
        <f>COUNTIFS('BA History'!$B:$B,$A$2,'BA History'!N:N, 1)</f>
        <v>4</v>
      </c>
      <c r="V2" s="2">
        <f>COUNTIFS('BA History'!$B:$B,$A$2,'BA History'!O:O, 1)</f>
        <v>0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1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0</v>
      </c>
      <c r="AG2" s="2">
        <f>COUNTIFS('BA History'!$B:$B,$A$2,'BA History'!Z:Z, 1)</f>
        <v>3</v>
      </c>
      <c r="AH2" s="2">
        <f>COUNTIFS('BA History'!$B:$B,$A$2,'BA History'!AA:AA, 1)</f>
        <v>0</v>
      </c>
      <c r="AI2" s="2">
        <f>COUNTIFS('BA History'!$B:$B,$A$2,'BA History'!AB:AB, 1)</f>
        <v>3</v>
      </c>
      <c r="AJ2" s="2">
        <f>COUNTIFS('BA History'!$B:$B,$A$2,'BA History'!AC:AC, 1)</f>
        <v>0</v>
      </c>
      <c r="AK2" s="2">
        <f>COUNTIFS('BA History'!$B:$B,$A$2,'BA History'!AD:AD, 1)</f>
        <v>3</v>
      </c>
      <c r="AL2" s="2">
        <f>COUNTIFS('BA History'!$B:$B,$A$2,'BA History'!AE:AE, 1)</f>
        <v>0</v>
      </c>
      <c r="AM2" s="2">
        <f>COUNTIFS('BA History'!$B:$B,$A$2,'BA History'!AF:AF, 1)</f>
        <v>2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115</v>
      </c>
      <c r="G3" s="66">
        <f>AVERAGEIFS('BA History'!C:C,'BA History'!B:B,A3)</f>
        <v>12.777777777777779</v>
      </c>
      <c r="H3" s="35">
        <f t="array" ref="H3">MAX(IF('BA History'!B:B=A3, 'BA History'!C:C))</f>
        <v>19</v>
      </c>
      <c r="I3" s="34">
        <f>COUNTIFS('BA History'!B:B,A3,'BA History'!D:D, 1)</f>
        <v>4</v>
      </c>
      <c r="J3" s="2">
        <f>COUNTIFS('BA History'!B:B,A3,'BA History'!D:D, 0)</f>
        <v>5</v>
      </c>
      <c r="K3" s="75">
        <f>LOOKUP(2, 1/('BA History'!$B:$B=A3), 'BA History'!$AJ:$AJ)</f>
        <v>0.44444444444444442</v>
      </c>
      <c r="L3" s="34">
        <f>SUMIFS('BA History'!F:F,'BA History'!B:B,A3)</f>
        <v>20</v>
      </c>
      <c r="M3" s="2">
        <f>SUMIFS('BA History'!E:E,'BA History'!B:B,A3)-L3</f>
        <v>18</v>
      </c>
      <c r="N3" s="75">
        <f>LOOKUP(2, 1/('BA History'!$B:$B=A3), 'BA History'!$AH:$AH)</f>
        <v>0.53888888888888886</v>
      </c>
      <c r="O3" s="34">
        <f>SUMIFS('BA History'!H:H,'BA History'!B:B,A3)</f>
        <v>80</v>
      </c>
      <c r="P3" s="2">
        <f>SUMIFS('BA History'!G:G,'BA History'!B:B,A3)-O3</f>
        <v>79</v>
      </c>
      <c r="Q3" s="89">
        <f>LOOKUP(2, 1/('BA History'!$B:$B=A3), 'BA History'!$AI:$AI)</f>
        <v>0.49222222222222217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3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2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2</v>
      </c>
      <c r="AH3" s="2">
        <f>COUNTIFS('BA History'!$B:$B,$A$3,'BA History'!AA:AA, 1)</f>
        <v>0</v>
      </c>
      <c r="AI3" s="2">
        <f>COUNTIFS('BA History'!$B:$B,$A$3,'BA History'!AB:AB, 1)</f>
        <v>1</v>
      </c>
      <c r="AJ3" s="2">
        <f>COUNTIFS('BA History'!$B:$B,$A$3,'BA History'!AC:AC, 1)</f>
        <v>2</v>
      </c>
      <c r="AK3" s="2">
        <f>COUNTIFS('BA History'!$B:$B,$A$3,'BA History'!AD:AD, 1)</f>
        <v>1</v>
      </c>
      <c r="AL3" s="2">
        <f>COUNTIFS('BA History'!$B:$B,$A$3,'BA History'!AE:AE, 1)</f>
        <v>0</v>
      </c>
      <c r="AM3" s="2">
        <f>COUNTIFS('BA History'!$B:$B,$A$3,'BA History'!AF:AF, 1)</f>
        <v>2</v>
      </c>
    </row>
    <row r="4" spans="1:39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History'!$AJ:$AJ)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History'!$AH:$AH)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History'!$AI:$AI)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History'!$B:$B,$A$4,'BA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2</v>
      </c>
      <c r="AL4" s="2">
        <f>COUNTIFS('BA History'!$B:$B,$A$4,'BA History'!AE:AE, 1)</f>
        <v>0</v>
      </c>
      <c r="AM4" s="2">
        <f>COUNTIFS('BA History'!$B:$B,$A$4,'BA History'!AF:AF, 1)</f>
        <v>0</v>
      </c>
    </row>
    <row r="5" spans="1:39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329</v>
      </c>
      <c r="G5" s="66">
        <f>AVERAGEIFS('BA History'!C:C,'BA History'!B:B,A5)</f>
        <v>12.653846153846153</v>
      </c>
      <c r="H5" s="35">
        <f t="array" ref="H5">MAX(IF('BA History'!B:B=A5, 'BA History'!C:C))</f>
        <v>23</v>
      </c>
      <c r="I5" s="34">
        <f>COUNTIFS('BA History'!B:B,A5,'BA History'!D:D, 1)</f>
        <v>13</v>
      </c>
      <c r="J5" s="2">
        <f>COUNTIFS('BA History'!B:B,A5,'BA History'!D:D, 0)</f>
        <v>13</v>
      </c>
      <c r="K5" s="75">
        <f>LOOKUP(2, 1/('BA History'!$B:$B=A5), 'BA History'!$AJ:$AJ)</f>
        <v>0.5</v>
      </c>
      <c r="L5" s="34">
        <f>SUMIFS('BA History'!F:F,'BA History'!B:B,A5)</f>
        <v>51</v>
      </c>
      <c r="M5" s="2">
        <f>SUMIFS('BA History'!E:E,'BA History'!B:B,A5)-L5</f>
        <v>56</v>
      </c>
      <c r="N5" s="75">
        <f>LOOKUP(2, 1/('BA History'!$B:$B=A5), 'BA History'!$AH:$AH)</f>
        <v>0.45192307692307693</v>
      </c>
      <c r="O5" s="34">
        <f>SUMIFS('BA History'!H:H,'BA History'!B:B,A5)</f>
        <v>213</v>
      </c>
      <c r="P5" s="2">
        <f>SUMIFS('BA History'!G:G,'BA History'!B:B,A5)-O5</f>
        <v>227</v>
      </c>
      <c r="Q5" s="89">
        <f>LOOKUP(2, 1/('BA History'!$B:$B=A5), 'BA History'!$AI:$AI)</f>
        <v>0.4696153846153846</v>
      </c>
      <c r="R5" s="2">
        <f>COUNTIFS('BA History'!$B:$B,$A$5,'BA History'!K:K, 1)</f>
        <v>3</v>
      </c>
      <c r="S5" s="2">
        <f>COUNTIFS('BA History'!$B:$B,$A$5,'BA History'!L:L, 1)</f>
        <v>6</v>
      </c>
      <c r="T5" s="2">
        <f>COUNTIFS('BA History'!$B:$B,$A$5,'BA History'!M:M, 1)</f>
        <v>3</v>
      </c>
      <c r="U5" s="2">
        <f>COUNTIFS('BA History'!$B:$B,$A$5,'BA History'!N:N, 1)</f>
        <v>4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4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3</v>
      </c>
      <c r="AH5" s="2">
        <f>COUNTIFS('BA History'!$B:$B,$A$5,'BA History'!AA:AA, 1)</f>
        <v>1</v>
      </c>
      <c r="AI5" s="2">
        <f>COUNTIFS('BA History'!$B:$B,$A$5,'BA History'!AB:AB, 1)</f>
        <v>5</v>
      </c>
      <c r="AJ5" s="2">
        <f>COUNTIFS('BA History'!$B:$B,$A$5,'BA History'!AC:AC, 1)</f>
        <v>3</v>
      </c>
      <c r="AK5" s="2">
        <f>COUNTIFS('BA History'!$B:$B,$A$5,'BA History'!AD:AD, 1)</f>
        <v>5</v>
      </c>
      <c r="AL5" s="2">
        <f>COUNTIFS('BA History'!$B:$B,$A$5,'BA History'!AE:AE, 1)</f>
        <v>1</v>
      </c>
      <c r="AM5" s="2">
        <f>COUNTIFS('BA History'!$B:$B,$A$5,'BA History'!AF:AF, 1)</f>
        <v>2</v>
      </c>
    </row>
    <row r="6" spans="1:39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History'!$AJ:$AJ)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History'!$AH:$AH)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History'!$AI:$AI)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History'!$B:$B,$A$6,'BA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</row>
    <row r="7" spans="1:39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419</v>
      </c>
      <c r="G7" s="66">
        <f>AVERAGEIFS('BA History'!C:C,'BA History'!B:B,A7)</f>
        <v>10.475</v>
      </c>
      <c r="H7" s="35">
        <f t="array" ref="H7">MAX(IF('BA History'!B:B=A7, 'BA History'!C:C))</f>
        <v>24</v>
      </c>
      <c r="I7" s="34">
        <f>COUNTIFS('BA History'!B:B,A7,'BA History'!D:D, 1)</f>
        <v>17</v>
      </c>
      <c r="J7" s="2">
        <f>COUNTIFS('BA History'!B:B,A7,'BA History'!D:D, 0)</f>
        <v>23</v>
      </c>
      <c r="K7" s="75">
        <f>LOOKUP(2, 1/('BA History'!$B:$B=A7), 'BA History'!$AJ:$AJ)</f>
        <v>0.42499999999999999</v>
      </c>
      <c r="L7" s="34">
        <f>SUMIFS('BA History'!F:F,'BA History'!B:B,A7)</f>
        <v>76</v>
      </c>
      <c r="M7" s="2">
        <f>SUMIFS('BA History'!E:E,'BA History'!B:B,A7)-L7</f>
        <v>86</v>
      </c>
      <c r="N7" s="75">
        <f>LOOKUP(2, 1/('BA History'!$B:$B=A7), 'BA History'!$AH:$AH)</f>
        <v>0.45825000000000005</v>
      </c>
      <c r="O7" s="34">
        <f>SUMIFS('BA History'!H:H,'BA History'!B:B,A7)</f>
        <v>329</v>
      </c>
      <c r="P7" s="2">
        <f>SUMIFS('BA History'!G:G,'BA History'!B:B,A7)-O7</f>
        <v>343</v>
      </c>
      <c r="Q7" s="89">
        <f>LOOKUP(2, 1/('BA History'!$B:$B=A7), 'BA History'!$AI:$AI)</f>
        <v>0.48549999999999993</v>
      </c>
      <c r="R7" s="2">
        <f>COUNTIFS('BA History'!$B:$B,$A$7,'BA History'!K:K, 1)</f>
        <v>2</v>
      </c>
      <c r="S7" s="2">
        <f>COUNTIFS('BA History'!$B:$B,$A$7,'BA History'!L:L, 1)</f>
        <v>4</v>
      </c>
      <c r="T7" s="2">
        <f>COUNTIFS('BA History'!$B:$B,$A$7,'BA History'!M:M, 1)</f>
        <v>5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4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9</v>
      </c>
      <c r="AH7" s="2">
        <f>COUNTIFS('BA History'!$B:$B,$A$7,'BA History'!AA:AA, 1)</f>
        <v>2</v>
      </c>
      <c r="AI7" s="2">
        <f>COUNTIFS('BA History'!$B:$B,$A$7,'BA History'!AB:AB, 1)</f>
        <v>8</v>
      </c>
      <c r="AJ7" s="2">
        <f>COUNTIFS('BA History'!$B:$B,$A$7,'BA History'!AC:AC, 1)</f>
        <v>6</v>
      </c>
      <c r="AK7" s="2">
        <f>COUNTIFS('BA History'!$B:$B,$A$7,'BA History'!AD:AD, 1)</f>
        <v>7</v>
      </c>
      <c r="AL7" s="2">
        <f>COUNTIFS('BA History'!$B:$B,$A$7,'BA History'!AE:AE, 1)</f>
        <v>1</v>
      </c>
      <c r="AM7" s="2">
        <f>COUNTIFS('BA History'!$B:$B,$A$7,'BA History'!AF:AF, 1)</f>
        <v>3</v>
      </c>
    </row>
    <row r="8" spans="1:39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History'!$AJ:$AJ)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History'!$AH:$AH)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History'!$AI:$AI)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History'!$B:$B,$A$8,'BA History'!AA:AA, 1)</f>
        <v>0</v>
      </c>
      <c r="AI8" s="2">
        <f>COUNTIFS('BA History'!$B:$B,$A$8,'BA History'!AB:AB, 1)</f>
        <v>5</v>
      </c>
      <c r="AJ8" s="2">
        <f>COUNTIFS('BA History'!$B:$B,$A$8,'BA History'!AC:AC, 1)</f>
        <v>3</v>
      </c>
      <c r="AK8" s="2">
        <f>COUNTIFS('BA History'!$B:$B,$A$8,'BA History'!AD:AD, 1)</f>
        <v>3</v>
      </c>
      <c r="AL8" s="2">
        <f>COUNTIFS('BA History'!$B:$B,$A$8,'BA History'!AE:AE, 1)</f>
        <v>0</v>
      </c>
      <c r="AM8" s="2">
        <f>COUNTIFS('BA History'!$B:$B,$A$8,'BA History'!AF:AF, 1)</f>
        <v>1</v>
      </c>
    </row>
    <row r="9" spans="1:39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719</v>
      </c>
      <c r="G9" s="66">
        <f>AVERAGEIFS('BA History'!C:C,'BA History'!B:B,A9)</f>
        <v>18.435897435897434</v>
      </c>
      <c r="H9" s="35">
        <f t="array" ref="H9">MAX(IF('BA History'!B:B=A9, 'BA History'!C:C))</f>
        <v>40</v>
      </c>
      <c r="I9" s="34">
        <f>COUNTIFS('BA History'!B:B,A9,'BA History'!D:D, 1)</f>
        <v>17</v>
      </c>
      <c r="J9" s="2">
        <f>COUNTIFS('BA History'!B:B,A9,'BA History'!D:D, 0)</f>
        <v>22</v>
      </c>
      <c r="K9" s="75">
        <f>LOOKUP(2, 1/('BA History'!$B:$B=A9), 'BA History'!$AJ:$AJ)</f>
        <v>0.4358974358974359</v>
      </c>
      <c r="L9" s="34">
        <f>SUMIFS('BA History'!F:F,'BA History'!B:B,A9)</f>
        <v>71</v>
      </c>
      <c r="M9" s="2">
        <f>SUMIFS('BA History'!E:E,'BA History'!B:B,A9)-L9</f>
        <v>88</v>
      </c>
      <c r="N9" s="75">
        <f>LOOKUP(2, 1/('BA History'!$B:$B=A9), 'BA History'!$AH:$AH)</f>
        <v>0.4358974358974359</v>
      </c>
      <c r="O9" s="34">
        <f>SUMIFS('BA History'!H:H,'BA History'!B:B,A9)</f>
        <v>299</v>
      </c>
      <c r="P9" s="2">
        <f>SUMIFS('BA History'!G:G,'BA History'!B:B,A9)-O9</f>
        <v>357</v>
      </c>
      <c r="Q9" s="89">
        <f>LOOKUP(2, 1/('BA History'!$B:$B=A9), 'BA History'!$AI:$AI)</f>
        <v>0.44410256410256405</v>
      </c>
      <c r="R9" s="2">
        <f>COUNTIFS('BA History'!$B:$B,$A$9,'BA History'!K:K, 1)</f>
        <v>3</v>
      </c>
      <c r="S9" s="2">
        <f>COUNTIFS('BA History'!$B:$B,$A$9,'BA History'!L:L, 1)</f>
        <v>6</v>
      </c>
      <c r="T9" s="2">
        <f>COUNTIFS('BA History'!$B:$B,$A$9,'BA History'!M:M, 1)</f>
        <v>3</v>
      </c>
      <c r="U9" s="2">
        <f>COUNTIFS('BA History'!$B:$B,$A$9,'BA History'!N:N, 1)</f>
        <v>8</v>
      </c>
      <c r="V9" s="2">
        <f>COUNTIFS('BA History'!$B:$B,$A$9,'BA History'!O:O, 1)</f>
        <v>1</v>
      </c>
      <c r="W9" s="2">
        <f>COUNTIFS('BA History'!$B:$B,$A$9,'BA History'!P:P, 1)</f>
        <v>0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3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3</v>
      </c>
      <c r="AD9" s="2">
        <f>COUNTIFS('BA History'!$B:$B,$A$9,'BA History'!W:W, 1)</f>
        <v>1</v>
      </c>
      <c r="AE9" s="2">
        <f>COUNTIFS('BA History'!$B:$B,$A$9,'BA History'!X:X, 1)</f>
        <v>0</v>
      </c>
      <c r="AF9" s="2">
        <f>COUNTIFS('BA History'!$B:$B,$A$9,'BA History'!Y:Y, 1)</f>
        <v>7</v>
      </c>
      <c r="AG9" s="2">
        <f>COUNTIFS('BA History'!$B:$B,$A$9,'BA History'!Z:Z, 1)</f>
        <v>9</v>
      </c>
      <c r="AH9" s="2">
        <f>COUNTIFS('BA History'!$B:$B,$A$9,'BA History'!AA:AA, 1)</f>
        <v>2</v>
      </c>
      <c r="AI9" s="2">
        <f>COUNTIFS('BA History'!$B:$B,$A$9,'BA History'!AB:AB, 1)</f>
        <v>8</v>
      </c>
      <c r="AJ9" s="2">
        <f>COUNTIFS('BA History'!$B:$B,$A$9,'BA History'!AC:AC, 1)</f>
        <v>3</v>
      </c>
      <c r="AK9" s="2">
        <f>COUNTIFS('BA History'!$B:$B,$A$9,'BA History'!AD:AD, 1)</f>
        <v>7</v>
      </c>
      <c r="AL9" s="2">
        <f>COUNTIFS('BA History'!$B:$B,$A$9,'BA History'!AE:AE, 1)</f>
        <v>0</v>
      </c>
      <c r="AM9" s="2">
        <f>COUNTIFS('BA History'!$B:$B,$A$9,'BA History'!AF:AF, 1)</f>
        <v>3</v>
      </c>
    </row>
    <row r="10" spans="1:39" x14ac:dyDescent="0.25">
      <c r="A10" s="2" t="s">
        <v>25</v>
      </c>
      <c r="B10" s="2" t="s">
        <v>79</v>
      </c>
      <c r="C10" s="2"/>
      <c r="D10" s="2"/>
      <c r="E10" s="2"/>
      <c r="F10" s="34">
        <f>SUMIFS('BA History'!C:C,'BA History'!B:B,A10)</f>
        <v>58</v>
      </c>
      <c r="G10" s="66">
        <f>AVERAGEIFS('BA History'!C:C,'BA History'!B:B,A10)</f>
        <v>9.6666666666666661</v>
      </c>
      <c r="H10" s="35">
        <f t="array" ref="H10">MAX(IF('BA History'!B:B=A10, 'BA History'!C:C))</f>
        <v>15</v>
      </c>
      <c r="I10" s="34">
        <f>COUNTIFS('BA History'!B:B,A10,'BA History'!D:D, 1)</f>
        <v>4</v>
      </c>
      <c r="J10" s="2">
        <f>COUNTIFS('BA History'!B:B,A10,'BA History'!D:D, 0)</f>
        <v>2</v>
      </c>
      <c r="K10" s="75">
        <f>LOOKUP(2, 1/('BA History'!$B:$B=A10), 'BA History'!$AJ:$AJ)</f>
        <v>0.66666666666666663</v>
      </c>
      <c r="L10" s="34">
        <f>SUMIFS('BA History'!F:F,'BA History'!B:B,A10)</f>
        <v>14</v>
      </c>
      <c r="M10" s="2">
        <f>SUMIFS('BA History'!E:E,'BA History'!B:B,A10)-L10</f>
        <v>8</v>
      </c>
      <c r="N10" s="75">
        <f>LOOKUP(2, 1/('BA History'!$B:$B=A10), 'BA History'!$AH:$AH)</f>
        <v>0.66666666666666663</v>
      </c>
      <c r="O10" s="34">
        <f>SUMIFS('BA History'!H:H,'BA History'!B:B,A10)</f>
        <v>53</v>
      </c>
      <c r="P10" s="2">
        <f>SUMIFS('BA History'!G:G,'BA History'!B:B,A10)-O10</f>
        <v>35</v>
      </c>
      <c r="Q10" s="89">
        <f>LOOKUP(2, 1/('BA History'!$B:$B=A10), 'BA History'!$AI:$AI)</f>
        <v>0.63833333333333331</v>
      </c>
      <c r="R10" s="2">
        <f>COUNTIFS('BA History'!$B:$B,$A$10,'BA History'!K:K, 1)</f>
        <v>2</v>
      </c>
      <c r="S10" s="2">
        <f>COUNTIFS('BA History'!$B:$B,$A$10,'BA History'!L:L, 1)</f>
        <v>0</v>
      </c>
      <c r="T10" s="2">
        <f>COUNTIFS('BA History'!$B:$B,$A$10,'BA History'!M:M, 1)</f>
        <v>1</v>
      </c>
      <c r="U10" s="2">
        <f>COUNTIFS('BA History'!$B:$B,$A$10,'BA History'!N:N, 1)</f>
        <v>1</v>
      </c>
      <c r="V10" s="2">
        <f>COUNTIFS('BA History'!$B:$B,$A$10,'BA History'!O:O, 1)</f>
        <v>1</v>
      </c>
      <c r="W10" s="2">
        <f>COUNTIFS('BA History'!$B:$B,$A$10,'BA History'!P:P, 1)</f>
        <v>1</v>
      </c>
      <c r="X10" s="2">
        <f>COUNTIFS('BA History'!$B:$B,$A$10,'BA History'!Q:Q, 1)</f>
        <v>2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1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2</v>
      </c>
      <c r="AG10" s="2">
        <f>COUNTIFS('BA History'!$B:$B,$A$10,'BA History'!Z:Z, 1)</f>
        <v>2</v>
      </c>
      <c r="AH10" s="2">
        <f>COUNTIFS('BA History'!$B:$B,$A$10,'BA History'!AA:AA, 1)</f>
        <v>0</v>
      </c>
      <c r="AI10" s="2">
        <f>COUNTIFS('BA History'!$B:$B,$A$10,'BA History'!AB:AB, 1)</f>
        <v>1</v>
      </c>
      <c r="AJ10" s="2">
        <f>COUNTIFS('BA History'!$B:$B,$A$10,'BA History'!AC:AC, 1)</f>
        <v>0</v>
      </c>
      <c r="AK10" s="2">
        <f>COUNTIFS('BA History'!$B:$B,$A$10,'BA History'!AD:AD, 1)</f>
        <v>0</v>
      </c>
      <c r="AL10" s="2">
        <f>COUNTIFS('BA History'!$B:$B,$A$10,'BA History'!AE:AE, 1)</f>
        <v>0</v>
      </c>
      <c r="AM10" s="2">
        <f>COUNTIFS('BA History'!$B:$B,$A$10,'BA History'!AF:AF, 1)</f>
        <v>0</v>
      </c>
    </row>
    <row r="11" spans="1:39" x14ac:dyDescent="0.25">
      <c r="A11" s="2" t="s">
        <v>115</v>
      </c>
      <c r="B11" s="2" t="s">
        <v>79</v>
      </c>
      <c r="C11" s="2"/>
      <c r="D11" s="2"/>
      <c r="E11" s="2"/>
      <c r="F11" s="34">
        <f>SUMIFS('BA History'!C:C,'BA History'!B:B,A11)</f>
        <v>109</v>
      </c>
      <c r="G11" s="66">
        <f>AVERAGEIFS('BA History'!C:C,'BA History'!B:B,A11)</f>
        <v>13.625</v>
      </c>
      <c r="H11" s="35">
        <f t="array" ref="H11">MAX(IF('BA History'!B:B=A11, 'BA History'!C:C))</f>
        <v>23</v>
      </c>
      <c r="I11" s="34">
        <f>COUNTIFS('BA History'!B:B,A11,'BA History'!D:D, 1)</f>
        <v>3</v>
      </c>
      <c r="J11" s="2">
        <f>COUNTIFS('BA History'!B:B,A11,'BA History'!D:D, 0)</f>
        <v>5</v>
      </c>
      <c r="K11" s="75">
        <f>LOOKUP(2, 1/('BA History'!$B:$B=A11), 'BA History'!$AJ:$AJ)</f>
        <v>0.375</v>
      </c>
      <c r="L11" s="34">
        <f>SUMIFS('BA History'!F:F,'BA History'!B:B,A11)</f>
        <v>16</v>
      </c>
      <c r="M11" s="2">
        <f>SUMIFS('BA History'!E:E,'BA History'!B:B,A11)-L11</f>
        <v>19</v>
      </c>
      <c r="N11" s="75">
        <f>LOOKUP(2, 1/('BA History'!$B:$B=A11), 'BA History'!$AH:$AH)</f>
        <v>0.45624999999999999</v>
      </c>
      <c r="O11" s="34">
        <f>SUMIFS('BA History'!H:H,'BA History'!B:B,A11)</f>
        <v>66</v>
      </c>
      <c r="P11" s="2">
        <f>SUMIFS('BA History'!G:G,'BA History'!B:B,A11)-O11</f>
        <v>71</v>
      </c>
      <c r="Q11" s="89">
        <f>LOOKUP(2, 1/('BA History'!$B:$B=A11), 'BA History'!$AI:$AI)</f>
        <v>0.48374999999999996</v>
      </c>
      <c r="R11" s="2">
        <f>COUNTIFS('BA History'!$B:$B,$A$11,'BA History'!K:K, 1)</f>
        <v>1</v>
      </c>
      <c r="S11" s="2">
        <f>COUNTIFS('BA History'!$B:$B,$A$11,'BA History'!L:L, 1)</f>
        <v>2</v>
      </c>
      <c r="T11" s="2">
        <f>COUNTIFS('BA History'!$B:$B,$A$11,'BA History'!M:M, 1)</f>
        <v>1</v>
      </c>
      <c r="U11" s="2">
        <f>COUNTIFS('BA History'!$B:$B,$A$11,'BA History'!N:N, 1)</f>
        <v>0</v>
      </c>
      <c r="V11" s="2">
        <f>COUNTIFS('BA History'!$B:$B,$A$11,'BA History'!O:O, 1)</f>
        <v>1</v>
      </c>
      <c r="W11" s="2">
        <f>COUNTIFS('BA History'!$B:$B,$A$11,'BA History'!P:P, 1)</f>
        <v>0</v>
      </c>
      <c r="X11" s="2">
        <f>COUNTIFS('BA History'!$B:$B,$A$11,'BA History'!Q:Q, 1)</f>
        <v>1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1</v>
      </c>
      <c r="AC11" s="2">
        <f>COUNTIFS('BA History'!$B:$B,$A$11,'BA History'!V:V, 1)</f>
        <v>1</v>
      </c>
      <c r="AD11" s="2">
        <f>COUNTIFS('BA History'!$B:$B,$A$11,'BA History'!W:W, 1)</f>
        <v>1</v>
      </c>
      <c r="AE11" s="2">
        <f>COUNTIFS('BA History'!$B:$B,$A$11,'BA History'!X:X, 1)</f>
        <v>1</v>
      </c>
      <c r="AF11" s="2">
        <f>COUNTIFS('BA History'!$B:$B,$A$11,'BA History'!Y:Y, 1)</f>
        <v>1</v>
      </c>
      <c r="AG11" s="2">
        <f>COUNTIFS('BA History'!$B:$B,$A$11,'BA History'!Z:Z, 1)</f>
        <v>1</v>
      </c>
      <c r="AH11" s="2">
        <f>COUNTIFS('BA History'!$B:$B,$A$11,'BA History'!AA:AA, 1)</f>
        <v>0</v>
      </c>
      <c r="AI11" s="2">
        <f>COUNTIFS('BA History'!$B:$B,$A$11,'BA History'!AB:AB, 1)</f>
        <v>0</v>
      </c>
      <c r="AJ11" s="2">
        <f>COUNTIFS('BA History'!$B:$B,$A$11,'BA History'!AC:AC, 1)</f>
        <v>2</v>
      </c>
      <c r="AK11" s="2">
        <f>COUNTIFS('BA History'!$B:$B,$A$11,'BA History'!AD:AD, 1)</f>
        <v>1</v>
      </c>
      <c r="AL11" s="2">
        <f>COUNTIFS('BA History'!$B:$B,$A$11,'BA History'!AE:AE, 1)</f>
        <v>0</v>
      </c>
      <c r="AM11" s="2">
        <f>COUNTIFS('BA History'!$B:$B,$A$11,'BA History'!AF:AF, 1)</f>
        <v>1</v>
      </c>
    </row>
    <row r="12" spans="1:39" x14ac:dyDescent="0.25">
      <c r="A12" s="2" t="s">
        <v>146</v>
      </c>
      <c r="B12" s="2" t="s">
        <v>79</v>
      </c>
      <c r="C12" s="2"/>
      <c r="D12" s="2"/>
      <c r="E12" s="2"/>
      <c r="F12" s="34">
        <f>SUMIFS('BA History'!C:C,'BA History'!B:B,A12)</f>
        <v>60</v>
      </c>
      <c r="G12" s="66">
        <f>AVERAGEIFS('BA History'!C:C,'BA History'!B:B,A12)</f>
        <v>8.5714285714285712</v>
      </c>
      <c r="H12" s="35">
        <f t="array" ref="H12">MAX(IF('BA History'!B:B=A12, 'BA History'!C:C))</f>
        <v>18</v>
      </c>
      <c r="I12" s="34">
        <f>COUNTIFS('BA History'!B:B,A12,'BA History'!D:D, 1)</f>
        <v>1</v>
      </c>
      <c r="J12" s="2">
        <f>COUNTIFS('BA History'!B:B,A12,'BA History'!D:D, 0)</f>
        <v>6</v>
      </c>
      <c r="K12" s="75">
        <f>LOOKUP(2, 1/('BA History'!$B:$B=A12), 'BA History'!$AJ:$AJ)</f>
        <v>0.14285714285714285</v>
      </c>
      <c r="L12" s="34">
        <f>SUMIFS('BA History'!F:F,'BA History'!B:B,A12)</f>
        <v>6</v>
      </c>
      <c r="M12" s="2">
        <f>SUMIFS('BA History'!E:E,'BA History'!B:B,A12)-L12</f>
        <v>18</v>
      </c>
      <c r="N12" s="75">
        <f>LOOKUP(2, 1/('BA History'!$B:$B=A12), 'BA History'!$AH:$AH)</f>
        <v>0.25</v>
      </c>
      <c r="O12" s="34">
        <f>SUMIFS('BA History'!H:H,'BA History'!B:B,A12)</f>
        <v>35</v>
      </c>
      <c r="P12" s="2">
        <f>SUMIFS('BA History'!G:G,'BA History'!B:B,A12)-O12</f>
        <v>62</v>
      </c>
      <c r="Q12" s="89">
        <f>LOOKUP(2, 1/('BA History'!$B:$B=A12), 'BA History'!$AI:$AI)</f>
        <v>0.33571428571428574</v>
      </c>
      <c r="R12" s="2">
        <f>COUNTIFS('BA History'!$B:$B,$A$12,'BA History'!K:K, 1)</f>
        <v>0</v>
      </c>
      <c r="S12" s="2">
        <f>COUNTIFS('BA History'!$B:$B,$A$12,'BA History'!L:L, 1)</f>
        <v>0</v>
      </c>
      <c r="T12" s="2">
        <f>COUNTIFS('BA History'!$B:$B,$A$12,'BA History'!M:M, 1)</f>
        <v>1</v>
      </c>
      <c r="U12" s="2">
        <f>COUNTIFS('BA History'!$B:$B,$A$12,'BA History'!N:N, 1)</f>
        <v>1</v>
      </c>
      <c r="V12" s="2">
        <f>COUNTIFS('BA History'!$B:$B,$A$12,'BA History'!O:O, 1)</f>
        <v>2</v>
      </c>
      <c r="W12" s="2">
        <f>COUNTIFS('BA History'!$B:$B,$A$12,'BA History'!P:P, 1)</f>
        <v>0</v>
      </c>
      <c r="X12" s="2">
        <f>COUNTIFS('BA History'!$B:$B,$A$12,'BA History'!Q:Q, 1)</f>
        <v>0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0</v>
      </c>
      <c r="AC12" s="2">
        <f>COUNTIFS('BA History'!$B:$B,$A$12,'BA History'!V:V, 1)</f>
        <v>0</v>
      </c>
      <c r="AD12" s="2">
        <f>COUNTIFS('BA History'!$B:$B,$A$12,'BA History'!W:W, 1)</f>
        <v>0</v>
      </c>
      <c r="AE12" s="2">
        <f>COUNTIFS('BA History'!$B:$B,$A$12,'BA History'!X:X, 1)</f>
        <v>0</v>
      </c>
      <c r="AF12" s="2">
        <f>COUNTIFS('BA History'!$B:$B,$A$12,'BA History'!Y:Y, 1)</f>
        <v>0</v>
      </c>
      <c r="AG12" s="2">
        <f>COUNTIFS('BA History'!$B:$B,$A$12,'BA History'!Z:Z, 1)</f>
        <v>0</v>
      </c>
      <c r="AH12" s="2">
        <f>COUNTIFS('BA History'!$B:$B,$A$12,'BA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1</v>
      </c>
      <c r="AK12" s="2">
        <f>COUNTIFS('BA History'!$B:$B,$A$12,'BA History'!AD:AD, 1)</f>
        <v>1</v>
      </c>
      <c r="AL12" s="2">
        <f>COUNTIFS('BA History'!$B:$B,$A$12,'BA History'!AE:AE, 1)</f>
        <v>0</v>
      </c>
      <c r="AM12" s="2">
        <f>COUNTIFS('BA History'!$B:$B,$A$12,'BA History'!AF:AF, 1)</f>
        <v>0</v>
      </c>
    </row>
    <row r="13" spans="1:39" x14ac:dyDescent="0.25">
      <c r="A13" s="2" t="s">
        <v>27</v>
      </c>
      <c r="B13" s="2" t="s">
        <v>79</v>
      </c>
      <c r="C13" s="2"/>
      <c r="D13" s="2"/>
      <c r="E13" s="2"/>
      <c r="F13" s="34">
        <f>SUMIFS('BA History'!C:C,'BA History'!B:B,A13)</f>
        <v>93</v>
      </c>
      <c r="G13" s="66">
        <f>AVERAGEIFS('BA History'!C:C,'BA History'!B:B,A13)</f>
        <v>11.625</v>
      </c>
      <c r="H13" s="35">
        <f t="array" ref="H13">MAX(IF('BA History'!B:B=A13, 'BA History'!C:C))</f>
        <v>20</v>
      </c>
      <c r="I13" s="34">
        <f>COUNTIFS('BA History'!B:B,A13,'BA History'!D:D, 1)</f>
        <v>2</v>
      </c>
      <c r="J13" s="2">
        <f>COUNTIFS('BA History'!B:B,A13,'BA History'!D:D, 0)</f>
        <v>6</v>
      </c>
      <c r="K13" s="75">
        <f>LOOKUP(2, 1/('BA History'!$B:$B=A13), 'BA History'!$AJ:$AJ)</f>
        <v>0.25</v>
      </c>
      <c r="L13" s="34">
        <f>SUMIFS('BA History'!F:F,'BA History'!B:B,A13)</f>
        <v>12</v>
      </c>
      <c r="M13" s="2">
        <f>SUMIFS('BA History'!E:E,'BA History'!B:B,A13)-L13</f>
        <v>22</v>
      </c>
      <c r="N13" s="75">
        <f>LOOKUP(2, 1/('BA History'!$B:$B=A13), 'BA History'!$AH:$AH)</f>
        <v>0.32500000000000001</v>
      </c>
      <c r="O13" s="34">
        <f>SUMIFS('BA History'!H:H,'BA History'!B:B,A13)</f>
        <v>52</v>
      </c>
      <c r="P13" s="2">
        <f>SUMIFS('BA History'!G:G,'BA History'!B:B,A13)-O13</f>
        <v>84</v>
      </c>
      <c r="Q13" s="89">
        <f>LOOKUP(2, 1/('BA History'!$B:$B=A13), 'BA History'!$AI:$AI)</f>
        <v>0.36</v>
      </c>
      <c r="R13" s="2">
        <f>COUNTIFS('BA History'!$B:$B,$A$13,'BA History'!K:K, 1)</f>
        <v>0</v>
      </c>
      <c r="S13" s="2">
        <f>COUNTIFS('BA History'!$B:$B,$A$13,'BA History'!L:L, 1)</f>
        <v>1</v>
      </c>
      <c r="T13" s="2">
        <f>COUNTIFS('BA History'!$B:$B,$A$13,'BA History'!M:M, 1)</f>
        <v>1</v>
      </c>
      <c r="U13" s="2">
        <f>COUNTIFS('BA History'!$B:$B,$A$13,'BA History'!N:N, 1)</f>
        <v>2</v>
      </c>
      <c r="V13" s="2">
        <f>COUNTIFS('BA History'!$B:$B,$A$13,'BA History'!O:O, 1)</f>
        <v>0</v>
      </c>
      <c r="W13" s="2">
        <f>COUNTIFS('BA History'!$B:$B,$A$13,'BA History'!P:P, 1)</f>
        <v>0</v>
      </c>
      <c r="X13" s="2">
        <f>COUNTIFS('BA History'!$B:$B,$A$13,'BA History'!Q:Q, 1)</f>
        <v>0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1</v>
      </c>
      <c r="AC13" s="2">
        <f>COUNTIFS('BA History'!$B:$B,$A$13,'BA History'!V:V, 1)</f>
        <v>0</v>
      </c>
      <c r="AD13" s="2">
        <f>COUNTIFS('BA History'!$B:$B,$A$13,'BA History'!W:W, 1)</f>
        <v>0</v>
      </c>
      <c r="AE13" s="2">
        <f>COUNTIFS('BA History'!$B:$B,$A$13,'BA History'!X:X, 1)</f>
        <v>0</v>
      </c>
      <c r="AF13" s="2">
        <f>COUNTIFS('BA History'!$B:$B,$A$13,'BA History'!Y:Y, 1)</f>
        <v>1</v>
      </c>
      <c r="AG13" s="2">
        <f>COUNTIFS('BA History'!$B:$B,$A$13,'BA History'!Z:Z, 1)</f>
        <v>2</v>
      </c>
      <c r="AH13" s="2">
        <f>COUNTIFS('BA History'!$B:$B,$A$13,'BA History'!AA:AA, 1)</f>
        <v>0</v>
      </c>
      <c r="AI13" s="2">
        <f>COUNTIFS('BA History'!$B:$B,$A$13,'BA History'!AB:AB, 1)</f>
        <v>3</v>
      </c>
      <c r="AJ13" s="2">
        <f>COUNTIFS('BA History'!$B:$B,$A$13,'BA History'!AC:AC, 1)</f>
        <v>1</v>
      </c>
      <c r="AK13" s="2">
        <f>COUNTIFS('BA History'!$B:$B,$A$13,'BA History'!AD:AD, 1)</f>
        <v>0</v>
      </c>
      <c r="AL13" s="2">
        <f>COUNTIFS('BA History'!$B:$B,$A$13,'BA History'!AE:AE, 1)</f>
        <v>0</v>
      </c>
      <c r="AM13" s="2">
        <f>COUNTIFS('BA History'!$B:$B,$A$13,'BA History'!AF:AF, 1)</f>
        <v>0</v>
      </c>
    </row>
    <row r="14" spans="1:39" x14ac:dyDescent="0.25">
      <c r="A14" s="2" t="s">
        <v>74</v>
      </c>
      <c r="B14" s="2" t="s">
        <v>79</v>
      </c>
      <c r="C14" s="2"/>
      <c r="D14" s="2"/>
      <c r="E14" s="2"/>
      <c r="F14" s="34">
        <f>SUMIFS('BA History'!C:C,'BA History'!B:B,A14)</f>
        <v>9</v>
      </c>
      <c r="G14" s="66">
        <f>AVERAGEIFS('BA History'!C:C,'BA History'!B:B,A14)</f>
        <v>9</v>
      </c>
      <c r="H14" s="35">
        <f t="array" ref="H14">MAX(IF('BA History'!B:B=A14, 'BA History'!C:C))</f>
        <v>9</v>
      </c>
      <c r="I14" s="34">
        <f>COUNTIFS('BA History'!B:B,A14,'BA History'!D:D, 1)</f>
        <v>0</v>
      </c>
      <c r="J14" s="2">
        <f>COUNTIFS('BA History'!B:B,A14,'BA History'!D:D, 0)</f>
        <v>1</v>
      </c>
      <c r="K14" s="75">
        <f>LOOKUP(2, 1/('BA History'!$B:$B=A14), 'BA History'!$AJ:$AJ)</f>
        <v>0</v>
      </c>
      <c r="L14" s="34">
        <f>SUMIFS('BA History'!F:F,'BA History'!B:B,A14)</f>
        <v>1</v>
      </c>
      <c r="M14" s="2">
        <f>SUMIFS('BA History'!E:E,'BA History'!B:B,A14)-L14</f>
        <v>3</v>
      </c>
      <c r="N14" s="75">
        <f>LOOKUP(2, 1/('BA History'!$B:$B=A14), 'BA History'!$AH:$AH)</f>
        <v>0.25</v>
      </c>
      <c r="O14" s="34">
        <f>SUMIFS('BA History'!H:H,'BA History'!B:B,A14)</f>
        <v>6</v>
      </c>
      <c r="P14" s="2">
        <f>SUMIFS('BA History'!G:G,'BA History'!B:B,A14)-O14</f>
        <v>9</v>
      </c>
      <c r="Q14" s="89">
        <f>LOOKUP(2, 1/('BA History'!$B:$B=A14), 'BA History'!$AI:$AI)</f>
        <v>0.4</v>
      </c>
      <c r="R14" s="2">
        <f>COUNTIFS('BA History'!$B:$B,$A$14,'BA History'!K:K, 1)</f>
        <v>0</v>
      </c>
      <c r="S14" s="2">
        <f>COUNTIFS('BA History'!$B:$B,$A$14,'BA History'!L:L, 1)</f>
        <v>0</v>
      </c>
      <c r="T14" s="2">
        <f>COUNTIFS('BA History'!$B:$B,$A$14,'BA History'!M:M, 1)</f>
        <v>0</v>
      </c>
      <c r="U14" s="2">
        <f>COUNTIFS('BA History'!$B:$B,$A$14,'BA History'!N:N, 1)</f>
        <v>0</v>
      </c>
      <c r="V14" s="2">
        <f>COUNTIFS('BA History'!$B:$B,$A$14,'BA History'!O:O, 1)</f>
        <v>0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0</v>
      </c>
      <c r="AC14" s="2">
        <f>COUNTIFS('BA History'!$B:$B,$A$14,'BA History'!V:V, 1)</f>
        <v>0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0</v>
      </c>
      <c r="AG14" s="2">
        <f>COUNTIFS('BA History'!$B:$B,$A$14,'BA History'!Z:Z, 1)</f>
        <v>1</v>
      </c>
      <c r="AH14" s="2">
        <f>COUNTIFS('BA History'!$B:$B,$A$14,'BA History'!AA:AA, 1)</f>
        <v>0</v>
      </c>
      <c r="AI14" s="2">
        <f>COUNTIFS('BA History'!$B:$B,$A$14,'BA History'!AB:AB, 1)</f>
        <v>0</v>
      </c>
      <c r="AJ14" s="2">
        <f>COUNTIFS('BA History'!$B:$B,$A$14,'BA History'!AC:AC, 1)</f>
        <v>0</v>
      </c>
      <c r="AK14" s="2">
        <f>COUNTIFS('BA History'!$B:$B,$A$14,'BA History'!AD:AD, 1)</f>
        <v>0</v>
      </c>
      <c r="AL14" s="2">
        <f>COUNTIFS('BA History'!$B:$B,$A$14,'BA History'!AE:AE, 1)</f>
        <v>0</v>
      </c>
      <c r="AM14" s="2">
        <f>COUNTIFS('BA History'!$B:$B,$A$14,'BA History'!AF:AF, 1)</f>
        <v>0</v>
      </c>
    </row>
    <row r="15" spans="1:39" x14ac:dyDescent="0.25">
      <c r="A15" s="2" t="s">
        <v>152</v>
      </c>
      <c r="B15" s="2" t="s">
        <v>79</v>
      </c>
      <c r="C15" s="2"/>
      <c r="D15" s="2"/>
      <c r="E15" s="2"/>
      <c r="F15" s="34">
        <f>SUMIFS('BA History'!C:C,'BA History'!B:B,A15)</f>
        <v>24</v>
      </c>
      <c r="G15" s="66">
        <f>AVERAGEIFS('BA History'!C:C,'BA History'!B:B,A15)</f>
        <v>12</v>
      </c>
      <c r="H15" s="35">
        <f t="array" ref="H15">MAX(IF('BA History'!B:B=A15, 'BA History'!C:C))</f>
        <v>12</v>
      </c>
      <c r="I15" s="34">
        <f>COUNTIFS('BA History'!B:B,A15,'BA History'!D:D, 1)</f>
        <v>1</v>
      </c>
      <c r="J15" s="2">
        <f>COUNTIFS('BA History'!B:B,A15,'BA History'!D:D, 0)</f>
        <v>1</v>
      </c>
      <c r="K15" s="75">
        <f>LOOKUP(2, 1/('BA History'!$B:$B=A15), 'BA History'!$AJ:$AJ)</f>
        <v>0.5</v>
      </c>
      <c r="L15" s="34">
        <f>SUMIFS('BA History'!F:F,'BA History'!B:B,A15)</f>
        <v>5</v>
      </c>
      <c r="M15" s="2">
        <f>SUMIFS('BA History'!E:E,'BA History'!B:B,A15)-L15</f>
        <v>4</v>
      </c>
      <c r="N15" s="75">
        <f>LOOKUP(2, 1/('BA History'!$B:$B=A15), 'BA History'!$AH:$AH)</f>
        <v>0.52500000000000002</v>
      </c>
      <c r="O15" s="34">
        <f>SUMIFS('BA History'!H:H,'BA History'!B:B,A15)</f>
        <v>22</v>
      </c>
      <c r="P15" s="2">
        <f>SUMIFS('BA History'!G:G,'BA History'!B:B,A15)-O15</f>
        <v>15</v>
      </c>
      <c r="Q15" s="89">
        <f>LOOKUP(2, 1/('BA History'!$B:$B=A15), 'BA History'!$AI:$AI)</f>
        <v>0.59</v>
      </c>
      <c r="R15" s="2">
        <f>COUNTIFS('BA History'!$B:$B,$A$15,'BA History'!K:K, 1)</f>
        <v>0</v>
      </c>
      <c r="S15" s="2">
        <f>COUNTIFS('BA History'!$B:$B,$A$15,'BA History'!L:L, 1)</f>
        <v>0</v>
      </c>
      <c r="T15" s="2">
        <f>COUNTIFS('BA History'!$B:$B,$A$15,'BA History'!M:M, 1)</f>
        <v>1</v>
      </c>
      <c r="U15" s="2">
        <f>COUNTIFS('BA History'!$B:$B,$A$15,'BA History'!N:N, 1)</f>
        <v>2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0</v>
      </c>
      <c r="AC15" s="2">
        <f>COUNTIFS('BA History'!$B:$B,$A$15,'BA History'!V:V, 1)</f>
        <v>0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0</v>
      </c>
      <c r="AG15" s="2">
        <f>COUNTIFS('BA History'!$B:$B,$A$15,'BA History'!Z:Z, 1)</f>
        <v>0</v>
      </c>
      <c r="AH15" s="2">
        <f>COUNTIFS('BA History'!$B:$B,$A$15,'BA History'!AA:AA, 1)</f>
        <v>0</v>
      </c>
      <c r="AI15" s="2">
        <f>COUNTIFS('BA History'!$B:$B,$A$15,'BA History'!AB:AB, 1)</f>
        <v>1</v>
      </c>
      <c r="AJ15" s="2">
        <f>COUNTIFS('BA History'!$B:$B,$A$15,'BA History'!AC:AC, 1)</f>
        <v>1</v>
      </c>
      <c r="AK15" s="2">
        <f>COUNTIFS('BA History'!$B:$B,$A$15,'BA History'!AD:AD, 1)</f>
        <v>0</v>
      </c>
      <c r="AL15" s="2">
        <f>COUNTIFS('BA History'!$B:$B,$A$15,'BA History'!AE:AE, 1)</f>
        <v>0</v>
      </c>
      <c r="AM15" s="2">
        <f>COUNTIFS('BA History'!$B:$B,$A$15,'BA History'!AF:AF, 1)</f>
        <v>0</v>
      </c>
    </row>
    <row r="16" spans="1:39" x14ac:dyDescent="0.25">
      <c r="A16" s="2" t="s">
        <v>89</v>
      </c>
      <c r="B16" s="2" t="s">
        <v>79</v>
      </c>
      <c r="C16" s="2"/>
      <c r="D16" s="2"/>
      <c r="E16" s="2"/>
      <c r="F16" s="34">
        <f>SUMIFS('BA History'!C:C,'BA History'!B:B,A16)</f>
        <v>3</v>
      </c>
      <c r="G16" s="66">
        <f>AVERAGEIFS('BA History'!C:C,'BA History'!B:B,A16)</f>
        <v>3</v>
      </c>
      <c r="H16" s="35">
        <f t="array" ref="H16">MAX(IF('BA History'!B:B=A16, 'BA History'!C:C))</f>
        <v>3</v>
      </c>
      <c r="I16" s="34">
        <f>COUNTIFS('BA History'!B:B,A16,'BA History'!D:D, 1)</f>
        <v>0</v>
      </c>
      <c r="J16" s="2">
        <f>COUNTIFS('BA History'!B:B,A16,'BA History'!D:D, 0)</f>
        <v>1</v>
      </c>
      <c r="K16" s="75">
        <f>LOOKUP(2, 1/('BA History'!$B:$B=A16), 'BA History'!$AJ:$AJ)</f>
        <v>0</v>
      </c>
      <c r="L16" s="34">
        <f>SUMIFS('BA History'!F:F,'BA History'!B:B,A16)</f>
        <v>0</v>
      </c>
      <c r="M16" s="2">
        <f>SUMIFS('BA History'!E:E,'BA History'!B:B,A16)-L16</f>
        <v>3</v>
      </c>
      <c r="N16" s="75">
        <f>LOOKUP(2, 1/('BA History'!$B:$B=A16), 'BA History'!$AH:$AH)</f>
        <v>0</v>
      </c>
      <c r="O16" s="34">
        <f>SUMIFS('BA History'!H:H,'BA History'!B:B,A16)</f>
        <v>4</v>
      </c>
      <c r="P16" s="2">
        <f>SUMIFS('BA History'!G:G,'BA History'!B:B,A16)-O16</f>
        <v>9</v>
      </c>
      <c r="Q16" s="89">
        <f>LOOKUP(2, 1/('BA History'!$B:$B=A16), 'BA History'!$AI:$AI)</f>
        <v>0.31</v>
      </c>
      <c r="R16" s="2">
        <f>COUNTIFS('BA History'!$B:$B,$A$16,'BA History'!K:K, 1)</f>
        <v>0</v>
      </c>
      <c r="S16" s="2">
        <f>COUNTIFS('BA History'!$B:$B,$A$16,'BA History'!L:L, 1)</f>
        <v>0</v>
      </c>
      <c r="T16" s="2">
        <f>COUNTIFS('BA History'!$B:$B,$A$16,'BA History'!M:M, 1)</f>
        <v>0</v>
      </c>
      <c r="U16" s="2">
        <f>COUNTIFS('BA History'!$B:$B,$A$16,'BA History'!N:N, 1)</f>
        <v>0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0</v>
      </c>
      <c r="AD16" s="2">
        <f>COUNTIFS('BA History'!$B:$B,$A$16,'BA History'!W:W, 1)</f>
        <v>0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0</v>
      </c>
      <c r="AH16" s="2">
        <f>COUNTIFS('BA History'!$B:$B,$A$16,'BA History'!AA:AA, 1)</f>
        <v>0</v>
      </c>
      <c r="AI16" s="2">
        <f>COUNTIFS('BA History'!$B:$B,$A$16,'BA History'!AB:AB, 1)</f>
        <v>0</v>
      </c>
      <c r="AJ16" s="2">
        <f>COUNTIFS('BA History'!$B:$B,$A$16,'BA History'!AC:AC, 1)</f>
        <v>0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History'!$B:$B,$A$17,'BA History'!AF:AF, 1)</f>
        <v>0</v>
      </c>
    </row>
    <row r="17" spans="1:39" x14ac:dyDescent="0.25">
      <c r="A17" s="2" t="s">
        <v>45</v>
      </c>
      <c r="B17" s="2" t="s">
        <v>79</v>
      </c>
      <c r="C17" s="2"/>
      <c r="D17" s="2"/>
      <c r="E17" s="2"/>
      <c r="F17" s="34">
        <f>SUMIFS('BA History'!C:C,'BA History'!B:B,A17)</f>
        <v>66</v>
      </c>
      <c r="G17" s="66">
        <f>AVERAGEIFS('BA History'!C:C,'BA History'!B:B,A17)</f>
        <v>9.4285714285714288</v>
      </c>
      <c r="H17" s="35">
        <f t="array" ref="H17">MAX(IF('BA History'!B:B=A17, 'BA History'!C:C))</f>
        <v>14</v>
      </c>
      <c r="I17" s="34">
        <f>COUNTIFS('BA History'!B:B,A17,'BA History'!D:D, 1)</f>
        <v>3</v>
      </c>
      <c r="J17" s="2">
        <f>COUNTIFS('BA History'!B:B,A17,'BA History'!D:D, 0)</f>
        <v>4</v>
      </c>
      <c r="K17" s="75">
        <f>LOOKUP(2, 1/('BA History'!$B:$B=A17), 'BA History'!$AJ:$AJ)</f>
        <v>0.42857142857142855</v>
      </c>
      <c r="L17" s="34">
        <f>SUMIFS('BA History'!F:F,'BA History'!B:B,A17)</f>
        <v>13</v>
      </c>
      <c r="M17" s="2">
        <f>SUMIFS('BA History'!E:E,'BA History'!B:B,A17)-L17</f>
        <v>15</v>
      </c>
      <c r="N17" s="75">
        <f>LOOKUP(2, 1/('BA History'!$B:$B=A17), 'BA History'!$AH:$AH)</f>
        <v>0.45999999999999996</v>
      </c>
      <c r="O17" s="34">
        <f>SUMIFS('BA History'!H:H,'BA History'!B:B,A17)</f>
        <v>62</v>
      </c>
      <c r="P17" s="2">
        <f>SUMIFS('BA History'!G:G,'BA History'!B:B,A17)-O17</f>
        <v>66</v>
      </c>
      <c r="Q17" s="89">
        <f>LOOKUP(2, 1/('BA History'!$B:$B=A17), 'BA History'!$AI:$AI)</f>
        <v>0.48142857142857143</v>
      </c>
      <c r="R17" s="2">
        <f>COUNTIFS('BA History'!$B:$B,$A$17,'BA History'!K:K, 1)</f>
        <v>0</v>
      </c>
      <c r="S17" s="2">
        <f>COUNTIFS('BA History'!$B:$B,$A$17,'BA History'!L:L, 1)</f>
        <v>0</v>
      </c>
      <c r="T17" s="2">
        <f>COUNTIFS('BA History'!$B:$B,$A$17,'BA History'!M:M, 1)</f>
        <v>1</v>
      </c>
      <c r="U17" s="2">
        <f>COUNTIFS('BA History'!$B:$B,$A$17,'BA History'!N:N, 1)</f>
        <v>2</v>
      </c>
      <c r="V17" s="2">
        <f>COUNTIFS('BA History'!$B:$B,$A$17,'BA History'!O:O, 1)</f>
        <v>1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1</v>
      </c>
      <c r="AC17" s="2">
        <f>COUNTIFS('BA History'!$B:$B,$A$17,'BA History'!V:V, 1)</f>
        <v>0</v>
      </c>
      <c r="AD17" s="2">
        <f>COUNTIFS('BA History'!$B:$B,$A$17,'BA History'!W:W, 1)</f>
        <v>0</v>
      </c>
      <c r="AE17" s="2">
        <f>COUNTIFS('BA History'!$B:$B,$A$17,'BA History'!X:X, 1)</f>
        <v>0</v>
      </c>
      <c r="AF17" s="2">
        <f>COUNTIFS('BA History'!$B:$B,$A$17,'BA History'!Y:Y, 1)</f>
        <v>2</v>
      </c>
      <c r="AG17" s="2">
        <f>COUNTIFS('BA History'!$B:$B,$A$17,'BA History'!Z:Z, 1)</f>
        <v>1</v>
      </c>
      <c r="AH17" s="2">
        <f>COUNTIFS('BA History'!$B:$B,$A$17,'BA History'!AA:AA, 1)</f>
        <v>1</v>
      </c>
      <c r="AI17" s="2">
        <f>COUNTIFS('BA History'!$B:$B,$A$17,'BA History'!AB:AB, 1)</f>
        <v>2</v>
      </c>
      <c r="AJ17" s="2">
        <f>COUNTIFS('BA History'!$B:$B,$A$17,'BA History'!AC:AC, 1)</f>
        <v>2</v>
      </c>
      <c r="AK17" s="2">
        <f>COUNTIFS('BA History'!$B:$B,$A$17,'BA History'!AD:AD, 1)</f>
        <v>0</v>
      </c>
      <c r="AL17" s="2">
        <f>COUNTIFS('BA History'!$B:$B,$A$17,'BA History'!AE:AE, 1)</f>
        <v>0</v>
      </c>
      <c r="AM17" s="2">
        <f>COUNTIFS('BA History'!$B:$B,$A$17,'BA History'!AF:AF, 1)</f>
        <v>0</v>
      </c>
    </row>
    <row r="18" spans="1:39" x14ac:dyDescent="0.25">
      <c r="A18" s="2" t="s">
        <v>50</v>
      </c>
      <c r="B18" s="2" t="s">
        <v>79</v>
      </c>
      <c r="C18" s="2"/>
      <c r="D18" s="2"/>
      <c r="E18" s="2"/>
      <c r="F18" s="34">
        <f>SUMIFS('BA History'!C:C,'BA History'!B:B,A18)</f>
        <v>652</v>
      </c>
      <c r="G18" s="66">
        <f>AVERAGEIFS('BA History'!C:C,'BA History'!B:B,A18)</f>
        <v>18.111111111111111</v>
      </c>
      <c r="H18" s="35">
        <f t="array" ref="H18">MAX(IF('BA History'!B:B=A18, 'BA History'!C:C))</f>
        <v>31</v>
      </c>
      <c r="I18" s="34">
        <f>COUNTIFS('BA History'!B:B,A18,'BA History'!D:D, 1)</f>
        <v>19</v>
      </c>
      <c r="J18" s="2">
        <f>COUNTIFS('BA History'!B:B,A18,'BA History'!D:D, 0)</f>
        <v>17</v>
      </c>
      <c r="K18" s="75">
        <f>LOOKUP(2, 1/('BA History'!$B:$B=A18), 'BA History'!$AJ:$AJ)</f>
        <v>0.52777777777777779</v>
      </c>
      <c r="L18" s="34">
        <f>SUMIFS('BA History'!F:F,'BA History'!B:B,A18)</f>
        <v>74</v>
      </c>
      <c r="M18" s="2">
        <f>SUMIFS('BA History'!E:E,'BA History'!B:B,A18)-L18</f>
        <v>70</v>
      </c>
      <c r="N18" s="75">
        <f>LOOKUP(2, 1/('BA History'!$B:$B=A18), 'BA History'!$AH:$AH)</f>
        <v>0.52027777777777784</v>
      </c>
      <c r="O18" s="34">
        <f>SUMIFS('BA History'!H:H,'BA History'!B:B,A18)</f>
        <v>308</v>
      </c>
      <c r="P18" s="2">
        <f>SUMIFS('BA History'!G:G,'BA History'!B:B,A18)-O18</f>
        <v>299</v>
      </c>
      <c r="Q18" s="89">
        <f>LOOKUP(2, 1/('BA History'!$B:$B=A18), 'BA History'!$AI:$AI)</f>
        <v>0.51888888888888873</v>
      </c>
      <c r="R18" s="2">
        <f>COUNTIFS('BA History'!$B:$B,$A$18,'BA History'!K:K, 1)</f>
        <v>3</v>
      </c>
      <c r="S18" s="2">
        <f>COUNTIFS('BA History'!$B:$B,$A$18,'BA History'!L:L, 1)</f>
        <v>6</v>
      </c>
      <c r="T18" s="2">
        <f>COUNTIFS('BA History'!$B:$B,$A$18,'BA History'!M:M, 1)</f>
        <v>3</v>
      </c>
      <c r="U18" s="2">
        <f>COUNTIFS('BA History'!$B:$B,$A$18,'BA History'!N:N, 1)</f>
        <v>7</v>
      </c>
      <c r="V18" s="2">
        <f>COUNTIFS('BA History'!$B:$B,$A$18,'BA History'!O:O, 1)</f>
        <v>2</v>
      </c>
      <c r="W18" s="2">
        <f>COUNTIFS('BA History'!$B:$B,$A$18,'BA History'!P:P, 1)</f>
        <v>1</v>
      </c>
      <c r="X18" s="2">
        <f>COUNTIFS('BA History'!$B:$B,$A$18,'BA History'!Q:Q, 1)</f>
        <v>4</v>
      </c>
      <c r="Y18" s="2">
        <f>COUNTIFS('BA History'!$B:$B,$A$18,'BA History'!R:R, 1)</f>
        <v>1</v>
      </c>
      <c r="Z18" s="2">
        <f>COUNTIFS('BA History'!$B:$B,$A$18,'BA History'!S:S, 1)</f>
        <v>0</v>
      </c>
      <c r="AA18" s="2">
        <f>COUNTIFS('BA History'!$B:$B,$A$18,'BA History'!T:T, 1)</f>
        <v>1</v>
      </c>
      <c r="AB18" s="2">
        <f>COUNTIFS('BA History'!$B:$B,$A$18,'BA History'!U:U, 1)</f>
        <v>0</v>
      </c>
      <c r="AC18" s="2">
        <f>COUNTIFS('BA History'!$B:$B,$A$18,'BA History'!V:V, 1)</f>
        <v>8</v>
      </c>
      <c r="AD18" s="2">
        <f>COUNTIFS('BA History'!$B:$B,$A$18,'BA History'!W:W, 1)</f>
        <v>2</v>
      </c>
      <c r="AE18" s="2">
        <f>COUNTIFS('BA History'!$B:$B,$A$18,'BA History'!X:X, 1)</f>
        <v>1</v>
      </c>
      <c r="AF18" s="2">
        <f>COUNTIFS('BA History'!$B:$B,$A$18,'BA History'!Y:Y, 1)</f>
        <v>4</v>
      </c>
      <c r="AG18" s="2">
        <f>COUNTIFS('BA History'!$B:$B,$A$18,'BA History'!Z:Z, 1)</f>
        <v>9</v>
      </c>
      <c r="AH18" s="2">
        <f>COUNTIFS('BA History'!$B:$B,$A$18,'BA History'!AA:AA, 1)</f>
        <v>1</v>
      </c>
      <c r="AI18" s="2">
        <f>COUNTIFS('BA History'!$B:$B,$A$18,'BA History'!AB:AB, 1)</f>
        <v>9</v>
      </c>
      <c r="AJ18" s="2">
        <f>COUNTIFS('BA History'!$B:$B,$A$18,'BA History'!AC:AC, 1)</f>
        <v>1</v>
      </c>
      <c r="AK18" s="2">
        <f>COUNTIFS('BA History'!$B:$B,$A$18,'BA History'!AD:AD, 1)</f>
        <v>8</v>
      </c>
      <c r="AL18" s="2">
        <f>COUNTIFS('BA History'!$B:$B,$A$18,'BA History'!AE:AE, 1)</f>
        <v>1</v>
      </c>
      <c r="AM18" s="2">
        <f>COUNTIFS('BA History'!$B:$B,$A$18,'BA History'!AF:AF, 1)</f>
        <v>2</v>
      </c>
    </row>
    <row r="19" spans="1:39" x14ac:dyDescent="0.25">
      <c r="A19" s="2" t="s">
        <v>52</v>
      </c>
      <c r="B19" s="2" t="s">
        <v>79</v>
      </c>
      <c r="C19" s="2">
        <v>1</v>
      </c>
      <c r="D19" s="2"/>
      <c r="E19" s="2"/>
      <c r="F19" s="34">
        <f>SUMIFS('BA History'!C:C,'BA History'!B:B,A19)</f>
        <v>235</v>
      </c>
      <c r="G19" s="66">
        <f>AVERAGEIFS('BA History'!C:C,'BA History'!B:B,A19)</f>
        <v>15.666666666666666</v>
      </c>
      <c r="H19" s="35">
        <f t="array" ref="H19">MAX(IF('BA History'!B:B=A19, 'BA History'!C:C))</f>
        <v>31</v>
      </c>
      <c r="I19" s="34">
        <f>COUNTIFS('BA History'!B:B,A19,'BA History'!D:D, 1)</f>
        <v>5</v>
      </c>
      <c r="J19" s="2">
        <f>COUNTIFS('BA History'!B:B,A19,'BA History'!D:D, 0)</f>
        <v>10</v>
      </c>
      <c r="K19" s="75">
        <f>LOOKUP(2, 1/('BA History'!$B:$B=A19), 'BA History'!$AJ:$AJ)</f>
        <v>0.33333333333333331</v>
      </c>
      <c r="L19" s="34">
        <f>SUMIFS('BA History'!F:F,'BA History'!B:B,A19)</f>
        <v>29</v>
      </c>
      <c r="M19" s="2">
        <f>SUMIFS('BA History'!E:E,'BA History'!B:B,A19)-L19</f>
        <v>35</v>
      </c>
      <c r="N19" s="75">
        <f>LOOKUP(2, 1/('BA History'!$B:$B=A19), 'BA History'!$AH:$AH)</f>
        <v>0.47000000000000003</v>
      </c>
      <c r="O19" s="34">
        <f>SUMIFS('BA History'!H:H,'BA History'!B:B,A19)</f>
        <v>121</v>
      </c>
      <c r="P19" s="2">
        <f>SUMIFS('BA History'!G:G,'BA History'!B:B,A19)-O19</f>
        <v>134</v>
      </c>
      <c r="Q19" s="89">
        <f>LOOKUP(2, 1/('BA History'!$B:$B=A19), 'BA History'!$AI:$AI)</f>
        <v>0.48600000000000004</v>
      </c>
      <c r="R19" s="2">
        <f>COUNTIFS('BA History'!$B:$B,$A$19,'BA History'!K:K, 1)</f>
        <v>1</v>
      </c>
      <c r="S19" s="2">
        <f>COUNTIFS('BA History'!$B:$B,$A$19,'BA History'!L:L, 1)</f>
        <v>2</v>
      </c>
      <c r="T19" s="2">
        <f>COUNTIFS('BA History'!$B:$B,$A$19,'BA History'!M:M, 1)</f>
        <v>2</v>
      </c>
      <c r="U19" s="2">
        <f>COUNTIFS('BA History'!$B:$B,$A$19,'BA History'!N:N, 1)</f>
        <v>3</v>
      </c>
      <c r="V19" s="2">
        <f>COUNTIFS('BA History'!$B:$B,$A$19,'BA History'!O:O, 1)</f>
        <v>1</v>
      </c>
      <c r="W19" s="2">
        <f>COUNTIFS('BA History'!$B:$B,$A$19,'BA History'!P:P, 1)</f>
        <v>0</v>
      </c>
      <c r="X19" s="2">
        <f>COUNTIFS('BA History'!$B:$B,$A$19,'BA History'!Q:Q, 1)</f>
        <v>1</v>
      </c>
      <c r="Y19" s="2">
        <f>COUNTIFS('BA History'!$B:$B,$A$19,'BA History'!R:R, 1)</f>
        <v>0</v>
      </c>
      <c r="Z19" s="2">
        <f>COUNTIFS('BA History'!$B:$B,$A$19,'BA History'!S:S, 1)</f>
        <v>0</v>
      </c>
      <c r="AA19" s="2">
        <f>COUNTIFS('BA History'!$B:$B,$A$19,'BA History'!T:T, 1)</f>
        <v>0</v>
      </c>
      <c r="AB19" s="2">
        <f>COUNTIFS('BA History'!$B:$B,$A$19,'BA History'!U:U, 1)</f>
        <v>4</v>
      </c>
      <c r="AC19" s="2">
        <f>COUNTIFS('BA History'!$B:$B,$A$19,'BA History'!V:V, 1)</f>
        <v>0</v>
      </c>
      <c r="AD19" s="2">
        <f>COUNTIFS('BA History'!$B:$B,$A$19,'BA History'!W:W, 1)</f>
        <v>1</v>
      </c>
      <c r="AE19" s="2">
        <f>COUNTIFS('BA History'!$B:$B,$A$19,'BA History'!X:X, 1)</f>
        <v>0</v>
      </c>
      <c r="AF19" s="2">
        <f>COUNTIFS('BA History'!$B:$B,$A$19,'BA History'!Y:Y, 1)</f>
        <v>1</v>
      </c>
      <c r="AG19" s="2">
        <f>COUNTIFS('BA History'!$B:$B,$A$19,'BA History'!Z:Z, 1)</f>
        <v>4</v>
      </c>
      <c r="AH19" s="2">
        <f>COUNTIFS('BA History'!$B:$B,$A$19,'BA History'!AA:AA, 1)</f>
        <v>0</v>
      </c>
      <c r="AI19" s="2">
        <f>COUNTIFS('BA History'!$B:$B,$A$19,'BA History'!AB:AB, 1)</f>
        <v>5</v>
      </c>
      <c r="AJ19" s="2">
        <f>COUNTIFS('BA History'!$B:$B,$A$19,'BA History'!AC:AC, 1)</f>
        <v>3</v>
      </c>
      <c r="AK19" s="2">
        <f>COUNTIFS('BA History'!$B:$B,$A$19,'BA History'!AD:AD, 1)</f>
        <v>1</v>
      </c>
      <c r="AL19" s="2">
        <f>COUNTIFS('BA History'!$B:$B,$A$19,'BA History'!AE:AE, 1)</f>
        <v>0</v>
      </c>
      <c r="AM19" s="2">
        <f>COUNTIFS('BA History'!$B:$B,$A$19,'BA History'!AF:AF, 1)</f>
        <v>0</v>
      </c>
    </row>
    <row r="20" spans="1:39" x14ac:dyDescent="0.25">
      <c r="A20" s="2" t="s">
        <v>44</v>
      </c>
      <c r="B20" s="2" t="s">
        <v>79</v>
      </c>
      <c r="C20" s="2">
        <v>1</v>
      </c>
      <c r="D20" s="2"/>
      <c r="E20" s="2"/>
      <c r="F20" s="34">
        <f>SUMIFS('BA History'!C:C,'BA History'!B:B,A20)</f>
        <v>631</v>
      </c>
      <c r="G20" s="66">
        <f>AVERAGEIFS('BA History'!C:C,'BA History'!B:B,A20)</f>
        <v>16.179487179487179</v>
      </c>
      <c r="H20" s="35">
        <f t="array" ref="H20">MAX(IF('BA History'!B:B=A20, 'BA History'!C:C))</f>
        <v>36</v>
      </c>
      <c r="I20" s="34">
        <f>COUNTIFS('BA History'!B:B,A20,'BA History'!D:D, 1)</f>
        <v>25</v>
      </c>
      <c r="J20" s="2">
        <f>COUNTIFS('BA History'!B:B,A20,'BA History'!D:D, 0)</f>
        <v>14</v>
      </c>
      <c r="K20" s="75">
        <f>LOOKUP(2, 1/('BA History'!$B:$B=A20), 'BA History'!$AJ:$AJ)</f>
        <v>0.64102564102564108</v>
      </c>
      <c r="L20" s="34">
        <f>SUMIFS('BA History'!F:F,'BA History'!B:B,A20)</f>
        <v>85</v>
      </c>
      <c r="M20" s="2">
        <f>SUMIFS('BA History'!E:E,'BA History'!B:B,A20)-L20</f>
        <v>71</v>
      </c>
      <c r="N20" s="75">
        <f>LOOKUP(2, 1/('BA History'!$B:$B=A20), 'BA History'!$AH:$AH)</f>
        <v>0.5346153846153846</v>
      </c>
      <c r="O20" s="34">
        <f>SUMIFS('BA History'!H:H,'BA History'!B:B,A20)</f>
        <v>345</v>
      </c>
      <c r="P20" s="2">
        <f>SUMIFS('BA History'!G:G,'BA History'!B:B,A20)-O20</f>
        <v>302</v>
      </c>
      <c r="Q20" s="89">
        <f>LOOKUP(2, 1/('BA History'!$B:$B=A20), 'BA History'!$AI:$AI)</f>
        <v>0.54102564102564099</v>
      </c>
      <c r="R20" s="2">
        <f>COUNTIFS('BA History'!$B:$B,$A$20,'BA History'!K:K, 1)</f>
        <v>3</v>
      </c>
      <c r="S20" s="2">
        <f>COUNTIFS('BA History'!$B:$B,$A$20,'BA History'!L:L, 1)</f>
        <v>4</v>
      </c>
      <c r="T20" s="2">
        <f>COUNTIFS('BA History'!$B:$B,$A$20,'BA History'!M:M, 1)</f>
        <v>9</v>
      </c>
      <c r="U20" s="2">
        <f>COUNTIFS('BA History'!$B:$B,$A$20,'BA History'!N:N, 1)</f>
        <v>10</v>
      </c>
      <c r="V20" s="2">
        <f>COUNTIFS('BA History'!$B:$B,$A$20,'BA History'!O:O, 1)</f>
        <v>1</v>
      </c>
      <c r="W20" s="2">
        <f>COUNTIFS('BA History'!$B:$B,$A$20,'BA History'!P:P, 1)</f>
        <v>0</v>
      </c>
      <c r="X20" s="2">
        <f>COUNTIFS('BA History'!$B:$B,$A$20,'BA History'!Q:Q, 1)</f>
        <v>3</v>
      </c>
      <c r="Y20" s="2">
        <f>COUNTIFS('BA History'!$B:$B,$A$20,'BA History'!R:R, 1)</f>
        <v>2</v>
      </c>
      <c r="Z20" s="2">
        <f>COUNTIFS('BA History'!$B:$B,$A$20,'BA History'!S:S, 1)</f>
        <v>2</v>
      </c>
      <c r="AA20" s="2">
        <f>COUNTIFS('BA History'!$B:$B,$A$20,'BA History'!T:T, 1)</f>
        <v>0</v>
      </c>
      <c r="AB20" s="2">
        <f>COUNTIFS('BA History'!$B:$B,$A$20,'BA History'!U:U, 1)</f>
        <v>0</v>
      </c>
      <c r="AC20" s="2">
        <f>COUNTIFS('BA History'!$B:$B,$A$20,'BA History'!V:V, 1)</f>
        <v>4</v>
      </c>
      <c r="AD20" s="2">
        <f>COUNTIFS('BA History'!$B:$B,$A$20,'BA History'!W:W, 1)</f>
        <v>4</v>
      </c>
      <c r="AE20" s="2">
        <f>COUNTIFS('BA History'!$B:$B,$A$20,'BA History'!X:X, 1)</f>
        <v>1</v>
      </c>
      <c r="AF20" s="2">
        <f>COUNTIFS('BA History'!$B:$B,$A$20,'BA History'!Y:Y, 1)</f>
        <v>4</v>
      </c>
      <c r="AG20" s="2">
        <f>COUNTIFS('BA History'!$B:$B,$A$20,'BA History'!Z:Z, 1)</f>
        <v>8</v>
      </c>
      <c r="AH20" s="2">
        <f>COUNTIFS('BA History'!$B:$B,$A$20,'BA History'!AA:AA, 1)</f>
        <v>2</v>
      </c>
      <c r="AI20" s="2">
        <f>COUNTIFS('BA History'!$B:$B,$A$20,'BA History'!AB:AB, 1)</f>
        <v>10</v>
      </c>
      <c r="AJ20" s="2">
        <f>COUNTIFS('BA History'!$B:$B,$A$20,'BA History'!AC:AC, 1)</f>
        <v>5</v>
      </c>
      <c r="AK20" s="2">
        <f>COUNTIFS('BA History'!$B:$B,$A$20,'BA History'!AD:AD, 1)</f>
        <v>5</v>
      </c>
      <c r="AL20" s="2">
        <f>COUNTIFS('BA History'!$B:$B,$A$20,'BA History'!AE:AE, 1)</f>
        <v>1</v>
      </c>
      <c r="AM20" s="2">
        <f>COUNTIFS('BA History'!$B:$B,$A$20,'BA History'!AF:AF, 1)</f>
        <v>7</v>
      </c>
    </row>
    <row r="21" spans="1:39" x14ac:dyDescent="0.25">
      <c r="A21" s="2" t="s">
        <v>170</v>
      </c>
      <c r="B21" s="2" t="s">
        <v>79</v>
      </c>
      <c r="C21" s="2"/>
      <c r="D21" s="2"/>
      <c r="E21" s="2"/>
      <c r="F21" s="34">
        <f>SUMIFS('BA History'!C:C,'BA History'!B:B,A21)</f>
        <v>30</v>
      </c>
      <c r="G21" s="66">
        <f>AVERAGEIFS('BA History'!C:C,'BA History'!B:B,A21)</f>
        <v>10</v>
      </c>
      <c r="H21" s="35">
        <f t="array" ref="H21">MAX(IF('BA History'!B:B=A21, 'BA History'!C:C))</f>
        <v>14</v>
      </c>
      <c r="I21" s="34">
        <f>COUNTIFS('BA History'!B:B,A21,'BA History'!D:D, 1)</f>
        <v>1</v>
      </c>
      <c r="J21" s="2">
        <f>COUNTIFS('BA History'!B:B,A21,'BA History'!D:D, 0)</f>
        <v>2</v>
      </c>
      <c r="K21" s="75">
        <f>LOOKUP(2, 1/('BA History'!$B:$B=A21), 'BA History'!$AJ:$AJ)</f>
        <v>0.33333333333333331</v>
      </c>
      <c r="L21" s="34">
        <f>SUMIFS('BA History'!F:F,'BA History'!B:B,A21)</f>
        <v>6</v>
      </c>
      <c r="M21" s="2">
        <f>SUMIFS('BA History'!E:E,'BA History'!B:B,A21)-L21</f>
        <v>7</v>
      </c>
      <c r="N21" s="75">
        <f>LOOKUP(2, 1/('BA History'!$B:$B=A21), 'BA History'!$AH:$AH)</f>
        <v>0.46666666666666662</v>
      </c>
      <c r="O21" s="34">
        <f>SUMIFS('BA History'!H:H,'BA History'!B:B,A21)</f>
        <v>27</v>
      </c>
      <c r="P21" s="2">
        <f>SUMIFS('BA History'!G:G,'BA History'!B:B,A21)-O21</f>
        <v>29</v>
      </c>
      <c r="Q21" s="89">
        <f>LOOKUP(2, 1/('BA History'!$B:$B=A21), 'BA History'!$AI:$AI)</f>
        <v>0.48333333333333334</v>
      </c>
      <c r="R21" s="2">
        <f>COUNTIFS('BA History'!$B:$B,$A$21,'BA History'!K:K, 1)</f>
        <v>0</v>
      </c>
      <c r="S21" s="2">
        <f>COUNTIFS('BA History'!$B:$B,$A$21,'BA History'!L:L, 1)</f>
        <v>0</v>
      </c>
      <c r="T21" s="2">
        <f>COUNTIFS('BA History'!$B:$B,$A$21,'BA History'!M:M, 1)</f>
        <v>0</v>
      </c>
      <c r="U21" s="2">
        <f>COUNTIFS('BA History'!$B:$B,$A$21,'BA History'!N:N, 1)</f>
        <v>0</v>
      </c>
      <c r="V21" s="2">
        <f>COUNTIFS('BA History'!$B:$B,$A$21,'BA History'!O:O, 1)</f>
        <v>0</v>
      </c>
      <c r="W21" s="2">
        <f>COUNTIFS('BA History'!$B:$B,$A$21,'BA History'!P:P, 1)</f>
        <v>0</v>
      </c>
      <c r="X21" s="2">
        <f>COUNTIFS('BA History'!$B:$B,$A$21,'BA History'!Q:Q, 1)</f>
        <v>0</v>
      </c>
      <c r="Y21" s="2">
        <f>COUNTIFS('BA History'!$B:$B,$A$21,'BA History'!R:R, 1)</f>
        <v>0</v>
      </c>
      <c r="Z21" s="2">
        <f>COUNTIFS('BA History'!$B:$B,$A$21,'BA History'!S:S, 1)</f>
        <v>0</v>
      </c>
      <c r="AA21" s="2">
        <f>COUNTIFS('BA History'!$B:$B,$A$21,'BA History'!T:T, 1)</f>
        <v>0</v>
      </c>
      <c r="AB21" s="2">
        <f>COUNTIFS('BA History'!$B:$B,$A$21,'BA History'!U:U, 1)</f>
        <v>0</v>
      </c>
      <c r="AC21" s="2">
        <f>COUNTIFS('BA History'!$B:$B,$A$21,'BA History'!V:V, 1)</f>
        <v>0</v>
      </c>
      <c r="AD21" s="2">
        <f>COUNTIFS('BA History'!$B:$B,$A$21,'BA History'!W:W, 1)</f>
        <v>0</v>
      </c>
      <c r="AE21" s="2">
        <f>COUNTIFS('BA History'!$B:$B,$A$21,'BA History'!X:X, 1)</f>
        <v>0</v>
      </c>
      <c r="AF21" s="2">
        <f>COUNTIFS('BA History'!$B:$B,$A$21,'BA History'!Y:Y, 1)</f>
        <v>1</v>
      </c>
      <c r="AG21" s="2">
        <f>COUNTIFS('BA History'!$B:$B,$A$21,'BA History'!Z:Z, 1)</f>
        <v>1</v>
      </c>
      <c r="AH21" s="2">
        <f>COUNTIFS('BA History'!$B:$B,$A$21,'BA History'!AA:AA, 1)</f>
        <v>1</v>
      </c>
      <c r="AI21" s="2">
        <f>COUNTIFS('BA History'!$B:$B,$A$21,'BA History'!AB:AB, 1)</f>
        <v>3</v>
      </c>
      <c r="AJ21" s="2">
        <f>COUNTIFS('BA History'!$B:$B,$A$21,'BA History'!AC:AC, 1)</f>
        <v>0</v>
      </c>
      <c r="AK21" s="2">
        <f>COUNTIFS('BA History'!$B:$B,$A$21,'BA History'!AD:AD, 1)</f>
        <v>0</v>
      </c>
      <c r="AL21" s="2">
        <f>COUNTIFS('BA History'!$B:$B,$A$21,'BA History'!AE:AE, 1)</f>
        <v>0</v>
      </c>
      <c r="AM21" s="2">
        <f>COUNTIFS('BA History'!$B:$B,$A$21,'BA History'!AF:AF, 1)</f>
        <v>0</v>
      </c>
    </row>
    <row r="22" spans="1:39" x14ac:dyDescent="0.25">
      <c r="A22" s="2" t="s">
        <v>1</v>
      </c>
      <c r="B22" s="1" t="s">
        <v>160</v>
      </c>
      <c r="C22" s="1"/>
      <c r="D22" s="1"/>
      <c r="E22" s="1"/>
      <c r="F22" s="34">
        <f>SUMIFS('BA History'!C:C,'BA History'!B:B,A22)</f>
        <v>827</v>
      </c>
      <c r="G22" s="66">
        <f>AVERAGEIFS('BA History'!C:C,'BA History'!B:B,A22)</f>
        <v>25.84375</v>
      </c>
      <c r="H22" s="35">
        <f t="array" ref="H22">MAX(IF('BA History'!B:B=A22, 'BA History'!C:C))</f>
        <v>50</v>
      </c>
      <c r="I22" s="34">
        <f>COUNTIFS('BA History'!B:B,A22,'BA History'!D:D, 1)</f>
        <v>17</v>
      </c>
      <c r="J22" s="2">
        <f>COUNTIFS('BA History'!B:B,A22,'BA History'!D:D, 0)</f>
        <v>15</v>
      </c>
      <c r="K22" s="75">
        <f>LOOKUP(2, 1/('BA History'!$B:$B=A22), 'BA History'!$AJ:$AJ)</f>
        <v>0.53125</v>
      </c>
      <c r="L22" s="34">
        <f>SUMIFS('BA History'!F:F,'BA History'!B:B,A22)</f>
        <v>64</v>
      </c>
      <c r="M22" s="2">
        <f>SUMIFS('BA History'!E:E,'BA History'!B:B,A22)-L22</f>
        <v>63</v>
      </c>
      <c r="N22" s="75">
        <f>LOOKUP(2, 1/('BA History'!$B:$B=A22), 'BA History'!$AH:$AH)</f>
        <v>0.49531250000000004</v>
      </c>
      <c r="O22" s="34">
        <f>SUMIFS('BA History'!H:H,'BA History'!B:B,A22)</f>
        <v>258</v>
      </c>
      <c r="P22" s="2">
        <f>SUMIFS('BA History'!G:G,'BA History'!B:B,A22)-O22</f>
        <v>264</v>
      </c>
      <c r="Q22" s="89">
        <f>LOOKUP(2, 1/('BA History'!$B:$B=A22), 'BA History'!$AI:$AI)</f>
        <v>0.49656250000000007</v>
      </c>
      <c r="R22" s="2">
        <f>COUNTIFS('BA History'!$B:$B,$A$22,'BA History'!K:K, 1)</f>
        <v>4</v>
      </c>
      <c r="S22" s="2">
        <f>COUNTIFS('BA History'!$B:$B,$A$22,'BA History'!L:L, 1)</f>
        <v>7</v>
      </c>
      <c r="T22" s="2">
        <f>COUNTIFS('BA History'!$B:$B,$A$22,'BA History'!M:M, 1)</f>
        <v>5</v>
      </c>
      <c r="U22" s="2">
        <f>COUNTIFS('BA History'!$B:$B,$A$22,'BA History'!N:N, 1)</f>
        <v>4</v>
      </c>
      <c r="V22" s="2">
        <f>COUNTIFS('BA History'!$B:$B,$A$22,'BA History'!O:O, 1)</f>
        <v>3</v>
      </c>
      <c r="W22" s="2">
        <f>COUNTIFS('BA History'!$B:$B,$A$22,'BA History'!P:P, 1)</f>
        <v>0</v>
      </c>
      <c r="X22" s="2">
        <f>COUNTIFS('BA History'!$B:$B,$A$22,'BA History'!Q:Q, 1)</f>
        <v>0</v>
      </c>
      <c r="Y22" s="2">
        <f>COUNTIFS('BA History'!$B:$B,$A$22,'BA History'!R:R, 1)</f>
        <v>1</v>
      </c>
      <c r="Z22" s="2">
        <f>COUNTIFS('BA History'!$B:$B,$A$22,'BA History'!S:S, 1)</f>
        <v>1</v>
      </c>
      <c r="AA22" s="2">
        <f>COUNTIFS('BA History'!$B:$B,$A$22,'BA History'!T:T, 1)</f>
        <v>0</v>
      </c>
      <c r="AB22" s="2">
        <f>COUNTIFS('BA History'!$B:$B,$A$22,'BA History'!U:U, 1)</f>
        <v>2</v>
      </c>
      <c r="AC22" s="2">
        <f>COUNTIFS('BA History'!$B:$B,$A$22,'BA History'!V:V, 1)</f>
        <v>5</v>
      </c>
      <c r="AD22" s="2">
        <f>COUNTIFS('BA History'!$B:$B,$A$22,'BA History'!W:W, 1)</f>
        <v>2</v>
      </c>
      <c r="AE22" s="2">
        <f>COUNTIFS('BA History'!$B:$B,$A$22,'BA History'!X:X, 1)</f>
        <v>0</v>
      </c>
      <c r="AF22" s="2">
        <f>COUNTIFS('BA History'!$B:$B,$A$22,'BA History'!Y:Y, 1)</f>
        <v>3</v>
      </c>
      <c r="AG22" s="2">
        <f>COUNTIFS('BA History'!$B:$B,$A$22,'BA History'!Z:Z, 1)</f>
        <v>5</v>
      </c>
      <c r="AH22" s="2">
        <f>COUNTIFS('BA History'!$B:$B,$A$22,'BA History'!AA:AA, 1)</f>
        <v>1</v>
      </c>
      <c r="AI22" s="2">
        <f>COUNTIFS('BA History'!$B:$B,$A$22,'BA History'!AB:AB, 1)</f>
        <v>5</v>
      </c>
      <c r="AJ22" s="2">
        <f>COUNTIFS('BA History'!$B:$B,$A$22,'BA History'!AC:AC, 1)</f>
        <v>4</v>
      </c>
      <c r="AK22" s="2">
        <f>COUNTIFS('BA History'!$B:$B,$A$22,'BA History'!AD:AD, 1)</f>
        <v>7</v>
      </c>
      <c r="AL22" s="2">
        <f>COUNTIFS('BA History'!$B:$B,$A$22,'BA History'!AE:AE, 1)</f>
        <v>1</v>
      </c>
      <c r="AM22" s="2">
        <f>COUNTIFS('BA History'!$B:$B,$A$22,'BA History'!AF:AF, 1)</f>
        <v>4</v>
      </c>
    </row>
    <row r="23" spans="1:39" ht="15.75" x14ac:dyDescent="0.25">
      <c r="A23" s="2" t="s">
        <v>151</v>
      </c>
      <c r="B23" s="95" t="s">
        <v>79</v>
      </c>
      <c r="C23" s="95"/>
      <c r="D23" s="95"/>
      <c r="E23" s="95"/>
      <c r="F23" s="34">
        <f>SUMIFS('BA History'!C:C,'BA History'!B:B,A23)</f>
        <v>7</v>
      </c>
      <c r="G23" s="66">
        <f>AVERAGEIFS('BA History'!C:C,'BA History'!B:B,A23)</f>
        <v>7</v>
      </c>
      <c r="H23" s="35">
        <f t="array" ref="H23">MAX(IF('BA History'!B:B=A23, 'BA History'!C:C))</f>
        <v>7</v>
      </c>
      <c r="I23" s="34">
        <f>COUNTIFS('BA History'!B:B,A23,'BA History'!D:D, 1)</f>
        <v>0</v>
      </c>
      <c r="J23" s="2">
        <f>COUNTIFS('BA History'!B:B,A23,'BA History'!D:D, 0)</f>
        <v>1</v>
      </c>
      <c r="K23" s="75">
        <f>LOOKUP(2, 1/('BA History'!$B:$B=A23), 'BA History'!$AJ:$AJ)</f>
        <v>0</v>
      </c>
      <c r="L23" s="34">
        <f>SUMIFS('BA History'!F:F,'BA History'!B:B,A23)</f>
        <v>1</v>
      </c>
      <c r="M23" s="2">
        <f>SUMIFS('BA History'!E:E,'BA History'!B:B,A23)-L23</f>
        <v>4</v>
      </c>
      <c r="N23" s="75">
        <f>LOOKUP(2, 1/('BA History'!$B:$B=A23), 'BA History'!$AH:$AH)</f>
        <v>0.2</v>
      </c>
      <c r="O23" s="34">
        <f>SUMIFS('BA History'!H:H,'BA History'!B:B,A23)</f>
        <v>5</v>
      </c>
      <c r="P23" s="2">
        <f>SUMIFS('BA History'!G:G,'BA History'!B:B,A23)-O23</f>
        <v>14</v>
      </c>
      <c r="Q23" s="89">
        <f>LOOKUP(2, 1/('BA History'!$B:$B=A23), 'BA History'!$AI:$AI)</f>
        <v>0.26</v>
      </c>
      <c r="R23" s="2">
        <f>COUNTIFS('BA History'!$B:$B,$A$23,'BA History'!K:K, 1)</f>
        <v>0</v>
      </c>
      <c r="S23" s="2">
        <f>COUNTIFS('BA History'!$B:$B,$A$23,'BA History'!L:L, 1)</f>
        <v>1</v>
      </c>
      <c r="T23" s="2">
        <f>COUNTIFS('BA History'!$B:$B,$A$23,'BA History'!M:M, 1)</f>
        <v>0</v>
      </c>
      <c r="U23" s="2">
        <f>COUNTIFS('BA History'!$B:$B,$A$23,'BA History'!N:N, 1)</f>
        <v>0</v>
      </c>
      <c r="V23" s="2">
        <f>COUNTIFS('BA History'!$B:$B,$A$23,'BA History'!O:O, 1)</f>
        <v>0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0</v>
      </c>
      <c r="Z23" s="2">
        <f>COUNTIFS('BA History'!$B:$B,$A$23,'BA History'!S:S, 1)</f>
        <v>0</v>
      </c>
      <c r="AA23" s="2">
        <f>COUNTIFS('BA History'!$B:$B,$A$23,'BA History'!T:T, 1)</f>
        <v>0</v>
      </c>
      <c r="AB23" s="2">
        <f>COUNTIFS('BA History'!$B:$B,$A$23,'BA History'!U:U, 1)</f>
        <v>0</v>
      </c>
      <c r="AC23" s="2">
        <f>COUNTIFS('BA History'!$B:$B,$A$23,'BA History'!V:V, 1)</f>
        <v>0</v>
      </c>
      <c r="AD23" s="2">
        <f>COUNTIFS('BA History'!$B:$B,$A$23,'BA History'!W:W, 1)</f>
        <v>0</v>
      </c>
      <c r="AE23" s="2">
        <f>COUNTIFS('BA History'!$B:$B,$A$23,'BA History'!X:X, 1)</f>
        <v>0</v>
      </c>
      <c r="AF23" s="2">
        <f>COUNTIFS('BA History'!$B:$B,$A$23,'BA History'!Y:Y, 1)</f>
        <v>0</v>
      </c>
      <c r="AG23" s="2">
        <f>COUNTIFS('BA History'!$B:$B,$A$23,'BA History'!Z:Z, 1)</f>
        <v>0</v>
      </c>
      <c r="AH23" s="2">
        <f>COUNTIFS('BA History'!$B:$B,$A$23,'BA History'!AA:AA, 1)</f>
        <v>0</v>
      </c>
      <c r="AI23" s="2">
        <f>COUNTIFS('BA History'!$B:$B,$A$23,'BA History'!AB:AB, 1)</f>
        <v>0</v>
      </c>
      <c r="AJ23" s="2">
        <f>COUNTIFS('BA History'!$B:$B,$A$23,'BA History'!AC:AC, 1)</f>
        <v>0</v>
      </c>
      <c r="AK23" s="2">
        <f>COUNTIFS('BA History'!$B:$B,$A$23,'BA History'!AD:AD, 1)</f>
        <v>0</v>
      </c>
      <c r="AL23" s="2">
        <f>COUNTIFS('BA History'!$B:$B,$A$23,'BA History'!AE:AE, 1)</f>
        <v>0</v>
      </c>
      <c r="AM23" s="2">
        <f>COUNTIFS('BA History'!$B:$B,$A$23,'BA History'!AF:AF, 1)</f>
        <v>0</v>
      </c>
    </row>
    <row r="24" spans="1:39" ht="15.75" x14ac:dyDescent="0.25">
      <c r="A24" s="2" t="s">
        <v>150</v>
      </c>
      <c r="B24" s="95" t="s">
        <v>79</v>
      </c>
      <c r="C24" s="95">
        <v>1</v>
      </c>
      <c r="D24" s="95"/>
      <c r="E24" s="95"/>
      <c r="F24" s="34">
        <f>SUMIFS('BA History'!C:C,'BA History'!B:B,A24)</f>
        <v>266</v>
      </c>
      <c r="G24" s="66">
        <f>AVERAGEIFS('BA History'!C:C,'BA History'!B:B,A24)</f>
        <v>16.625</v>
      </c>
      <c r="H24" s="35">
        <f t="array" ref="H24">MAX(IF('BA History'!B:B=A24, 'BA History'!C:C))</f>
        <v>28</v>
      </c>
      <c r="I24" s="34">
        <f>COUNTIFS('BA History'!B:B,A24,'BA History'!D:D, 1)</f>
        <v>10</v>
      </c>
      <c r="J24" s="2">
        <f>COUNTIFS('BA History'!B:B,A24,'BA History'!D:D, 0)</f>
        <v>6</v>
      </c>
      <c r="K24" s="75">
        <f>LOOKUP(2, 1/('BA History'!$B:$B=A24), 'BA History'!$AJ:$AJ)</f>
        <v>0.625</v>
      </c>
      <c r="L24" s="34">
        <f>SUMIFS('BA History'!F:F,'BA History'!B:B,A24)</f>
        <v>40</v>
      </c>
      <c r="M24" s="2">
        <f>SUMIFS('BA History'!E:E,'BA History'!B:B,A24)-L24</f>
        <v>26</v>
      </c>
      <c r="N24" s="75">
        <f>LOOKUP(2, 1/('BA History'!$B:$B=A24), 'BA History'!$AH:$AH)</f>
        <v>0.63749999999999996</v>
      </c>
      <c r="O24" s="34">
        <f>SUMIFS('BA History'!H:H,'BA History'!B:B,A24)</f>
        <v>153</v>
      </c>
      <c r="P24" s="2">
        <f>SUMIFS('BA History'!G:G,'BA History'!B:B,A24)-O24</f>
        <v>115</v>
      </c>
      <c r="Q24" s="89">
        <f>LOOKUP(2, 1/('BA History'!$B:$B=A24), 'BA History'!$AI:$AI)</f>
        <v>0.59687500000000016</v>
      </c>
      <c r="R24" s="2">
        <f>COUNTIFS('BA History'!$B:$B,$A$24,'BA History'!K:K, 1)</f>
        <v>0</v>
      </c>
      <c r="S24" s="2">
        <f>COUNTIFS('BA History'!$B:$B,$A$24,'BA History'!L:L, 1)</f>
        <v>2</v>
      </c>
      <c r="T24" s="2">
        <f>COUNTIFS('BA History'!$B:$B,$A$24,'BA History'!M:M, 1)</f>
        <v>5</v>
      </c>
      <c r="U24" s="2">
        <f>COUNTIFS('BA History'!$B:$B,$A$24,'BA History'!N:N, 1)</f>
        <v>5</v>
      </c>
      <c r="V24" s="2">
        <f>COUNTIFS('BA History'!$B:$B,$A$24,'BA History'!O:O, 1)</f>
        <v>1</v>
      </c>
      <c r="W24" s="2">
        <f>COUNTIFS('BA History'!$B:$B,$A$24,'BA History'!P:P, 1)</f>
        <v>0</v>
      </c>
      <c r="X24" s="2">
        <f>COUNTIFS('BA History'!$B:$B,$A$24,'BA History'!Q:Q, 1)</f>
        <v>2</v>
      </c>
      <c r="Y24" s="2">
        <f>COUNTIFS('BA History'!$B:$B,$A$24,'BA History'!R:R, 1)</f>
        <v>0</v>
      </c>
      <c r="Z24" s="2">
        <f>COUNTIFS('BA History'!$B:$B,$A$24,'BA History'!S:S, 1)</f>
        <v>1</v>
      </c>
      <c r="AA24" s="2">
        <f>COUNTIFS('BA History'!$B:$B,$A$24,'BA History'!T:T, 1)</f>
        <v>0</v>
      </c>
      <c r="AB24" s="2">
        <f>COUNTIFS('BA History'!$B:$B,$A$24,'BA History'!U:U, 1)</f>
        <v>0</v>
      </c>
      <c r="AC24" s="2">
        <f>COUNTIFS('BA History'!$B:$B,$A$24,'BA History'!V:V, 1)</f>
        <v>1</v>
      </c>
      <c r="AD24" s="2">
        <f>COUNTIFS('BA History'!$B:$B,$A$24,'BA History'!W:W, 1)</f>
        <v>2</v>
      </c>
      <c r="AE24" s="2">
        <f>COUNTIFS('BA History'!$B:$B,$A$24,'BA History'!X:X, 1)</f>
        <v>0</v>
      </c>
      <c r="AF24" s="2">
        <f>COUNTIFS('BA History'!$B:$B,$A$24,'BA History'!Y:Y, 1)</f>
        <v>3</v>
      </c>
      <c r="AG24" s="2">
        <f>COUNTIFS('BA History'!$B:$B,$A$24,'BA History'!Z:Z, 1)</f>
        <v>6</v>
      </c>
      <c r="AH24" s="2">
        <f>COUNTIFS('BA History'!$B:$B,$A$24,'BA History'!AA:AA, 1)</f>
        <v>0</v>
      </c>
      <c r="AI24" s="2">
        <f>COUNTIFS('BA History'!$B:$B,$A$24,'BA History'!AB:AB, 1)</f>
        <v>6</v>
      </c>
      <c r="AJ24" s="2">
        <f>COUNTIFS('BA History'!$B:$B,$A$24,'BA History'!AC:AC, 1)</f>
        <v>1</v>
      </c>
      <c r="AK24" s="2">
        <f>COUNTIFS('BA History'!$B:$B,$A$24,'BA History'!AD:AD, 1)</f>
        <v>3</v>
      </c>
      <c r="AL24" s="2">
        <f>COUNTIFS('BA History'!$B:$B,$A$24,'BA History'!AE:AE, 1)</f>
        <v>0</v>
      </c>
      <c r="AM24" s="2">
        <f>COUNTIFS('BA History'!$B:$B,$A$24,'BA History'!AF:AF, 1)</f>
        <v>2</v>
      </c>
    </row>
    <row r="25" spans="1:39" x14ac:dyDescent="0.25">
      <c r="A25" s="2" t="s">
        <v>46</v>
      </c>
      <c r="B25" s="1" t="s">
        <v>160</v>
      </c>
      <c r="C25" s="1"/>
      <c r="D25" s="1"/>
      <c r="E25" s="1"/>
      <c r="F25" s="34">
        <f>SUMIFS('BA History'!C:C,'BA History'!B:B,A25)</f>
        <v>521</v>
      </c>
      <c r="G25" s="66">
        <f>AVERAGEIFS('BA History'!C:C,'BA History'!B:B,A25)</f>
        <v>17.96551724137931</v>
      </c>
      <c r="H25" s="35">
        <f t="array" ref="H25">MAX(IF('BA History'!B:B=A25, 'BA History'!C:C))</f>
        <v>34</v>
      </c>
      <c r="I25" s="34">
        <f>COUNTIFS('BA History'!B:B,A25,'BA History'!D:D, 1)</f>
        <v>10</v>
      </c>
      <c r="J25" s="2">
        <f>COUNTIFS('BA History'!B:B,A25,'BA History'!D:D, 0)</f>
        <v>19</v>
      </c>
      <c r="K25" s="75">
        <f>LOOKUP(2, 1/('BA History'!$B:$B=A25), 'BA History'!$AJ:$AJ)</f>
        <v>0.34482758620689657</v>
      </c>
      <c r="L25" s="34">
        <f>SUMIFS('BA History'!F:F,'BA History'!B:B,A25)</f>
        <v>51</v>
      </c>
      <c r="M25" s="2">
        <f>SUMIFS('BA History'!E:E,'BA History'!B:B,A25)-L25</f>
        <v>72</v>
      </c>
      <c r="N25" s="75">
        <f>LOOKUP(2, 1/('BA History'!$B:$B=A25), 'BA History'!$AH:$AH)</f>
        <v>0.39310344827586202</v>
      </c>
      <c r="O25" s="34">
        <f>SUMIFS('BA History'!H:H,'BA History'!B:B,A25)</f>
        <v>231</v>
      </c>
      <c r="P25" s="2">
        <f>SUMIFS('BA History'!G:G,'BA History'!B:B,A25)-O25</f>
        <v>280</v>
      </c>
      <c r="Q25" s="89">
        <f>LOOKUP(2, 1/('BA History'!$B:$B=A25), 'BA History'!$AI:$AI)</f>
        <v>0.43551724137931036</v>
      </c>
      <c r="R25" s="2">
        <f>COUNTIFS('BA History'!$B:$B,$A$25,'BA History'!K:K, 1)</f>
        <v>6</v>
      </c>
      <c r="S25" s="2">
        <f>COUNTIFS('BA History'!$B:$B,$A$25,'BA History'!L:L, 1)</f>
        <v>4</v>
      </c>
      <c r="T25" s="2">
        <f>COUNTIFS('BA History'!$B:$B,$A$25,'BA History'!M:M, 1)</f>
        <v>3</v>
      </c>
      <c r="U25" s="2">
        <f>COUNTIFS('BA History'!$B:$B,$A$25,'BA History'!N:N, 1)</f>
        <v>4</v>
      </c>
      <c r="V25" s="2">
        <f>COUNTIFS('BA History'!$B:$B,$A$25,'BA History'!O:O, 1)</f>
        <v>1</v>
      </c>
      <c r="W25" s="2">
        <f>COUNTIFS('BA History'!$B:$B,$A$25,'BA History'!P:P, 1)</f>
        <v>0</v>
      </c>
      <c r="X25" s="2">
        <f>COUNTIFS('BA History'!$B:$B,$A$25,'BA History'!Q:Q, 1)</f>
        <v>0</v>
      </c>
      <c r="Y25" s="2">
        <f>COUNTIFS('BA History'!$B:$B,$A$25,'BA History'!R:R, 1)</f>
        <v>1</v>
      </c>
      <c r="Z25" s="2">
        <f>COUNTIFS('BA History'!$B:$B,$A$25,'BA History'!S:S, 1)</f>
        <v>0</v>
      </c>
      <c r="AA25" s="2">
        <f>COUNTIFS('BA History'!$B:$B,$A$25,'BA History'!T:T, 1)</f>
        <v>0</v>
      </c>
      <c r="AB25" s="2">
        <f>COUNTIFS('BA History'!$B:$B,$A$25,'BA History'!U:U, 1)</f>
        <v>1</v>
      </c>
      <c r="AC25" s="2">
        <f>COUNTIFS('BA History'!$B:$B,$A$25,'BA History'!V:V, 1)</f>
        <v>1</v>
      </c>
      <c r="AD25" s="2">
        <f>COUNTIFS('BA History'!$B:$B,$A$25,'BA History'!W:W, 1)</f>
        <v>3</v>
      </c>
      <c r="AE25" s="2">
        <f>COUNTIFS('BA History'!$B:$B,$A$25,'BA History'!X:X, 1)</f>
        <v>1</v>
      </c>
      <c r="AF25" s="2">
        <f>COUNTIFS('BA History'!$B:$B,$A$25,'BA History'!Y:Y, 1)</f>
        <v>1</v>
      </c>
      <c r="AG25" s="2">
        <f>COUNTIFS('BA History'!$B:$B,$A$25,'BA History'!Z:Z, 1)</f>
        <v>7</v>
      </c>
      <c r="AH25" s="2">
        <f>COUNTIFS('BA History'!$B:$B,$A$25,'BA History'!AA:AA, 1)</f>
        <v>2</v>
      </c>
      <c r="AI25" s="2">
        <f>COUNTIFS('BA History'!$B:$B,$A$25,'BA History'!AB:AB, 1)</f>
        <v>6</v>
      </c>
      <c r="AJ25" s="2">
        <f>COUNTIFS('BA History'!$B:$B,$A$25,'BA History'!AC:AC, 1)</f>
        <v>1</v>
      </c>
      <c r="AK25" s="2">
        <f>COUNTIFS('BA History'!$B:$B,$A$25,'BA History'!AD:AD, 1)</f>
        <v>3</v>
      </c>
      <c r="AL25" s="2">
        <f>COUNTIFS('BA History'!$B:$B,$A$25,'BA History'!AE:AE, 1)</f>
        <v>2</v>
      </c>
      <c r="AM25" s="2">
        <f>COUNTIFS('BA History'!$B:$B,$A$25,'BA History'!AF:AF, 1)</f>
        <v>4</v>
      </c>
    </row>
    <row r="26" spans="1:39" x14ac:dyDescent="0.25">
      <c r="A26" s="2" t="s">
        <v>28</v>
      </c>
      <c r="B26" s="2" t="s">
        <v>79</v>
      </c>
      <c r="C26" s="2"/>
      <c r="D26" s="2"/>
      <c r="E26" s="2"/>
      <c r="F26" s="34">
        <f>SUMIFS('BA History'!C:C,'BA History'!B:B,A26)</f>
        <v>381</v>
      </c>
      <c r="G26" s="66">
        <f>AVERAGEIFS('BA History'!C:C,'BA History'!B:B,A26)</f>
        <v>13.607142857142858</v>
      </c>
      <c r="H26" s="35">
        <f t="array" ref="H26">MAX(IF('BA History'!B:B=A26, 'BA History'!C:C))</f>
        <v>25</v>
      </c>
      <c r="I26" s="34">
        <f>COUNTIFS('BA History'!B:B,A26,'BA History'!D:D, 1)</f>
        <v>11</v>
      </c>
      <c r="J26" s="2">
        <f>COUNTIFS('BA History'!B:B,A26,'BA History'!D:D, 0)</f>
        <v>17</v>
      </c>
      <c r="K26" s="75">
        <f>LOOKUP(2, 1/('BA History'!$B:$B=A26), 'BA History'!$AJ:$AJ)</f>
        <v>0.39285714285714285</v>
      </c>
      <c r="L26" s="34">
        <f>SUMIFS('BA History'!F:F,'BA History'!B:B,A26)</f>
        <v>46</v>
      </c>
      <c r="M26" s="2">
        <f>SUMIFS('BA History'!E:E,'BA History'!B:B,A26)-L26</f>
        <v>60</v>
      </c>
      <c r="N26" s="75">
        <f>LOOKUP(2, 1/('BA History'!$B:$B=A26), 'BA History'!$AH:$AH)</f>
        <v>0.43321428571428566</v>
      </c>
      <c r="O26" s="34">
        <f>SUMIFS('BA History'!H:H,'BA History'!B:B,A26)</f>
        <v>199</v>
      </c>
      <c r="P26" s="2">
        <f>SUMIFS('BA History'!G:G,'BA History'!B:B,A26)-O26</f>
        <v>230</v>
      </c>
      <c r="Q26" s="89">
        <f>LOOKUP(2, 1/('BA History'!$B:$B=A26), 'BA History'!$AI:$AI)</f>
        <v>0.45714285714285702</v>
      </c>
      <c r="R26" s="2">
        <f>COUNTIFS('BA History'!$B:$B,$A$26,'BA History'!K:K, 1)</f>
        <v>1</v>
      </c>
      <c r="S26" s="2">
        <f>COUNTIFS('BA History'!$B:$B,$A$26,'BA History'!L:L, 1)</f>
        <v>4</v>
      </c>
      <c r="T26" s="2">
        <f>COUNTIFS('BA History'!$B:$B,$A$26,'BA History'!M:M, 1)</f>
        <v>2</v>
      </c>
      <c r="U26" s="2">
        <f>COUNTIFS('BA History'!$B:$B,$A$26,'BA History'!N:N, 1)</f>
        <v>5</v>
      </c>
      <c r="V26" s="2">
        <f>COUNTIFS('BA History'!$B:$B,$A$26,'BA History'!O:O, 1)</f>
        <v>3</v>
      </c>
      <c r="W26" s="2">
        <f>COUNTIFS('BA History'!$B:$B,$A$26,'BA History'!P:P, 1)</f>
        <v>1</v>
      </c>
      <c r="X26" s="2">
        <f>COUNTIFS('BA History'!$B:$B,$A$26,'BA History'!Q:Q, 1)</f>
        <v>2</v>
      </c>
      <c r="Y26" s="2">
        <f>COUNTIFS('BA History'!$B:$B,$A$26,'BA History'!R:R, 1)</f>
        <v>1</v>
      </c>
      <c r="Z26" s="2">
        <f>COUNTIFS('BA History'!$B:$B,$A$26,'BA History'!S:S, 1)</f>
        <v>0</v>
      </c>
      <c r="AA26" s="2">
        <f>COUNTIFS('BA History'!$B:$B,$A$26,'BA History'!T:T, 1)</f>
        <v>1</v>
      </c>
      <c r="AB26" s="2">
        <f>COUNTIFS('BA History'!$B:$B,$A$26,'BA History'!U:U, 1)</f>
        <v>3</v>
      </c>
      <c r="AC26" s="2">
        <f>COUNTIFS('BA History'!$B:$B,$A$26,'BA History'!V:V, 1)</f>
        <v>2</v>
      </c>
      <c r="AD26" s="2">
        <f>COUNTIFS('BA History'!$B:$B,$A$26,'BA History'!W:W, 1)</f>
        <v>0</v>
      </c>
      <c r="AE26" s="2">
        <f>COUNTIFS('BA History'!$B:$B,$A$26,'BA History'!X:X, 1)</f>
        <v>1</v>
      </c>
      <c r="AF26" s="2">
        <f>COUNTIFS('BA History'!$B:$B,$A$26,'BA History'!Y:Y, 1)</f>
        <v>3</v>
      </c>
      <c r="AG26" s="2">
        <f>COUNTIFS('BA History'!$B:$B,$A$26,'BA History'!Z:Z, 1)</f>
        <v>4</v>
      </c>
      <c r="AH26" s="2">
        <f>COUNTIFS('BA History'!$B:$B,$A$26,'BA History'!AA:AA, 1)</f>
        <v>2</v>
      </c>
      <c r="AI26" s="2">
        <f>COUNTIFS('BA History'!$B:$B,$A$26,'BA History'!AB:AB, 1)</f>
        <v>3</v>
      </c>
      <c r="AJ26" s="2">
        <f>COUNTIFS('BA History'!$B:$B,$A$26,'BA History'!AC:AC, 1)</f>
        <v>3</v>
      </c>
      <c r="AK26" s="2">
        <f>COUNTIFS('BA History'!$B:$B,$A$26,'BA History'!AD:AD, 1)</f>
        <v>4</v>
      </c>
      <c r="AL26" s="2">
        <f>COUNTIFS('BA History'!$B:$B,$A$26,'BA History'!AE:AE, 1)</f>
        <v>0</v>
      </c>
      <c r="AM26" s="2">
        <f>COUNTIFS('BA History'!$B:$B,$A$26,'BA History'!AF:AF, 1)</f>
        <v>1</v>
      </c>
    </row>
    <row r="27" spans="1:39" x14ac:dyDescent="0.25">
      <c r="A27" s="2" t="s">
        <v>53</v>
      </c>
      <c r="B27" s="2" t="s">
        <v>79</v>
      </c>
      <c r="C27" s="2">
        <v>1</v>
      </c>
      <c r="D27" s="2"/>
      <c r="E27" s="2"/>
      <c r="F27" s="34">
        <f>SUMIFS('BA History'!C:C,'BA History'!B:B,A27)</f>
        <v>368</v>
      </c>
      <c r="G27" s="66">
        <f>AVERAGEIFS('BA History'!C:C,'BA History'!B:B,A27)</f>
        <v>14.72</v>
      </c>
      <c r="H27" s="35">
        <f t="array" ref="H27">MAX(IF('BA History'!B:B=A27, 'BA History'!C:C))</f>
        <v>36</v>
      </c>
      <c r="I27" s="34">
        <f>COUNTIFS('BA History'!B:B,A27,'BA History'!D:D, 1)</f>
        <v>10</v>
      </c>
      <c r="J27" s="2">
        <f>COUNTIFS('BA History'!B:B,A27,'BA History'!D:D, 0)</f>
        <v>15</v>
      </c>
      <c r="K27" s="75">
        <f>LOOKUP(2, 1/('BA History'!$B:$B=A27), 'BA History'!$AJ:$AJ)</f>
        <v>0.4</v>
      </c>
      <c r="L27" s="34">
        <f>SUMIFS('BA History'!F:F,'BA History'!B:B,A27)</f>
        <v>46</v>
      </c>
      <c r="M27" s="2">
        <f>SUMIFS('BA History'!E:E,'BA History'!B:B,A27)-L27</f>
        <v>50</v>
      </c>
      <c r="N27" s="75">
        <f>LOOKUP(2, 1/('BA History'!$B:$B=A27), 'BA History'!$AH:$AH)</f>
        <v>0.49400000000000005</v>
      </c>
      <c r="O27" s="34">
        <f>SUMIFS('BA History'!H:H,'BA History'!B:B,A27)</f>
        <v>189</v>
      </c>
      <c r="P27" s="2">
        <f>SUMIFS('BA History'!G:G,'BA History'!B:B,A27)-O27</f>
        <v>199</v>
      </c>
      <c r="Q27" s="89">
        <f>LOOKUP(2, 1/('BA History'!$B:$B=A27), 'BA History'!$AI:$AI)</f>
        <v>0.49480000000000002</v>
      </c>
      <c r="R27" s="2">
        <f>COUNTIFS('BA History'!$B:$B,$A$27,'BA History'!K:K, 1)</f>
        <v>2</v>
      </c>
      <c r="S27" s="2">
        <f>COUNTIFS('BA History'!$B:$B,$A$27,'BA History'!L:L, 1)</f>
        <v>5</v>
      </c>
      <c r="T27" s="2">
        <f>COUNTIFS('BA History'!$B:$B,$A$27,'BA History'!M:M, 1)</f>
        <v>0</v>
      </c>
      <c r="U27" s="2">
        <f>COUNTIFS('BA History'!$B:$B,$A$27,'BA History'!N:N, 1)</f>
        <v>6</v>
      </c>
      <c r="V27" s="2">
        <f>COUNTIFS('BA History'!$B:$B,$A$27,'BA History'!O:O, 1)</f>
        <v>1</v>
      </c>
      <c r="W27" s="2">
        <f>COUNTIFS('BA History'!$B:$B,$A$27,'BA History'!P:P, 1)</f>
        <v>0</v>
      </c>
      <c r="X27" s="2">
        <f>COUNTIFS('BA History'!$B:$B,$A$27,'BA History'!Q:Q, 1)</f>
        <v>2</v>
      </c>
      <c r="Y27" s="2">
        <f>COUNTIFS('BA History'!$B:$B,$A$27,'BA History'!R:R, 1)</f>
        <v>0</v>
      </c>
      <c r="Z27" s="2">
        <f>COUNTIFS('BA History'!$B:$B,$A$27,'BA History'!S:S, 1)</f>
        <v>0</v>
      </c>
      <c r="AA27" s="2">
        <f>COUNTIFS('BA History'!$B:$B,$A$27,'BA History'!T:T, 1)</f>
        <v>0</v>
      </c>
      <c r="AB27" s="2">
        <f>COUNTIFS('BA History'!$B:$B,$A$27,'BA History'!U:U, 1)</f>
        <v>0</v>
      </c>
      <c r="AC27" s="2">
        <f>COUNTIFS('BA History'!$B:$B,$A$27,'BA History'!V:V, 1)</f>
        <v>2</v>
      </c>
      <c r="AD27" s="2">
        <f>COUNTIFS('BA History'!$B:$B,$A$27,'BA History'!W:W, 1)</f>
        <v>1</v>
      </c>
      <c r="AE27" s="2">
        <f>COUNTIFS('BA History'!$B:$B,$A$27,'BA History'!X:X, 1)</f>
        <v>1</v>
      </c>
      <c r="AF27" s="2">
        <f>COUNTIFS('BA History'!$B:$B,$A$27,'BA History'!Y:Y, 1)</f>
        <v>3</v>
      </c>
      <c r="AG27" s="2">
        <f>COUNTIFS('BA History'!$B:$B,$A$27,'BA History'!Z:Z, 1)</f>
        <v>9</v>
      </c>
      <c r="AH27" s="2">
        <f>COUNTIFS('BA History'!$B:$B,$A$27,'BA History'!AA:AA, 1)</f>
        <v>0</v>
      </c>
      <c r="AI27" s="2">
        <f>COUNTIFS('BA History'!$B:$B,$A$27,'BA History'!AB:AB, 1)</f>
        <v>7</v>
      </c>
      <c r="AJ27" s="2">
        <f>COUNTIFS('BA History'!$B:$B,$A$27,'BA History'!AC:AC, 1)</f>
        <v>3</v>
      </c>
      <c r="AK27" s="2">
        <f>COUNTIFS('BA History'!$B:$B,$A$27,'BA History'!AD:AD, 1)</f>
        <v>2</v>
      </c>
      <c r="AL27" s="2">
        <f>COUNTIFS('BA History'!$B:$B,$A$27,'BA History'!AE:AE, 1)</f>
        <v>0</v>
      </c>
      <c r="AM27" s="2">
        <f>COUNTIFS('BA History'!$B:$B,$A$27,'BA History'!AF:AF, 1)</f>
        <v>2</v>
      </c>
    </row>
    <row r="28" spans="1:39" x14ac:dyDescent="0.25">
      <c r="A28" s="2" t="s">
        <v>51</v>
      </c>
      <c r="B28" s="2" t="s">
        <v>79</v>
      </c>
      <c r="C28" s="2"/>
      <c r="D28" s="2"/>
      <c r="E28" s="2"/>
      <c r="F28" s="34">
        <f>SUMIFS('BA History'!C:C,'BA History'!B:B,A28)</f>
        <v>21</v>
      </c>
      <c r="G28" s="66">
        <f>AVERAGEIFS('BA History'!C:C,'BA History'!B:B,A28)</f>
        <v>10.5</v>
      </c>
      <c r="H28" s="35">
        <f t="array" ref="H28">MAX(IF('BA History'!B:B=A28, 'BA History'!C:C))</f>
        <v>16</v>
      </c>
      <c r="I28" s="34">
        <f>COUNTIFS('BA History'!B:B,A28,'BA History'!D:D, 1)</f>
        <v>1</v>
      </c>
      <c r="J28" s="2">
        <f>COUNTIFS('BA History'!B:B,A28,'BA History'!D:D, 0)</f>
        <v>1</v>
      </c>
      <c r="K28" s="75">
        <f>LOOKUP(2, 1/('BA History'!$B:$B=A28), 'BA History'!$AJ:$AJ)</f>
        <v>0.5</v>
      </c>
      <c r="L28" s="34">
        <f>SUMIFS('BA History'!F:F,'BA History'!B:B,A28)</f>
        <v>2</v>
      </c>
      <c r="M28" s="2">
        <f>SUMIFS('BA History'!E:E,'BA History'!B:B,A28)-L28</f>
        <v>4</v>
      </c>
      <c r="N28" s="75">
        <f>LOOKUP(2, 1/('BA History'!$B:$B=A28), 'BA History'!$AH:$AH)</f>
        <v>0.33500000000000002</v>
      </c>
      <c r="O28" s="34">
        <f>SUMIFS('BA History'!H:H,'BA History'!B:B,A28)</f>
        <v>10</v>
      </c>
      <c r="P28" s="2">
        <f>SUMIFS('BA History'!G:G,'BA History'!B:B,A28)-O28</f>
        <v>16</v>
      </c>
      <c r="Q28" s="89">
        <f>LOOKUP(2, 1/('BA History'!$B:$B=A28), 'BA History'!$AI:$AI)</f>
        <v>0.35499999999999998</v>
      </c>
      <c r="R28" s="2">
        <f>COUNTIFS('BA History'!$B:$B,$A$28,'BA History'!K:K, 1)</f>
        <v>0</v>
      </c>
      <c r="S28" s="2">
        <f>COUNTIFS('BA History'!$B:$B,$A$28,'BA History'!L:L, 1)</f>
        <v>0</v>
      </c>
      <c r="T28" s="2">
        <f>COUNTIFS('BA History'!$B:$B,$A$28,'BA History'!M:M, 1)</f>
        <v>0</v>
      </c>
      <c r="U28" s="2">
        <f>COUNTIFS('BA History'!$B:$B,$A$28,'BA History'!N:N, 1)</f>
        <v>0</v>
      </c>
      <c r="V28" s="2">
        <f>COUNTIFS('BA History'!$B:$B,$A$28,'BA History'!O:O, 1)</f>
        <v>0</v>
      </c>
      <c r="W28" s="2">
        <f>COUNTIFS('BA History'!$B:$B,$A$28,'BA History'!P:P, 1)</f>
        <v>0</v>
      </c>
      <c r="X28" s="2">
        <f>COUNTIFS('BA History'!$B:$B,$A$28,'BA History'!Q:Q, 1)</f>
        <v>0</v>
      </c>
      <c r="Y28" s="2">
        <f>COUNTIFS('BA History'!$B:$B,$A$28,'BA History'!R:R, 1)</f>
        <v>0</v>
      </c>
      <c r="Z28" s="2">
        <f>COUNTIFS('BA History'!$B:$B,$A$28,'BA History'!S:S, 1)</f>
        <v>0</v>
      </c>
      <c r="AA28" s="2">
        <f>COUNTIFS('BA History'!$B:$B,$A$28,'BA History'!T:T, 1)</f>
        <v>0</v>
      </c>
      <c r="AB28" s="2">
        <f>COUNTIFS('BA History'!$B:$B,$A$28,'BA History'!U:U, 1)</f>
        <v>0</v>
      </c>
      <c r="AC28" s="2">
        <f>COUNTIFS('BA History'!$B:$B,$A$28,'BA History'!V:V, 1)</f>
        <v>0</v>
      </c>
      <c r="AD28" s="2">
        <f>COUNTIFS('BA History'!$B:$B,$A$28,'BA History'!W:W, 1)</f>
        <v>0</v>
      </c>
      <c r="AE28" s="2">
        <f>COUNTIFS('BA History'!$B:$B,$A$28,'BA History'!X:X, 1)</f>
        <v>0</v>
      </c>
      <c r="AF28" s="2">
        <f>COUNTIFS('BA History'!$B:$B,$A$28,'BA History'!Y:Y, 1)</f>
        <v>1</v>
      </c>
      <c r="AG28" s="2">
        <f>COUNTIFS('BA History'!$B:$B,$A$28,'BA History'!Z:Z, 1)</f>
        <v>0</v>
      </c>
      <c r="AH28" s="2">
        <f>COUNTIFS('BA History'!$B:$B,$A$28,'BA History'!AA:AA, 1)</f>
        <v>0</v>
      </c>
      <c r="AI28" s="2">
        <f>COUNTIFS('BA History'!$B:$B,$A$28,'BA History'!AB:AB, 1)</f>
        <v>0</v>
      </c>
      <c r="AJ28" s="2">
        <f>COUNTIFS('BA History'!$B:$B,$A$28,'BA History'!AC:AC, 1)</f>
        <v>1</v>
      </c>
      <c r="AK28" s="2">
        <f>COUNTIFS('BA History'!$B:$B,$A$28,'BA History'!AD:AD, 1)</f>
        <v>0</v>
      </c>
      <c r="AL28" s="2">
        <f>COUNTIFS('BA History'!$B:$B,$A$28,'BA History'!AE:AE, 1)</f>
        <v>0</v>
      </c>
      <c r="AM28" s="2">
        <f>COUNTIFS('BA History'!$B:$B,$A$28,'BA History'!AF:AF, 1)</f>
        <v>0</v>
      </c>
    </row>
    <row r="29" spans="1:39" x14ac:dyDescent="0.25">
      <c r="A29" s="2" t="s">
        <v>47</v>
      </c>
      <c r="B29" s="2" t="s">
        <v>79</v>
      </c>
      <c r="C29" s="2"/>
      <c r="D29" s="2"/>
      <c r="E29" s="2"/>
      <c r="F29" s="34">
        <f>SUMIFS('BA History'!C:C,'BA History'!B:B,A29)</f>
        <v>40</v>
      </c>
      <c r="G29" s="66">
        <f>AVERAGEIFS('BA History'!C:C,'BA History'!B:B,A29)</f>
        <v>6.666666666666667</v>
      </c>
      <c r="H29" s="35">
        <f t="array" ref="H29">MAX(IF('BA History'!B:B=A29, 'BA History'!C:C))</f>
        <v>11</v>
      </c>
      <c r="I29" s="34">
        <f>COUNTIFS('BA History'!B:B,A29,'BA History'!D:D, 1)</f>
        <v>2</v>
      </c>
      <c r="J29" s="2">
        <f>COUNTIFS('BA History'!B:B,A29,'BA History'!D:D, 0)</f>
        <v>4</v>
      </c>
      <c r="K29" s="75">
        <f>LOOKUP(2, 1/('BA History'!$B:$B=A29), 'BA History'!$AJ:$AJ)</f>
        <v>0.33333333333333331</v>
      </c>
      <c r="L29" s="34">
        <f>SUMIFS('BA History'!F:F,'BA History'!B:B,A29)</f>
        <v>13</v>
      </c>
      <c r="M29" s="2">
        <f>SUMIFS('BA History'!E:E,'BA History'!B:B,A29)-L29</f>
        <v>14</v>
      </c>
      <c r="N29" s="75">
        <f>LOOKUP(2, 1/('BA History'!$B:$B=A29), 'BA History'!$AH:$AH)</f>
        <v>0.5083333333333333</v>
      </c>
      <c r="O29" s="34">
        <f>SUMIFS('BA History'!H:H,'BA History'!B:B,A29)</f>
        <v>51</v>
      </c>
      <c r="P29" s="2">
        <f>SUMIFS('BA History'!G:G,'BA History'!B:B,A29)-O29</f>
        <v>54</v>
      </c>
      <c r="Q29" s="89">
        <f>LOOKUP(2, 1/('BA History'!$B:$B=A29), 'BA History'!$AI:$AI)</f>
        <v>0.51666666666666661</v>
      </c>
      <c r="R29" s="2">
        <f>COUNTIFS('BA History'!$B:$B,$A$29,'BA History'!K:K, 1)</f>
        <v>2</v>
      </c>
      <c r="S29" s="2">
        <f>COUNTIFS('BA History'!$B:$B,$A$29,'BA History'!L:L, 1)</f>
        <v>1</v>
      </c>
      <c r="T29" s="2">
        <f>COUNTIFS('BA History'!$B:$B,$A$29,'BA History'!M:M, 1)</f>
        <v>2</v>
      </c>
      <c r="U29" s="2">
        <f>COUNTIFS('BA History'!$B:$B,$A$29,'BA History'!N:N, 1)</f>
        <v>1</v>
      </c>
      <c r="V29" s="2">
        <f>COUNTIFS('BA History'!$B:$B,$A$29,'BA History'!O:O, 1)</f>
        <v>0</v>
      </c>
      <c r="W29" s="2">
        <f>COUNTIFS('BA History'!$B:$B,$A$29,'BA History'!P:P, 1)</f>
        <v>0</v>
      </c>
      <c r="X29" s="2">
        <f>COUNTIFS('BA History'!$B:$B,$A$29,'BA History'!Q:Q, 1)</f>
        <v>0</v>
      </c>
      <c r="Y29" s="2">
        <f>COUNTIFS('BA History'!$B:$B,$A$29,'BA History'!R:R, 1)</f>
        <v>0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0</v>
      </c>
      <c r="AD29" s="2">
        <f>COUNTIFS('BA History'!$B:$B,$A$29,'BA History'!W:W, 1)</f>
        <v>2</v>
      </c>
      <c r="AE29" s="2">
        <f>COUNTIFS('BA History'!$B:$B,$A$29,'BA History'!X:X, 1)</f>
        <v>0</v>
      </c>
      <c r="AF29" s="2">
        <f>COUNTIFS('BA History'!$B:$B,$A$29,'BA History'!Y:Y, 1)</f>
        <v>1</v>
      </c>
      <c r="AG29" s="2">
        <f>COUNTIFS('BA History'!$B:$B,$A$29,'BA History'!Z:Z, 1)</f>
        <v>1</v>
      </c>
      <c r="AH29" s="2">
        <f>COUNTIFS('BA History'!$B:$B,$A$29,'BA History'!AA:AA, 1)</f>
        <v>0</v>
      </c>
      <c r="AI29" s="2">
        <f>COUNTIFS('BA History'!$B:$B,$A$29,'BA History'!AB:AB, 1)</f>
        <v>1</v>
      </c>
      <c r="AJ29" s="2">
        <f>COUNTIFS('BA History'!$B:$B,$A$29,'BA History'!AC:AC, 1)</f>
        <v>0</v>
      </c>
      <c r="AK29" s="2">
        <f>COUNTIFS('BA History'!$B:$B,$A$29,'BA History'!AD:AD, 1)</f>
        <v>1</v>
      </c>
      <c r="AL29" s="2">
        <f>COUNTIFS('BA History'!$B:$B,$A$29,'BA History'!AE:AE, 1)</f>
        <v>0</v>
      </c>
      <c r="AM29" s="2">
        <f>COUNTIFS('BA History'!$B:$B,$A$29,'BA History'!AF:AF, 1)</f>
        <v>1</v>
      </c>
    </row>
    <row r="30" spans="1:39" x14ac:dyDescent="0.25">
      <c r="A30" s="2" t="s">
        <v>3</v>
      </c>
      <c r="B30" s="1" t="s">
        <v>160</v>
      </c>
      <c r="C30" s="1"/>
      <c r="D30" s="1"/>
      <c r="E30" s="1"/>
      <c r="F30" s="34">
        <f>SUMIFS('BA History'!C:C,'BA History'!B:B,A30)</f>
        <v>157</v>
      </c>
      <c r="G30" s="66">
        <f>AVERAGEIFS('BA History'!C:C,'BA History'!B:B,A30)</f>
        <v>19.625</v>
      </c>
      <c r="H30" s="35">
        <f t="array" ref="H30">MAX(IF('BA History'!B:B=A30, 'BA History'!C:C))</f>
        <v>27</v>
      </c>
      <c r="I30" s="34">
        <f>COUNTIFS('BA History'!B:B,A30,'BA History'!D:D, 1)</f>
        <v>3</v>
      </c>
      <c r="J30" s="2">
        <f>COUNTIFS('BA History'!B:B,A30,'BA History'!D:D, 0)</f>
        <v>5</v>
      </c>
      <c r="K30" s="75">
        <f>LOOKUP(2, 1/('BA History'!$B:$B=A30), 'BA History'!$AJ:$AJ)</f>
        <v>0.375</v>
      </c>
      <c r="L30" s="34">
        <f>SUMIFS('BA History'!F:F,'BA History'!B:B,A30)</f>
        <v>16</v>
      </c>
      <c r="M30" s="2">
        <f>SUMIFS('BA History'!E:E,'BA History'!B:B,A30)-L30</f>
        <v>20</v>
      </c>
      <c r="N30" s="75">
        <f>LOOKUP(2, 1/('BA History'!$B:$B=A30), 'BA History'!$AH:$AH)</f>
        <v>0.42499999999999999</v>
      </c>
      <c r="O30" s="34">
        <f>SUMIFS('BA History'!H:H,'BA History'!B:B,A30)</f>
        <v>74</v>
      </c>
      <c r="P30" s="2">
        <f>SUMIFS('BA History'!G:G,'BA History'!B:B,A30)-O30</f>
        <v>83</v>
      </c>
      <c r="Q30" s="89">
        <f>LOOKUP(2, 1/('BA History'!$B:$B=A30), 'BA History'!$AI:$AI)</f>
        <v>0.46875</v>
      </c>
      <c r="R30" s="2">
        <f>COUNTIFS('BA History'!$B:$B,$A$30,'BA History'!K:K, 1)</f>
        <v>0</v>
      </c>
      <c r="S30" s="2">
        <f>COUNTIFS('BA History'!$B:$B,$A$30,'BA History'!L:L, 1)</f>
        <v>2</v>
      </c>
      <c r="T30" s="2">
        <f>COUNTIFS('BA History'!$B:$B,$A$30,'BA History'!M:M, 1)</f>
        <v>2</v>
      </c>
      <c r="U30" s="2">
        <f>COUNTIFS('BA History'!$B:$B,$A$30,'BA History'!N:N, 1)</f>
        <v>1</v>
      </c>
      <c r="V30" s="2">
        <f>COUNTIFS('BA History'!$B:$B,$A$30,'BA History'!O:O, 1)</f>
        <v>0</v>
      </c>
      <c r="W30" s="2">
        <f>COUNTIFS('BA History'!$B:$B,$A$30,'BA History'!P:P, 1)</f>
        <v>1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1</v>
      </c>
      <c r="AC30" s="2">
        <f>COUNTIFS('BA History'!$B:$B,$A$30,'BA History'!V:V, 1)</f>
        <v>0</v>
      </c>
      <c r="AD30" s="2">
        <f>COUNTIFS('BA History'!$B:$B,$A$30,'BA History'!W:W, 1)</f>
        <v>0</v>
      </c>
      <c r="AE30" s="2">
        <f>COUNTIFS('BA History'!$B:$B,$A$30,'BA History'!X:X, 1)</f>
        <v>0</v>
      </c>
      <c r="AF30" s="2">
        <f>COUNTIFS('BA History'!$B:$B,$A$30,'BA History'!Y:Y, 1)</f>
        <v>2</v>
      </c>
      <c r="AG30" s="2">
        <f>COUNTIFS('BA History'!$B:$B,$A$30,'BA History'!Z:Z, 1)</f>
        <v>1</v>
      </c>
      <c r="AH30" s="2">
        <f>COUNTIFS('BA History'!$B:$B,$A$30,'BA History'!AA:AA, 1)</f>
        <v>0</v>
      </c>
      <c r="AI30" s="2">
        <f>COUNTIFS('BA History'!$B:$B,$A$30,'BA History'!AB:AB, 1)</f>
        <v>1</v>
      </c>
      <c r="AJ30" s="2">
        <f>COUNTIFS('BA History'!$B:$B,$A$30,'BA History'!AC:AC, 1)</f>
        <v>3</v>
      </c>
      <c r="AK30" s="2">
        <f>COUNTIFS('BA History'!$B:$B,$A$30,'BA History'!AD:AD, 1)</f>
        <v>2</v>
      </c>
      <c r="AL30" s="2">
        <f>COUNTIFS('BA History'!$B:$B,$A$30,'BA History'!AE:AE, 1)</f>
        <v>0</v>
      </c>
      <c r="AM30" s="2">
        <f>COUNTIFS('BA History'!$B:$B,$A$30,'BA History'!AF:AF, 1)</f>
        <v>0</v>
      </c>
    </row>
    <row r="31" spans="1:39" x14ac:dyDescent="0.25">
      <c r="A31" s="2" t="s">
        <v>148</v>
      </c>
      <c r="B31" s="1" t="s">
        <v>79</v>
      </c>
      <c r="C31" s="1"/>
      <c r="D31" s="1"/>
      <c r="E31" s="1"/>
      <c r="F31" s="34">
        <f>SUMIFS('BA History'!C:C,'BA History'!B:B,A31)</f>
        <v>2</v>
      </c>
      <c r="G31" s="66">
        <f>AVERAGEIFS('BA History'!C:C,'BA History'!B:B,A31)</f>
        <v>2</v>
      </c>
      <c r="H31" s="35">
        <f t="array" ref="H31">MAX(IF('BA History'!B:B=A31, 'BA History'!C:C))</f>
        <v>2</v>
      </c>
      <c r="I31" s="34">
        <f>COUNTIFS('BA History'!B:B,A31,'BA History'!D:D, 1)</f>
        <v>1</v>
      </c>
      <c r="J31" s="2">
        <f>COUNTIFS('BA History'!B:B,A31,'BA History'!D:D, 0)</f>
        <v>0</v>
      </c>
      <c r="K31" s="75">
        <f>LOOKUP(2, 1/('BA History'!$B:$B=A31), 'BA History'!$AJ:$AJ)</f>
        <v>1</v>
      </c>
      <c r="L31" s="34">
        <f>SUMIFS('BA History'!F:F,'BA History'!B:B,A31)</f>
        <v>3</v>
      </c>
      <c r="M31" s="2">
        <f>SUMIFS('BA History'!E:E,'BA History'!B:B,A31)-L31</f>
        <v>2</v>
      </c>
      <c r="N31" s="75">
        <f>LOOKUP(2, 1/('BA History'!$B:$B=A31), 'BA History'!$AH:$AH)</f>
        <v>0.6</v>
      </c>
      <c r="O31" s="34">
        <f>SUMIFS('BA History'!H:H,'BA History'!B:B,A31)</f>
        <v>10</v>
      </c>
      <c r="P31" s="2">
        <f>SUMIFS('BA History'!G:G,'BA History'!B:B,A31)-O31</f>
        <v>9</v>
      </c>
      <c r="Q31" s="89">
        <f>LOOKUP(2, 1/('BA History'!$B:$B=A31), 'BA History'!$AI:$AI)</f>
        <v>0.53</v>
      </c>
      <c r="R31" s="2">
        <f>COUNTIFS('BA History'!$B:$B,$A$31,'BA History'!K:K, 1)</f>
        <v>0</v>
      </c>
      <c r="S31" s="2">
        <f>COUNTIFS('BA History'!$B:$B,$A$31,'BA History'!L:L, 1)</f>
        <v>1</v>
      </c>
      <c r="T31" s="2">
        <f>COUNTIFS('BA History'!$B:$B,$A$31,'BA History'!M:M, 1)</f>
        <v>0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0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0</v>
      </c>
      <c r="AC31" s="2">
        <f>COUNTIFS('BA History'!$B:$B,$A$31,'BA History'!V:V, 1)</f>
        <v>0</v>
      </c>
      <c r="AD31" s="2">
        <f>COUNTIFS('BA History'!$B:$B,$A$31,'BA History'!W:W, 1)</f>
        <v>0</v>
      </c>
      <c r="AE31" s="2">
        <f>COUNTIFS('BA History'!$B:$B,$A$31,'BA History'!X:X, 1)</f>
        <v>0</v>
      </c>
      <c r="AF31" s="2">
        <f>COUNTIFS('BA History'!$B:$B,$A$31,'BA History'!Y:Y, 1)</f>
        <v>0</v>
      </c>
      <c r="AG31" s="2">
        <f>COUNTIFS('BA History'!$B:$B,$A$31,'BA History'!Z:Z, 1)</f>
        <v>0</v>
      </c>
      <c r="AH31" s="2">
        <f>COUNTIFS('BA History'!$B:$B,$A$31,'BA History'!AA:AA, 1)</f>
        <v>0</v>
      </c>
      <c r="AI31" s="2">
        <f>COUNTIFS('BA History'!$B:$B,$A$31,'BA History'!AB:AB, 1)</f>
        <v>1</v>
      </c>
      <c r="AJ31" s="2">
        <f>COUNTIFS('BA History'!$B:$B,$A$31,'BA History'!AC:AC, 1)</f>
        <v>0</v>
      </c>
      <c r="AK31" s="2">
        <f>COUNTIFS('BA History'!$B:$B,$A$31,'BA History'!AD:AD, 1)</f>
        <v>0</v>
      </c>
      <c r="AL31" s="2">
        <f>COUNTIFS('BA History'!$B:$B,$A$31,'BA History'!AE:AE, 1)</f>
        <v>0</v>
      </c>
      <c r="AM31" s="2">
        <f>COUNTIFS('BA History'!$B:$B,$A$31,'BA History'!AF:AF, 1)</f>
        <v>0</v>
      </c>
    </row>
    <row r="32" spans="1:39" x14ac:dyDescent="0.25">
      <c r="A32" s="2" t="s">
        <v>163</v>
      </c>
      <c r="B32" s="1" t="s">
        <v>79</v>
      </c>
      <c r="C32" s="1"/>
      <c r="D32" s="1"/>
      <c r="E32" s="1"/>
      <c r="F32" s="34">
        <f>SUMIFS('BA History'!C:C,'BA History'!B:B,A32)</f>
        <v>25</v>
      </c>
      <c r="G32" s="66">
        <f>AVERAGEIFS('BA History'!C:C,'BA History'!B:B,A32)</f>
        <v>5</v>
      </c>
      <c r="H32" s="35">
        <f t="array" ref="H32">MAX(IF('BA History'!B:B=A32, 'BA History'!C:C))</f>
        <v>10</v>
      </c>
      <c r="I32" s="34">
        <f>COUNTIFS('BA History'!B:B,A32,'BA History'!D:D, 1)</f>
        <v>4</v>
      </c>
      <c r="J32" s="2">
        <f>COUNTIFS('BA History'!B:B,A32,'BA History'!D:D, 0)</f>
        <v>1</v>
      </c>
      <c r="K32" s="75">
        <f>LOOKUP(2, 1/('BA History'!$B:$B=A32), 'BA History'!$AJ:$AJ)</f>
        <v>0.8</v>
      </c>
      <c r="L32" s="34">
        <f>SUMIFS('BA History'!F:F,'BA History'!B:B,A32)</f>
        <v>13</v>
      </c>
      <c r="M32" s="2">
        <f>SUMIFS('BA History'!E:E,'BA History'!B:B,A32)-L32</f>
        <v>6</v>
      </c>
      <c r="N32" s="75">
        <f>LOOKUP(2, 1/('BA History'!$B:$B=A32), 'BA History'!$AH:$AH)</f>
        <v>0.7</v>
      </c>
      <c r="O32" s="34">
        <f>SUMIFS('BA History'!H:H,'BA History'!B:B,A32)</f>
        <v>43</v>
      </c>
      <c r="P32" s="2">
        <f>SUMIFS('BA History'!G:G,'BA History'!B:B,A32)-O32</f>
        <v>35</v>
      </c>
      <c r="Q32" s="89">
        <f>LOOKUP(2, 1/('BA History'!$B:$B=A32), 'BA History'!$AI:$AI)</f>
        <v>0.56399999999999995</v>
      </c>
      <c r="R32" s="2">
        <f>COUNTIFS('BA History'!$B:$B,$A$32,'BA History'!K:K, 1)</f>
        <v>1</v>
      </c>
      <c r="S32" s="2">
        <f>COUNTIFS('BA History'!$B:$B,$A$32,'BA History'!L:L, 1)</f>
        <v>0</v>
      </c>
      <c r="T32" s="2">
        <f>COUNTIFS('BA History'!$B:$B,$A$32,'BA History'!M:M, 1)</f>
        <v>2</v>
      </c>
      <c r="U32" s="2">
        <f>COUNTIFS('BA History'!$B:$B,$A$32,'BA History'!N:N, 1)</f>
        <v>1</v>
      </c>
      <c r="V32" s="2">
        <f>COUNTIFS('BA History'!$B:$B,$A$32,'BA History'!O:O, 1)</f>
        <v>0</v>
      </c>
      <c r="W32" s="2">
        <f>COUNTIFS('BA History'!$B:$B,$A$32,'BA History'!P:P, 1)</f>
        <v>0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1</v>
      </c>
      <c r="AA32" s="2">
        <f>COUNTIFS('BA History'!$B:$B,$A$32,'BA History'!T:T, 1)</f>
        <v>0</v>
      </c>
      <c r="AB32" s="2">
        <f>COUNTIFS('BA History'!$B:$B,$A$32,'BA History'!U:U, 1)</f>
        <v>0</v>
      </c>
      <c r="AC32" s="2">
        <f>COUNTIFS('BA History'!$B:$B,$A$32,'BA History'!V:V, 1)</f>
        <v>0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1</v>
      </c>
      <c r="AG32" s="2">
        <f>COUNTIFS('BA History'!$B:$B,$A$32,'BA History'!Z:Z, 1)</f>
        <v>3</v>
      </c>
      <c r="AH32" s="2">
        <f>COUNTIFS('BA History'!$B:$B,$A$32,'BA History'!AA:AA, 1)</f>
        <v>0</v>
      </c>
      <c r="AI32" s="2">
        <f>COUNTIFS('BA History'!$B:$B,$A$32,'BA History'!AB:AB, 1)</f>
        <v>1</v>
      </c>
      <c r="AJ32" s="2">
        <f>COUNTIFS('BA History'!$B:$B,$A$32,'BA History'!AC:AC, 1)</f>
        <v>1</v>
      </c>
      <c r="AK32" s="2">
        <f>COUNTIFS('BA History'!$B:$B,$A$32,'BA History'!AD:AD, 1)</f>
        <v>1</v>
      </c>
      <c r="AL32" s="2">
        <f>COUNTIFS('BA History'!$B:$B,$A$32,'BA History'!AE:AE, 1)</f>
        <v>0</v>
      </c>
      <c r="AM32" s="2">
        <f>COUNTIFS('BA History'!$B:$B,$A$32,'BA History'!AF:AF, 1)</f>
        <v>1</v>
      </c>
    </row>
    <row r="33" spans="1:39" x14ac:dyDescent="0.25">
      <c r="A33" s="2" t="s">
        <v>15</v>
      </c>
      <c r="B33" s="2" t="s">
        <v>79</v>
      </c>
      <c r="C33" s="2"/>
      <c r="D33" s="2"/>
      <c r="E33" s="2"/>
      <c r="F33" s="34">
        <f>SUMIFS('BA History'!C:C,'BA History'!B:B,A33)</f>
        <v>4</v>
      </c>
      <c r="G33" s="66">
        <f>AVERAGEIFS('BA History'!C:C,'BA History'!B:B,A33)</f>
        <v>4</v>
      </c>
      <c r="H33" s="35">
        <f t="array" ref="H33">MAX(IF('BA History'!B:B=A33, 'BA History'!C:C))</f>
        <v>4</v>
      </c>
      <c r="I33" s="34">
        <f>COUNTIFS('BA History'!B:B,A33,'BA History'!D:D, 1)</f>
        <v>0</v>
      </c>
      <c r="J33" s="2">
        <f>COUNTIFS('BA History'!B:B,A33,'BA History'!D:D, 0)</f>
        <v>1</v>
      </c>
      <c r="K33" s="75">
        <f>LOOKUP(2, 1/('BA History'!$B:$B=A33), 'BA History'!$AJ:$AJ)</f>
        <v>0</v>
      </c>
      <c r="L33" s="34">
        <f>SUMIFS('BA History'!F:F,'BA History'!B:B,A33)</f>
        <v>0</v>
      </c>
      <c r="M33" s="2">
        <f>SUMIFS('BA History'!E:E,'BA History'!B:B,A33)-L33</f>
        <v>3</v>
      </c>
      <c r="N33" s="75">
        <f>LOOKUP(2, 1/('BA History'!$B:$B=A33), 'BA History'!$AH:$AH)</f>
        <v>0</v>
      </c>
      <c r="O33" s="34">
        <f>SUMIFS('BA History'!H:H,'BA History'!B:B,A33)</f>
        <v>1</v>
      </c>
      <c r="P33" s="2">
        <f>SUMIFS('BA History'!G:G,'BA History'!B:B,A33)-O33</f>
        <v>9</v>
      </c>
      <c r="Q33" s="89">
        <f>LOOKUP(2, 1/('BA History'!$B:$B=A33), 'BA History'!$AI:$AI)</f>
        <v>0.1</v>
      </c>
      <c r="R33" s="2">
        <f>COUNTIFS('BA History'!$B:$B,$A$33,'BA History'!K:K, 1)</f>
        <v>0</v>
      </c>
      <c r="S33" s="2">
        <f>COUNTIFS('BA History'!$B:$B,$A$33,'BA History'!L:L, 1)</f>
        <v>0</v>
      </c>
      <c r="T33" s="2">
        <f>COUNTIFS('BA History'!$B:$B,$A$33,'BA History'!M:M, 1)</f>
        <v>0</v>
      </c>
      <c r="U33" s="2">
        <f>COUNTIFS('BA History'!$B:$B,$A$33,'BA History'!N:N, 1)</f>
        <v>0</v>
      </c>
      <c r="V33" s="2">
        <f>COUNTIFS('BA History'!$B:$B,$A$33,'BA History'!O:O, 1)</f>
        <v>0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0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0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0</v>
      </c>
      <c r="AG33" s="2">
        <f>COUNTIFS('BA History'!$B:$B,$A$33,'BA History'!Z:Z, 1)</f>
        <v>0</v>
      </c>
      <c r="AH33" s="2">
        <f>COUNTIFS('BA History'!$B:$B,$A$33,'BA History'!AA:AA, 1)</f>
        <v>0</v>
      </c>
      <c r="AI33" s="2">
        <f>COUNTIFS('BA History'!$B:$B,$A$33,'BA History'!AB:AB, 1)</f>
        <v>0</v>
      </c>
      <c r="AJ33" s="2">
        <f>COUNTIFS('BA History'!$B:$B,$A$33,'BA History'!AC:AC, 1)</f>
        <v>0</v>
      </c>
      <c r="AK33" s="2">
        <f>COUNTIFS('BA History'!$B:$B,$A$33,'BA History'!AD:AD, 1)</f>
        <v>0</v>
      </c>
      <c r="AL33" s="2">
        <f>COUNTIFS('BA History'!$B:$B,$A$33,'BA History'!AE:AE, 1)</f>
        <v>0</v>
      </c>
      <c r="AM33" s="2">
        <f>COUNTIFS('BA History'!$B:$B,$A$33,'BA History'!AF:AF, 1)</f>
        <v>0</v>
      </c>
    </row>
    <row r="34" spans="1:39" x14ac:dyDescent="0.25">
      <c r="A34" s="2" t="s">
        <v>142</v>
      </c>
      <c r="B34" s="2" t="s">
        <v>79</v>
      </c>
      <c r="C34" s="2"/>
      <c r="D34" s="2"/>
      <c r="E34" s="2"/>
      <c r="F34" s="34">
        <f>SUMIFS('BA History'!C:C,'BA History'!B:B,A34)</f>
        <v>25</v>
      </c>
      <c r="G34" s="66">
        <f>AVERAGEIFS('BA History'!C:C,'BA History'!B:B,A34)</f>
        <v>8.3333333333333339</v>
      </c>
      <c r="H34" s="35">
        <f t="array" ref="H34">MAX(IF('BA History'!B:B=A34, 'BA History'!C:C))</f>
        <v>9</v>
      </c>
      <c r="I34" s="34">
        <f>COUNTIFS('BA History'!B:B,A34,'BA History'!D:D, 1)</f>
        <v>0</v>
      </c>
      <c r="J34" s="2">
        <f>COUNTIFS('BA History'!B:B,A34,'BA History'!D:D, 0)</f>
        <v>3</v>
      </c>
      <c r="K34" s="75">
        <f>LOOKUP(2, 1/('BA History'!$B:$B=A34), 'BA History'!$AJ:$AJ)</f>
        <v>0</v>
      </c>
      <c r="L34" s="34">
        <f>SUMIFS('BA History'!F:F,'BA History'!B:B,A34)</f>
        <v>2</v>
      </c>
      <c r="M34" s="2">
        <f>SUMIFS('BA History'!E:E,'BA History'!B:B,A34)-L34</f>
        <v>9</v>
      </c>
      <c r="N34" s="75">
        <f>LOOKUP(2, 1/('BA History'!$B:$B=A34), 'BA History'!$AH:$AH)</f>
        <v>0.16666666666666666</v>
      </c>
      <c r="O34" s="34">
        <f>SUMIFS('BA History'!H:H,'BA History'!B:B,A34)</f>
        <v>14</v>
      </c>
      <c r="P34" s="2">
        <f>SUMIFS('BA History'!G:G,'BA History'!B:B,A34)-O34</f>
        <v>29</v>
      </c>
      <c r="Q34" s="89">
        <f>LOOKUP(2, 1/('BA History'!$B:$B=A34), 'BA History'!$AI:$AI)</f>
        <v>0.32666666666666666</v>
      </c>
      <c r="R34" s="2">
        <f>COUNTIFS('BA History'!$B:$B,$A$34,'BA History'!K:K, 1)</f>
        <v>0</v>
      </c>
      <c r="S34" s="2">
        <f>COUNTIFS('BA History'!$B:$B,$A$34,'BA History'!L:L, 1)</f>
        <v>0</v>
      </c>
      <c r="T34" s="2">
        <f>COUNTIFS('BA History'!$B:$B,$A$34,'BA History'!M:M, 1)</f>
        <v>0</v>
      </c>
      <c r="U34" s="2">
        <f>COUNTIFS('BA History'!$B:$B,$A$34,'BA History'!N:N, 1)</f>
        <v>0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0</v>
      </c>
      <c r="AA34" s="2">
        <f>COUNTIFS('BA History'!$B:$B,$A$34,'BA History'!T:T, 1)</f>
        <v>0</v>
      </c>
      <c r="AB34" s="2">
        <f>COUNTIFS('BA History'!$B:$B,$A$34,'BA History'!U:U, 1)</f>
        <v>0</v>
      </c>
      <c r="AC34" s="2">
        <f>COUNTIFS('BA History'!$B:$B,$A$34,'BA History'!V:V, 1)</f>
        <v>0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0</v>
      </c>
      <c r="AG34" s="2">
        <f>COUNTIFS('BA History'!$B:$B,$A$34,'BA History'!Z:Z, 1)</f>
        <v>0</v>
      </c>
      <c r="AH34" s="2">
        <f>COUNTIFS('BA History'!$B:$B,$A$34,'BA History'!AA:AA, 1)</f>
        <v>0</v>
      </c>
      <c r="AI34" s="2">
        <f>COUNTIFS('BA History'!$B:$B,$A$34,'BA History'!AB:AB, 1)</f>
        <v>0</v>
      </c>
      <c r="AJ34" s="2">
        <f>COUNTIFS('BA History'!$B:$B,$A$34,'BA History'!AC:AC, 1)</f>
        <v>0</v>
      </c>
      <c r="AK34" s="2">
        <f>COUNTIFS('BA History'!$B:$B,$A$34,'BA History'!AD:AD, 1)</f>
        <v>2</v>
      </c>
      <c r="AL34" s="2">
        <f>COUNTIFS('BA History'!$B:$B,$A$34,'BA History'!AE:AE, 1)</f>
        <v>0</v>
      </c>
      <c r="AM34" s="2">
        <f>COUNTIFS('BA History'!$B:$B,$A$34,'BA History'!AF:AF, 1)</f>
        <v>0</v>
      </c>
    </row>
    <row r="35" spans="1:39" x14ac:dyDescent="0.25">
      <c r="A35" s="2" t="s">
        <v>90</v>
      </c>
      <c r="B35" s="2" t="s">
        <v>79</v>
      </c>
      <c r="C35" s="2"/>
      <c r="D35" s="2"/>
      <c r="E35" s="2"/>
      <c r="F35" s="34">
        <f>SUMIFS('BA History'!C:C,'BA History'!B:B,A35)</f>
        <v>3</v>
      </c>
      <c r="G35" s="66">
        <f>AVERAGEIFS('BA History'!C:C,'BA History'!B:B,A35)</f>
        <v>3</v>
      </c>
      <c r="H35" s="35">
        <f t="array" ref="H35">MAX(IF('BA History'!B:B=A35, 'BA History'!C:C))</f>
        <v>3</v>
      </c>
      <c r="I35" s="34">
        <f>COUNTIFS('BA History'!B:B,A35,'BA History'!D:D, 1)</f>
        <v>1</v>
      </c>
      <c r="J35" s="2">
        <f>COUNTIFS('BA History'!B:B,A35,'BA History'!D:D, 0)</f>
        <v>0</v>
      </c>
      <c r="K35" s="75">
        <f>LOOKUP(2, 1/('BA History'!$B:$B=A35), 'BA History'!$AJ:$AJ)</f>
        <v>1</v>
      </c>
      <c r="L35" s="34">
        <f>SUMIFS('BA History'!F:F,'BA History'!B:B,A35)</f>
        <v>3</v>
      </c>
      <c r="M35" s="2">
        <f>SUMIFS('BA History'!E:E,'BA History'!B:B,A35)-L35</f>
        <v>0</v>
      </c>
      <c r="N35" s="75">
        <f>LOOKUP(2, 1/('BA History'!$B:$B=A35), 'BA History'!$AH:$AH)</f>
        <v>1</v>
      </c>
      <c r="O35" s="34">
        <f>SUMIFS('BA History'!H:H,'BA History'!B:B,A35)</f>
        <v>9</v>
      </c>
      <c r="P35" s="2">
        <f>SUMIFS('BA History'!G:G,'BA History'!B:B,A35)-O35</f>
        <v>5</v>
      </c>
      <c r="Q35" s="89">
        <f>LOOKUP(2, 1/('BA History'!$B:$B=A35), 'BA History'!$AI:$AI)</f>
        <v>0.64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1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History'!$B:$B,$A$35,'BA History'!AA:AA, 1)</f>
        <v>0</v>
      </c>
      <c r="AI35" s="2">
        <f>COUNTIFS('BA History'!$B:$B,$A$35,'BA History'!AB:AB, 1)</f>
        <v>1</v>
      </c>
      <c r="AJ35" s="2">
        <f>COUNTIFS('BA History'!$B:$B,$A$35,'BA History'!AC:AC, 1)</f>
        <v>1</v>
      </c>
      <c r="AK35" s="2">
        <f>COUNTIFS('BA History'!$B:$B,$A$35,'BA History'!AD:AD, 1)</f>
        <v>0</v>
      </c>
      <c r="AL35" s="2">
        <f>COUNTIFS('BA History'!$B:$B,$A$35,'BA History'!AE:AE, 1)</f>
        <v>0</v>
      </c>
      <c r="AM35" s="2">
        <f>COUNTIFS('BA History'!$B:$B,$A$35,'BA History'!AF:AF, 1)</f>
        <v>0</v>
      </c>
    </row>
    <row r="36" spans="1:39" x14ac:dyDescent="0.25">
      <c r="A36" s="2" t="s">
        <v>13</v>
      </c>
      <c r="B36" s="2" t="s">
        <v>79</v>
      </c>
      <c r="C36" s="2"/>
      <c r="D36" s="2"/>
      <c r="E36" s="2"/>
      <c r="F36" s="34">
        <f>SUMIFS('BA History'!C:C,'BA History'!B:B,A36)</f>
        <v>225</v>
      </c>
      <c r="G36" s="66">
        <f>AVERAGEIFS('BA History'!C:C,'BA History'!B:B,A36)</f>
        <v>14.0625</v>
      </c>
      <c r="H36" s="35">
        <f t="array" ref="H36">MAX(IF('BA History'!B:B=A36, 'BA History'!C:C))</f>
        <v>23</v>
      </c>
      <c r="I36" s="34">
        <f>COUNTIFS('BA History'!B:B,A36,'BA History'!D:D, 1)</f>
        <v>7</v>
      </c>
      <c r="J36" s="2">
        <f>COUNTIFS('BA History'!B:B,A36,'BA History'!D:D, 0)</f>
        <v>9</v>
      </c>
      <c r="K36" s="75">
        <f>LOOKUP(2, 1/('BA History'!$B:$B=A36), 'BA History'!$AJ:$AJ)</f>
        <v>0.4375</v>
      </c>
      <c r="L36" s="34">
        <f>SUMIFS('BA History'!F:F,'BA History'!B:B,A36)</f>
        <v>31</v>
      </c>
      <c r="M36" s="2">
        <f>SUMIFS('BA History'!E:E,'BA History'!B:B,A36)-L36</f>
        <v>31</v>
      </c>
      <c r="N36" s="75">
        <f>LOOKUP(2, 1/('BA History'!$B:$B=A36), 'BA History'!$AH:$AH)</f>
        <v>0.51249999999999996</v>
      </c>
      <c r="O36" s="34">
        <f>SUMIFS('BA History'!H:H,'BA History'!B:B,A36)</f>
        <v>128</v>
      </c>
      <c r="P36" s="2">
        <f>SUMIFS('BA History'!G:G,'BA History'!B:B,A36)-O36</f>
        <v>135</v>
      </c>
      <c r="Q36" s="89">
        <f>LOOKUP(2, 1/('BA History'!$B:$B=A36), 'BA History'!$AI:$AI)</f>
        <v>0.50624999999999998</v>
      </c>
      <c r="R36" s="2">
        <f>COUNTIFS('BA History'!$B:$B,$A$36,'BA History'!K:K, 1)</f>
        <v>5</v>
      </c>
      <c r="S36" s="2">
        <f>COUNTIFS('BA History'!$B:$B,$A$36,'BA History'!L:L, 1)</f>
        <v>1</v>
      </c>
      <c r="T36" s="2">
        <f>COUNTIFS('BA History'!$B:$B,$A$36,'BA History'!M:M, 1)</f>
        <v>2</v>
      </c>
      <c r="U36" s="2">
        <f>COUNTIFS('BA History'!$B:$B,$A$36,'BA History'!N:N, 1)</f>
        <v>1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1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0</v>
      </c>
      <c r="AD36" s="2">
        <f>COUNTIFS('BA History'!$B:$B,$A$36,'BA History'!W:W, 1)</f>
        <v>1</v>
      </c>
      <c r="AE36" s="2">
        <f>COUNTIFS('BA History'!$B:$B,$A$36,'BA History'!X:X, 1)</f>
        <v>0</v>
      </c>
      <c r="AF36" s="2">
        <f>COUNTIFS('BA History'!$B:$B,$A$36,'BA History'!Y:Y, 1)</f>
        <v>4</v>
      </c>
      <c r="AG36" s="2">
        <f>COUNTIFS('BA History'!$B:$B,$A$36,'BA History'!Z:Z, 1)</f>
        <v>4</v>
      </c>
      <c r="AH36" s="2">
        <f>COUNTIFS('BA History'!$B:$B,$A$36,'BA History'!AA:AA, 1)</f>
        <v>0</v>
      </c>
      <c r="AI36" s="2">
        <f>COUNTIFS('BA History'!$B:$B,$A$36,'BA History'!AB:AB, 1)</f>
        <v>3</v>
      </c>
      <c r="AJ36" s="2">
        <f>COUNTIFS('BA History'!$B:$B,$A$36,'BA History'!AC:AC, 1)</f>
        <v>3</v>
      </c>
      <c r="AK36" s="2">
        <f>COUNTIFS('BA History'!$B:$B,$A$36,'BA History'!AD:AD, 1)</f>
        <v>3</v>
      </c>
      <c r="AL36" s="2">
        <f>COUNTIFS('BA History'!$B:$B,$A$36,'BA History'!AE:AE, 1)</f>
        <v>0</v>
      </c>
      <c r="AM36" s="2">
        <f>COUNTIFS('BA History'!$B:$B,$A$36,'BA History'!AF:AF, 1)</f>
        <v>3</v>
      </c>
    </row>
    <row r="37" spans="1:39" x14ac:dyDescent="0.25">
      <c r="A37" s="2" t="s">
        <v>2</v>
      </c>
      <c r="B37" s="1" t="s">
        <v>160</v>
      </c>
      <c r="C37" s="1"/>
      <c r="D37" s="1"/>
      <c r="E37" s="1"/>
      <c r="F37" s="34">
        <f>SUMIFS('BA History'!C:C,'BA History'!B:B,A37)</f>
        <v>851</v>
      </c>
      <c r="G37" s="66">
        <f>AVERAGEIFS('BA History'!C:C,'BA History'!B:B,A37)</f>
        <v>23</v>
      </c>
      <c r="H37" s="35">
        <f t="array" ref="H37">MAX(IF('BA History'!B:B=A37, 'BA History'!C:C))</f>
        <v>43</v>
      </c>
      <c r="I37" s="34">
        <f>COUNTIFS('BA History'!B:B,A37,'BA History'!D:D, 1)</f>
        <v>20</v>
      </c>
      <c r="J37" s="2">
        <f>COUNTIFS('BA History'!B:B,A37,'BA History'!D:D, 0)</f>
        <v>17</v>
      </c>
      <c r="K37" s="75">
        <f>LOOKUP(2, 1/('BA History'!$B:$B=A37), 'BA History'!$AJ:$AJ)</f>
        <v>0.54054054054054057</v>
      </c>
      <c r="L37" s="34">
        <f>SUMIFS('BA History'!F:F,'BA History'!B:B,A37)</f>
        <v>77</v>
      </c>
      <c r="M37" s="2">
        <f>SUMIFS('BA History'!E:E,'BA History'!B:B,A37)-L37</f>
        <v>66</v>
      </c>
      <c r="N37" s="75">
        <f>LOOKUP(2, 1/('BA History'!$B:$B=A37), 'BA History'!$AH:$AH)</f>
        <v>0.54675675675675672</v>
      </c>
      <c r="O37" s="34">
        <f>SUMIFS('BA History'!H:H,'BA History'!B:B,A37)</f>
        <v>314</v>
      </c>
      <c r="P37" s="2">
        <f>SUMIFS('BA History'!G:G,'BA History'!B:B,A37)-O37</f>
        <v>275</v>
      </c>
      <c r="Q37" s="89">
        <f>LOOKUP(2, 1/('BA History'!$B:$B=A37), 'BA History'!$AI:$AI)</f>
        <v>0.54324324324324325</v>
      </c>
      <c r="R37" s="2">
        <f>COUNTIFS('BA History'!$B:$B,$A$37,'BA History'!K:K, 1)</f>
        <v>5</v>
      </c>
      <c r="S37" s="2">
        <f>COUNTIFS('BA History'!$B:$B,$A$37,'BA History'!L:L, 1)</f>
        <v>2</v>
      </c>
      <c r="T37" s="2">
        <f>COUNTIFS('BA History'!$B:$B,$A$37,'BA History'!M:M, 1)</f>
        <v>5</v>
      </c>
      <c r="U37" s="2">
        <f>COUNTIFS('BA History'!$B:$B,$A$37,'BA History'!N:N, 1)</f>
        <v>8</v>
      </c>
      <c r="V37" s="2">
        <f>COUNTIFS('BA History'!$B:$B,$A$37,'BA History'!O:O, 1)</f>
        <v>1</v>
      </c>
      <c r="W37" s="2">
        <f>COUNTIFS('BA History'!$B:$B,$A$37,'BA History'!P:P, 1)</f>
        <v>1</v>
      </c>
      <c r="X37" s="2">
        <f>COUNTIFS('BA History'!$B:$B,$A$37,'BA History'!Q:Q, 1)</f>
        <v>2</v>
      </c>
      <c r="Y37" s="2">
        <f>COUNTIFS('BA History'!$B:$B,$A$37,'BA History'!R:R, 1)</f>
        <v>1</v>
      </c>
      <c r="Z37" s="2">
        <f>COUNTIFS('BA History'!$B:$B,$A$37,'BA History'!S:S, 1)</f>
        <v>1</v>
      </c>
      <c r="AA37" s="2">
        <f>COUNTIFS('BA History'!$B:$B,$A$37,'BA History'!T:T, 1)</f>
        <v>0</v>
      </c>
      <c r="AB37" s="2">
        <f>COUNTIFS('BA History'!$B:$B,$A$37,'BA History'!U:U, 1)</f>
        <v>2</v>
      </c>
      <c r="AC37" s="2">
        <f>COUNTIFS('BA History'!$B:$B,$A$37,'BA History'!V:V, 1)</f>
        <v>3</v>
      </c>
      <c r="AD37" s="2">
        <f>COUNTIFS('BA History'!$B:$B,$A$37,'BA History'!W:W, 1)</f>
        <v>1</v>
      </c>
      <c r="AE37" s="2">
        <f>COUNTIFS('BA History'!$B:$B,$A$37,'BA History'!X:X, 1)</f>
        <v>1</v>
      </c>
      <c r="AF37" s="2">
        <f>COUNTIFS('BA History'!$B:$B,$A$37,'BA History'!Y:Y, 1)</f>
        <v>6</v>
      </c>
      <c r="AG37" s="2">
        <f>COUNTIFS('BA History'!$B:$B,$A$37,'BA History'!Z:Z, 1)</f>
        <v>9</v>
      </c>
      <c r="AH37" s="2">
        <f>COUNTIFS('BA History'!$B:$B,$A$37,'BA History'!AA:AA, 1)</f>
        <v>0</v>
      </c>
      <c r="AI37" s="2">
        <f>COUNTIFS('BA History'!$B:$B,$A$37,'BA History'!AB:AB, 1)</f>
        <v>14</v>
      </c>
      <c r="AJ37" s="2">
        <f>COUNTIFS('BA History'!$B:$B,$A$37,'BA History'!AC:AC, 1)</f>
        <v>4</v>
      </c>
      <c r="AK37" s="2">
        <f>COUNTIFS('BA History'!$B:$B,$A$37,'BA History'!AD:AD, 1)</f>
        <v>6</v>
      </c>
      <c r="AL37" s="2">
        <f>COUNTIFS('BA History'!$B:$B,$A$37,'BA History'!AE:AE, 1)</f>
        <v>0</v>
      </c>
      <c r="AM37" s="2">
        <f>COUNTIFS('BA History'!$B:$B,$A$37,'BA History'!AF:AF, 1)</f>
        <v>5</v>
      </c>
    </row>
    <row r="38" spans="1:39" x14ac:dyDescent="0.25">
      <c r="A38" s="2" t="s">
        <v>54</v>
      </c>
      <c r="B38" s="2" t="s">
        <v>79</v>
      </c>
      <c r="C38" s="2"/>
      <c r="D38" s="2"/>
      <c r="E38" s="2"/>
      <c r="F38" s="34">
        <f>SUMIFS('BA History'!C:C,'BA History'!B:B,A38)</f>
        <v>1268</v>
      </c>
      <c r="G38" s="66">
        <f>AVERAGEIFS('BA History'!C:C,'BA History'!B:B,A38)</f>
        <v>23.481481481481481</v>
      </c>
      <c r="H38" s="35">
        <f t="array" ref="H38">MAX(IF('BA History'!B:B=A38, 'BA History'!C:C))</f>
        <v>42</v>
      </c>
      <c r="I38" s="34">
        <f>COUNTIFS('BA History'!B:B,A38,'BA History'!D:D, 1)</f>
        <v>30</v>
      </c>
      <c r="J38" s="2">
        <f>COUNTIFS('BA History'!B:B,A38,'BA History'!D:D, 0)</f>
        <v>24</v>
      </c>
      <c r="K38" s="75">
        <f>LOOKUP(2, 1/('BA History'!$B:$B=A38), 'BA History'!$AJ:$AJ)</f>
        <v>0.55555555555555558</v>
      </c>
      <c r="L38" s="34">
        <f>SUMIFS('BA History'!F:F,'BA History'!B:B,A38)</f>
        <v>116</v>
      </c>
      <c r="M38" s="2">
        <f>SUMIFS('BA History'!E:E,'BA History'!B:B,A38)-L38</f>
        <v>100</v>
      </c>
      <c r="N38" s="75">
        <f>LOOKUP(2, 1/('BA History'!$B:$B=A38), 'BA History'!$AH:$AH)</f>
        <v>0.54203703703703709</v>
      </c>
      <c r="O38" s="34">
        <f>SUMIFS('BA History'!H:H,'BA History'!B:B,A38)</f>
        <v>457</v>
      </c>
      <c r="P38" s="2">
        <f>SUMIFS('BA History'!G:G,'BA History'!B:B,A38)-O38</f>
        <v>436</v>
      </c>
      <c r="Q38" s="89">
        <f>LOOKUP(2, 1/('BA History'!$B:$B=A38), 'BA History'!$AI:$AI)</f>
        <v>0.51314814814814813</v>
      </c>
      <c r="R38" s="2">
        <f>COUNTIFS('BA History'!$B:$B,$A$38,'BA History'!K:K, 1)</f>
        <v>5</v>
      </c>
      <c r="S38" s="2">
        <f>COUNTIFS('BA History'!$B:$B,$A$38,'BA History'!L:L, 1)</f>
        <v>9</v>
      </c>
      <c r="T38" s="2">
        <f>COUNTIFS('BA History'!$B:$B,$A$38,'BA History'!M:M, 1)</f>
        <v>8</v>
      </c>
      <c r="U38" s="2">
        <f>COUNTIFS('BA History'!$B:$B,$A$38,'BA History'!N:N, 1)</f>
        <v>10</v>
      </c>
      <c r="V38" s="2">
        <f>COUNTIFS('BA History'!$B:$B,$A$38,'BA History'!O:O, 1)</f>
        <v>1</v>
      </c>
      <c r="W38" s="2">
        <f>COUNTIFS('BA History'!$B:$B,$A$38,'BA History'!P:P, 1)</f>
        <v>1</v>
      </c>
      <c r="X38" s="2">
        <f>COUNTIFS('BA History'!$B:$B,$A$38,'BA History'!Q:Q, 1)</f>
        <v>4</v>
      </c>
      <c r="Y38" s="2">
        <f>COUNTIFS('BA History'!$B:$B,$A$38,'BA History'!R:R, 1)</f>
        <v>2</v>
      </c>
      <c r="Z38" s="2">
        <f>COUNTIFS('BA History'!$B:$B,$A$38,'BA History'!S:S, 1)</f>
        <v>1</v>
      </c>
      <c r="AA38" s="2">
        <f>COUNTIFS('BA History'!$B:$B,$A$38,'BA History'!T:T, 1)</f>
        <v>1</v>
      </c>
      <c r="AB38" s="2">
        <f>COUNTIFS('BA History'!$B:$B,$A$38,'BA History'!U:U, 1)</f>
        <v>4</v>
      </c>
      <c r="AC38" s="2">
        <f>COUNTIFS('BA History'!$B:$B,$A$38,'BA History'!V:V, 1)</f>
        <v>8</v>
      </c>
      <c r="AD38" s="2">
        <f>COUNTIFS('BA History'!$B:$B,$A$38,'BA History'!W:W, 1)</f>
        <v>1</v>
      </c>
      <c r="AE38" s="2">
        <f>COUNTIFS('BA History'!$B:$B,$A$38,'BA History'!X:X, 1)</f>
        <v>0</v>
      </c>
      <c r="AF38" s="2">
        <f>COUNTIFS('BA History'!$B:$B,$A$38,'BA History'!Y:Y, 1)</f>
        <v>9</v>
      </c>
      <c r="AG38" s="2">
        <f>COUNTIFS('BA History'!$B:$B,$A$38,'BA History'!Z:Z, 1)</f>
        <v>11</v>
      </c>
      <c r="AH38" s="2">
        <f>COUNTIFS('BA History'!$B:$B,$A$38,'BA History'!AA:AA, 1)</f>
        <v>3</v>
      </c>
      <c r="AI38" s="2">
        <f>COUNTIFS('BA History'!$B:$B,$A$38,'BA History'!AB:AB, 1)</f>
        <v>13</v>
      </c>
      <c r="AJ38" s="2">
        <f>COUNTIFS('BA History'!$B:$B,$A$38,'BA History'!AC:AC, 1)</f>
        <v>9</v>
      </c>
      <c r="AK38" s="2">
        <f>COUNTIFS('BA History'!$B:$B,$A$38,'BA History'!AD:AD, 1)</f>
        <v>8</v>
      </c>
      <c r="AL38" s="2">
        <f>COUNTIFS('BA History'!$B:$B,$A$38,'BA History'!AE:AE, 1)</f>
        <v>2</v>
      </c>
      <c r="AM38" s="2">
        <f>COUNTIFS('BA History'!$B:$B,$A$38,'BA History'!AF:AF, 1)</f>
        <v>6</v>
      </c>
    </row>
    <row r="39" spans="1:39" x14ac:dyDescent="0.25">
      <c r="A39" s="2" t="s">
        <v>5</v>
      </c>
      <c r="B39" s="1" t="s">
        <v>160</v>
      </c>
      <c r="C39" s="1"/>
      <c r="D39" s="1"/>
      <c r="E39" s="1"/>
      <c r="F39" s="34">
        <f>SUMIFS('BA History'!C:C,'BA History'!B:B,A39)</f>
        <v>463</v>
      </c>
      <c r="G39" s="66">
        <f>AVERAGEIFS('BA History'!C:C,'BA History'!B:B,A39)</f>
        <v>19.291666666666668</v>
      </c>
      <c r="H39" s="35">
        <f t="array" ref="H39">MAX(IF('BA History'!B:B=A39, 'BA History'!C:C))</f>
        <v>36</v>
      </c>
      <c r="I39" s="34">
        <f>COUNTIFS('BA History'!B:B,A39,'BA History'!D:D, 1)</f>
        <v>18</v>
      </c>
      <c r="J39" s="2">
        <f>COUNTIFS('BA History'!B:B,A39,'BA History'!D:D, 0)</f>
        <v>6</v>
      </c>
      <c r="K39" s="75">
        <f>LOOKUP(2, 1/('BA History'!$B:$B=A39), 'BA History'!$AJ:$AJ)</f>
        <v>0.75</v>
      </c>
      <c r="L39" s="34">
        <f>SUMIFS('BA History'!F:F,'BA History'!B:B,A39)</f>
        <v>57</v>
      </c>
      <c r="M39" s="2">
        <f>SUMIFS('BA History'!E:E,'BA History'!B:B,A39)-L39</f>
        <v>36</v>
      </c>
      <c r="N39" s="75">
        <f>LOOKUP(2, 1/('BA History'!$B:$B=A39), 'BA History'!$AH:$AH)</f>
        <v>0.61749999999999994</v>
      </c>
      <c r="O39" s="34">
        <f>SUMIFS('BA History'!H:H,'BA History'!B:B,A39)</f>
        <v>215</v>
      </c>
      <c r="P39" s="2">
        <f>SUMIFS('BA History'!G:G,'BA History'!B:B,A39)-O39</f>
        <v>177</v>
      </c>
      <c r="Q39" s="89">
        <f>LOOKUP(2, 1/('BA History'!$B:$B=A39), 'BA History'!$AI:$AI)</f>
        <v>0.55666666666666675</v>
      </c>
      <c r="R39" s="2">
        <f>COUNTIFS('BA History'!$B:$B,$A$39,'BA History'!K:K, 1)</f>
        <v>1</v>
      </c>
      <c r="S39" s="2">
        <f>COUNTIFS('BA History'!$B:$B,$A$39,'BA History'!L:L, 1)</f>
        <v>5</v>
      </c>
      <c r="T39" s="2">
        <f>COUNTIFS('BA History'!$B:$B,$A$39,'BA History'!M:M, 1)</f>
        <v>3</v>
      </c>
      <c r="U39" s="2">
        <f>COUNTIFS('BA History'!$B:$B,$A$39,'BA History'!N:N, 1)</f>
        <v>10</v>
      </c>
      <c r="V39" s="2">
        <f>COUNTIFS('BA History'!$B:$B,$A$39,'BA History'!O:O, 1)</f>
        <v>1</v>
      </c>
      <c r="W39" s="2">
        <f>COUNTIFS('BA History'!$B:$B,$A$39,'BA History'!P:P, 1)</f>
        <v>0</v>
      </c>
      <c r="X39" s="2">
        <f>COUNTIFS('BA History'!$B:$B,$A$39,'BA History'!Q:Q, 1)</f>
        <v>2</v>
      </c>
      <c r="Y39" s="2">
        <f>COUNTIFS('BA History'!$B:$B,$A$39,'BA History'!R:R, 1)</f>
        <v>0</v>
      </c>
      <c r="Z39" s="2">
        <f>COUNTIFS('BA History'!$B:$B,$A$39,'BA History'!S:S, 1)</f>
        <v>0</v>
      </c>
      <c r="AA39" s="2">
        <f>COUNTIFS('BA History'!$B:$B,$A$39,'BA History'!T:T, 1)</f>
        <v>0</v>
      </c>
      <c r="AB39" s="2">
        <f>COUNTIFS('BA History'!$B:$B,$A$39,'BA History'!U:U, 1)</f>
        <v>1</v>
      </c>
      <c r="AC39" s="2">
        <f>COUNTIFS('BA History'!$B:$B,$A$39,'BA History'!V:V, 1)</f>
        <v>3</v>
      </c>
      <c r="AD39" s="2">
        <f>COUNTIFS('BA History'!$B:$B,$A$39,'BA History'!W:W, 1)</f>
        <v>1</v>
      </c>
      <c r="AE39" s="2">
        <f>COUNTIFS('BA History'!$B:$B,$A$39,'BA History'!X:X, 1)</f>
        <v>1</v>
      </c>
      <c r="AF39" s="2">
        <f>COUNTIFS('BA History'!$B:$B,$A$39,'BA History'!Y:Y, 1)</f>
        <v>4</v>
      </c>
      <c r="AG39" s="2">
        <f>COUNTIFS('BA History'!$B:$B,$A$39,'BA History'!Z:Z, 1)</f>
        <v>4</v>
      </c>
      <c r="AH39" s="2">
        <f>COUNTIFS('BA History'!$B:$B,$A$39,'BA History'!AA:AA, 1)</f>
        <v>3</v>
      </c>
      <c r="AI39" s="2">
        <f>COUNTIFS('BA History'!$B:$B,$A$39,'BA History'!AB:AB, 1)</f>
        <v>7</v>
      </c>
      <c r="AJ39" s="2">
        <f>COUNTIFS('BA History'!$B:$B,$A$39,'BA History'!AC:AC, 1)</f>
        <v>6</v>
      </c>
      <c r="AK39" s="2">
        <f>COUNTIFS('BA History'!$B:$B,$A$39,'BA History'!AD:AD, 1)</f>
        <v>4</v>
      </c>
      <c r="AL39" s="2">
        <f>COUNTIFS('BA History'!$B:$B,$A$39,'BA History'!AE:AE, 1)</f>
        <v>0</v>
      </c>
      <c r="AM39" s="2">
        <f>COUNTIFS('BA History'!$B:$B,$A$39,'BA History'!AF:AF, 1)</f>
        <v>1</v>
      </c>
    </row>
    <row r="40" spans="1:39" x14ac:dyDescent="0.25">
      <c r="A40" s="2" t="s">
        <v>38</v>
      </c>
      <c r="B40" s="2" t="s">
        <v>79</v>
      </c>
      <c r="C40" s="2"/>
      <c r="D40" s="2"/>
      <c r="E40" s="2"/>
      <c r="F40" s="34">
        <f>SUMIFS('BA History'!C:C,'BA History'!B:B,A40)</f>
        <v>23</v>
      </c>
      <c r="G40" s="66">
        <f>AVERAGEIFS('BA History'!C:C,'BA History'!B:B,A40)</f>
        <v>4.5999999999999996</v>
      </c>
      <c r="H40" s="35">
        <f t="array" ref="H40">MAX(IF('BA History'!B:B=A40, 'BA History'!C:C))</f>
        <v>11</v>
      </c>
      <c r="I40" s="34">
        <f>COUNTIFS('BA History'!B:B,A40,'BA History'!D:D, 1)</f>
        <v>2</v>
      </c>
      <c r="J40" s="2">
        <f>COUNTIFS('BA History'!B:B,A40,'BA History'!D:D, 0)</f>
        <v>3</v>
      </c>
      <c r="K40" s="75">
        <f>LOOKUP(2, 1/('BA History'!$B:$B=A40), 'BA History'!$AJ:$AJ)</f>
        <v>0.4</v>
      </c>
      <c r="L40" s="34">
        <f>SUMIFS('BA History'!F:F,'BA History'!B:B,A40)</f>
        <v>10</v>
      </c>
      <c r="M40" s="2">
        <f>SUMIFS('BA History'!E:E,'BA History'!B:B,A40)-L40</f>
        <v>12</v>
      </c>
      <c r="N40" s="75">
        <f>LOOKUP(2, 1/('BA History'!$B:$B=A40), 'BA History'!$AH:$AH)</f>
        <v>0.43</v>
      </c>
      <c r="O40" s="34">
        <f>SUMIFS('BA History'!H:H,'BA History'!B:B,A40)</f>
        <v>41</v>
      </c>
      <c r="P40" s="2">
        <f>SUMIFS('BA History'!G:G,'BA History'!B:B,A40)-O40</f>
        <v>49</v>
      </c>
      <c r="Q40" s="89">
        <f>LOOKUP(2, 1/('BA History'!$B:$B=A40), 'BA History'!$AI:$AI)</f>
        <v>0.43600000000000005</v>
      </c>
      <c r="R40" s="2">
        <f>COUNTIFS('BA History'!$B:$B,$A$40,'BA History'!K:K, 1)</f>
        <v>1</v>
      </c>
      <c r="S40" s="2">
        <f>COUNTIFS('BA History'!$B:$B,$A$40,'BA History'!L:L, 1)</f>
        <v>1</v>
      </c>
      <c r="T40" s="2">
        <f>COUNTIFS('BA History'!$B:$B,$A$40,'BA History'!M:M, 1)</f>
        <v>1</v>
      </c>
      <c r="U40" s="2">
        <f>COUNTIFS('BA History'!$B:$B,$A$40,'BA History'!N:N, 1)</f>
        <v>0</v>
      </c>
      <c r="V40" s="2">
        <f>COUNTIFS('BA History'!$B:$B,$A$40,'BA History'!O:O, 1)</f>
        <v>1</v>
      </c>
      <c r="W40" s="2">
        <f>COUNTIFS('BA History'!$B:$B,$A$40,'BA History'!P:P, 1)</f>
        <v>0</v>
      </c>
      <c r="X40" s="2">
        <f>COUNTIFS('BA History'!$B:$B,$A$40,'BA History'!Q:Q, 1)</f>
        <v>0</v>
      </c>
      <c r="Y40" s="2">
        <f>COUNTIFS('BA History'!$B:$B,$A$40,'BA History'!R:R, 1)</f>
        <v>0</v>
      </c>
      <c r="Z40" s="2">
        <f>COUNTIFS('BA History'!$B:$B,$A$40,'BA History'!S:S, 1)</f>
        <v>0</v>
      </c>
      <c r="AA40" s="2">
        <f>COUNTIFS('BA History'!$B:$B,$A$40,'BA History'!T:T, 1)</f>
        <v>0</v>
      </c>
      <c r="AB40" s="2">
        <f>COUNTIFS('BA History'!$B:$B,$A$40,'BA History'!U:U, 1)</f>
        <v>1</v>
      </c>
      <c r="AC40" s="2">
        <f>COUNTIFS('BA History'!$B:$B,$A$40,'BA History'!V:V, 1)</f>
        <v>2</v>
      </c>
      <c r="AD40" s="2">
        <f>COUNTIFS('BA History'!$B:$B,$A$40,'BA History'!W:W, 1)</f>
        <v>0</v>
      </c>
      <c r="AE40" s="2">
        <f>COUNTIFS('BA History'!$B:$B,$A$40,'BA History'!X:X, 1)</f>
        <v>0</v>
      </c>
      <c r="AF40" s="2">
        <f>COUNTIFS('BA History'!$B:$B,$A$40,'BA History'!Y:Y, 1)</f>
        <v>1</v>
      </c>
      <c r="AG40" s="2">
        <f>COUNTIFS('BA History'!$B:$B,$A$40,'BA History'!Z:Z, 1)</f>
        <v>0</v>
      </c>
      <c r="AH40" s="2">
        <f>COUNTIFS('BA History'!$B:$B,$A$40,'BA History'!AA:AA, 1)</f>
        <v>0</v>
      </c>
      <c r="AI40" s="2">
        <f>COUNTIFS('BA History'!$B:$B,$A$40,'BA History'!AB:AB, 1)</f>
        <v>1</v>
      </c>
      <c r="AJ40" s="2">
        <f>COUNTIFS('BA History'!$B:$B,$A$40,'BA History'!AC:AC, 1)</f>
        <v>0</v>
      </c>
      <c r="AK40" s="2">
        <f>COUNTIFS('BA History'!$B:$B,$A$40,'BA History'!AD:AD, 1)</f>
        <v>1</v>
      </c>
      <c r="AL40" s="2">
        <f>COUNTIFS('BA History'!$B:$B,$A$40,'BA History'!AE:AE, 1)</f>
        <v>0</v>
      </c>
      <c r="AM40" s="2">
        <f>COUNTIFS('BA History'!$B:$B,$A$40,'BA History'!AF:AF, 1)</f>
        <v>0</v>
      </c>
    </row>
    <row r="41" spans="1:39" x14ac:dyDescent="0.25">
      <c r="A41" s="2" t="s">
        <v>141</v>
      </c>
      <c r="B41" s="2" t="s">
        <v>79</v>
      </c>
      <c r="C41" s="2"/>
      <c r="D41" s="2"/>
      <c r="E41" s="2"/>
      <c r="F41" s="34">
        <f>SUMIFS('BA History'!C:C,'BA History'!B:B,A41)</f>
        <v>109</v>
      </c>
      <c r="G41" s="66">
        <f>AVERAGEIFS('BA History'!C:C,'BA History'!B:B,A41)</f>
        <v>12.111111111111111</v>
      </c>
      <c r="H41" s="35">
        <f t="array" ref="H41">MAX(IF('BA History'!B:B=A41, 'BA History'!C:C))</f>
        <v>22</v>
      </c>
      <c r="I41" s="34">
        <f>COUNTIFS('BA History'!B:B,A41,'BA History'!D:D, 1)</f>
        <v>5</v>
      </c>
      <c r="J41" s="2">
        <f>COUNTIFS('BA History'!B:B,A41,'BA History'!D:D, 0)</f>
        <v>4</v>
      </c>
      <c r="K41" s="75">
        <f>LOOKUP(2, 1/('BA History'!$B:$B=A41), 'BA History'!$AJ:$AJ)</f>
        <v>0.55555555555555558</v>
      </c>
      <c r="L41" s="34">
        <f>SUMIFS('BA History'!F:F,'BA History'!B:B,A41)</f>
        <v>16</v>
      </c>
      <c r="M41" s="2">
        <f>SUMIFS('BA History'!E:E,'BA History'!B:B,A41)-L41</f>
        <v>18</v>
      </c>
      <c r="N41" s="75">
        <f>LOOKUP(2, 1/('BA History'!$B:$B=A41), 'BA History'!$AH:$AH)</f>
        <v>0.43888888888888888</v>
      </c>
      <c r="O41" s="34">
        <f>SUMIFS('BA History'!H:H,'BA History'!B:B,A41)</f>
        <v>71</v>
      </c>
      <c r="P41" s="2">
        <f>SUMIFS('BA History'!G:G,'BA History'!B:B,A41)-O41</f>
        <v>69</v>
      </c>
      <c r="Q41" s="89">
        <f>LOOKUP(2, 1/('BA History'!$B:$B=A41), 'BA History'!$AI:$AI)</f>
        <v>0.50555555555555565</v>
      </c>
      <c r="R41" s="2">
        <f>COUNTIFS('BA History'!$B:$B,$A$41,'BA History'!K:K, 1)</f>
        <v>2</v>
      </c>
      <c r="S41" s="2">
        <f>COUNTIFS('BA History'!$B:$B,$A$41,'BA History'!L:L, 1)</f>
        <v>2</v>
      </c>
      <c r="T41" s="2">
        <f>COUNTIFS('BA History'!$B:$B,$A$41,'BA History'!M:M, 1)</f>
        <v>1</v>
      </c>
      <c r="U41" s="2">
        <f>COUNTIFS('BA History'!$B:$B,$A$41,'BA History'!N:N, 1)</f>
        <v>2</v>
      </c>
      <c r="V41" s="2">
        <f>COUNTIFS('BA History'!$B:$B,$A$41,'BA History'!O:O, 1)</f>
        <v>0</v>
      </c>
      <c r="W41" s="2">
        <f>COUNTIFS('BA History'!$B:$B,$A$41,'BA History'!P:P, 1)</f>
        <v>0</v>
      </c>
      <c r="X41" s="2">
        <f>COUNTIFS('BA History'!$B:$B,$A$41,'BA History'!Q:Q, 1)</f>
        <v>1</v>
      </c>
      <c r="Y41" s="2">
        <f>COUNTIFS('BA History'!$B:$B,$A$41,'BA History'!R:R, 1)</f>
        <v>0</v>
      </c>
      <c r="Z41" s="2">
        <f>COUNTIFS('BA History'!$B:$B,$A$41,'BA History'!S:S, 1)</f>
        <v>0</v>
      </c>
      <c r="AA41" s="2">
        <f>COUNTIFS('BA History'!$B:$B,$A$41,'BA History'!T:T, 1)</f>
        <v>0</v>
      </c>
      <c r="AB41" s="2">
        <f>COUNTIFS('BA History'!$B:$B,$A$41,'BA History'!U:U, 1)</f>
        <v>0</v>
      </c>
      <c r="AC41" s="2">
        <f>COUNTIFS('BA History'!$B:$B,$A$41,'BA History'!V:V, 1)</f>
        <v>1</v>
      </c>
      <c r="AD41" s="2">
        <f>COUNTIFS('BA History'!$B:$B,$A$41,'BA History'!W:W, 1)</f>
        <v>0</v>
      </c>
      <c r="AE41" s="2">
        <f>COUNTIFS('BA History'!$B:$B,$A$41,'BA History'!X:X, 1)</f>
        <v>0</v>
      </c>
      <c r="AF41" s="2">
        <f>COUNTIFS('BA History'!$B:$B,$A$41,'BA History'!Y:Y, 1)</f>
        <v>0</v>
      </c>
      <c r="AG41" s="2">
        <f>COUNTIFS('BA History'!$B:$B,$A$41,'BA History'!Z:Z, 1)</f>
        <v>0</v>
      </c>
      <c r="AH41" s="2">
        <f>COUNTIFS('BA History'!$B:$B,$A$41,'BA History'!AA:AA, 1)</f>
        <v>0</v>
      </c>
      <c r="AI41" s="2">
        <f>COUNTIFS('BA History'!$B:$B,$A$41,'BA History'!AB:AB, 1)</f>
        <v>3</v>
      </c>
      <c r="AJ41" s="2">
        <f>COUNTIFS('BA History'!$B:$B,$A$41,'BA History'!AC:AC, 1)</f>
        <v>1</v>
      </c>
      <c r="AK41" s="2">
        <f>COUNTIFS('BA History'!$B:$B,$A$41,'BA History'!AD:AD, 1)</f>
        <v>2</v>
      </c>
      <c r="AL41" s="2">
        <f>COUNTIFS('BA History'!$B:$B,$A$41,'BA History'!AE:AE, 1)</f>
        <v>0</v>
      </c>
      <c r="AM41" s="2">
        <f>COUNTIFS('BA History'!$B:$B,$A$41,'BA History'!AF:AF, 1)</f>
        <v>1</v>
      </c>
    </row>
    <row r="42" spans="1:39" x14ac:dyDescent="0.25">
      <c r="A42" s="2" t="s">
        <v>153</v>
      </c>
      <c r="B42" s="2" t="s">
        <v>79</v>
      </c>
      <c r="C42" s="2"/>
      <c r="D42" s="2"/>
      <c r="E42" s="2"/>
      <c r="F42" s="34">
        <f>SUMIFS('BA History'!C:C,'BA History'!B:B,A42)</f>
        <v>57</v>
      </c>
      <c r="G42" s="66">
        <f>AVERAGEIFS('BA History'!C:C,'BA History'!B:B,A42)</f>
        <v>11.4</v>
      </c>
      <c r="H42" s="35">
        <f t="array" ref="H42">MAX(IF('BA History'!B:B=A42, 'BA History'!C:C))</f>
        <v>14</v>
      </c>
      <c r="I42" s="34">
        <f>COUNTIFS('BA History'!B:B,A42,'BA History'!D:D, 1)</f>
        <v>3</v>
      </c>
      <c r="J42" s="2">
        <f>COUNTIFS('BA History'!B:B,A42,'BA History'!D:D, 0)</f>
        <v>2</v>
      </c>
      <c r="K42" s="75">
        <f>LOOKUP(2, 1/('BA History'!$B:$B=A42), 'BA History'!$AJ:$AJ)</f>
        <v>0.6</v>
      </c>
      <c r="L42" s="34">
        <f>SUMIFS('BA History'!F:F,'BA History'!B:B,A42)</f>
        <v>10</v>
      </c>
      <c r="M42" s="2">
        <f>SUMIFS('BA History'!E:E,'BA History'!B:B,A42)-L42</f>
        <v>11</v>
      </c>
      <c r="N42" s="75">
        <f>LOOKUP(2, 1/('BA History'!$B:$B=A42), 'BA History'!$AH:$AH)</f>
        <v>0.44000000000000006</v>
      </c>
      <c r="O42" s="34">
        <f>SUMIFS('BA History'!H:H,'BA History'!B:B,A42)</f>
        <v>44</v>
      </c>
      <c r="P42" s="2">
        <f>SUMIFS('BA History'!G:G,'BA History'!B:B,A42)-O42</f>
        <v>46</v>
      </c>
      <c r="Q42" s="89">
        <f>LOOKUP(2, 1/('BA History'!$B:$B=A42), 'BA History'!$AI:$AI)</f>
        <v>0.44799999999999995</v>
      </c>
      <c r="R42" s="2">
        <f>COUNTIFS('BA History'!$B:$B,$A$42,'BA History'!K:K, 1)</f>
        <v>0</v>
      </c>
      <c r="S42" s="2">
        <f>COUNTIFS('BA History'!$B:$B,$A$42,'BA History'!L:L, 1)</f>
        <v>1</v>
      </c>
      <c r="T42" s="2">
        <f>COUNTIFS('BA History'!$B:$B,$A$42,'BA History'!M:M, 1)</f>
        <v>0</v>
      </c>
      <c r="U42" s="2">
        <f>COUNTIFS('BA History'!$B:$B,$A$42,'BA History'!N:N, 1)</f>
        <v>1</v>
      </c>
      <c r="V42" s="2">
        <f>COUNTIFS('BA History'!$B:$B,$A$42,'BA History'!O:O, 1)</f>
        <v>0</v>
      </c>
      <c r="W42" s="2">
        <f>COUNTIFS('BA History'!$B:$B,$A$42,'BA History'!P:P, 1)</f>
        <v>0</v>
      </c>
      <c r="X42" s="2">
        <f>COUNTIFS('BA History'!$B:$B,$A$42,'BA History'!Q:Q, 1)</f>
        <v>0</v>
      </c>
      <c r="Y42" s="2">
        <f>COUNTIFS('BA History'!$B:$B,$A$42,'BA History'!R:R, 1)</f>
        <v>0</v>
      </c>
      <c r="Z42" s="2">
        <f>COUNTIFS('BA History'!$B:$B,$A$42,'BA History'!S:S, 1)</f>
        <v>1</v>
      </c>
      <c r="AA42" s="2">
        <f>COUNTIFS('BA History'!$B:$B,$A$42,'BA History'!T:T, 1)</f>
        <v>0</v>
      </c>
      <c r="AB42" s="2">
        <f>COUNTIFS('BA History'!$B:$B,$A$42,'BA History'!U:U, 1)</f>
        <v>0</v>
      </c>
      <c r="AC42" s="2">
        <f>COUNTIFS('BA History'!$B:$B,$A$42,'BA History'!V:V, 1)</f>
        <v>1</v>
      </c>
      <c r="AD42" s="2">
        <f>COUNTIFS('BA History'!$B:$B,$A$42,'BA History'!W:W, 1)</f>
        <v>1</v>
      </c>
      <c r="AE42" s="2">
        <f>COUNTIFS('BA History'!$B:$B,$A$42,'BA History'!X:X, 1)</f>
        <v>0</v>
      </c>
      <c r="AF42" s="2">
        <f>COUNTIFS('BA History'!$B:$B,$A$42,'BA History'!Y:Y, 1)</f>
        <v>0</v>
      </c>
      <c r="AG42" s="2">
        <f>COUNTIFS('BA History'!$B:$B,$A$42,'BA History'!Z:Z, 1)</f>
        <v>2</v>
      </c>
      <c r="AH42" s="2">
        <f>COUNTIFS('BA History'!$B:$B,$A$42,'BA History'!AA:AA, 1)</f>
        <v>0</v>
      </c>
      <c r="AI42" s="2">
        <f>COUNTIFS('BA History'!$B:$B,$A$42,'BA History'!AB:AB, 1)</f>
        <v>3</v>
      </c>
      <c r="AJ42" s="2">
        <f>COUNTIFS('BA History'!$B:$B,$A$42,'BA History'!AC:AC, 1)</f>
        <v>0</v>
      </c>
      <c r="AK42" s="2">
        <f>COUNTIFS('BA History'!$B:$B,$A$42,'BA History'!AD:AD, 1)</f>
        <v>0</v>
      </c>
      <c r="AL42" s="2">
        <f>COUNTIFS('BA History'!$B:$B,$A$42,'BA History'!AE:AE, 1)</f>
        <v>0</v>
      </c>
      <c r="AM42" s="2">
        <f>COUNTIFS('BA History'!$B:$B,$A$42,'BA History'!AF:AF, 1)</f>
        <v>0</v>
      </c>
    </row>
    <row r="43" spans="1:39" x14ac:dyDescent="0.25">
      <c r="A43" s="2" t="s">
        <v>40</v>
      </c>
      <c r="B43" s="2" t="s">
        <v>79</v>
      </c>
      <c r="C43" s="2"/>
      <c r="D43" s="2"/>
      <c r="E43" s="2"/>
      <c r="F43" s="34">
        <f>SUMIFS('BA History'!C:C,'BA History'!B:B,A43)</f>
        <v>1023</v>
      </c>
      <c r="G43" s="66">
        <f>AVERAGEIFS('BA History'!C:C,'BA History'!B:B,A43)</f>
        <v>18.267857142857142</v>
      </c>
      <c r="H43" s="35">
        <f t="array" ref="H43">MAX(IF('BA History'!B:B=A43, 'BA History'!C:C))</f>
        <v>37</v>
      </c>
      <c r="I43" s="34">
        <f>COUNTIFS('BA History'!B:B,A43,'BA History'!D:D, 1)</f>
        <v>24</v>
      </c>
      <c r="J43" s="2">
        <f>COUNTIFS('BA History'!B:B,A43,'BA History'!D:D, 0)</f>
        <v>32</v>
      </c>
      <c r="K43" s="75">
        <f>LOOKUP(2, 1/('BA History'!$B:$B=A43), 'BA History'!$AJ:$AJ)</f>
        <v>0.42857142857142855</v>
      </c>
      <c r="L43" s="34">
        <f>SUMIFS('BA History'!F:F,'BA History'!B:B,A43)</f>
        <v>111</v>
      </c>
      <c r="M43" s="2">
        <f>SUMIFS('BA History'!E:E,'BA History'!B:B,A43)-L43</f>
        <v>119</v>
      </c>
      <c r="N43" s="75">
        <f>LOOKUP(2, 1/('BA History'!$B:$B=A43), 'BA History'!$AH:$AH)</f>
        <v>0.48928571428571416</v>
      </c>
      <c r="O43" s="34">
        <f>SUMIFS('BA History'!H:H,'BA History'!B:B,A43)</f>
        <v>463</v>
      </c>
      <c r="P43" s="2">
        <f>SUMIFS('BA History'!G:G,'BA History'!B:B,A43)-O43</f>
        <v>486</v>
      </c>
      <c r="Q43" s="89">
        <f>LOOKUP(2, 1/('BA History'!$B:$B=A43), 'BA History'!$AI:$AI)</f>
        <v>0.48500000000000004</v>
      </c>
      <c r="R43" s="2">
        <f>COUNTIFS('BA History'!$B:$B,$A$43,'BA History'!K:K, 1)</f>
        <v>4</v>
      </c>
      <c r="S43" s="2">
        <f>COUNTIFS('BA History'!$B:$B,$A$43,'BA History'!L:L, 1)</f>
        <v>10</v>
      </c>
      <c r="T43" s="2">
        <f>COUNTIFS('BA History'!$B:$B,$A$43,'BA History'!M:M, 1)</f>
        <v>12</v>
      </c>
      <c r="U43" s="2">
        <f>COUNTIFS('BA History'!$B:$B,$A$43,'BA History'!N:N, 1)</f>
        <v>14</v>
      </c>
      <c r="V43" s="2">
        <f>COUNTIFS('BA History'!$B:$B,$A$43,'BA History'!O:O, 1)</f>
        <v>3</v>
      </c>
      <c r="W43" s="2">
        <f>COUNTIFS('BA History'!$B:$B,$A$43,'BA History'!P:P, 1)</f>
        <v>1</v>
      </c>
      <c r="X43" s="2">
        <f>COUNTIFS('BA History'!$B:$B,$A$43,'BA History'!Q:Q, 1)</f>
        <v>4</v>
      </c>
      <c r="Y43" s="2">
        <f>COUNTIFS('BA History'!$B:$B,$A$43,'BA History'!R:R, 1)</f>
        <v>3</v>
      </c>
      <c r="Z43" s="2">
        <f>COUNTIFS('BA History'!$B:$B,$A$43,'BA History'!S:S, 1)</f>
        <v>1</v>
      </c>
      <c r="AA43" s="2">
        <f>COUNTIFS('BA History'!$B:$B,$A$43,'BA History'!T:T, 1)</f>
        <v>0</v>
      </c>
      <c r="AB43" s="2">
        <f>COUNTIFS('BA History'!$B:$B,$A$43,'BA History'!U:U, 1)</f>
        <v>4</v>
      </c>
      <c r="AC43" s="2">
        <f>COUNTIFS('BA History'!$B:$B,$A$43,'BA History'!V:V, 1)</f>
        <v>6</v>
      </c>
      <c r="AD43" s="2">
        <f>COUNTIFS('BA History'!$B:$B,$A$43,'BA History'!W:W, 1)</f>
        <v>2</v>
      </c>
      <c r="AE43" s="2">
        <f>COUNTIFS('BA History'!$B:$B,$A$43,'BA History'!X:X, 1)</f>
        <v>1</v>
      </c>
      <c r="AF43" s="2">
        <f>COUNTIFS('BA History'!$B:$B,$A$43,'BA History'!Y:Y, 1)</f>
        <v>5</v>
      </c>
      <c r="AG43" s="2">
        <f>COUNTIFS('BA History'!$B:$B,$A$43,'BA History'!Z:Z, 1)</f>
        <v>9</v>
      </c>
      <c r="AH43" s="2">
        <f>COUNTIFS('BA History'!$B:$B,$A$43,'BA History'!AA:AA, 1)</f>
        <v>1</v>
      </c>
      <c r="AI43" s="2">
        <f>COUNTIFS('BA History'!$B:$B,$A$43,'BA History'!AB:AB, 1)</f>
        <v>5</v>
      </c>
      <c r="AJ43" s="2">
        <f>COUNTIFS('BA History'!$B:$B,$A$43,'BA History'!AC:AC, 1)</f>
        <v>7</v>
      </c>
      <c r="AK43" s="2">
        <f>COUNTIFS('BA History'!$B:$B,$A$43,'BA History'!AD:AD, 1)</f>
        <v>13</v>
      </c>
      <c r="AL43" s="2">
        <f>COUNTIFS('BA History'!$B:$B,$A$43,'BA History'!AE:AE, 1)</f>
        <v>0</v>
      </c>
      <c r="AM43" s="2">
        <f>COUNTIFS('BA History'!$B:$B,$A$43,'BA History'!AF:AF, 1)</f>
        <v>6</v>
      </c>
    </row>
    <row r="44" spans="1:39" x14ac:dyDescent="0.25">
      <c r="A44" s="2" t="s">
        <v>167</v>
      </c>
      <c r="B44" s="2" t="s">
        <v>79</v>
      </c>
      <c r="C44" s="2"/>
      <c r="D44" s="2"/>
      <c r="E44" s="2"/>
      <c r="F44" s="34">
        <f>SUMIFS('BA History'!C:C,'BA History'!B:B,A44)</f>
        <v>11</v>
      </c>
      <c r="G44" s="66">
        <f>AVERAGEIFS('BA History'!C:C,'BA History'!B:B,A44)</f>
        <v>5.5</v>
      </c>
      <c r="H44" s="35">
        <f t="array" ref="H44">MAX(IF('BA History'!B:B=A44, 'BA History'!C:C))</f>
        <v>8</v>
      </c>
      <c r="I44" s="34">
        <f>COUNTIFS('BA History'!B:B,A44,'BA History'!D:D, 1)</f>
        <v>1</v>
      </c>
      <c r="J44" s="2">
        <f>COUNTIFS('BA History'!B:B,A44,'BA History'!D:D, 0)</f>
        <v>1</v>
      </c>
      <c r="K44" s="75">
        <f>LOOKUP(2, 1/('BA History'!$B:$B=A44), 'BA History'!$AJ:$AJ)</f>
        <v>0.5</v>
      </c>
      <c r="L44" s="34">
        <f>SUMIFS('BA History'!F:F,'BA History'!B:B,A44)</f>
        <v>3</v>
      </c>
      <c r="M44" s="2">
        <f>SUMIFS('BA History'!E:E,'BA History'!B:B,A44)-L44</f>
        <v>4</v>
      </c>
      <c r="N44" s="75">
        <f>LOOKUP(2, 1/('BA History'!$B:$B=A44), 'BA History'!$AH:$AH)</f>
        <v>0.375</v>
      </c>
      <c r="O44" s="34">
        <f>SUMIFS('BA History'!H:H,'BA History'!B:B,A44)</f>
        <v>13</v>
      </c>
      <c r="P44" s="2">
        <f>SUMIFS('BA History'!G:G,'BA History'!B:B,A44)-O44</f>
        <v>13</v>
      </c>
      <c r="Q44" s="89">
        <f>LOOKUP(2, 1/('BA History'!$B:$B=A44), 'BA History'!$AI:$AI)</f>
        <v>0.45499999999999996</v>
      </c>
      <c r="R44" s="2">
        <f>COUNTIFS('BA History'!$B:$B,$A$44,'BA History'!K:K, 1)</f>
        <v>0</v>
      </c>
      <c r="S44" s="2">
        <f>COUNTIFS('BA History'!$B:$B,$A$44,'BA History'!L:L, 1)</f>
        <v>0</v>
      </c>
      <c r="T44" s="2">
        <f>COUNTIFS('BA History'!$B:$B,$A$44,'BA History'!M:M, 1)</f>
        <v>0</v>
      </c>
      <c r="U44" s="2">
        <f>COUNTIFS('BA History'!$B:$B,$A$44,'BA History'!N:N, 1)</f>
        <v>1</v>
      </c>
      <c r="V44" s="2">
        <f>COUNTIFS('BA History'!$B:$B,$A$44,'BA History'!O:O, 1)</f>
        <v>0</v>
      </c>
      <c r="W44" s="2">
        <f>COUNTIFS('BA History'!$B:$B,$A$44,'BA History'!P:P, 1)</f>
        <v>0</v>
      </c>
      <c r="X44" s="2">
        <f>COUNTIFS('BA History'!$B:$B,$A$44,'BA History'!Q:Q, 1)</f>
        <v>0</v>
      </c>
      <c r="Y44" s="2">
        <f>COUNTIFS('BA History'!$B:$B,$A$44,'BA History'!R:R, 1)</f>
        <v>0</v>
      </c>
      <c r="Z44" s="2">
        <f>COUNTIFS('BA History'!$B:$B,$A$44,'BA History'!S:S, 1)</f>
        <v>0</v>
      </c>
      <c r="AA44" s="2">
        <f>COUNTIFS('BA History'!$B:$B,$A$44,'BA History'!T:T, 1)</f>
        <v>0</v>
      </c>
      <c r="AB44" s="2">
        <f>COUNTIFS('BA History'!$B:$B,$A$44,'BA History'!U:U, 1)</f>
        <v>0</v>
      </c>
      <c r="AC44" s="2">
        <f>COUNTIFS('BA History'!$B:$B,$A$44,'BA History'!V:V, 1)</f>
        <v>0</v>
      </c>
      <c r="AD44" s="2">
        <f>COUNTIFS('BA History'!$B:$B,$A$44,'BA History'!W:W, 1)</f>
        <v>0</v>
      </c>
      <c r="AE44" s="2">
        <f>COUNTIFS('BA History'!$B:$B,$A$44,'BA History'!X:X, 1)</f>
        <v>0</v>
      </c>
      <c r="AF44" s="2">
        <f>COUNTIFS('BA History'!$B:$B,$A$44,'BA History'!Y:Y, 1)</f>
        <v>1</v>
      </c>
      <c r="AG44" s="2">
        <f>COUNTIFS('BA History'!$B:$B,$A$44,'BA History'!Z:Z, 1)</f>
        <v>0</v>
      </c>
      <c r="AH44" s="2">
        <f>COUNTIFS('BA History'!$B:$B,$A$44,'BA History'!AA:AA, 1)</f>
        <v>0</v>
      </c>
      <c r="AI44" s="2">
        <f>COUNTIFS('BA History'!$B:$B,$A$44,'BA History'!AB:AB, 1)</f>
        <v>1</v>
      </c>
      <c r="AJ44" s="2">
        <f>COUNTIFS('BA History'!$B:$B,$A$44,'BA History'!AC:AC, 1)</f>
        <v>0</v>
      </c>
      <c r="AK44" s="2">
        <f>COUNTIFS('BA History'!$B:$B,$A$44,'BA History'!AD:AD, 1)</f>
        <v>0</v>
      </c>
      <c r="AL44" s="2">
        <f>COUNTIFS('BA History'!$B:$B,$A$44,'BA History'!AE:AE, 1)</f>
        <v>0</v>
      </c>
      <c r="AM44" s="2">
        <f>COUNTIFS('BA History'!$B:$B,$A$44,'BA History'!AF:AF, 1)</f>
        <v>0</v>
      </c>
    </row>
    <row r="45" spans="1:39" x14ac:dyDescent="0.25">
      <c r="A45" s="2" t="s">
        <v>147</v>
      </c>
      <c r="B45" s="2" t="s">
        <v>79</v>
      </c>
      <c r="C45" s="2"/>
      <c r="D45" s="2"/>
      <c r="E45" s="2"/>
      <c r="F45" s="34">
        <f>SUMIFS('BA History'!C:C,'BA History'!B:B,A45)</f>
        <v>241</v>
      </c>
      <c r="G45" s="66">
        <f>AVERAGEIFS('BA History'!C:C,'BA History'!B:B,A45)</f>
        <v>11.476190476190476</v>
      </c>
      <c r="H45" s="35">
        <f t="array" ref="H45">MAX(IF('BA History'!B:B=A45, 'BA History'!C:C))</f>
        <v>33</v>
      </c>
      <c r="I45" s="34">
        <f>COUNTIFS('BA History'!B:B,A45,'BA History'!D:D, 1)</f>
        <v>11</v>
      </c>
      <c r="J45" s="2">
        <f>COUNTIFS('BA History'!B:B,A45,'BA History'!D:D, 0)</f>
        <v>10</v>
      </c>
      <c r="K45" s="75">
        <f>LOOKUP(2, 1/('BA History'!$B:$B=A45), 'BA History'!$AJ:$AJ)</f>
        <v>0.52380952380952384</v>
      </c>
      <c r="L45" s="34">
        <f>SUMIFS('BA History'!F:F,'BA History'!B:B,A45)</f>
        <v>44</v>
      </c>
      <c r="M45" s="2">
        <f>SUMIFS('BA History'!E:E,'BA History'!B:B,A45)-L45</f>
        <v>38</v>
      </c>
      <c r="N45" s="75">
        <f>LOOKUP(2, 1/('BA History'!$B:$B=A45), 'BA History'!$AH:$AH)</f>
        <v>0.56428571428571428</v>
      </c>
      <c r="O45" s="34">
        <f>SUMIFS('BA History'!H:H,'BA History'!B:B,A45)</f>
        <v>174</v>
      </c>
      <c r="P45" s="2">
        <f>SUMIFS('BA History'!G:G,'BA History'!B:B,A45)-O45</f>
        <v>161</v>
      </c>
      <c r="Q45" s="89">
        <f>LOOKUP(2, 1/('BA History'!$B:$B=A45), 'BA History'!$AI:$AI)</f>
        <v>0.54095238095238085</v>
      </c>
      <c r="R45" s="2">
        <f>COUNTIFS('BA History'!$B:$B,$A$45,'BA History'!K:K, 1)</f>
        <v>3</v>
      </c>
      <c r="S45" s="2">
        <f>COUNTIFS('BA History'!$B:$B,$A$45,'BA History'!L:L, 1)</f>
        <v>3</v>
      </c>
      <c r="T45" s="2">
        <f>COUNTIFS('BA History'!$B:$B,$A$45,'BA History'!M:M, 1)</f>
        <v>3</v>
      </c>
      <c r="U45" s="2">
        <f>COUNTIFS('BA History'!$B:$B,$A$45,'BA History'!N:N, 1)</f>
        <v>5</v>
      </c>
      <c r="V45" s="2">
        <f>COUNTIFS('BA History'!$B:$B,$A$45,'BA History'!O:O, 1)</f>
        <v>0</v>
      </c>
      <c r="W45" s="2">
        <f>COUNTIFS('BA History'!$B:$B,$A$45,'BA History'!P:P, 1)</f>
        <v>0</v>
      </c>
      <c r="X45" s="2">
        <f>COUNTIFS('BA History'!$B:$B,$A$45,'BA History'!Q:Q, 1)</f>
        <v>1</v>
      </c>
      <c r="Y45" s="2">
        <f>COUNTIFS('BA History'!$B:$B,$A$45,'BA History'!R:R, 1)</f>
        <v>1</v>
      </c>
      <c r="Z45" s="2">
        <f>COUNTIFS('BA History'!$B:$B,$A$45,'BA History'!S:S, 1)</f>
        <v>0</v>
      </c>
      <c r="AA45" s="2">
        <f>COUNTIFS('BA History'!$B:$B,$A$45,'BA History'!T:T, 1)</f>
        <v>0</v>
      </c>
      <c r="AB45" s="2">
        <f>COUNTIFS('BA History'!$B:$B,$A$45,'BA History'!U:U, 1)</f>
        <v>0</v>
      </c>
      <c r="AC45" s="2">
        <f>COUNTIFS('BA History'!$B:$B,$A$45,'BA History'!V:V, 1)</f>
        <v>2</v>
      </c>
      <c r="AD45" s="2">
        <f>COUNTIFS('BA History'!$B:$B,$A$45,'BA History'!W:W, 1)</f>
        <v>0</v>
      </c>
      <c r="AE45" s="2">
        <f>COUNTIFS('BA History'!$B:$B,$A$45,'BA History'!X:X, 1)</f>
        <v>0</v>
      </c>
      <c r="AF45" s="2">
        <f>COUNTIFS('BA History'!$B:$B,$A$45,'BA History'!Y:Y, 1)</f>
        <v>5</v>
      </c>
      <c r="AG45" s="2">
        <f>COUNTIFS('BA History'!$B:$B,$A$45,'BA History'!Z:Z, 1)</f>
        <v>7</v>
      </c>
      <c r="AH45" s="2">
        <f>COUNTIFS('BA History'!$B:$B,$A$45,'BA History'!AA:AA, 1)</f>
        <v>0</v>
      </c>
      <c r="AI45" s="2">
        <f>COUNTIFS('BA History'!$B:$B,$A$45,'BA History'!AB:AB, 1)</f>
        <v>8</v>
      </c>
      <c r="AJ45" s="2">
        <f>COUNTIFS('BA History'!$B:$B,$A$45,'BA History'!AC:AC, 1)</f>
        <v>0</v>
      </c>
      <c r="AK45" s="2">
        <f>COUNTIFS('BA History'!$B:$B,$A$45,'BA History'!AD:AD, 1)</f>
        <v>2</v>
      </c>
      <c r="AL45" s="2">
        <f>COUNTIFS('BA History'!$B:$B,$A$45,'BA History'!AE:AE, 1)</f>
        <v>0</v>
      </c>
      <c r="AM45" s="2">
        <f>COUNTIFS('BA History'!$B:$B,$A$45,'BA History'!AF:AF, 1)</f>
        <v>4</v>
      </c>
    </row>
    <row r="46" spans="1:39" x14ac:dyDescent="0.25">
      <c r="A46" s="2" t="s">
        <v>17</v>
      </c>
      <c r="B46" s="2" t="s">
        <v>79</v>
      </c>
      <c r="C46" s="2"/>
      <c r="D46" s="2"/>
      <c r="E46" s="2"/>
      <c r="F46" s="34">
        <f>SUMIFS('BA History'!C:C,'BA History'!B:B,A46)</f>
        <v>652</v>
      </c>
      <c r="G46" s="66">
        <f>AVERAGEIFS('BA History'!C:C,'BA History'!B:B,A46)</f>
        <v>19.757575757575758</v>
      </c>
      <c r="H46" s="35">
        <f t="array" ref="H46">MAX(IF('BA History'!B:B=A46, 'BA History'!C:C))</f>
        <v>32</v>
      </c>
      <c r="I46" s="34">
        <f>COUNTIFS('BA History'!B:B,A46,'BA History'!D:D, 1)</f>
        <v>17</v>
      </c>
      <c r="J46" s="2">
        <f>COUNTIFS('BA History'!B:B,A46,'BA History'!D:D, 0)</f>
        <v>16</v>
      </c>
      <c r="K46" s="75">
        <f>LOOKUP(2, 1/('BA History'!$B:$B=A46), 'BA History'!$AJ:$AJ)</f>
        <v>0.51515151515151514</v>
      </c>
      <c r="L46" s="34">
        <f>SUMIFS('BA History'!F:F,'BA History'!B:B,A46)</f>
        <v>67</v>
      </c>
      <c r="M46" s="2">
        <f>SUMIFS('BA History'!E:E,'BA History'!B:B,A46)-L46</f>
        <v>64</v>
      </c>
      <c r="N46" s="75">
        <f>LOOKUP(2, 1/('BA History'!$B:$B=A46), 'BA History'!$AH:$AH)</f>
        <v>0.51424242424242417</v>
      </c>
      <c r="O46" s="34">
        <f>SUMIFS('BA History'!H:H,'BA History'!B:B,A46)</f>
        <v>267</v>
      </c>
      <c r="P46" s="2">
        <f>SUMIFS('BA History'!G:G,'BA History'!B:B,A46)-O46</f>
        <v>272</v>
      </c>
      <c r="Q46" s="89">
        <f>LOOKUP(2, 1/('BA History'!$B:$B=A46), 'BA History'!$AI:$AI)</f>
        <v>0.48818181818181827</v>
      </c>
      <c r="R46" s="2">
        <f>COUNTIFS('BA History'!$B:$B,$A$46,'BA History'!K:K, 1)</f>
        <v>5</v>
      </c>
      <c r="S46" s="2">
        <f>COUNTIFS('BA History'!$B:$B,$A$46,'BA History'!L:L, 1)</f>
        <v>2</v>
      </c>
      <c r="T46" s="2">
        <f>COUNTIFS('BA History'!$B:$B,$A$46,'BA History'!M:M, 1)</f>
        <v>5</v>
      </c>
      <c r="U46" s="2">
        <f>COUNTIFS('BA History'!$B:$B,$A$46,'BA History'!N:N, 1)</f>
        <v>9</v>
      </c>
      <c r="V46" s="2">
        <f>COUNTIFS('BA History'!$B:$B,$A$46,'BA History'!O:O, 1)</f>
        <v>0</v>
      </c>
      <c r="W46" s="2">
        <f>COUNTIFS('BA History'!$B:$B,$A$46,'BA History'!P:P, 1)</f>
        <v>0</v>
      </c>
      <c r="X46" s="2">
        <f>COUNTIFS('BA History'!$B:$B,$A$46,'BA History'!Q:Q, 1)</f>
        <v>3</v>
      </c>
      <c r="Y46" s="2">
        <f>COUNTIFS('BA History'!$B:$B,$A$46,'BA History'!R:R, 1)</f>
        <v>1</v>
      </c>
      <c r="Z46" s="2">
        <f>COUNTIFS('BA History'!$B:$B,$A$46,'BA History'!S:S, 1)</f>
        <v>0</v>
      </c>
      <c r="AA46" s="2">
        <f>COUNTIFS('BA History'!$B:$B,$A$46,'BA History'!T:T, 1)</f>
        <v>0</v>
      </c>
      <c r="AB46" s="2">
        <f>COUNTIFS('BA History'!$B:$B,$A$46,'BA History'!U:U, 1)</f>
        <v>2</v>
      </c>
      <c r="AC46" s="2">
        <f>COUNTIFS('BA History'!$B:$B,$A$46,'BA History'!V:V, 1)</f>
        <v>3</v>
      </c>
      <c r="AD46" s="2">
        <f>COUNTIFS('BA History'!$B:$B,$A$46,'BA History'!W:W, 1)</f>
        <v>0</v>
      </c>
      <c r="AE46" s="2">
        <f>COUNTIFS('BA History'!$B:$B,$A$46,'BA History'!X:X, 1)</f>
        <v>0</v>
      </c>
      <c r="AF46" s="2">
        <f>COUNTIFS('BA History'!$B:$B,$A$46,'BA History'!Y:Y, 1)</f>
        <v>2</v>
      </c>
      <c r="AG46" s="2">
        <f>COUNTIFS('BA History'!$B:$B,$A$46,'BA History'!Z:Z, 1)</f>
        <v>8</v>
      </c>
      <c r="AH46" s="2">
        <f>COUNTIFS('BA History'!$B:$B,$A$46,'BA History'!AA:AA, 1)</f>
        <v>1</v>
      </c>
      <c r="AI46" s="2">
        <f>COUNTIFS('BA History'!$B:$B,$A$46,'BA History'!AB:AB, 1)</f>
        <v>8</v>
      </c>
      <c r="AJ46" s="2">
        <f>COUNTIFS('BA History'!$B:$B,$A$46,'BA History'!AC:AC, 1)</f>
        <v>7</v>
      </c>
      <c r="AK46" s="2">
        <f>COUNTIFS('BA History'!$B:$B,$A$46,'BA History'!AD:AD, 1)</f>
        <v>8</v>
      </c>
      <c r="AL46" s="2">
        <f>COUNTIFS('BA History'!$B:$B,$A$46,'BA History'!AE:AE, 1)</f>
        <v>1</v>
      </c>
      <c r="AM46" s="2">
        <f>COUNTIFS('BA History'!$B:$B,$A$46,'BA History'!AF:AF, 1)</f>
        <v>2</v>
      </c>
    </row>
    <row r="47" spans="1:39" ht="14.25" customHeight="1" x14ac:dyDescent="0.25">
      <c r="A47" s="1" t="s">
        <v>105</v>
      </c>
      <c r="B47" s="2" t="s">
        <v>79</v>
      </c>
      <c r="C47" s="2"/>
      <c r="D47" s="2"/>
      <c r="E47" s="2"/>
      <c r="F47" s="34">
        <f>SUMIFS('BA History'!C:C,'BA History'!B:B,A47)</f>
        <v>12</v>
      </c>
      <c r="G47" s="66">
        <f>AVERAGEIFS('BA History'!C:C,'BA History'!B:B,A47)</f>
        <v>12</v>
      </c>
      <c r="H47" s="35">
        <f t="array" ref="H47">MAX(IF('BA History'!B:B=A47, 'BA History'!C:C))</f>
        <v>12</v>
      </c>
      <c r="I47" s="34">
        <f>COUNTIFS('BA History'!B:B,A47,'BA History'!D:D, 1)</f>
        <v>1</v>
      </c>
      <c r="J47" s="2">
        <f>COUNTIFS('BA History'!B:B,A47,'BA History'!D:D, 0)</f>
        <v>0</v>
      </c>
      <c r="K47" s="75">
        <f>LOOKUP(2, 1/('BA History'!$B:$B=A47), 'BA History'!$AJ:$AJ)</f>
        <v>1</v>
      </c>
      <c r="L47" s="34">
        <f>SUMIFS('BA History'!F:F,'BA History'!B:B,A47)</f>
        <v>3</v>
      </c>
      <c r="M47" s="2">
        <f>SUMIFS('BA History'!E:E,'BA History'!B:B,A47)-L47</f>
        <v>2</v>
      </c>
      <c r="N47" s="75">
        <f>LOOKUP(2, 1/('BA History'!$B:$B=A47), 'BA History'!$AH:$AH)</f>
        <v>0.6</v>
      </c>
      <c r="O47" s="34">
        <f>SUMIFS('BA History'!H:H,'BA History'!B:B,A47)</f>
        <v>9</v>
      </c>
      <c r="P47" s="2">
        <f>SUMIFS('BA History'!G:G,'BA History'!B:B,A47)-O47</f>
        <v>10</v>
      </c>
      <c r="Q47" s="89">
        <f>LOOKUP(2, 1/('BA History'!$B:$B=A47), 'BA History'!$AI:$AI)</f>
        <v>0.47</v>
      </c>
      <c r="R47" s="2">
        <f>COUNTIFS('BA History'!$B:$B,$A$47,'BA History'!K:K, 1)</f>
        <v>0</v>
      </c>
      <c r="S47" s="2">
        <f>COUNTIFS('BA History'!$B:$B,$A$47,'BA History'!L:L, 1)</f>
        <v>0</v>
      </c>
      <c r="T47" s="2">
        <f>COUNTIFS('BA History'!$B:$B,$A$47,'BA History'!M:M, 1)</f>
        <v>0</v>
      </c>
      <c r="U47" s="2">
        <f>COUNTIFS('BA History'!$B:$B,$A$47,'BA History'!N:N, 1)</f>
        <v>0</v>
      </c>
      <c r="V47" s="2">
        <f>COUNTIFS('BA History'!$B:$B,$A$47,'BA History'!O:O, 1)</f>
        <v>0</v>
      </c>
      <c r="W47" s="2">
        <f>COUNTIFS('BA History'!$B:$B,$A$47,'BA History'!P:P, 1)</f>
        <v>0</v>
      </c>
      <c r="X47" s="2">
        <f>COUNTIFS('BA History'!$B:$B,$A$47,'BA History'!Q:Q, 1)</f>
        <v>0</v>
      </c>
      <c r="Y47" s="2">
        <f>COUNTIFS('BA History'!$B:$B,$A$47,'BA History'!R:R, 1)</f>
        <v>0</v>
      </c>
      <c r="Z47" s="2">
        <f>COUNTIFS('BA History'!$B:$B,$A$47,'BA History'!S:S, 1)</f>
        <v>0</v>
      </c>
      <c r="AA47" s="2">
        <f>COUNTIFS('BA History'!$B:$B,$A$47,'BA History'!T:T, 1)</f>
        <v>0</v>
      </c>
      <c r="AB47" s="2">
        <f>COUNTIFS('BA History'!$B:$B,$A$47,'BA History'!U:U, 1)</f>
        <v>1</v>
      </c>
      <c r="AC47" s="2">
        <f>COUNTIFS('BA History'!$B:$B,$A$47,'BA History'!V:V, 1)</f>
        <v>0</v>
      </c>
      <c r="AD47" s="2">
        <f>COUNTIFS('BA History'!$B:$B,$A$47,'BA History'!W:W, 1)</f>
        <v>0</v>
      </c>
      <c r="AE47" s="2">
        <f>COUNTIFS('BA History'!$B:$B,$A$47,'BA History'!X:X, 1)</f>
        <v>0</v>
      </c>
      <c r="AF47" s="2">
        <f>COUNTIFS('BA History'!$B:$B,$A$47,'BA History'!Y:Y, 1)</f>
        <v>0</v>
      </c>
      <c r="AG47" s="2">
        <f>COUNTIFS('BA History'!$B:$B,$A$47,'BA History'!Z:Z, 1)</f>
        <v>0</v>
      </c>
      <c r="AH47" s="2">
        <f>COUNTIFS('BA History'!$B:$B,$A$47,'BA History'!AA:AA, 1)</f>
        <v>0</v>
      </c>
      <c r="AI47" s="2">
        <f>COUNTIFS('BA History'!$B:$B,$A$47,'BA History'!AB:AB, 1)</f>
        <v>1</v>
      </c>
      <c r="AJ47" s="2">
        <f>COUNTIFS('BA History'!$B:$B,$A$47,'BA History'!AC:AC, 1)</f>
        <v>1</v>
      </c>
      <c r="AK47" s="2">
        <f>COUNTIFS('BA History'!$B:$B,$A$47,'BA History'!AD:AD, 1)</f>
        <v>0</v>
      </c>
      <c r="AL47" s="2">
        <f>COUNTIFS('BA History'!$B:$B,$A$47,'BA History'!AE:AE, 1)</f>
        <v>0</v>
      </c>
      <c r="AM47" s="2">
        <f>COUNTIFS('BA History'!$B:$B,$A$47,'BA History'!AF:AF, 1)</f>
        <v>0</v>
      </c>
    </row>
    <row r="48" spans="1:39" ht="14.25" customHeight="1" x14ac:dyDescent="0.25">
      <c r="A48" s="1" t="s">
        <v>143</v>
      </c>
      <c r="B48" s="2" t="s">
        <v>79</v>
      </c>
      <c r="C48" s="2"/>
      <c r="D48" s="2"/>
      <c r="E48" s="2"/>
      <c r="F48" s="34">
        <f>SUMIFS('BA History'!C:C,'BA History'!B:B,A48)</f>
        <v>4</v>
      </c>
      <c r="G48" s="66">
        <f>AVERAGEIFS('BA History'!C:C,'BA History'!B:B,A48)</f>
        <v>4</v>
      </c>
      <c r="H48" s="35">
        <f t="array" ref="H48">MAX(IF('BA History'!B:B=A48, 'BA History'!C:C))</f>
        <v>4</v>
      </c>
      <c r="I48" s="34">
        <f>COUNTIFS('BA History'!B:B,A48,'BA History'!D:D, 1)</f>
        <v>0</v>
      </c>
      <c r="J48" s="2">
        <f>COUNTIFS('BA History'!B:B,A48,'BA History'!D:D, 0)</f>
        <v>1</v>
      </c>
      <c r="K48" s="75">
        <f>LOOKUP(2, 1/('BA History'!$B:$B=A48), 'BA History'!$AJ:$AJ)</f>
        <v>0</v>
      </c>
      <c r="L48" s="34">
        <f>SUMIFS('BA History'!F:F,'BA History'!B:B,A48)</f>
        <v>1</v>
      </c>
      <c r="M48" s="2">
        <f>SUMIFS('BA History'!E:E,'BA History'!B:B,A48)-L48</f>
        <v>3</v>
      </c>
      <c r="N48" s="75">
        <f>LOOKUP(2, 1/('BA History'!$B:$B=A48), 'BA History'!$AH:$AH)</f>
        <v>0.25</v>
      </c>
      <c r="O48" s="34">
        <f>SUMIFS('BA History'!H:H,'BA History'!B:B,A48)</f>
        <v>7</v>
      </c>
      <c r="P48" s="2">
        <f>SUMIFS('BA History'!G:G,'BA History'!B:B,A48)-O48</f>
        <v>9</v>
      </c>
      <c r="Q48" s="89">
        <f>LOOKUP(2, 1/('BA History'!$B:$B=A48), 'BA History'!$AI:$AI)</f>
        <v>0.44</v>
      </c>
      <c r="R48" s="2">
        <f>COUNTIFS('BA History'!$B:$B,$A$48,'BA History'!K:K, 1)</f>
        <v>0</v>
      </c>
      <c r="S48" s="2">
        <f>COUNTIFS('BA History'!$B:$B,$A$48,'BA History'!L:L, 1)</f>
        <v>0</v>
      </c>
      <c r="T48" s="2">
        <f>COUNTIFS('BA History'!$B:$B,$A$48,'BA History'!M:M, 1)</f>
        <v>0</v>
      </c>
      <c r="U48" s="2">
        <f>COUNTIFS('BA History'!$B:$B,$A$48,'BA History'!N:N, 1)</f>
        <v>0</v>
      </c>
      <c r="V48" s="2">
        <f>COUNTIFS('BA History'!$B:$B,$A$48,'BA History'!O:O, 1)</f>
        <v>0</v>
      </c>
      <c r="W48" s="2">
        <f>COUNTIFS('BA History'!$B:$B,$A$48,'BA History'!P:P, 1)</f>
        <v>0</v>
      </c>
      <c r="X48" s="2">
        <f>COUNTIFS('BA History'!$B:$B,$A$48,'BA History'!Q:Q, 1)</f>
        <v>0</v>
      </c>
      <c r="Y48" s="2">
        <f>COUNTIFS('BA History'!$B:$B,$A$48,'BA History'!R:R, 1)</f>
        <v>0</v>
      </c>
      <c r="Z48" s="2">
        <f>COUNTIFS('BA History'!$B:$B,$A$48,'BA History'!S:S, 1)</f>
        <v>0</v>
      </c>
      <c r="AA48" s="2">
        <f>COUNTIFS('BA History'!$B:$B,$A$48,'BA History'!T:T, 1)</f>
        <v>0</v>
      </c>
      <c r="AB48" s="2">
        <f>COUNTIFS('BA History'!$B:$B,$A$48,'BA History'!U:U, 1)</f>
        <v>0</v>
      </c>
      <c r="AC48" s="2">
        <f>COUNTIFS('BA History'!$B:$B,$A$48,'BA History'!V:V, 1)</f>
        <v>0</v>
      </c>
      <c r="AD48" s="2">
        <f>COUNTIFS('BA History'!$B:$B,$A$48,'BA History'!W:W, 1)</f>
        <v>0</v>
      </c>
      <c r="AE48" s="2">
        <f>COUNTIFS('BA History'!$B:$B,$A$48,'BA History'!X:X, 1)</f>
        <v>0</v>
      </c>
      <c r="AF48" s="2">
        <f>COUNTIFS('BA History'!$B:$B,$A$48,'BA History'!Y:Y, 1)</f>
        <v>1</v>
      </c>
      <c r="AG48" s="2">
        <f>COUNTIFS('BA History'!$B:$B,$A$48,'BA History'!Z:Z, 1)</f>
        <v>0</v>
      </c>
      <c r="AH48" s="2">
        <f>COUNTIFS('BA History'!$B:$B,$A$48,'BA History'!AA:AA, 1)</f>
        <v>0</v>
      </c>
      <c r="AI48" s="2">
        <f>COUNTIFS('BA History'!$B:$B,$A$48,'BA History'!AB:AB, 1)</f>
        <v>0</v>
      </c>
      <c r="AJ48" s="2">
        <f>COUNTIFS('BA History'!$B:$B,$A$48,'BA History'!AC:AC, 1)</f>
        <v>0</v>
      </c>
      <c r="AK48" s="2">
        <f>COUNTIFS('BA History'!$B:$B,$A$48,'BA History'!AD:AD, 1)</f>
        <v>0</v>
      </c>
      <c r="AL48" s="2">
        <f>COUNTIFS('BA History'!$B:$B,$A$48,'BA History'!AE:AE, 1)</f>
        <v>0</v>
      </c>
      <c r="AM48" s="2">
        <f>COUNTIFS('BA History'!$B:$B,$A$48,'BA History'!AF:AF, 1)</f>
        <v>0</v>
      </c>
    </row>
    <row r="49" spans="1:39" x14ac:dyDescent="0.25">
      <c r="A49" s="1" t="s">
        <v>118</v>
      </c>
      <c r="B49" s="2" t="s">
        <v>79</v>
      </c>
      <c r="C49" s="2"/>
      <c r="D49" s="2"/>
      <c r="E49" s="2"/>
      <c r="F49" s="34">
        <f>SUMIFS('BA History'!C:C,'BA History'!B:B,A49)</f>
        <v>30</v>
      </c>
      <c r="G49" s="66">
        <f>AVERAGEIFS('BA History'!C:C,'BA History'!B:B,A49)</f>
        <v>15</v>
      </c>
      <c r="H49" s="35">
        <f t="array" ref="H49">MAX(IF('BA History'!B:B=A49, 'BA History'!C:C))</f>
        <v>20</v>
      </c>
      <c r="I49" s="34">
        <f>COUNTIFS('BA History'!B:B,A49,'BA History'!D:D, 1)</f>
        <v>1</v>
      </c>
      <c r="J49" s="2">
        <f>COUNTIFS('BA History'!B:B,A49,'BA History'!D:D, 0)</f>
        <v>1</v>
      </c>
      <c r="K49" s="75">
        <f>LOOKUP(2, 1/('BA History'!$B:$B=A49), 'BA History'!$AJ:$AJ)</f>
        <v>0.5</v>
      </c>
      <c r="L49" s="34">
        <f>SUMIFS('BA History'!F:F,'BA History'!B:B,A49)</f>
        <v>4</v>
      </c>
      <c r="M49" s="2">
        <f>SUMIFS('BA History'!E:E,'BA History'!B:B,A49)-L49</f>
        <v>4</v>
      </c>
      <c r="N49" s="75">
        <f>LOOKUP(2, 1/('BA History'!$B:$B=A49), 'BA History'!$AH:$AH)</f>
        <v>0.5</v>
      </c>
      <c r="O49" s="34">
        <f>SUMIFS('BA History'!H:H,'BA History'!B:B,A49)</f>
        <v>15</v>
      </c>
      <c r="P49" s="2">
        <f>SUMIFS('BA History'!G:G,'BA History'!B:B,A49)-O49</f>
        <v>15</v>
      </c>
      <c r="Q49" s="89">
        <f>LOOKUP(2, 1/('BA History'!$B:$B=A49), 'BA History'!$AI:$AI)</f>
        <v>0.51</v>
      </c>
      <c r="R49" s="2">
        <f>COUNTIFS('BA History'!$B:$B,$A$49,'BA History'!K:K, 1)</f>
        <v>0</v>
      </c>
      <c r="S49" s="2">
        <f>COUNTIFS('BA History'!$B:$B,$A$49,'BA History'!L:L, 1)</f>
        <v>0</v>
      </c>
      <c r="T49" s="2">
        <f>COUNTIFS('BA History'!$B:$B,$A$49,'BA History'!M:M, 1)</f>
        <v>0</v>
      </c>
      <c r="U49" s="2">
        <f>COUNTIFS('BA History'!$B:$B,$A$49,'BA History'!N:N, 1)</f>
        <v>0</v>
      </c>
      <c r="V49" s="2">
        <f>COUNTIFS('BA History'!$B:$B,$A$49,'BA History'!O:O, 1)</f>
        <v>0</v>
      </c>
      <c r="W49" s="2">
        <f>COUNTIFS('BA History'!$B:$B,$A$49,'BA History'!P:P, 1)</f>
        <v>0</v>
      </c>
      <c r="X49" s="2">
        <f>COUNTIFS('BA History'!$B:$B,$A$49,'BA History'!Q:Q, 1)</f>
        <v>0</v>
      </c>
      <c r="Y49" s="2">
        <f>COUNTIFS('BA History'!$B:$B,$A$49,'BA History'!R:R, 1)</f>
        <v>0</v>
      </c>
      <c r="Z49" s="2">
        <f>COUNTIFS('BA History'!$B:$B,$A$49,'BA History'!S:S, 1)</f>
        <v>0</v>
      </c>
      <c r="AA49" s="2">
        <f>COUNTIFS('BA History'!$B:$B,$A$49,'BA History'!T:T, 1)</f>
        <v>0</v>
      </c>
      <c r="AB49" s="2">
        <f>COUNTIFS('BA History'!$B:$B,$A$49,'BA History'!U:U, 1)</f>
        <v>0</v>
      </c>
      <c r="AC49" s="2">
        <f>COUNTIFS('BA History'!$B:$B,$A$49,'BA History'!V:V, 1)</f>
        <v>1</v>
      </c>
      <c r="AD49" s="2">
        <f>COUNTIFS('BA History'!$B:$B,$A$49,'BA History'!W:W, 1)</f>
        <v>0</v>
      </c>
      <c r="AE49" s="2">
        <f>COUNTIFS('BA History'!$B:$B,$A$49,'BA History'!X:X, 1)</f>
        <v>0</v>
      </c>
      <c r="AF49" s="2">
        <f>COUNTIFS('BA History'!$B:$B,$A$49,'BA History'!Y:Y, 1)</f>
        <v>0</v>
      </c>
      <c r="AG49" s="2">
        <f>COUNTIFS('BA History'!$B:$B,$A$49,'BA History'!Z:Z, 1)</f>
        <v>1</v>
      </c>
      <c r="AH49" s="2">
        <f>COUNTIFS('BA History'!$B:$B,$A$49,'BA History'!AA:AA, 1)</f>
        <v>0</v>
      </c>
      <c r="AI49" s="2">
        <f>COUNTIFS('BA History'!$B:$B,$A$49,'BA History'!AB:AB, 1)</f>
        <v>0</v>
      </c>
      <c r="AJ49" s="2">
        <f>COUNTIFS('BA History'!$B:$B,$A$49,'BA History'!AC:AC, 1)</f>
        <v>1</v>
      </c>
      <c r="AK49" s="2">
        <f>COUNTIFS('BA History'!$B:$B,$A$49,'BA History'!AD:AD, 1)</f>
        <v>1</v>
      </c>
      <c r="AL49" s="2">
        <f>COUNTIFS('BA History'!$B:$B,$A$49,'BA History'!AE:AE, 1)</f>
        <v>0</v>
      </c>
      <c r="AM49" s="2">
        <f>COUNTIFS('BA History'!$B:$B,$A$49,'BA History'!AF:AF, 1)</f>
        <v>0</v>
      </c>
    </row>
    <row r="50" spans="1:39" x14ac:dyDescent="0.25">
      <c r="A50" s="2" t="s">
        <v>6</v>
      </c>
      <c r="B50" s="1" t="s">
        <v>160</v>
      </c>
      <c r="C50" s="1"/>
      <c r="D50" s="1"/>
      <c r="E50" s="1">
        <v>1</v>
      </c>
      <c r="F50" s="34">
        <f>SUMIFS('BA History'!C:C,'BA History'!B:B,A50)</f>
        <v>1290</v>
      </c>
      <c r="G50" s="66">
        <f>AVERAGEIFS('BA History'!C:C,'BA History'!B:B,A50)</f>
        <v>21.864406779661017</v>
      </c>
      <c r="H50" s="35">
        <f t="array" ref="H50">MAX(IF('BA History'!B:B=A50, 'BA History'!C:C))</f>
        <v>37</v>
      </c>
      <c r="I50" s="34">
        <f>COUNTIFS('BA History'!B:B,A50,'BA History'!D:D, 1)</f>
        <v>34</v>
      </c>
      <c r="J50" s="2">
        <f>COUNTIFS('BA History'!B:B,A50,'BA History'!D:D, 0)</f>
        <v>25</v>
      </c>
      <c r="K50" s="75">
        <f>LOOKUP(2, 1/('BA History'!$B:$B=A50), 'BA History'!$AJ:$AJ)</f>
        <v>0.57627118644067798</v>
      </c>
      <c r="L50" s="34">
        <f>SUMIFS('BA History'!F:F,'BA History'!B:B,A50)</f>
        <v>124</v>
      </c>
      <c r="M50" s="2">
        <f>SUMIFS('BA History'!E:E,'BA History'!B:B,A50)-L50</f>
        <v>112</v>
      </c>
      <c r="N50" s="75">
        <f>LOOKUP(2, 1/('BA History'!$B:$B=A50), 'BA History'!$AH:$AH)</f>
        <v>0.51830508474576276</v>
      </c>
      <c r="O50" s="34">
        <f>SUMIFS('BA History'!H:H,'BA History'!B:B,A50)</f>
        <v>509</v>
      </c>
      <c r="P50" s="2">
        <f>SUMIFS('BA History'!G:G,'BA History'!B:B,A50)-O50</f>
        <v>468</v>
      </c>
      <c r="Q50" s="89">
        <f>LOOKUP(2, 1/('BA History'!$B:$B=A50), 'BA History'!$AI:$AI)</f>
        <v>0.51813559322033897</v>
      </c>
      <c r="R50" s="2">
        <f>COUNTIFS('BA History'!$B:$B,$A$50,'BA History'!K:K, 1)</f>
        <v>5</v>
      </c>
      <c r="S50" s="2">
        <f>COUNTIFS('BA History'!$B:$B,$A$50,'BA History'!L:L, 1)</f>
        <v>6</v>
      </c>
      <c r="T50" s="2">
        <f>COUNTIFS('BA History'!$B:$B,$A$50,'BA History'!M:M, 1)</f>
        <v>10</v>
      </c>
      <c r="U50" s="2">
        <f>COUNTIFS('BA History'!$B:$B,$A$50,'BA History'!N:N, 1)</f>
        <v>11</v>
      </c>
      <c r="V50" s="2">
        <f>COUNTIFS('BA History'!$B:$B,$A$50,'BA History'!O:O, 1)</f>
        <v>2</v>
      </c>
      <c r="W50" s="2">
        <f>COUNTIFS('BA History'!$B:$B,$A$50,'BA History'!P:P, 1)</f>
        <v>0</v>
      </c>
      <c r="X50" s="2">
        <f>COUNTIFS('BA History'!$B:$B,$A$50,'BA History'!Q:Q, 1)</f>
        <v>5</v>
      </c>
      <c r="Y50" s="2">
        <f>COUNTIFS('BA History'!$B:$B,$A$50,'BA History'!R:R, 1)</f>
        <v>4</v>
      </c>
      <c r="Z50" s="2">
        <f>COUNTIFS('BA History'!$B:$B,$A$50,'BA History'!S:S, 1)</f>
        <v>1</v>
      </c>
      <c r="AA50" s="2">
        <f>COUNTIFS('BA History'!$B:$B,$A$50,'BA History'!T:T, 1)</f>
        <v>0</v>
      </c>
      <c r="AB50" s="2">
        <f>COUNTIFS('BA History'!$B:$B,$A$50,'BA History'!U:U, 1)</f>
        <v>2</v>
      </c>
      <c r="AC50" s="2">
        <f>COUNTIFS('BA History'!$B:$B,$A$50,'BA History'!V:V, 1)</f>
        <v>9</v>
      </c>
      <c r="AD50" s="2">
        <f>COUNTIFS('BA History'!$B:$B,$A$50,'BA History'!W:W, 1)</f>
        <v>4</v>
      </c>
      <c r="AE50" s="2">
        <f>COUNTIFS('BA History'!$B:$B,$A$50,'BA History'!X:X, 1)</f>
        <v>2</v>
      </c>
      <c r="AF50" s="2">
        <f>COUNTIFS('BA History'!$B:$B,$A$50,'BA History'!Y:Y, 1)</f>
        <v>6</v>
      </c>
      <c r="AG50" s="2">
        <f>COUNTIFS('BA History'!$B:$B,$A$50,'BA History'!Z:Z, 1)</f>
        <v>16</v>
      </c>
      <c r="AH50" s="2">
        <f>COUNTIFS('BA History'!$B:$B,$A$50,'BA History'!AA:AA, 1)</f>
        <v>1</v>
      </c>
      <c r="AI50" s="2">
        <f>COUNTIFS('BA History'!$B:$B,$A$50,'BA History'!AB:AB, 1)</f>
        <v>15</v>
      </c>
      <c r="AJ50" s="2">
        <f>COUNTIFS('BA History'!$B:$B,$A$50,'BA History'!AC:AC, 1)</f>
        <v>7</v>
      </c>
      <c r="AK50" s="2">
        <f>COUNTIFS('BA History'!$B:$B,$A$50,'BA History'!AD:AD, 1)</f>
        <v>9</v>
      </c>
      <c r="AL50" s="2">
        <f>COUNTIFS('BA History'!$B:$B,$A$50,'BA History'!AE:AE, 1)</f>
        <v>1</v>
      </c>
      <c r="AM50" s="2">
        <f>COUNTIFS('BA History'!$B:$B,$A$50,'BA History'!AF:AF, 1)</f>
        <v>8</v>
      </c>
    </row>
    <row r="51" spans="1:39" x14ac:dyDescent="0.25">
      <c r="A51" s="2" t="s">
        <v>18</v>
      </c>
      <c r="B51" s="2" t="s">
        <v>79</v>
      </c>
      <c r="C51" s="2"/>
      <c r="D51" s="2"/>
      <c r="E51" s="2"/>
      <c r="F51" s="34">
        <f>SUMIFS('BA History'!C:C,'BA History'!B:B,A51)</f>
        <v>129</v>
      </c>
      <c r="G51" s="66">
        <f>AVERAGEIFS('BA History'!C:C,'BA History'!B:B,A51)</f>
        <v>18.428571428571427</v>
      </c>
      <c r="H51" s="35">
        <f t="array" ref="H51">MAX(IF('BA History'!B:B=A51, 'BA History'!C:C))</f>
        <v>26</v>
      </c>
      <c r="I51" s="34">
        <f>COUNTIFS('BA History'!B:B,A51,'BA History'!D:D, 1)</f>
        <v>6</v>
      </c>
      <c r="J51" s="2">
        <f>COUNTIFS('BA History'!B:B,A51,'BA History'!D:D, 0)</f>
        <v>1</v>
      </c>
      <c r="K51" s="75">
        <f>LOOKUP(2, 1/('BA History'!$B:$B=A51), 'BA History'!$AJ:$AJ)</f>
        <v>0.8571428571428571</v>
      </c>
      <c r="L51" s="34">
        <f>SUMIFS('BA History'!F:F,'BA History'!B:B,A51)</f>
        <v>19</v>
      </c>
      <c r="M51" s="2">
        <f>SUMIFS('BA History'!E:E,'BA History'!B:B,A51)-L51</f>
        <v>7</v>
      </c>
      <c r="N51" s="75">
        <f>LOOKUP(2, 1/('BA History'!$B:$B=A51), 'BA History'!$AH:$AH)</f>
        <v>0.76428571428571423</v>
      </c>
      <c r="O51" s="34">
        <f>SUMIFS('BA History'!H:H,'BA History'!B:B,A51)</f>
        <v>66</v>
      </c>
      <c r="P51" s="2">
        <f>SUMIFS('BA History'!G:G,'BA History'!B:B,A51)-O51</f>
        <v>44</v>
      </c>
      <c r="Q51" s="89">
        <f>LOOKUP(2, 1/('BA History'!$B:$B=A51), 'BA History'!$AI:$AI)</f>
        <v>0.62</v>
      </c>
      <c r="R51" s="2">
        <f>COUNTIFS('BA History'!$B:$B,$A$51,'BA History'!K:K, 1)</f>
        <v>0</v>
      </c>
      <c r="S51" s="2">
        <f>COUNTIFS('BA History'!$B:$B,$A$51,'BA History'!L:L, 1)</f>
        <v>3</v>
      </c>
      <c r="T51" s="2">
        <f>COUNTIFS('BA History'!$B:$B,$A$51,'BA History'!M:M, 1)</f>
        <v>1</v>
      </c>
      <c r="U51" s="2">
        <f>COUNTIFS('BA History'!$B:$B,$A$51,'BA History'!N:N, 1)</f>
        <v>3</v>
      </c>
      <c r="V51" s="2">
        <f>COUNTIFS('BA History'!$B:$B,$A$51,'BA History'!O:O, 1)</f>
        <v>0</v>
      </c>
      <c r="W51" s="2">
        <f>COUNTIFS('BA History'!$B:$B,$A$51,'BA History'!P:P, 1)</f>
        <v>0</v>
      </c>
      <c r="X51" s="2">
        <f>COUNTIFS('BA History'!$B:$B,$A$51,'BA History'!Q:Q, 1)</f>
        <v>1</v>
      </c>
      <c r="Y51" s="2">
        <f>COUNTIFS('BA History'!$B:$B,$A$51,'BA History'!R:R, 1)</f>
        <v>1</v>
      </c>
      <c r="Z51" s="2">
        <f>COUNTIFS('BA History'!$B:$B,$A$51,'BA History'!S:S, 1)</f>
        <v>0</v>
      </c>
      <c r="AA51" s="2">
        <f>COUNTIFS('BA History'!$B:$B,$A$51,'BA History'!T:T, 1)</f>
        <v>0</v>
      </c>
      <c r="AB51" s="2">
        <f>COUNTIFS('BA History'!$B:$B,$A$51,'BA History'!U:U, 1)</f>
        <v>0</v>
      </c>
      <c r="AC51" s="2">
        <f>COUNTIFS('BA History'!$B:$B,$A$51,'BA History'!V:V, 1)</f>
        <v>1</v>
      </c>
      <c r="AD51" s="2">
        <f>COUNTIFS('BA History'!$B:$B,$A$51,'BA History'!W:W, 1)</f>
        <v>1</v>
      </c>
      <c r="AE51" s="2">
        <f>COUNTIFS('BA History'!$B:$B,$A$51,'BA History'!X:X, 1)</f>
        <v>1</v>
      </c>
      <c r="AF51" s="2">
        <f>COUNTIFS('BA History'!$B:$B,$A$51,'BA History'!Y:Y, 1)</f>
        <v>1</v>
      </c>
      <c r="AG51" s="2">
        <f>COUNTIFS('BA History'!$B:$B,$A$51,'BA History'!Z:Z, 1)</f>
        <v>2</v>
      </c>
      <c r="AH51" s="2">
        <f>COUNTIFS('BA History'!$B:$B,$A$51,'BA History'!AA:AA, 1)</f>
        <v>1</v>
      </c>
      <c r="AI51" s="2">
        <f>COUNTIFS('BA History'!$B:$B,$A$51,'BA History'!AB:AB, 1)</f>
        <v>1</v>
      </c>
      <c r="AJ51" s="2">
        <f>COUNTIFS('BA History'!$B:$B,$A$51,'BA History'!AC:AC, 1)</f>
        <v>0</v>
      </c>
      <c r="AK51" s="2">
        <f>COUNTIFS('BA History'!$B:$B,$A$51,'BA History'!AD:AD, 1)</f>
        <v>2</v>
      </c>
      <c r="AL51" s="2">
        <f>COUNTIFS('BA History'!$B:$B,$A$51,'BA History'!AE:AE, 1)</f>
        <v>0</v>
      </c>
      <c r="AM51" s="2">
        <f>COUNTIFS('BA History'!$B:$B,$A$51,'BA History'!AF:AF, 1)</f>
        <v>0</v>
      </c>
    </row>
    <row r="52" spans="1:39" x14ac:dyDescent="0.25">
      <c r="A52" s="2" t="s">
        <v>113</v>
      </c>
      <c r="B52" s="2" t="s">
        <v>79</v>
      </c>
      <c r="C52" s="2">
        <v>1</v>
      </c>
      <c r="D52" s="2">
        <v>1</v>
      </c>
      <c r="E52" s="2"/>
      <c r="F52" s="34">
        <f>SUMIFS('BA History'!C:C,'BA History'!B:B,A52)</f>
        <v>598</v>
      </c>
      <c r="G52" s="66">
        <f>AVERAGEIFS('BA History'!C:C,'BA History'!B:B,A52)</f>
        <v>17.588235294117649</v>
      </c>
      <c r="H52" s="35">
        <f t="array" ref="H52">MAX(IF('BA History'!B:B=A52, 'BA History'!C:C))</f>
        <v>36</v>
      </c>
      <c r="I52" s="34">
        <f>COUNTIFS('BA History'!B:B,A52,'BA History'!D:D, 1)</f>
        <v>19</v>
      </c>
      <c r="J52" s="2">
        <f>COUNTIFS('BA History'!B:B,A52,'BA History'!D:D, 0)</f>
        <v>15</v>
      </c>
      <c r="K52" s="75">
        <f>LOOKUP(2, 1/('BA History'!$B:$B=A52), 'BA History'!$AJ:$AJ)</f>
        <v>0.55882352941176472</v>
      </c>
      <c r="L52" s="34">
        <f>SUMIFS('BA History'!F:F,'BA History'!B:B,A52)</f>
        <v>74</v>
      </c>
      <c r="M52" s="2">
        <f>SUMIFS('BA History'!E:E,'BA History'!B:B,A52)-L52</f>
        <v>59</v>
      </c>
      <c r="N52" s="75">
        <f>LOOKUP(2, 1/('BA History'!$B:$B=A52), 'BA History'!$AH:$AH)</f>
        <v>0.57500000000000007</v>
      </c>
      <c r="O52" s="34">
        <f>SUMIFS('BA History'!H:H,'BA History'!B:B,A52)</f>
        <v>281</v>
      </c>
      <c r="P52" s="2">
        <f>SUMIFS('BA History'!G:G,'BA History'!B:B,A52)-O52</f>
        <v>254</v>
      </c>
      <c r="Q52" s="89">
        <f>LOOKUP(2, 1/('BA History'!$B:$B=A52), 'BA History'!$AI:$AI)</f>
        <v>0.53500000000000014</v>
      </c>
      <c r="R52" s="2">
        <f>COUNTIFS('BA History'!$B:$B,$A$52,'BA History'!K:K, 1)</f>
        <v>2</v>
      </c>
      <c r="S52" s="2">
        <f>COUNTIFS('BA History'!$B:$B,$A$52,'BA History'!L:L, 1)</f>
        <v>4</v>
      </c>
      <c r="T52" s="2">
        <f>COUNTIFS('BA History'!$B:$B,$A$52,'BA History'!M:M, 1)</f>
        <v>11</v>
      </c>
      <c r="U52" s="2">
        <f>COUNTIFS('BA History'!$B:$B,$A$52,'BA History'!N:N, 1)</f>
        <v>8</v>
      </c>
      <c r="V52" s="2">
        <f>COUNTIFS('BA History'!$B:$B,$A$52,'BA History'!O:O, 1)</f>
        <v>1</v>
      </c>
      <c r="W52" s="2">
        <f>COUNTIFS('BA History'!$B:$B,$A$52,'BA History'!P:P, 1)</f>
        <v>0</v>
      </c>
      <c r="X52" s="2">
        <f>COUNTIFS('BA History'!$B:$B,$A$52,'BA History'!Q:Q, 1)</f>
        <v>3</v>
      </c>
      <c r="Y52" s="2">
        <f>COUNTIFS('BA History'!$B:$B,$A$52,'BA History'!R:R, 1)</f>
        <v>2</v>
      </c>
      <c r="Z52" s="2">
        <f>COUNTIFS('BA History'!$B:$B,$A$52,'BA History'!S:S, 1)</f>
        <v>1</v>
      </c>
      <c r="AA52" s="2">
        <f>COUNTIFS('BA History'!$B:$B,$A$52,'BA History'!T:T, 1)</f>
        <v>0</v>
      </c>
      <c r="AB52" s="2">
        <f>COUNTIFS('BA History'!$B:$B,$A$52,'BA History'!U:U, 1)</f>
        <v>2</v>
      </c>
      <c r="AC52" s="2">
        <f>COUNTIFS('BA History'!$B:$B,$A$52,'BA History'!V:V, 1)</f>
        <v>4</v>
      </c>
      <c r="AD52" s="2">
        <f>COUNTIFS('BA History'!$B:$B,$A$52,'BA History'!W:W, 1)</f>
        <v>0</v>
      </c>
      <c r="AE52" s="2">
        <f>COUNTIFS('BA History'!$B:$B,$A$52,'BA History'!X:X, 1)</f>
        <v>0</v>
      </c>
      <c r="AF52" s="2">
        <f>COUNTIFS('BA History'!$B:$B,$A$52,'BA History'!Y:Y, 1)</f>
        <v>7</v>
      </c>
      <c r="AG52" s="2">
        <f>COUNTIFS('BA History'!$B:$B,$A$52,'BA History'!Z:Z, 1)</f>
        <v>7</v>
      </c>
      <c r="AH52" s="2">
        <f>COUNTIFS('BA History'!$B:$B,$A$52,'BA History'!AA:AA, 1)</f>
        <v>0</v>
      </c>
      <c r="AI52" s="2">
        <f>COUNTIFS('BA History'!$B:$B,$A$52,'BA History'!AB:AB, 1)</f>
        <v>10</v>
      </c>
      <c r="AJ52" s="2">
        <f>COUNTIFS('BA History'!$B:$B,$A$52,'BA History'!AC:AC, 1)</f>
        <v>7</v>
      </c>
      <c r="AK52" s="2">
        <f>COUNTIFS('BA History'!$B:$B,$A$52,'BA History'!AD:AD, 1)</f>
        <v>2</v>
      </c>
      <c r="AL52" s="2">
        <f>COUNTIFS('BA History'!$B:$B,$A$52,'BA History'!AE:AE, 1)</f>
        <v>0</v>
      </c>
      <c r="AM52" s="2">
        <f>COUNTIFS('BA History'!$B:$B,$A$52,'BA History'!AF:AF, 1)</f>
        <v>3</v>
      </c>
    </row>
    <row r="53" spans="1:39" x14ac:dyDescent="0.25">
      <c r="A53" s="2" t="s">
        <v>14</v>
      </c>
      <c r="B53" s="2" t="s">
        <v>79</v>
      </c>
      <c r="C53" s="2">
        <v>1</v>
      </c>
      <c r="D53" s="2"/>
      <c r="E53" s="2"/>
      <c r="F53" s="34">
        <f>SUMIFS('BA History'!C:C,'BA History'!B:B,A53)</f>
        <v>338</v>
      </c>
      <c r="G53" s="66">
        <f>AVERAGEIFS('BA History'!C:C,'BA History'!B:B,A53)</f>
        <v>16.899999999999999</v>
      </c>
      <c r="H53" s="35">
        <f t="array" ref="H53">MAX(IF('BA History'!B:B=A53, 'BA History'!C:C))</f>
        <v>30</v>
      </c>
      <c r="I53" s="34">
        <f>COUNTIFS('BA History'!B:B,A53,'BA History'!D:D, 1)</f>
        <v>9</v>
      </c>
      <c r="J53" s="2">
        <f>COUNTIFS('BA History'!B:B,A53,'BA History'!D:D, 0)</f>
        <v>11</v>
      </c>
      <c r="K53" s="75">
        <f>LOOKUP(2, 1/('BA History'!$B:$B=A53), 'BA History'!$AJ:$AJ)</f>
        <v>0.45</v>
      </c>
      <c r="L53" s="34">
        <f>SUMIFS('BA History'!F:F,'BA History'!B:B,A53)</f>
        <v>38</v>
      </c>
      <c r="M53" s="2">
        <f>SUMIFS('BA History'!E:E,'BA History'!B:B,A53)-L53</f>
        <v>45</v>
      </c>
      <c r="N53" s="75">
        <f>LOOKUP(2, 1/('BA History'!$B:$B=A53), 'BA History'!$AH:$AH)</f>
        <v>0.45599999999999996</v>
      </c>
      <c r="O53" s="34">
        <f>SUMIFS('BA History'!H:H,'BA History'!B:B,A53)</f>
        <v>167</v>
      </c>
      <c r="P53" s="2">
        <f>SUMIFS('BA History'!G:G,'BA History'!B:B,A53)-O53</f>
        <v>173</v>
      </c>
      <c r="Q53" s="89">
        <f>LOOKUP(2, 1/('BA History'!$B:$B=A53), 'BA History'!$AI:$AI)</f>
        <v>0.48699999999999999</v>
      </c>
      <c r="R53" s="2">
        <f>COUNTIFS('BA History'!$B:$B,$A$53,'BA History'!K:K, 1)</f>
        <v>1</v>
      </c>
      <c r="S53" s="2">
        <f>COUNTIFS('BA History'!$B:$B,$A$53,'BA History'!L:L, 1)</f>
        <v>3</v>
      </c>
      <c r="T53" s="2">
        <f>COUNTIFS('BA History'!$B:$B,$A$53,'BA History'!M:M, 1)</f>
        <v>0</v>
      </c>
      <c r="U53" s="2">
        <f>COUNTIFS('BA History'!$B:$B,$A$53,'BA History'!N:N, 1)</f>
        <v>2</v>
      </c>
      <c r="V53" s="2">
        <f>COUNTIFS('BA History'!$B:$B,$A$53,'BA History'!O:O, 1)</f>
        <v>0</v>
      </c>
      <c r="W53" s="2">
        <f>COUNTIFS('BA History'!$B:$B,$A$53,'BA History'!P:P, 1)</f>
        <v>0</v>
      </c>
      <c r="X53" s="2">
        <f>COUNTIFS('BA History'!$B:$B,$A$53,'BA History'!Q:Q, 1)</f>
        <v>3</v>
      </c>
      <c r="Y53" s="2">
        <f>COUNTIFS('BA History'!$B:$B,$A$53,'BA History'!R:R, 1)</f>
        <v>1</v>
      </c>
      <c r="Z53" s="2">
        <f>COUNTIFS('BA History'!$B:$B,$A$53,'BA History'!S:S, 1)</f>
        <v>0</v>
      </c>
      <c r="AA53" s="2">
        <f>COUNTIFS('BA History'!$B:$B,$A$53,'BA History'!T:T, 1)</f>
        <v>1</v>
      </c>
      <c r="AB53" s="2">
        <f>COUNTIFS('BA History'!$B:$B,$A$53,'BA History'!U:U, 1)</f>
        <v>1</v>
      </c>
      <c r="AC53" s="2">
        <f>COUNTIFS('BA History'!$B:$B,$A$53,'BA History'!V:V, 1)</f>
        <v>1</v>
      </c>
      <c r="AD53" s="2">
        <f>COUNTIFS('BA History'!$B:$B,$A$53,'BA History'!W:W, 1)</f>
        <v>2</v>
      </c>
      <c r="AE53" s="2">
        <f>COUNTIFS('BA History'!$B:$B,$A$53,'BA History'!X:X, 1)</f>
        <v>1</v>
      </c>
      <c r="AF53" s="2">
        <f>COUNTIFS('BA History'!$B:$B,$A$53,'BA History'!Y:Y, 1)</f>
        <v>4</v>
      </c>
      <c r="AG53" s="2">
        <f>COUNTIFS('BA History'!$B:$B,$A$53,'BA History'!Z:Z, 1)</f>
        <v>6</v>
      </c>
      <c r="AH53" s="2">
        <f>COUNTIFS('BA History'!$B:$B,$A$53,'BA History'!AA:AA, 1)</f>
        <v>1</v>
      </c>
      <c r="AI53" s="2">
        <f>COUNTIFS('BA History'!$B:$B,$A$53,'BA History'!AB:AB, 1)</f>
        <v>8</v>
      </c>
      <c r="AJ53" s="2">
        <f>COUNTIFS('BA History'!$B:$B,$A$53,'BA History'!AC:AC, 1)</f>
        <v>3</v>
      </c>
      <c r="AK53" s="2">
        <f>COUNTIFS('BA History'!$B:$B,$A$53,'BA History'!AD:AD, 1)</f>
        <v>0</v>
      </c>
      <c r="AL53" s="2">
        <f>COUNTIFS('BA History'!$B:$B,$A$53,'BA History'!AE:AE, 1)</f>
        <v>0</v>
      </c>
      <c r="AM53" s="2">
        <f>COUNTIFS('BA History'!$B:$B,$A$53,'BA History'!AF:AF, 1)</f>
        <v>0</v>
      </c>
    </row>
    <row r="54" spans="1:39" x14ac:dyDescent="0.25">
      <c r="A54" s="2" t="s">
        <v>70</v>
      </c>
      <c r="B54" s="2" t="s">
        <v>79</v>
      </c>
      <c r="C54" s="2"/>
      <c r="D54" s="2"/>
      <c r="E54" s="2"/>
      <c r="F54" s="34">
        <f>SUMIFS('BA History'!C:C,'BA History'!B:B,A54)</f>
        <v>80</v>
      </c>
      <c r="G54" s="66">
        <f>AVERAGEIFS('BA History'!C:C,'BA History'!B:B,A54)</f>
        <v>11.428571428571429</v>
      </c>
      <c r="H54" s="35">
        <f t="array" ref="H54">MAX(IF('BA History'!B:B=A54, 'BA History'!C:C))</f>
        <v>19</v>
      </c>
      <c r="I54" s="34">
        <f>COUNTIFS('BA History'!B:B,A54,'BA History'!D:D, 1)</f>
        <v>5</v>
      </c>
      <c r="J54" s="2">
        <f>COUNTIFS('BA History'!B:B,A54,'BA History'!D:D, 0)</f>
        <v>2</v>
      </c>
      <c r="K54" s="75">
        <f>LOOKUP(2, 1/('BA History'!$B:$B=A54), 'BA History'!$AJ:$AJ)</f>
        <v>0.7142857142857143</v>
      </c>
      <c r="L54" s="34">
        <f>SUMIFS('BA History'!F:F,'BA History'!B:B,A54)</f>
        <v>16</v>
      </c>
      <c r="M54" s="2">
        <f>SUMIFS('BA History'!E:E,'BA History'!B:B,A54)-L54</f>
        <v>13</v>
      </c>
      <c r="N54" s="75">
        <f>LOOKUP(2, 1/('BA History'!$B:$B=A54), 'BA History'!$AH:$AH)</f>
        <v>0.54285714285714293</v>
      </c>
      <c r="O54" s="34">
        <f>SUMIFS('BA History'!H:H,'BA History'!B:B,A54)</f>
        <v>64</v>
      </c>
      <c r="P54" s="2">
        <f>SUMIFS('BA History'!G:G,'BA History'!B:B,A54)-O54</f>
        <v>59</v>
      </c>
      <c r="Q54" s="89">
        <f>LOOKUP(2, 1/('BA History'!$B:$B=A54), 'BA History'!$AI:$AI)</f>
        <v>0.52142857142857146</v>
      </c>
      <c r="R54" s="2">
        <f>COUNTIFS('BA History'!$B:$B,$A$54,'BA History'!K:K, 1)</f>
        <v>1</v>
      </c>
      <c r="S54" s="2">
        <f>COUNTIFS('BA History'!$B:$B,$A$54,'BA History'!L:L, 1)</f>
        <v>1</v>
      </c>
      <c r="T54" s="2">
        <f>COUNTIFS('BA History'!$B:$B,$A$54,'BA History'!M:M, 1)</f>
        <v>2</v>
      </c>
      <c r="U54" s="2">
        <f>COUNTIFS('BA History'!$B:$B,$A$54,'BA History'!N:N, 1)</f>
        <v>3</v>
      </c>
      <c r="V54" s="2">
        <f>COUNTIFS('BA History'!$B:$B,$A$54,'BA History'!O:O, 1)</f>
        <v>0</v>
      </c>
      <c r="W54" s="2">
        <f>COUNTIFS('BA History'!$B:$B,$A$54,'BA History'!P:P, 1)</f>
        <v>0</v>
      </c>
      <c r="X54" s="2">
        <f>COUNTIFS('BA History'!$B:$B,$A$54,'BA History'!Q:Q, 1)</f>
        <v>0</v>
      </c>
      <c r="Y54" s="2">
        <f>COUNTIFS('BA History'!$B:$B,$A$54,'BA History'!R:R, 1)</f>
        <v>1</v>
      </c>
      <c r="Z54" s="2">
        <f>COUNTIFS('BA History'!$B:$B,$A$54,'BA History'!S:S, 1)</f>
        <v>0</v>
      </c>
      <c r="AA54" s="2">
        <f>COUNTIFS('BA History'!$B:$B,$A$54,'BA History'!T:T, 1)</f>
        <v>0</v>
      </c>
      <c r="AB54" s="2">
        <f>COUNTIFS('BA History'!$B:$B,$A$54,'BA History'!U:U, 1)</f>
        <v>0</v>
      </c>
      <c r="AC54" s="2">
        <f>COUNTIFS('BA History'!$B:$B,$A$54,'BA History'!V:V, 1)</f>
        <v>1</v>
      </c>
      <c r="AD54" s="2">
        <f>COUNTIFS('BA History'!$B:$B,$A$54,'BA History'!W:W, 1)</f>
        <v>1</v>
      </c>
      <c r="AE54" s="2">
        <f>COUNTIFS('BA History'!$B:$B,$A$54,'BA History'!X:X, 1)</f>
        <v>0</v>
      </c>
      <c r="AF54" s="2">
        <f>COUNTIFS('BA History'!$B:$B,$A$54,'BA History'!Y:Y, 1)</f>
        <v>1</v>
      </c>
      <c r="AG54" s="2">
        <f>COUNTIFS('BA History'!$B:$B,$A$54,'BA History'!Z:Z, 1)</f>
        <v>0</v>
      </c>
      <c r="AH54" s="2">
        <f>COUNTIFS('BA History'!$B:$B,$A$54,'BA History'!AA:AA, 1)</f>
        <v>0</v>
      </c>
      <c r="AI54" s="2">
        <f>COUNTIFS('BA History'!$B:$B,$A$54,'BA History'!AB:AB, 1)</f>
        <v>0</v>
      </c>
      <c r="AJ54" s="2">
        <f>COUNTIFS('BA History'!$B:$B,$A$54,'BA History'!AC:AC, 1)</f>
        <v>0</v>
      </c>
      <c r="AK54" s="2">
        <f>COUNTIFS('BA History'!$B:$B,$A$54,'BA History'!AD:AD, 1)</f>
        <v>3</v>
      </c>
      <c r="AL54" s="2">
        <f>COUNTIFS('BA History'!$B:$B,$A$54,'BA History'!AE:AE, 1)</f>
        <v>0</v>
      </c>
      <c r="AM54" s="2">
        <f>COUNTIFS('BA History'!$B:$B,$A$54,'BA History'!AF:AF, 1)</f>
        <v>2</v>
      </c>
    </row>
    <row r="55" spans="1:39" x14ac:dyDescent="0.25">
      <c r="A55" s="2" t="s">
        <v>4</v>
      </c>
      <c r="B55" s="1" t="s">
        <v>160</v>
      </c>
      <c r="C55" s="1">
        <v>1</v>
      </c>
      <c r="D55" s="1"/>
      <c r="E55" s="1"/>
      <c r="F55" s="34">
        <f>SUMIFS('BA History'!C:C,'BA History'!B:B,A55)</f>
        <v>740</v>
      </c>
      <c r="G55" s="66">
        <f>AVERAGEIFS('BA History'!C:C,'BA History'!B:B,A55)</f>
        <v>24.666666666666668</v>
      </c>
      <c r="H55" s="35">
        <f t="array" ref="H55">MAX(IF('BA History'!B:B=A55, 'BA History'!C:C))</f>
        <v>41</v>
      </c>
      <c r="I55" s="34">
        <f>COUNTIFS('BA History'!B:B,A55,'BA History'!D:D, 1)</f>
        <v>10</v>
      </c>
      <c r="J55" s="2">
        <f>COUNTIFS('BA History'!B:B,A55,'BA History'!D:D, 0)</f>
        <v>20</v>
      </c>
      <c r="K55" s="75">
        <f>LOOKUP(2, 1/('BA History'!$B:$B=A55), 'BA History'!$AJ:$AJ)</f>
        <v>0.33333333333333331</v>
      </c>
      <c r="L55" s="34">
        <f>SUMIFS('BA History'!F:F,'BA History'!B:B,A55)</f>
        <v>53</v>
      </c>
      <c r="M55" s="2">
        <f>SUMIFS('BA History'!E:E,'BA History'!B:B,A55)-L55</f>
        <v>70</v>
      </c>
      <c r="N55" s="75">
        <f>LOOKUP(2, 1/('BA History'!$B:$B=A55), 'BA History'!$AH:$AH)</f>
        <v>0.43166666666666664</v>
      </c>
      <c r="O55" s="34">
        <f>SUMIFS('BA History'!H:H,'BA History'!B:B,A55)</f>
        <v>237</v>
      </c>
      <c r="P55" s="2">
        <f>SUMIFS('BA History'!G:G,'BA History'!B:B,A55)-O55</f>
        <v>273</v>
      </c>
      <c r="Q55" s="89">
        <f>LOOKUP(2, 1/('BA History'!$B:$B=A55), 'BA History'!$AI:$AI)</f>
        <v>0.45966666666666661</v>
      </c>
      <c r="R55" s="2">
        <f>COUNTIFS('BA History'!$B:$B,$A$55,'BA History'!K:K, 1)</f>
        <v>2</v>
      </c>
      <c r="S55" s="2">
        <f>COUNTIFS('BA History'!$B:$B,$A$55,'BA History'!L:L, 1)</f>
        <v>6</v>
      </c>
      <c r="T55" s="2">
        <f>COUNTIFS('BA History'!$B:$B,$A$55,'BA History'!M:M, 1)</f>
        <v>4</v>
      </c>
      <c r="U55" s="2">
        <f>COUNTIFS('BA History'!$B:$B,$A$55,'BA History'!N:N, 1)</f>
        <v>8</v>
      </c>
      <c r="V55" s="2">
        <f>COUNTIFS('BA History'!$B:$B,$A$55,'BA History'!O:O, 1)</f>
        <v>1</v>
      </c>
      <c r="W55" s="2">
        <f>COUNTIFS('BA History'!$B:$B,$A$55,'BA History'!P:P, 1)</f>
        <v>0</v>
      </c>
      <c r="X55" s="2">
        <f>COUNTIFS('BA History'!$B:$B,$A$55,'BA History'!Q:Q, 1)</f>
        <v>1</v>
      </c>
      <c r="Y55" s="2">
        <f>COUNTIFS('BA History'!$B:$B,$A$55,'BA History'!R:R, 1)</f>
        <v>0</v>
      </c>
      <c r="Z55" s="2">
        <f>COUNTIFS('BA History'!$B:$B,$A$55,'BA History'!S:S, 1)</f>
        <v>0</v>
      </c>
      <c r="AA55" s="2">
        <f>COUNTIFS('BA History'!$B:$B,$A$55,'BA History'!T:T, 1)</f>
        <v>0</v>
      </c>
      <c r="AB55" s="2">
        <f>COUNTIFS('BA History'!$B:$B,$A$55,'BA History'!U:U, 1)</f>
        <v>2</v>
      </c>
      <c r="AC55" s="2">
        <f>COUNTIFS('BA History'!$B:$B,$A$55,'BA History'!V:V, 1)</f>
        <v>1</v>
      </c>
      <c r="AD55" s="2">
        <f>COUNTIFS('BA History'!$B:$B,$A$55,'BA History'!W:W, 1)</f>
        <v>0</v>
      </c>
      <c r="AE55" s="2">
        <f>COUNTIFS('BA History'!$B:$B,$A$55,'BA History'!X:X, 1)</f>
        <v>0</v>
      </c>
      <c r="AF55" s="2">
        <f>COUNTIFS('BA History'!$B:$B,$A$55,'BA History'!Y:Y, 1)</f>
        <v>8</v>
      </c>
      <c r="AG55" s="2">
        <f>COUNTIFS('BA History'!$B:$B,$A$55,'BA History'!Z:Z, 1)</f>
        <v>3</v>
      </c>
      <c r="AH55" s="2">
        <f>COUNTIFS('BA History'!$B:$B,$A$55,'BA History'!AA:AA, 1)</f>
        <v>0</v>
      </c>
      <c r="AI55" s="2">
        <f>COUNTIFS('BA History'!$B:$B,$A$55,'BA History'!AB:AB, 1)</f>
        <v>6</v>
      </c>
      <c r="AJ55" s="2">
        <f>COUNTIFS('BA History'!$B:$B,$A$55,'BA History'!AC:AC, 1)</f>
        <v>6</v>
      </c>
      <c r="AK55" s="2">
        <f>COUNTIFS('BA History'!$B:$B,$A$55,'BA History'!AD:AD, 1)</f>
        <v>4</v>
      </c>
      <c r="AL55" s="2">
        <f>COUNTIFS('BA History'!$B:$B,$A$55,'BA History'!AE:AE, 1)</f>
        <v>0</v>
      </c>
      <c r="AM55" s="2">
        <f>COUNTIFS('BA History'!$B:$B,$A$55,'BA History'!AF:AF, 1)</f>
        <v>1</v>
      </c>
    </row>
    <row r="56" spans="1:39" x14ac:dyDescent="0.25">
      <c r="A56" s="1" t="s">
        <v>107</v>
      </c>
      <c r="B56" s="2" t="s">
        <v>79</v>
      </c>
      <c r="C56" s="2"/>
      <c r="D56" s="2"/>
      <c r="E56" s="2"/>
      <c r="F56" s="34">
        <f>SUMIFS('BA History'!C:C,'BA History'!B:B,A56)</f>
        <v>622</v>
      </c>
      <c r="G56" s="66">
        <f>AVERAGEIFS('BA History'!C:C,'BA History'!B:B,A56)</f>
        <v>15.948717948717949</v>
      </c>
      <c r="H56" s="35">
        <f t="array" ref="H56">MAX(IF('BA History'!B:B=A56, 'BA History'!C:C))</f>
        <v>35</v>
      </c>
      <c r="I56" s="34">
        <f>COUNTIFS('BA History'!B:B,A56,'BA History'!D:D, 1)</f>
        <v>22</v>
      </c>
      <c r="J56" s="2">
        <f>COUNTIFS('BA History'!B:B,A56,'BA History'!D:D, 0)</f>
        <v>17</v>
      </c>
      <c r="K56" s="75">
        <f>LOOKUP(2, 1/('BA History'!$B:$B=A56), 'BA History'!$AJ:$AJ)</f>
        <v>0.5641025641025641</v>
      </c>
      <c r="L56" s="34">
        <f>SUMIFS('BA History'!F:F,'BA History'!B:B,A56)</f>
        <v>82</v>
      </c>
      <c r="M56" s="2">
        <f>SUMIFS('BA History'!E:E,'BA History'!B:B,A56)-L56</f>
        <v>73</v>
      </c>
      <c r="N56" s="75">
        <f>LOOKUP(2, 1/('BA History'!$B:$B=A56), 'BA History'!$AH:$AH)</f>
        <v>0.52307692307692299</v>
      </c>
      <c r="O56" s="34">
        <f>SUMIFS('BA History'!H:H,'BA History'!B:B,A56)</f>
        <v>333</v>
      </c>
      <c r="P56" s="2">
        <f>SUMIFS('BA History'!G:G,'BA History'!B:B,A56)-O56</f>
        <v>304</v>
      </c>
      <c r="Q56" s="89">
        <f>LOOKUP(2, 1/('BA History'!$B:$B=A56), 'BA History'!$AI:$AI)</f>
        <v>0.51897435897435895</v>
      </c>
      <c r="R56" s="2">
        <f>COUNTIFS('BA History'!$B:$B,$A$56,'BA History'!K:K, 1)</f>
        <v>4</v>
      </c>
      <c r="S56" s="2">
        <f>COUNTIFS('BA History'!$B:$B,$A$56,'BA History'!L:L, 1)</f>
        <v>3</v>
      </c>
      <c r="T56" s="2">
        <f>COUNTIFS('BA History'!$B:$B,$A$56,'BA History'!M:M, 1)</f>
        <v>9</v>
      </c>
      <c r="U56" s="2">
        <f>COUNTIFS('BA History'!$B:$B,$A$56,'BA History'!N:N, 1)</f>
        <v>12</v>
      </c>
      <c r="V56" s="2">
        <f>COUNTIFS('BA History'!$B:$B,$A$56,'BA History'!O:O, 1)</f>
        <v>2</v>
      </c>
      <c r="W56" s="2">
        <f>COUNTIFS('BA History'!$B:$B,$A$56,'BA History'!P:P, 1)</f>
        <v>1</v>
      </c>
      <c r="X56" s="2">
        <f>COUNTIFS('BA History'!$B:$B,$A$56,'BA History'!Q:Q, 1)</f>
        <v>2</v>
      </c>
      <c r="Y56" s="2">
        <f>COUNTIFS('BA History'!$B:$B,$A$56,'BA History'!R:R, 1)</f>
        <v>2</v>
      </c>
      <c r="Z56" s="2">
        <f>COUNTIFS('BA History'!$B:$B,$A$56,'BA History'!S:S, 1)</f>
        <v>1</v>
      </c>
      <c r="AA56" s="2">
        <f>COUNTIFS('BA History'!$B:$B,$A$56,'BA History'!T:T, 1)</f>
        <v>0</v>
      </c>
      <c r="AB56" s="2">
        <f>COUNTIFS('BA History'!$B:$B,$A$56,'BA History'!U:U, 1)</f>
        <v>1</v>
      </c>
      <c r="AC56" s="2">
        <f>COUNTIFS('BA History'!$B:$B,$A$56,'BA History'!V:V, 1)</f>
        <v>3</v>
      </c>
      <c r="AD56" s="2">
        <f>COUNTIFS('BA History'!$B:$B,$A$56,'BA History'!W:W, 1)</f>
        <v>2</v>
      </c>
      <c r="AE56" s="2">
        <f>COUNTIFS('BA History'!$B:$B,$A$56,'BA History'!X:X, 1)</f>
        <v>0</v>
      </c>
      <c r="AF56" s="2">
        <f>COUNTIFS('BA History'!$B:$B,$A$56,'BA History'!Y:Y, 1)</f>
        <v>7</v>
      </c>
      <c r="AG56" s="2">
        <f>COUNTIFS('BA History'!$B:$B,$A$56,'BA History'!Z:Z, 1)</f>
        <v>8</v>
      </c>
      <c r="AH56" s="2">
        <f>COUNTIFS('BA History'!$B:$B,$A$56,'BA History'!AA:AA, 1)</f>
        <v>1</v>
      </c>
      <c r="AI56" s="2">
        <f>COUNTIFS('BA History'!$B:$B,$A$56,'BA History'!AB:AB, 1)</f>
        <v>7</v>
      </c>
      <c r="AJ56" s="2">
        <f>COUNTIFS('BA History'!$B:$B,$A$56,'BA History'!AC:AC, 1)</f>
        <v>5</v>
      </c>
      <c r="AK56" s="2">
        <f>COUNTIFS('BA History'!$B:$B,$A$56,'BA History'!AD:AD, 1)</f>
        <v>7</v>
      </c>
      <c r="AL56" s="2">
        <f>COUNTIFS('BA History'!$B:$B,$A$56,'BA History'!AE:AE, 1)</f>
        <v>0</v>
      </c>
      <c r="AM56" s="2">
        <f>COUNTIFS('BA History'!$B:$B,$A$56,'BA History'!AF:AF, 1)</f>
        <v>5</v>
      </c>
    </row>
    <row r="57" spans="1:39" x14ac:dyDescent="0.25">
      <c r="A57" s="2" t="s">
        <v>94</v>
      </c>
      <c r="B57" s="2" t="s">
        <v>79</v>
      </c>
      <c r="C57" s="2"/>
      <c r="D57" s="2"/>
      <c r="E57" s="2"/>
      <c r="F57" s="34">
        <f>SUMIFS('BA History'!C:C,'BA History'!B:B,A57)</f>
        <v>18</v>
      </c>
      <c r="G57" s="66">
        <f>AVERAGEIFS('BA History'!C:C,'BA History'!B:B,A57)</f>
        <v>18</v>
      </c>
      <c r="H57" s="35">
        <f t="array" ref="H57">MAX(IF('BA History'!B:B=A57, 'BA History'!C:C))</f>
        <v>18</v>
      </c>
      <c r="I57" s="34">
        <f>COUNTIFS('BA History'!B:B,A57,'BA History'!D:D, 1)</f>
        <v>1</v>
      </c>
      <c r="J57" s="2">
        <f>COUNTIFS('BA History'!B:B,A57,'BA History'!D:D, 0)</f>
        <v>0</v>
      </c>
      <c r="K57" s="75">
        <f>LOOKUP(2, 1/('BA History'!$B:$B=A57), 'BA History'!$AJ:$AJ)</f>
        <v>1</v>
      </c>
      <c r="L57" s="34">
        <f>SUMIFS('BA History'!F:F,'BA History'!B:B,A57)</f>
        <v>3</v>
      </c>
      <c r="M57" s="2">
        <f>SUMIFS('BA History'!E:E,'BA History'!B:B,A57)-L57</f>
        <v>2</v>
      </c>
      <c r="N57" s="75">
        <f>LOOKUP(2, 1/('BA History'!$B:$B=A57), 'BA History'!$AH:$AH)</f>
        <v>0.6</v>
      </c>
      <c r="O57" s="34">
        <f>SUMIFS('BA History'!H:H,'BA History'!B:B,A57)</f>
        <v>11</v>
      </c>
      <c r="P57" s="2">
        <f>SUMIFS('BA History'!G:G,'BA History'!B:B,A57)-O57</f>
        <v>10</v>
      </c>
      <c r="Q57" s="89">
        <f>LOOKUP(2, 1/('BA History'!$B:$B=A57), 'BA History'!$AI:$AI)</f>
        <v>0.52</v>
      </c>
      <c r="R57" s="2">
        <f>COUNTIFS('BA History'!$B:$B,$A$57,'BA History'!K:K, 1)</f>
        <v>0</v>
      </c>
      <c r="S57" s="2">
        <f>COUNTIFS('BA History'!$B:$B,$A$57,'BA History'!L:L, 1)</f>
        <v>0</v>
      </c>
      <c r="T57" s="2">
        <f>COUNTIFS('BA History'!$B:$B,$A$57,'BA History'!M:M, 1)</f>
        <v>0</v>
      </c>
      <c r="U57" s="2">
        <f>COUNTIFS('BA History'!$B:$B,$A$57,'BA History'!N:N, 1)</f>
        <v>0</v>
      </c>
      <c r="V57" s="2">
        <f>COUNTIFS('BA History'!$B:$B,$A$57,'BA History'!O:O, 1)</f>
        <v>0</v>
      </c>
      <c r="W57" s="2">
        <f>COUNTIFS('BA History'!$B:$B,$A$57,'BA History'!P:P, 1)</f>
        <v>0</v>
      </c>
      <c r="X57" s="2">
        <f>COUNTIFS('BA History'!$B:$B,$A$57,'BA History'!Q:Q, 1)</f>
        <v>0</v>
      </c>
      <c r="Y57" s="2">
        <f>COUNTIFS('BA History'!$B:$B,$A$57,'BA History'!R:R, 1)</f>
        <v>0</v>
      </c>
      <c r="Z57" s="2">
        <f>COUNTIFS('BA History'!$B:$B,$A$57,'BA History'!S:S, 1)</f>
        <v>0</v>
      </c>
      <c r="AA57" s="2">
        <f>COUNTIFS('BA History'!$B:$B,$A$57,'BA History'!T:T, 1)</f>
        <v>0</v>
      </c>
      <c r="AB57" s="2">
        <f>COUNTIFS('BA History'!$B:$B,$A$57,'BA History'!U:U, 1)</f>
        <v>0</v>
      </c>
      <c r="AC57" s="2">
        <f>COUNTIFS('BA History'!$B:$B,$A$57,'BA History'!V:V, 1)</f>
        <v>0</v>
      </c>
      <c r="AD57" s="2">
        <f>COUNTIFS('BA History'!$B:$B,$A$57,'BA History'!W:W, 1)</f>
        <v>1</v>
      </c>
      <c r="AE57" s="2">
        <f>COUNTIFS('BA History'!$B:$B,$A$57,'BA History'!X:X, 1)</f>
        <v>1</v>
      </c>
      <c r="AF57" s="2">
        <f>COUNTIFS('BA History'!$B:$B,$A$57,'BA History'!Y:Y, 1)</f>
        <v>0</v>
      </c>
      <c r="AG57" s="2">
        <f>COUNTIFS('BA History'!$B:$B,$A$57,'BA History'!Z:Z, 1)</f>
        <v>1</v>
      </c>
      <c r="AH57" s="2">
        <f>COUNTIFS('BA History'!$B:$B,$A$57,'BA History'!AA:AA, 1)</f>
        <v>0</v>
      </c>
      <c r="AI57" s="2">
        <f>COUNTIFS('BA History'!$B:$B,$A$57,'BA History'!AB:AB, 1)</f>
        <v>0</v>
      </c>
      <c r="AJ57" s="2">
        <f>COUNTIFS('BA History'!$B:$B,$A$57,'BA History'!AC:AC, 1)</f>
        <v>0</v>
      </c>
      <c r="AK57" s="2">
        <f>COUNTIFS('BA History'!$B:$B,$A$57,'BA History'!AD:AD, 1)</f>
        <v>0</v>
      </c>
      <c r="AL57" s="2">
        <f>COUNTIFS('BA History'!$B:$B,$A$57,'BA History'!AE:AE, 1)</f>
        <v>0</v>
      </c>
      <c r="AM57" s="2">
        <f>COUNTIFS('BA History'!$B:$B,$A$57,'BA History'!AF:AF, 1)</f>
        <v>0</v>
      </c>
    </row>
    <row r="58" spans="1:39" ht="15.75" thickBot="1" x14ac:dyDescent="0.3">
      <c r="A58" s="2" t="s">
        <v>55</v>
      </c>
      <c r="B58" s="2" t="s">
        <v>79</v>
      </c>
      <c r="C58" s="2"/>
      <c r="D58" s="2"/>
      <c r="E58" s="2"/>
      <c r="F58" s="34">
        <f>SUMIFS('BA History'!C:C,'BA History'!B:B,A58)</f>
        <v>2</v>
      </c>
      <c r="G58" s="66">
        <f>AVERAGEIFS('BA History'!C:C,'BA History'!B:B,A58)</f>
        <v>2</v>
      </c>
      <c r="H58" s="35">
        <f t="array" ref="H58">MAX(IF('BA History'!B:B=A58, 'BA History'!C:C))</f>
        <v>2</v>
      </c>
      <c r="I58" s="34">
        <f>COUNTIFS('BA History'!B:B,A58,'BA History'!D:D, 1)</f>
        <v>0</v>
      </c>
      <c r="J58" s="2">
        <f>COUNTIFS('BA History'!B:B,A58,'BA History'!D:D, 0)</f>
        <v>1</v>
      </c>
      <c r="K58" s="75">
        <f>LOOKUP(2, 1/('BA History'!$B:$B=A58), 'BA History'!$AJ:$AJ)</f>
        <v>0</v>
      </c>
      <c r="L58" s="34">
        <f>SUMIFS('BA History'!F:F,'BA History'!B:B,A58)</f>
        <v>0</v>
      </c>
      <c r="M58" s="2">
        <f>SUMIFS('BA History'!E:E,'BA History'!B:B,A58)-L58</f>
        <v>3</v>
      </c>
      <c r="N58" s="75">
        <f>LOOKUP(2, 1/('BA History'!$B:$B=A58), 'BA History'!$AH:$AH)</f>
        <v>0</v>
      </c>
      <c r="O58" s="34">
        <f>SUMIFS('BA History'!H:H,'BA History'!B:B,A58)</f>
        <v>4</v>
      </c>
      <c r="P58" s="48">
        <v>9</v>
      </c>
      <c r="Q58" s="89">
        <f>LOOKUP(2, 1/('BA History'!$B:$B=A58), 'BA History'!$AI:$AI)</f>
        <v>0.31</v>
      </c>
      <c r="R58" s="2">
        <f>COUNTIFS('BA History'!$B:$B,$A$58,'BA History'!K:K, 1)</f>
        <v>0</v>
      </c>
      <c r="S58" s="2">
        <f>COUNTIFS('BA History'!$B:$B,$A$58,'BA History'!L:L, 1)</f>
        <v>0</v>
      </c>
      <c r="T58" s="2">
        <f>COUNTIFS('BA History'!$B:$B,$A$58,'BA History'!M:M, 1)</f>
        <v>0</v>
      </c>
      <c r="U58" s="2">
        <f>COUNTIFS('BA History'!$B:$B,$A$58,'BA History'!N:N, 1)</f>
        <v>0</v>
      </c>
      <c r="V58" s="2">
        <f>COUNTIFS('BA History'!$B:$B,$A$58,'BA History'!O:O, 1)</f>
        <v>0</v>
      </c>
      <c r="W58" s="2">
        <f>COUNTIFS('BA History'!$B:$B,$A$58,'BA History'!P:P, 1)</f>
        <v>0</v>
      </c>
      <c r="X58" s="2">
        <f>COUNTIFS('BA History'!$B:$B,$A$58,'BA History'!Q:Q, 1)</f>
        <v>0</v>
      </c>
      <c r="Y58" s="2">
        <f>COUNTIFS('BA History'!$B:$B,$A$58,'BA History'!R:R, 1)</f>
        <v>0</v>
      </c>
      <c r="Z58" s="2">
        <f>COUNTIFS('BA History'!$B:$B,$A$58,'BA History'!S:S, 1)</f>
        <v>0</v>
      </c>
      <c r="AA58" s="2">
        <f>COUNTIFS('BA History'!$B:$B,$A$58,'BA History'!T:T, 1)</f>
        <v>0</v>
      </c>
      <c r="AB58" s="2">
        <f>COUNTIFS('BA History'!$B:$B,$A$58,'BA History'!U:U, 1)</f>
        <v>0</v>
      </c>
      <c r="AC58" s="2">
        <f>COUNTIFS('BA History'!$B:$B,$A$58,'BA History'!V:V, 1)</f>
        <v>0</v>
      </c>
      <c r="AD58" s="2">
        <f>COUNTIFS('BA History'!$B:$B,$A$58,'BA History'!W:W, 1)</f>
        <v>0</v>
      </c>
      <c r="AE58" s="2">
        <f>COUNTIFS('BA History'!$B:$B,$A$58,'BA History'!X:X, 1)</f>
        <v>0</v>
      </c>
      <c r="AF58" s="2">
        <f>COUNTIFS('BA History'!$B:$B,$A$58,'BA History'!Y:Y, 1)</f>
        <v>0</v>
      </c>
      <c r="AG58" s="2">
        <f>COUNTIFS('BA History'!$B:$B,$A$58,'BA History'!Z:Z, 1)</f>
        <v>0</v>
      </c>
      <c r="AH58" s="2">
        <f>COUNTIFS('BA History'!$B:$B,$A$58,'BA History'!AA:AA, 1)</f>
        <v>0</v>
      </c>
      <c r="AI58" s="2">
        <f>COUNTIFS('BA History'!$B:$B,$A$58,'BA History'!AB:AB, 1)</f>
        <v>0</v>
      </c>
      <c r="AJ58" s="2">
        <f>COUNTIFS('BA History'!$B:$B,$A$58,'BA History'!AC:AC, 1)</f>
        <v>0</v>
      </c>
      <c r="AK58" s="2">
        <f>COUNTIFS('BA History'!$B:$B,$A$58,'BA History'!AD:AD, 1)</f>
        <v>0</v>
      </c>
      <c r="AL58" s="2">
        <f>COUNTIFS('BA History'!$B:$B,$A$58,'BA History'!AE:AE, 1)</f>
        <v>0</v>
      </c>
      <c r="AM58" s="2">
        <f>COUNTIFS('BA History'!$B:$B,$A$58,'BA History'!AF:AF, 1)</f>
        <v>0</v>
      </c>
    </row>
  </sheetData>
  <autoFilter ref="A1:AM58" xr:uid="{DA548192-1F03-46EA-8AB8-115EB9A7CE5D}">
    <sortState xmlns:xlrd2="http://schemas.microsoft.com/office/spreadsheetml/2017/richdata2" ref="A2:AM58">
      <sortCondition ref="A1:A58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90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917" sqref="G917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170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  <row r="776" spans="1:36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1</v>
      </c>
      <c r="AD776">
        <v>1</v>
      </c>
      <c r="AE776">
        <v>0</v>
      </c>
      <c r="AF776">
        <v>0</v>
      </c>
      <c r="AG776" s="86">
        <f>AVERAGEIFS($C$2:C776, $B$2:B776, B776)</f>
        <v>26.814814814814813</v>
      </c>
      <c r="AH776" s="86">
        <f>AVERAGEIFS($I$2:I776, $B$2:B776, B776)</f>
        <v>0.42962962962962969</v>
      </c>
      <c r="AI776" s="86">
        <f>AVERAGEIFS($J$2:J776, $B$2:B776, B776)</f>
        <v>0.4555555555555556</v>
      </c>
      <c r="AJ776" s="86">
        <f>AVERAGEIFS($D$2:D776, $B$2:B776, B776)</f>
        <v>0.44444444444444442</v>
      </c>
    </row>
    <row r="777" spans="1:36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 s="86">
        <f>AVERAGEIFS($C$2:C777, $B$2:B777, B777)</f>
        <v>20.466666666666665</v>
      </c>
      <c r="AH777" s="86">
        <f>AVERAGEIFS($I$2:I777, $B$2:B777, B777)</f>
        <v>0.53733333333333322</v>
      </c>
      <c r="AI777" s="86">
        <f>AVERAGEIFS($J$2:J777, $B$2:B777, B777)</f>
        <v>0.50666666666666671</v>
      </c>
      <c r="AJ777" s="86">
        <f>AVERAGEIFS($D$2:D777, $B$2:B777, B777)</f>
        <v>0.53333333333333333</v>
      </c>
    </row>
    <row r="778" spans="1:36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1</v>
      </c>
      <c r="AD778">
        <v>1</v>
      </c>
      <c r="AE778">
        <v>0</v>
      </c>
      <c r="AF778">
        <v>0</v>
      </c>
      <c r="AG778" s="86">
        <f>AVERAGEIFS($C$2:C778, $B$2:B778, B778)</f>
        <v>24.148148148148149</v>
      </c>
      <c r="AH778" s="86">
        <f>AVERAGEIFS($I$2:I778, $B$2:B778, B778)</f>
        <v>0.43333333333333329</v>
      </c>
      <c r="AI778" s="86">
        <f>AVERAGEIFS($J$2:J778, $B$2:B778, B778)</f>
        <v>0.45814814814814814</v>
      </c>
      <c r="AJ778" s="86">
        <f>AVERAGEIFS($D$2:D778, $B$2:B778, B778)</f>
        <v>0.33333333333333331</v>
      </c>
    </row>
    <row r="779" spans="1:36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1</v>
      </c>
      <c r="AE779">
        <v>0</v>
      </c>
      <c r="AF779">
        <v>0</v>
      </c>
      <c r="AG779" s="86">
        <f>AVERAGEIFS($C$2:C779, $B$2:B779, B779)</f>
        <v>23.882352941176471</v>
      </c>
      <c r="AH779" s="86">
        <f>AVERAGEIFS($I$2:I779, $B$2:B779, B779)</f>
        <v>0.5655882352941175</v>
      </c>
      <c r="AI779" s="86">
        <f>AVERAGEIFS($J$2:J779, $B$2:B779, B779)</f>
        <v>0.55970588235294116</v>
      </c>
      <c r="AJ779" s="86">
        <f>AVERAGEIFS($D$2:D779, $B$2:B779, B779)</f>
        <v>0.55882352941176472</v>
      </c>
    </row>
    <row r="780" spans="1:36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1</v>
      </c>
      <c r="AD780">
        <v>1</v>
      </c>
      <c r="AE780">
        <v>0</v>
      </c>
      <c r="AF780">
        <v>0</v>
      </c>
      <c r="AG780" s="86">
        <f>AVERAGEIFS($C$2:C780, $B$2:B780, B780)</f>
        <v>12.181818181818182</v>
      </c>
      <c r="AH780" s="86">
        <f>AVERAGEIFS($I$2:I780, $B$2:B780, B780)</f>
        <v>0.46136363636363636</v>
      </c>
      <c r="AI780" s="86">
        <f>AVERAGEIFS($J$2:J780, $B$2:B780, B780)</f>
        <v>0.47636363636363638</v>
      </c>
      <c r="AJ780" s="86">
        <f>AVERAGEIFS($D$2:D780, $B$2:B780, B780)</f>
        <v>0.5</v>
      </c>
    </row>
    <row r="781" spans="1:36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1</v>
      </c>
      <c r="AD781">
        <v>1</v>
      </c>
      <c r="AE781">
        <v>0</v>
      </c>
      <c r="AF781">
        <v>0</v>
      </c>
      <c r="AG781" s="86">
        <f>AVERAGEIFS($C$2:C781, $B$2:B781, B781)</f>
        <v>14</v>
      </c>
      <c r="AH781" s="86">
        <f>AVERAGEIFS($I$2:I781, $B$2:B781, B781)</f>
        <v>0.53214285714285714</v>
      </c>
      <c r="AI781" s="86">
        <f>AVERAGEIFS($J$2:J781, $B$2:B781, B781)</f>
        <v>0.52571428571428569</v>
      </c>
      <c r="AJ781" s="86">
        <f>AVERAGEIFS($D$2:D781, $B$2:B781, B781)</f>
        <v>0.42857142857142855</v>
      </c>
    </row>
    <row r="782" spans="1:36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1</v>
      </c>
      <c r="AD782">
        <v>1</v>
      </c>
      <c r="AE782">
        <v>0</v>
      </c>
      <c r="AF782">
        <v>0</v>
      </c>
      <c r="AG782" s="86">
        <f>AVERAGEIFS($C$2:C782, $B$2:B782, B782)</f>
        <v>16.6875</v>
      </c>
      <c r="AH782" s="86">
        <f>AVERAGEIFS($I$2:I782, $B$2:B782, B782)</f>
        <v>0.52812499999999996</v>
      </c>
      <c r="AI782" s="86">
        <f>AVERAGEIFS($J$2:J782, $B$2:B782, B782)</f>
        <v>0.51968750000000008</v>
      </c>
      <c r="AJ782" s="86">
        <f>AVERAGEIFS($D$2:D782, $B$2:B782, B782)</f>
        <v>0.5625</v>
      </c>
    </row>
    <row r="783" spans="1:36" x14ac:dyDescent="0.25">
      <c r="A783" s="85">
        <v>46121</v>
      </c>
      <c r="B783" t="s">
        <v>163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1</v>
      </c>
      <c r="AD783">
        <v>1</v>
      </c>
      <c r="AE783">
        <v>0</v>
      </c>
      <c r="AF783">
        <v>0</v>
      </c>
      <c r="AG783" s="86">
        <f>AVERAGEIFS($C$2:C783, $B$2:B783, B783)</f>
        <v>4</v>
      </c>
      <c r="AH783" s="86">
        <f>AVERAGEIFS($I$2:I783, $B$2:B783, B783)</f>
        <v>0.75</v>
      </c>
      <c r="AI783" s="86">
        <f>AVERAGEIFS($J$2:J783, $B$2:B783, B783)</f>
        <v>0.61</v>
      </c>
      <c r="AJ783" s="86">
        <f>AVERAGEIFS($D$2:D783, $B$2:B783, B783)</f>
        <v>1</v>
      </c>
    </row>
    <row r="784" spans="1:36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1</v>
      </c>
      <c r="AC784">
        <v>0</v>
      </c>
      <c r="AD784">
        <v>0</v>
      </c>
      <c r="AE784">
        <v>0</v>
      </c>
      <c r="AF784">
        <v>0</v>
      </c>
      <c r="AG784" s="86">
        <f>AVERAGEIFS($C$2:C784, $B$2:B784, B784)</f>
        <v>22.307692307692307</v>
      </c>
      <c r="AH784" s="86">
        <f>AVERAGEIFS($I$2:I784, $B$2:B784, B784)</f>
        <v>0.53711538461538466</v>
      </c>
      <c r="AI784" s="86">
        <f>AVERAGEIFS($J$2:J784, $B$2:B784, B784)</f>
        <v>0.52326923076923082</v>
      </c>
      <c r="AJ784" s="86">
        <f>AVERAGEIFS($D$2:D784, $B$2:B784, B784)</f>
        <v>0.61538461538461542</v>
      </c>
    </row>
    <row r="785" spans="1:36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1</v>
      </c>
      <c r="AC785">
        <v>0</v>
      </c>
      <c r="AD785">
        <v>0</v>
      </c>
      <c r="AE785">
        <v>0</v>
      </c>
      <c r="AF785">
        <v>0</v>
      </c>
      <c r="AG785" s="86">
        <f>AVERAGEIFS($C$2:C785, $B$2:B785, B785)</f>
        <v>16.851851851851851</v>
      </c>
      <c r="AH785" s="86">
        <f>AVERAGEIFS($I$2:I785, $B$2:B785, B785)</f>
        <v>0.56111111111111112</v>
      </c>
      <c r="AI785" s="86">
        <f>AVERAGEIFS($J$2:J785, $B$2:B785, B785)</f>
        <v>0.52037037037037048</v>
      </c>
      <c r="AJ785" s="86">
        <f>AVERAGEIFS($D$2:D785, $B$2:B785, B785)</f>
        <v>0.55555555555555558</v>
      </c>
    </row>
    <row r="786" spans="1:36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 s="86">
        <f>AVERAGEIFS($C$2:C786, $B$2:B786, B786)</f>
        <v>20.833333333333332</v>
      </c>
      <c r="AH786" s="86">
        <f>AVERAGEIFS($I$2:I786, $B$2:B786, B786)</f>
        <v>0.63722222222222213</v>
      </c>
      <c r="AI786" s="86">
        <f>AVERAGEIFS($J$2:J786, $B$2:B786, B786)</f>
        <v>0.56444444444444442</v>
      </c>
      <c r="AJ786" s="86">
        <f>AVERAGEIFS($D$2:D786, $B$2:B786, B786)</f>
        <v>0.77777777777777779</v>
      </c>
    </row>
    <row r="787" spans="1:36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1</v>
      </c>
      <c r="AC787">
        <v>0</v>
      </c>
      <c r="AD787">
        <v>0</v>
      </c>
      <c r="AE787">
        <v>0</v>
      </c>
      <c r="AF787">
        <v>0</v>
      </c>
      <c r="AG787" s="86">
        <f>AVERAGEIFS($C$2:C787, $B$2:B787, B787)</f>
        <v>18.313725490196077</v>
      </c>
      <c r="AH787" s="86">
        <f>AVERAGEIFS($I$2:I787, $B$2:B787, B787)</f>
        <v>0.48529411764705871</v>
      </c>
      <c r="AI787" s="86">
        <f>AVERAGEIFS($J$2:J787, $B$2:B787, B787)</f>
        <v>0.47980392156862756</v>
      </c>
      <c r="AJ787" s="86">
        <f>AVERAGEIFS($D$2:D787, $B$2:B787, B787)</f>
        <v>0.43137254901960786</v>
      </c>
    </row>
    <row r="788" spans="1:36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1</v>
      </c>
      <c r="AC788">
        <v>0</v>
      </c>
      <c r="AD788">
        <v>0</v>
      </c>
      <c r="AE788">
        <v>0</v>
      </c>
      <c r="AF788">
        <v>0</v>
      </c>
      <c r="AG788" s="86">
        <f>AVERAGEIFS($C$2:C788, $B$2:B788, B788)</f>
        <v>19.6875</v>
      </c>
      <c r="AH788" s="86">
        <f>AVERAGEIFS($I$2:I788, $B$2:B788, B788)</f>
        <v>0.43749999999999994</v>
      </c>
      <c r="AI788" s="86">
        <f>AVERAGEIFS($J$2:J788, $B$2:B788, B788)</f>
        <v>0.45124999999999998</v>
      </c>
      <c r="AJ788" s="86">
        <f>AVERAGEIFS($D$2:D788, $B$2:B788, B788)</f>
        <v>0.4375</v>
      </c>
    </row>
    <row r="789" spans="1:36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 s="86">
        <f>AVERAGEIFS($C$2:C789, $B$2:B789, B789)</f>
        <v>16.875</v>
      </c>
      <c r="AH789" s="86">
        <f>AVERAGEIFS($I$2:I789, $B$2:B789, B789)</f>
        <v>0.51093749999999993</v>
      </c>
      <c r="AI789" s="86">
        <f>AVERAGEIFS($J$2:J789, $B$2:B789, B789)</f>
        <v>0.52374999999999994</v>
      </c>
      <c r="AJ789" s="86">
        <f>AVERAGEIFS($D$2:D789, $B$2:B789, B789)</f>
        <v>0.625</v>
      </c>
    </row>
    <row r="790" spans="1:36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 s="86">
        <f>AVERAGEIFS($C$2:C790, $B$2:B790, B790)</f>
        <v>15.947368421052632</v>
      </c>
      <c r="AH790" s="86">
        <f>AVERAGEIFS($I$2:I790, $B$2:B790, B790)</f>
        <v>0.5368421052631579</v>
      </c>
      <c r="AI790" s="86">
        <f>AVERAGEIFS($J$2:J790, $B$2:B790, B790)</f>
        <v>0.51421052631578956</v>
      </c>
      <c r="AJ790" s="86">
        <f>AVERAGEIFS($D$2:D790, $B$2:B790, B790)</f>
        <v>0.47368421052631576</v>
      </c>
    </row>
    <row r="791" spans="1:36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 s="86">
        <f>AVERAGEIFS($C$2:C791, $B$2:B791, B791)</f>
        <v>17.055555555555557</v>
      </c>
      <c r="AH791" s="86">
        <f>AVERAGEIFS($I$2:I791, $B$2:B791, B791)</f>
        <v>0.47333333333333333</v>
      </c>
      <c r="AI791" s="86">
        <f>AVERAGEIFS($J$2:J791, $B$2:B791, B791)</f>
        <v>0.51166666666666671</v>
      </c>
      <c r="AJ791" s="86">
        <f>AVERAGEIFS($D$2:D791, $B$2:B791, B791)</f>
        <v>0.44444444444444442</v>
      </c>
    </row>
    <row r="792" spans="1:36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 s="86">
        <f>AVERAGEIFS($C$2:C792, $B$2:B792, B792)</f>
        <v>18.25</v>
      </c>
      <c r="AH792" s="86">
        <f>AVERAGEIFS($I$2:I792, $B$2:B792, B792)</f>
        <v>0.49519230769230754</v>
      </c>
      <c r="AI792" s="86">
        <f>AVERAGEIFS($J$2:J792, $B$2:B792, B792)</f>
        <v>0.48634615384615398</v>
      </c>
      <c r="AJ792" s="86">
        <f>AVERAGEIFS($D$2:D792, $B$2:B792, B792)</f>
        <v>0.44230769230769229</v>
      </c>
    </row>
    <row r="793" spans="1:36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 s="86">
        <f>AVERAGEIFS($C$2:C793, $B$2:B793, B793)</f>
        <v>26.321428571428573</v>
      </c>
      <c r="AH793" s="86">
        <f>AVERAGEIFS($I$2:I793, $B$2:B793, B793)</f>
        <v>0.45000000000000007</v>
      </c>
      <c r="AI793" s="86">
        <f>AVERAGEIFS($J$2:J793, $B$2:B793, B793)</f>
        <v>0.46857142857142858</v>
      </c>
      <c r="AJ793" s="86">
        <f>AVERAGEIFS($D$2:D793, $B$2:B793, B793)</f>
        <v>0.4642857142857143</v>
      </c>
    </row>
    <row r="794" spans="1:36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 s="86">
        <f>AVERAGEIFS($C$2:C794, $B$2:B794, B794)</f>
        <v>20.421052631578949</v>
      </c>
      <c r="AH794" s="86">
        <f>AVERAGEIFS($I$2:I794, $B$2:B794, B794)</f>
        <v>0.65631578947368419</v>
      </c>
      <c r="AI794" s="86">
        <f>AVERAGEIFS($J$2:J794, $B$2:B794, B794)</f>
        <v>0.57789473684210524</v>
      </c>
      <c r="AJ794" s="86">
        <f>AVERAGEIFS($D$2:D794, $B$2:B794, B794)</f>
        <v>0.78947368421052633</v>
      </c>
    </row>
    <row r="795" spans="1:36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 s="86">
        <f>AVERAGEIFS($C$2:C795, $B$2:B795, B795)</f>
        <v>15.85</v>
      </c>
      <c r="AH795" s="86">
        <f>AVERAGEIFS($I$2:I795, $B$2:B795, B795)</f>
        <v>0.56000000000000005</v>
      </c>
      <c r="AI795" s="86">
        <f>AVERAGEIFS($J$2:J795, $B$2:B795, B795)</f>
        <v>0.52950000000000008</v>
      </c>
      <c r="AJ795" s="86">
        <f>AVERAGEIFS($D$2:D795, $B$2:B795, B795)</f>
        <v>0.5</v>
      </c>
    </row>
    <row r="796" spans="1:36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 s="86">
        <f>AVERAGEIFS($C$2:C796, $B$2:B796, B796)</f>
        <v>14</v>
      </c>
      <c r="AH796" s="86">
        <f>AVERAGEIFS($I$2:I796, $B$2:B796, B796)</f>
        <v>0.6166666666666667</v>
      </c>
      <c r="AI796" s="86">
        <f>AVERAGEIFS($J$2:J796, $B$2:B796, B796)</f>
        <v>0.59555555555555562</v>
      </c>
      <c r="AJ796" s="86">
        <f>AVERAGEIFS($D$2:D796, $B$2:B796, B796)</f>
        <v>0.55555555555555558</v>
      </c>
    </row>
    <row r="797" spans="1:36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 s="86">
        <f>AVERAGEIFS($C$2:C797, $B$2:B797, B797)</f>
        <v>12.428571428571429</v>
      </c>
      <c r="AH797" s="86">
        <f>AVERAGEIFS($I$2:I797, $B$2:B797, B797)</f>
        <v>0.49285714285714288</v>
      </c>
      <c r="AI797" s="86">
        <f>AVERAGEIFS($J$2:J797, $B$2:B797, B797)</f>
        <v>0.49571428571428572</v>
      </c>
      <c r="AJ797" s="86">
        <f>AVERAGEIFS($D$2:D797, $B$2:B797, B797)</f>
        <v>0.5</v>
      </c>
    </row>
    <row r="798" spans="1:36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 s="86">
        <f>AVERAGEIFS($C$2:C798, $B$2:B798, B798)</f>
        <v>19.242424242424242</v>
      </c>
      <c r="AH798" s="86">
        <f>AVERAGEIFS($I$2:I798, $B$2:B798, B798)</f>
        <v>0.4242424242424242</v>
      </c>
      <c r="AI798" s="86">
        <f>AVERAGEIFS($J$2:J798, $B$2:B798, B798)</f>
        <v>0.443030303030303</v>
      </c>
      <c r="AJ798" s="86">
        <f>AVERAGEIFS($D$2:D798, $B$2:B798, B798)</f>
        <v>0.42424242424242425</v>
      </c>
    </row>
    <row r="799" spans="1:36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 s="86">
        <f>AVERAGEIFS($C$2:C799, $B$2:B799, B799)</f>
        <v>22.169811320754718</v>
      </c>
      <c r="AH799" s="86">
        <f>AVERAGEIFS($I$2:I799, $B$2:B799, B799)</f>
        <v>0.52698113207547181</v>
      </c>
      <c r="AI799" s="86">
        <f>AVERAGEIFS($J$2:J799, $B$2:B799, B799)</f>
        <v>0.51679245283018871</v>
      </c>
      <c r="AJ799" s="86">
        <f>AVERAGEIFS($D$2:D799, $B$2:B799, B799)</f>
        <v>0.60377358490566035</v>
      </c>
    </row>
    <row r="800" spans="1:36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 s="86">
        <f>AVERAGEIFS($C$2:C800, $B$2:B800, B800)</f>
        <v>16.272727272727273</v>
      </c>
      <c r="AH800" s="86">
        <f>AVERAGEIFS($I$2:I800, $B$2:B800, B800)</f>
        <v>0.51212121212121209</v>
      </c>
      <c r="AI800" s="86">
        <f>AVERAGEIFS($J$2:J800, $B$2:B800, B800)</f>
        <v>0.50939393939393951</v>
      </c>
      <c r="AJ800" s="86">
        <f>AVERAGEIFS($D$2:D800, $B$2:B800, B800)</f>
        <v>0.54545454545454541</v>
      </c>
    </row>
    <row r="801" spans="1:36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 s="86">
        <f>AVERAGEIFS($C$2:C801, $B$2:B801, B801)</f>
        <v>16.606060606060606</v>
      </c>
      <c r="AH801" s="86">
        <f>AVERAGEIFS($I$2:I801, $B$2:B801, B801)</f>
        <v>0.49545454545454537</v>
      </c>
      <c r="AI801" s="86">
        <f>AVERAGEIFS($J$2:J801, $B$2:B801, B801)</f>
        <v>0.51333333333333331</v>
      </c>
      <c r="AJ801" s="86">
        <f>AVERAGEIFS($D$2:D801, $B$2:B801, B801)</f>
        <v>0.60606060606060608</v>
      </c>
    </row>
    <row r="802" spans="1:36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 s="86">
        <f>AVERAGEIFS($C$2:C802, $B$2:B802, B802)</f>
        <v>13.466666666666667</v>
      </c>
      <c r="AH802" s="86">
        <f>AVERAGEIFS($I$2:I802, $B$2:B802, B802)</f>
        <v>0.4966666666666667</v>
      </c>
      <c r="AI802" s="86">
        <f>AVERAGEIFS($J$2:J802, $B$2:B802, B802)</f>
        <v>0.5026666666666666</v>
      </c>
      <c r="AJ802" s="86">
        <f>AVERAGEIFS($D$2:D802, $B$2:B802, B802)</f>
        <v>0.4</v>
      </c>
    </row>
    <row r="803" spans="1:36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 s="86">
        <f>AVERAGEIFS($C$2:C803, $B$2:B803, B803)</f>
        <v>11.956521739130435</v>
      </c>
      <c r="AH803" s="86">
        <f>AVERAGEIFS($I$2:I803, $B$2:B803, B803)</f>
        <v>0.44130434782608696</v>
      </c>
      <c r="AI803" s="86">
        <f>AVERAGEIFS($J$2:J803, $B$2:B803, B803)</f>
        <v>0.46347826086956523</v>
      </c>
      <c r="AJ803" s="86">
        <f>AVERAGEIFS($D$2:D803, $B$2:B803, B803)</f>
        <v>0.47826086956521741</v>
      </c>
    </row>
    <row r="804" spans="1:36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1</v>
      </c>
      <c r="AC804">
        <v>0</v>
      </c>
      <c r="AD804">
        <v>0</v>
      </c>
      <c r="AE804">
        <v>0</v>
      </c>
      <c r="AF804">
        <v>0</v>
      </c>
      <c r="AG804" s="86">
        <f>AVERAGEIFS($C$2:C804, $B$2:B804, B804)</f>
        <v>17.263157894736842</v>
      </c>
      <c r="AH804" s="86">
        <f>AVERAGEIFS($I$2:I804, $B$2:B804, B804)</f>
        <v>0.48</v>
      </c>
      <c r="AI804" s="86">
        <f>AVERAGEIFS($J$2:J804, $B$2:B804, B804)</f>
        <v>0.51263157894736844</v>
      </c>
      <c r="AJ804" s="86">
        <f>AVERAGEIFS($D$2:D804, $B$2:B804, B804)</f>
        <v>0.47368421052631576</v>
      </c>
    </row>
    <row r="805" spans="1:36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1</v>
      </c>
      <c r="AC805">
        <v>0</v>
      </c>
      <c r="AD805">
        <v>0</v>
      </c>
      <c r="AE805">
        <v>0</v>
      </c>
      <c r="AF805">
        <v>0</v>
      </c>
      <c r="AG805" s="86">
        <f>AVERAGEIFS($C$2:C805, $B$2:B805, B805)</f>
        <v>12.166666666666666</v>
      </c>
      <c r="AH805" s="86">
        <f>AVERAGEIFS($I$2:I805, $B$2:B805, B805)</f>
        <v>0.44791666666666669</v>
      </c>
      <c r="AI805" s="86">
        <f>AVERAGEIFS($J$2:J805, $B$2:B805, B805)</f>
        <v>0.46625</v>
      </c>
      <c r="AJ805" s="86">
        <f>AVERAGEIFS($D$2:D805, $B$2:B805, B805)</f>
        <v>0.5</v>
      </c>
    </row>
    <row r="806" spans="1:36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1</v>
      </c>
      <c r="AC806">
        <v>0</v>
      </c>
      <c r="AD806">
        <v>0</v>
      </c>
      <c r="AE806">
        <v>0</v>
      </c>
      <c r="AF806">
        <v>0</v>
      </c>
      <c r="AG806" s="86">
        <f>AVERAGEIFS($C$2:C806, $B$2:B806, B806)</f>
        <v>18.25</v>
      </c>
      <c r="AH806" s="86">
        <f>AVERAGEIFS($I$2:I806, $B$2:B806, B806)</f>
        <v>0.40714285714285708</v>
      </c>
      <c r="AI806" s="86">
        <f>AVERAGEIFS($J$2:J806, $B$2:B806, B806)</f>
        <v>0.45107142857142862</v>
      </c>
      <c r="AJ806" s="86">
        <f>AVERAGEIFS($D$2:D806, $B$2:B806, B806)</f>
        <v>0.35714285714285715</v>
      </c>
    </row>
    <row r="807" spans="1:36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1</v>
      </c>
      <c r="AC807">
        <v>0</v>
      </c>
      <c r="AD807">
        <v>0</v>
      </c>
      <c r="AE807">
        <v>0</v>
      </c>
      <c r="AF807">
        <v>0</v>
      </c>
      <c r="AG807" s="86">
        <f>AVERAGEIFS($C$2:C807, $B$2:B807, B807)</f>
        <v>20.2</v>
      </c>
      <c r="AH807" s="86">
        <f>AVERAGEIFS($I$2:I807, $B$2:B807, B807)</f>
        <v>0.65349999999999997</v>
      </c>
      <c r="AI807" s="86">
        <f>AVERAGEIFS($J$2:J807, $B$2:B807, B807)</f>
        <v>0.57550000000000001</v>
      </c>
      <c r="AJ807" s="86">
        <f>AVERAGEIFS($D$2:D807, $B$2:B807, B807)</f>
        <v>0.8</v>
      </c>
    </row>
    <row r="808" spans="1:36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1</v>
      </c>
      <c r="AC808">
        <v>0</v>
      </c>
      <c r="AD808">
        <v>0</v>
      </c>
      <c r="AE808">
        <v>0</v>
      </c>
      <c r="AF808">
        <v>0</v>
      </c>
      <c r="AG808" s="86">
        <f>AVERAGEIFS($C$2:C808, $B$2:B808, B808)</f>
        <v>20.322580645161292</v>
      </c>
      <c r="AH808" s="86">
        <f>AVERAGEIFS($I$2:I808, $B$2:B808, B808)</f>
        <v>0.53935483870967738</v>
      </c>
      <c r="AI808" s="86">
        <f>AVERAGEIFS($J$2:J808, $B$2:B808, B808)</f>
        <v>0.5074193548387097</v>
      </c>
      <c r="AJ808" s="86">
        <f>AVERAGEIFS($D$2:D808, $B$2:B808, B808)</f>
        <v>0.54838709677419351</v>
      </c>
    </row>
    <row r="809" spans="1:36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1</v>
      </c>
      <c r="AC809">
        <v>0</v>
      </c>
      <c r="AD809">
        <v>0</v>
      </c>
      <c r="AE809">
        <v>0</v>
      </c>
      <c r="AF809">
        <v>0</v>
      </c>
      <c r="AG809" s="86">
        <f>AVERAGEIFS($C$2:C809, $B$2:B809, B809)</f>
        <v>2</v>
      </c>
      <c r="AH809" s="86">
        <f>AVERAGEIFS($I$2:I809, $B$2:B809, B809)</f>
        <v>0.6</v>
      </c>
      <c r="AI809" s="86">
        <f>AVERAGEIFS($J$2:J809, $B$2:B809, B809)</f>
        <v>0.53</v>
      </c>
      <c r="AJ809" s="86">
        <f>AVERAGEIFS($D$2:D809, $B$2:B809, B809)</f>
        <v>1</v>
      </c>
    </row>
    <row r="810" spans="1:36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 s="86">
        <f>AVERAGEIFS($C$2:C810, $B$2:B810, B810)</f>
        <v>22.185185185185187</v>
      </c>
      <c r="AH810" s="86">
        <f>AVERAGEIFS($I$2:I810, $B$2:B810, B810)</f>
        <v>0.52462962962962967</v>
      </c>
      <c r="AI810" s="86">
        <f>AVERAGEIFS($J$2:J810, $B$2:B810, B810)</f>
        <v>0.5159259259259259</v>
      </c>
      <c r="AJ810" s="86">
        <f>AVERAGEIFS($D$2:D810, $B$2:B810, B810)</f>
        <v>0.59259259259259256</v>
      </c>
    </row>
    <row r="811" spans="1:36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 s="86">
        <f>AVERAGEIFS($C$2:C811, $B$2:B811, B811)</f>
        <v>16.928571428571427</v>
      </c>
      <c r="AH811" s="86">
        <f>AVERAGEIFS($I$2:I811, $B$2:B811, B811)</f>
        <v>0.55535714285714288</v>
      </c>
      <c r="AI811" s="86">
        <f>AVERAGEIFS($J$2:J811, $B$2:B811, B811)</f>
        <v>0.51857142857142868</v>
      </c>
      <c r="AJ811" s="86">
        <f>AVERAGEIFS($D$2:D811, $B$2:B811, B811)</f>
        <v>0.5357142857142857</v>
      </c>
    </row>
    <row r="812" spans="1:36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 s="86">
        <f>AVERAGEIFS($C$2:C812, $B$2:B812, B812)</f>
        <v>16.071428571428573</v>
      </c>
      <c r="AH812" s="86">
        <f>AVERAGEIFS($I$2:I812, $B$2:B812, B812)</f>
        <v>0.48571428571428577</v>
      </c>
      <c r="AI812" s="86">
        <f>AVERAGEIFS($J$2:J812, $B$2:B812, B812)</f>
        <v>0.49071428571428577</v>
      </c>
      <c r="AJ812" s="86">
        <f>AVERAGEIFS($D$2:D812, $B$2:B812, B812)</f>
        <v>0.35714285714285715</v>
      </c>
    </row>
    <row r="813" spans="1:36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 s="86">
        <f>AVERAGEIFS($C$2:C813, $B$2:B813, B813)</f>
        <v>18.188679245283019</v>
      </c>
      <c r="AH813" s="86">
        <f>AVERAGEIFS($I$2:I813, $B$2:B813, B813)</f>
        <v>0.49339622641509417</v>
      </c>
      <c r="AI813" s="86">
        <f>AVERAGEIFS($J$2:J813, $B$2:B813, B813)</f>
        <v>0.48603773584905668</v>
      </c>
      <c r="AJ813" s="86">
        <f>AVERAGEIFS($D$2:D813, $B$2:B813, B813)</f>
        <v>0.43396226415094341</v>
      </c>
    </row>
    <row r="814" spans="1:36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 s="86">
        <f>AVERAGEIFS($C$2:C814, $B$2:B814, B814)</f>
        <v>14.1</v>
      </c>
      <c r="AH814" s="86">
        <f>AVERAGEIFS($I$2:I814, $B$2:B814, B814)</f>
        <v>0.59499999999999997</v>
      </c>
      <c r="AI814" s="86">
        <f>AVERAGEIFS($J$2:J814, $B$2:B814, B814)</f>
        <v>0.58299999999999996</v>
      </c>
      <c r="AJ814" s="86">
        <f>AVERAGEIFS($D$2:D814, $B$2:B814, B814)</f>
        <v>0.5</v>
      </c>
    </row>
    <row r="815" spans="1:36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 s="86">
        <f>AVERAGEIFS($C$2:C815, $B$2:B815, B815)</f>
        <v>15.380952380952381</v>
      </c>
      <c r="AH815" s="86">
        <f>AVERAGEIFS($I$2:I815, $B$2:B815, B815)</f>
        <v>0.55238095238095242</v>
      </c>
      <c r="AI815" s="86">
        <f>AVERAGEIFS($J$2:J815, $B$2:B815, B815)</f>
        <v>0.52666666666666673</v>
      </c>
      <c r="AJ815" s="86">
        <f>AVERAGEIFS($D$2:D815, $B$2:B815, B815)</f>
        <v>0.47619047619047616</v>
      </c>
    </row>
    <row r="816" spans="1:36" x14ac:dyDescent="0.25">
      <c r="A816" s="85">
        <v>46124</v>
      </c>
      <c r="B816" t="s">
        <v>170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1</v>
      </c>
      <c r="AC816">
        <v>0</v>
      </c>
      <c r="AD816">
        <v>0</v>
      </c>
      <c r="AE816">
        <v>0</v>
      </c>
      <c r="AF816">
        <v>0</v>
      </c>
      <c r="AG816" s="86">
        <f>AVERAGEIFS($C$2:C816, $B$2:B816, B816)</f>
        <v>12</v>
      </c>
      <c r="AH816" s="86">
        <f>AVERAGEIFS($I$2:I816, $B$2:B816, B816)</f>
        <v>0.57499999999999996</v>
      </c>
      <c r="AI816" s="86">
        <f>AVERAGEIFS($J$2:J816, $B$2:B816, B816)</f>
        <v>0.505</v>
      </c>
      <c r="AJ816" s="86">
        <f>AVERAGEIFS($D$2:D816, $B$2:B816, B816)</f>
        <v>0.5</v>
      </c>
    </row>
    <row r="817" spans="1:36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1</v>
      </c>
      <c r="AC817">
        <v>0</v>
      </c>
      <c r="AD817">
        <v>0</v>
      </c>
      <c r="AE817">
        <v>0</v>
      </c>
      <c r="AF817">
        <v>0</v>
      </c>
      <c r="AG817" s="86">
        <f>AVERAGEIFS($C$2:C817, $B$2:B817, B817)</f>
        <v>14.0625</v>
      </c>
      <c r="AH817" s="86">
        <f>AVERAGEIFS($I$2:I817, $B$2:B817, B817)</f>
        <v>0.51249999999999996</v>
      </c>
      <c r="AI817" s="86">
        <f>AVERAGEIFS($J$2:J817, $B$2:B817, B817)</f>
        <v>0.50624999999999998</v>
      </c>
      <c r="AJ817" s="86">
        <f>AVERAGEIFS($D$2:D817, $B$2:B817, B817)</f>
        <v>0.4375</v>
      </c>
    </row>
    <row r="818" spans="1:36" x14ac:dyDescent="0.25">
      <c r="A818" s="85">
        <v>46124</v>
      </c>
      <c r="B818" t="s">
        <v>163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1</v>
      </c>
      <c r="AC818">
        <v>0</v>
      </c>
      <c r="AD818">
        <v>0</v>
      </c>
      <c r="AE818">
        <v>0</v>
      </c>
      <c r="AF818">
        <v>0</v>
      </c>
      <c r="AG818" s="86">
        <f>AVERAGEIFS($C$2:C818, $B$2:B818, B818)</f>
        <v>7</v>
      </c>
      <c r="AH818" s="86">
        <f>AVERAGEIFS($I$2:I818, $B$2:B818, B818)</f>
        <v>0.75</v>
      </c>
      <c r="AI818" s="86">
        <f>AVERAGEIFS($J$2:J818, $B$2:B818, B818)</f>
        <v>0.58499999999999996</v>
      </c>
      <c r="AJ818" s="86">
        <f>AVERAGEIFS($D$2:D818, $B$2:B818, B818)</f>
        <v>1</v>
      </c>
    </row>
    <row r="819" spans="1:36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1</v>
      </c>
      <c r="AC819">
        <v>0</v>
      </c>
      <c r="AD819">
        <v>0</v>
      </c>
      <c r="AE819">
        <v>0</v>
      </c>
      <c r="AF819">
        <v>0</v>
      </c>
      <c r="AG819" s="86">
        <f>AVERAGEIFS($C$2:C819, $B$2:B819, B819)</f>
        <v>18.852941176470587</v>
      </c>
      <c r="AH819" s="86">
        <f>AVERAGEIFS($I$2:I819, $B$2:B819, B819)</f>
        <v>0.43382352941176466</v>
      </c>
      <c r="AI819" s="86">
        <f>AVERAGEIFS($J$2:J819, $B$2:B819, B819)</f>
        <v>0.44647058823529412</v>
      </c>
      <c r="AJ819" s="86">
        <f>AVERAGEIFS($D$2:D819, $B$2:B819, B819)</f>
        <v>0.44117647058823528</v>
      </c>
    </row>
    <row r="820" spans="1:36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1</v>
      </c>
      <c r="AC820">
        <v>0</v>
      </c>
      <c r="AD820">
        <v>0</v>
      </c>
      <c r="AE820">
        <v>0</v>
      </c>
      <c r="AF820">
        <v>0</v>
      </c>
      <c r="AG820" s="86">
        <f>AVERAGEIFS($C$2:C820, $B$2:B820, B820)</f>
        <v>15.363636363636363</v>
      </c>
      <c r="AH820" s="86">
        <f>AVERAGEIFS($I$2:I820, $B$2:B820, B820)</f>
        <v>0.60909090909090913</v>
      </c>
      <c r="AI820" s="86">
        <f>AVERAGEIFS($J$2:J820, $B$2:B820, B820)</f>
        <v>0.58090909090909093</v>
      </c>
      <c r="AJ820" s="86">
        <f>AVERAGEIFS($D$2:D820, $B$2:B820, B820)</f>
        <v>0.54545454545454541</v>
      </c>
    </row>
    <row r="821" spans="1:36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1</v>
      </c>
      <c r="AC821">
        <v>0</v>
      </c>
      <c r="AD821">
        <v>0</v>
      </c>
      <c r="AE821">
        <v>0</v>
      </c>
      <c r="AF821">
        <v>0</v>
      </c>
      <c r="AG821" s="86">
        <f>AVERAGEIFS($C$2:C821, $B$2:B821, B821)</f>
        <v>24.285714285714285</v>
      </c>
      <c r="AH821" s="86">
        <f>AVERAGEIFS($I$2:I821, $B$2:B821, B821)</f>
        <v>0.44464285714285712</v>
      </c>
      <c r="AI821" s="86">
        <f>AVERAGEIFS($J$2:J821, $B$2:B821, B821)</f>
        <v>0.4617857142857143</v>
      </c>
      <c r="AJ821" s="86">
        <f>AVERAGEIFS($D$2:D821, $B$2:B821, B821)</f>
        <v>0.35714285714285715</v>
      </c>
    </row>
    <row r="822" spans="1:36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1</v>
      </c>
      <c r="AC822">
        <v>0</v>
      </c>
      <c r="AD822">
        <v>0</v>
      </c>
      <c r="AE822">
        <v>0</v>
      </c>
      <c r="AF822">
        <v>0</v>
      </c>
      <c r="AG822" s="86">
        <f>AVERAGEIFS($C$2:C822, $B$2:B822, B822)</f>
        <v>17.068965517241381</v>
      </c>
      <c r="AH822" s="86">
        <f>AVERAGEIFS($I$2:I822, $B$2:B822, B822)</f>
        <v>0.56206896551724139</v>
      </c>
      <c r="AI822" s="86">
        <f>AVERAGEIFS($J$2:J822, $B$2:B822, B822)</f>
        <v>0.52000000000000013</v>
      </c>
      <c r="AJ822" s="86">
        <f>AVERAGEIFS($D$2:D822, $B$2:B822, B822)</f>
        <v>0.55172413793103448</v>
      </c>
    </row>
    <row r="823" spans="1:36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 s="86">
        <f>AVERAGEIFS($C$2:C823, $B$2:B823, B823)</f>
        <v>23.7</v>
      </c>
      <c r="AH823" s="86">
        <f>AVERAGEIFS($I$2:I823, $B$2:B823, B823)</f>
        <v>0.54540000000000011</v>
      </c>
      <c r="AI823" s="86">
        <f>AVERAGEIFS($J$2:J823, $B$2:B823, B823)</f>
        <v>0.52079999999999993</v>
      </c>
      <c r="AJ823" s="86">
        <f>AVERAGEIFS($D$2:D823, $B$2:B823, B823)</f>
        <v>0.56000000000000005</v>
      </c>
    </row>
    <row r="824" spans="1:36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 s="86">
        <f>AVERAGEIFS($C$2:C824, $B$2:B824, B824)</f>
        <v>8.5714285714285712</v>
      </c>
      <c r="AH824" s="86">
        <f>AVERAGEIFS($I$2:I824, $B$2:B824, B824)</f>
        <v>0.25</v>
      </c>
      <c r="AI824" s="86">
        <f>AVERAGEIFS($J$2:J824, $B$2:B824, B824)</f>
        <v>0.33571428571428574</v>
      </c>
      <c r="AJ824" s="86">
        <f>AVERAGEIFS($D$2:D824, $B$2:B824, B824)</f>
        <v>0.14285714285714285</v>
      </c>
    </row>
    <row r="825" spans="1:36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 s="86">
        <f>AVERAGEIFS($C$2:C825, $B$2:B825, B825)</f>
        <v>12</v>
      </c>
      <c r="AH825" s="86">
        <f>AVERAGEIFS($I$2:I825, $B$2:B825, B825)</f>
        <v>0.52500000000000002</v>
      </c>
      <c r="AI825" s="86">
        <f>AVERAGEIFS($J$2:J825, $B$2:B825, B825)</f>
        <v>0.59</v>
      </c>
      <c r="AJ825" s="86">
        <f>AVERAGEIFS($D$2:D825, $B$2:B825, B825)</f>
        <v>0.5</v>
      </c>
    </row>
    <row r="826" spans="1:36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 s="86">
        <f>AVERAGEIFS($C$2:C826, $B$2:B826, B826)</f>
        <v>18.24074074074074</v>
      </c>
      <c r="AH826" s="86">
        <f>AVERAGEIFS($I$2:I826, $B$2:B826, B826)</f>
        <v>0.48888888888888871</v>
      </c>
      <c r="AI826" s="86">
        <f>AVERAGEIFS($J$2:J826, $B$2:B826, B826)</f>
        <v>0.48518518518518533</v>
      </c>
      <c r="AJ826" s="86">
        <f>AVERAGEIFS($D$2:D826, $B$2:B826, B826)</f>
        <v>0.42592592592592593</v>
      </c>
    </row>
    <row r="827" spans="1:36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 s="86">
        <f>AVERAGEIFS($C$2:C827, $B$2:B827, B827)</f>
        <v>11.428571428571429</v>
      </c>
      <c r="AH827" s="86">
        <f>AVERAGEIFS($I$2:I827, $B$2:B827, B827)</f>
        <v>0.54285714285714293</v>
      </c>
      <c r="AI827" s="86">
        <f>AVERAGEIFS($J$2:J827, $B$2:B827, B827)</f>
        <v>0.52142857142857146</v>
      </c>
      <c r="AJ827" s="86">
        <f>AVERAGEIFS($D$2:D827, $B$2:B827, B827)</f>
        <v>0.7142857142857143</v>
      </c>
    </row>
    <row r="828" spans="1:36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 s="86">
        <f>AVERAGEIFS($C$2:C828, $B$2:B828, B828)</f>
        <v>12.24</v>
      </c>
      <c r="AH828" s="86">
        <f>AVERAGEIFS($I$2:I828, $B$2:B828, B828)</f>
        <v>0.44</v>
      </c>
      <c r="AI828" s="86">
        <f>AVERAGEIFS($J$2:J828, $B$2:B828, B828)</f>
        <v>0.46519999999999995</v>
      </c>
      <c r="AJ828" s="86">
        <f>AVERAGEIFS($D$2:D828, $B$2:B828, B828)</f>
        <v>0.48</v>
      </c>
    </row>
    <row r="829" spans="1:36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 s="86">
        <f>AVERAGEIFS($C$2:C829, $B$2:B829, B829)</f>
        <v>24.586206896551722</v>
      </c>
      <c r="AH829" s="86">
        <f>AVERAGEIFS($I$2:I829, $B$2:B829, B829)</f>
        <v>0.43793103448275861</v>
      </c>
      <c r="AI829" s="86">
        <f>AVERAGEIFS($J$2:J829, $B$2:B829, B829)</f>
        <v>0.46034482758620687</v>
      </c>
      <c r="AJ829" s="86">
        <f>AVERAGEIFS($D$2:D829, $B$2:B829, B829)</f>
        <v>0.34482758620689657</v>
      </c>
    </row>
    <row r="830" spans="1:36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 s="86">
        <f>AVERAGEIFS($C$2:C830, $B$2:B830, B830)</f>
        <v>22.109090909090909</v>
      </c>
      <c r="AH830" s="86">
        <f>AVERAGEIFS($I$2:I830, $B$2:B830, B830)</f>
        <v>0.51963636363636367</v>
      </c>
      <c r="AI830" s="86">
        <f>AVERAGEIFS($J$2:J830, $B$2:B830, B830)</f>
        <v>0.51418181818181818</v>
      </c>
      <c r="AJ830" s="86">
        <f>AVERAGEIFS($D$2:D830, $B$2:B830, B830)</f>
        <v>0.58181818181818179</v>
      </c>
    </row>
    <row r="831" spans="1:36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 s="86">
        <f>AVERAGEIFS($C$2:C831, $B$2:B831, B831)</f>
        <v>18.914285714285715</v>
      </c>
      <c r="AH831" s="86">
        <f>AVERAGEIFS($I$2:I831, $B$2:B831, B831)</f>
        <v>0.42857142857142855</v>
      </c>
      <c r="AI831" s="86">
        <f>AVERAGEIFS($J$2:J831, $B$2:B831, B831)</f>
        <v>0.44571428571428573</v>
      </c>
      <c r="AJ831" s="86">
        <f>AVERAGEIFS($D$2:D831, $B$2:B831, B831)</f>
        <v>0.42857142857142855</v>
      </c>
    </row>
    <row r="832" spans="1:36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 s="86">
        <f>AVERAGEIFS($C$2:C832, $B$2:B832, B832)</f>
        <v>15.666666666666666</v>
      </c>
      <c r="AH832" s="86">
        <f>AVERAGEIFS($I$2:I832, $B$2:B832, B832)</f>
        <v>0.47000000000000003</v>
      </c>
      <c r="AI832" s="86">
        <f>AVERAGEIFS($J$2:J832, $B$2:B832, B832)</f>
        <v>0.48600000000000004</v>
      </c>
      <c r="AJ832" s="86">
        <f>AVERAGEIFS($D$2:D832, $B$2:B832, B832)</f>
        <v>0.33333333333333331</v>
      </c>
    </row>
    <row r="833" spans="1:36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 s="86">
        <f>AVERAGEIFS($C$2:C833, $B$2:B833, B833)</f>
        <v>16</v>
      </c>
      <c r="AH833" s="86">
        <f>AVERAGEIFS($I$2:I833, $B$2:B833, B833)</f>
        <v>0.57916666666666672</v>
      </c>
      <c r="AI833" s="86">
        <f>AVERAGEIFS($J$2:J833, $B$2:B833, B833)</f>
        <v>0.5675</v>
      </c>
      <c r="AJ833" s="86">
        <f>AVERAGEIFS($D$2:D833, $B$2:B833, B833)</f>
        <v>0.5</v>
      </c>
    </row>
    <row r="834" spans="1:36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 s="86">
        <f>AVERAGEIFS($C$2:C834, $B$2:B834, B834)</f>
        <v>16.941176470588236</v>
      </c>
      <c r="AH834" s="86">
        <f>AVERAGEIFS($I$2:I834, $B$2:B834, B834)</f>
        <v>0.48823529411764699</v>
      </c>
      <c r="AI834" s="86">
        <f>AVERAGEIFS($J$2:J834, $B$2:B834, B834)</f>
        <v>0.51058823529411768</v>
      </c>
      <c r="AJ834" s="86">
        <f>AVERAGEIFS($D$2:D834, $B$2:B834, B834)</f>
        <v>0.58823529411764708</v>
      </c>
    </row>
    <row r="835" spans="1:36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 s="86">
        <f>AVERAGEIFS($C$2:C835, $B$2:B835, B835)</f>
        <v>15.045454545454545</v>
      </c>
      <c r="AH835" s="86">
        <f>AVERAGEIFS($I$2:I835, $B$2:B835, B835)</f>
        <v>0.53863636363636369</v>
      </c>
      <c r="AI835" s="86">
        <f>AVERAGEIFS($J$2:J835, $B$2:B835, B835)</f>
        <v>0.52181818181818196</v>
      </c>
      <c r="AJ835" s="86">
        <f>AVERAGEIFS($D$2:D835, $B$2:B835, B835)</f>
        <v>0.45454545454545453</v>
      </c>
    </row>
    <row r="836" spans="1:36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 s="86">
        <f>AVERAGEIFS($C$2:C836, $B$2:B836, B836)</f>
        <v>24.058823529411764</v>
      </c>
      <c r="AH836" s="86">
        <f>AVERAGEIFS($I$2:I836, $B$2:B836, B836)</f>
        <v>0.54941176470588238</v>
      </c>
      <c r="AI836" s="86">
        <f>AVERAGEIFS($J$2:J836, $B$2:B836, B836)</f>
        <v>0.52196078431372539</v>
      </c>
      <c r="AJ836" s="86">
        <f>AVERAGEIFS($D$2:D836, $B$2:B836, B836)</f>
        <v>0.56862745098039214</v>
      </c>
    </row>
    <row r="837" spans="1:36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 s="86">
        <f>AVERAGEIFS($C$2:C837, $B$2:B837, B837)</f>
        <v>26.103448275862068</v>
      </c>
      <c r="AH837" s="86">
        <f>AVERAGEIFS($I$2:I837, $B$2:B837, B837)</f>
        <v>0.46034482758620693</v>
      </c>
      <c r="AI837" s="86">
        <f>AVERAGEIFS($J$2:J837, $B$2:B837, B837)</f>
        <v>0.47241379310344833</v>
      </c>
      <c r="AJ837" s="86">
        <f>AVERAGEIFS($D$2:D837, $B$2:B837, B837)</f>
        <v>0.48275862068965519</v>
      </c>
    </row>
    <row r="838" spans="1:36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 s="86">
        <f>AVERAGEIFS($C$2:C838, $B$2:B838, B838)</f>
        <v>18.363636363636363</v>
      </c>
      <c r="AH838" s="86">
        <f>AVERAGEIFS($I$2:I838, $B$2:B838, B838)</f>
        <v>0.49363636363636348</v>
      </c>
      <c r="AI838" s="86">
        <f>AVERAGEIFS($J$2:J838, $B$2:B838, B838)</f>
        <v>0.48690909090909101</v>
      </c>
      <c r="AJ838" s="86">
        <f>AVERAGEIFS($D$2:D838, $B$2:B838, B838)</f>
        <v>0.43636363636363634</v>
      </c>
    </row>
    <row r="839" spans="1:36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 s="86">
        <f>AVERAGEIFS($C$2:C839, $B$2:B839, B839)</f>
        <v>16.411764705882351</v>
      </c>
      <c r="AH839" s="86">
        <f>AVERAGEIFS($I$2:I839, $B$2:B839, B839)</f>
        <v>0.51911764705882346</v>
      </c>
      <c r="AI839" s="86">
        <f>AVERAGEIFS($J$2:J839, $B$2:B839, B839)</f>
        <v>0.51147058823529412</v>
      </c>
      <c r="AJ839" s="86">
        <f>AVERAGEIFS($D$2:D839, $B$2:B839, B839)</f>
        <v>0.55882352941176472</v>
      </c>
    </row>
    <row r="840" spans="1:36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 s="86">
        <f>AVERAGEIFS($C$2:C840, $B$2:B840, B840)</f>
        <v>17.7</v>
      </c>
      <c r="AH840" s="86">
        <f>AVERAGEIFS($I$2:I840, $B$2:B840, B840)</f>
        <v>0.56833333333333336</v>
      </c>
      <c r="AI840" s="86">
        <f>AVERAGEIFS($J$2:J840, $B$2:B840, B840)</f>
        <v>0.52200000000000013</v>
      </c>
      <c r="AJ840" s="86">
        <f>AVERAGEIFS($D$2:D840, $B$2:B840, B840)</f>
        <v>0.56666666666666665</v>
      </c>
    </row>
    <row r="841" spans="1:36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 s="86">
        <f>AVERAGEIFS($C$2:C841, $B$2:B841, B841)</f>
        <v>12.653846153846153</v>
      </c>
      <c r="AH841" s="86">
        <f>AVERAGEIFS($I$2:I841, $B$2:B841, B841)</f>
        <v>0.45192307692307693</v>
      </c>
      <c r="AI841" s="86">
        <f>AVERAGEIFS($J$2:J841, $B$2:B841, B841)</f>
        <v>0.4696153846153846</v>
      </c>
      <c r="AJ841" s="86">
        <f>AVERAGEIFS($D$2:D841, $B$2:B841, B841)</f>
        <v>0.5</v>
      </c>
    </row>
    <row r="842" spans="1:36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1</v>
      </c>
      <c r="AG842" s="86">
        <f>AVERAGEIFS($C$2:C842, $B$2:B842, B842)</f>
        <v>18.722222222222221</v>
      </c>
      <c r="AH842" s="86">
        <f>AVERAGEIFS($I$2:I842, $B$2:B842, B842)</f>
        <v>0.44444444444444442</v>
      </c>
      <c r="AI842" s="86">
        <f>AVERAGEIFS($J$2:J842, $B$2:B842, B842)</f>
        <v>0.45611111111111108</v>
      </c>
      <c r="AJ842" s="86">
        <f>AVERAGEIFS($D$2:D842, $B$2:B842, B842)</f>
        <v>0.44444444444444442</v>
      </c>
    </row>
    <row r="843" spans="1:36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1</v>
      </c>
      <c r="AG843" s="86">
        <f>AVERAGEIFS($C$2:C843, $B$2:B843, B843)</f>
        <v>16.742857142857144</v>
      </c>
      <c r="AH843" s="86">
        <f>AVERAGEIFS($I$2:I843, $B$2:B843, B843)</f>
        <v>0.50285714285714278</v>
      </c>
      <c r="AI843" s="86">
        <f>AVERAGEIFS($J$2:J843, $B$2:B843, B843)</f>
        <v>0.51942857142857146</v>
      </c>
      <c r="AJ843" s="86">
        <f>AVERAGEIFS($D$2:D843, $B$2:B843, B843)</f>
        <v>0.6</v>
      </c>
    </row>
    <row r="844" spans="1:36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1</v>
      </c>
      <c r="AG844" s="86">
        <f>AVERAGEIFS($C$2:C844, $B$2:B844, B844)</f>
        <v>17.516129032258064</v>
      </c>
      <c r="AH844" s="86">
        <f>AVERAGEIFS($I$2:I844, $B$2:B844, B844)</f>
        <v>0.58225806451612905</v>
      </c>
      <c r="AI844" s="86">
        <f>AVERAGEIFS($J$2:J844, $B$2:B844, B844)</f>
        <v>0.53161290322580657</v>
      </c>
      <c r="AJ844" s="86">
        <f>AVERAGEIFS($D$2:D844, $B$2:B844, B844)</f>
        <v>0.58064516129032262</v>
      </c>
    </row>
    <row r="845" spans="1:36" x14ac:dyDescent="0.25">
      <c r="A845" s="85">
        <v>46126</v>
      </c>
      <c r="B845" t="s">
        <v>163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1</v>
      </c>
      <c r="AG845" s="86">
        <f>AVERAGEIFS($C$2:C845, $B$2:B845, B845)</f>
        <v>6</v>
      </c>
      <c r="AH845" s="86">
        <f>AVERAGEIFS($I$2:I845, $B$2:B845, B845)</f>
        <v>0.83333333333333337</v>
      </c>
      <c r="AI845" s="86">
        <f>AVERAGEIFS($J$2:J845, $B$2:B845, B845)</f>
        <v>0.66333333333333322</v>
      </c>
      <c r="AJ845" s="86">
        <f>AVERAGEIFS($D$2:D845, $B$2:B845, B845)</f>
        <v>1</v>
      </c>
    </row>
    <row r="846" spans="1:36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1</v>
      </c>
      <c r="AG846" s="86">
        <f>AVERAGEIFS($C$2:C846, $B$2:B846, B846)</f>
        <v>15.923076923076923</v>
      </c>
      <c r="AH846" s="86">
        <f>AVERAGEIFS($I$2:I846, $B$2:B846, B846)</f>
        <v>0.61153846153846159</v>
      </c>
      <c r="AI846" s="86">
        <f>AVERAGEIFS($J$2:J846, $B$2:B846, B846)</f>
        <v>0.58692307692307699</v>
      </c>
      <c r="AJ846" s="86">
        <f>AVERAGEIFS($D$2:D846, $B$2:B846, B846)</f>
        <v>0.53846153846153844</v>
      </c>
    </row>
    <row r="847" spans="1:36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1</v>
      </c>
      <c r="AG847" s="86">
        <f>AVERAGEIFS($C$2:C847, $B$2:B847, B847)</f>
        <v>23.903846153846153</v>
      </c>
      <c r="AH847" s="86">
        <f>AVERAGEIFS($I$2:I847, $B$2:B847, B847)</f>
        <v>0.55807692307692314</v>
      </c>
      <c r="AI847" s="86">
        <f>AVERAGEIFS($J$2:J847, $B$2:B847, B847)</f>
        <v>0.52769230769230768</v>
      </c>
      <c r="AJ847" s="86">
        <f>AVERAGEIFS($D$2:D847, $B$2:B847, B847)</f>
        <v>0.57692307692307687</v>
      </c>
    </row>
    <row r="848" spans="1:36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 s="86">
        <f>AVERAGEIFS($C$2:C848, $B$2:B848, B848)</f>
        <v>19.666666666666668</v>
      </c>
      <c r="AH848" s="86">
        <f>AVERAGEIFS($I$2:I848, $B$2:B848, B848)</f>
        <v>0.62238095238095226</v>
      </c>
      <c r="AI848" s="86">
        <f>AVERAGEIFS($J$2:J848, $B$2:B848, B848)</f>
        <v>0.55666666666666664</v>
      </c>
      <c r="AJ848" s="86">
        <f>AVERAGEIFS($D$2:D848, $B$2:B848, B848)</f>
        <v>0.76190476190476186</v>
      </c>
    </row>
    <row r="849" spans="1:36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 s="86">
        <f>AVERAGEIFS($C$2:C849, $B$2:B849, B849)</f>
        <v>21.892857142857142</v>
      </c>
      <c r="AH849" s="86">
        <f>AVERAGEIFS($I$2:I849, $B$2:B849, B849)</f>
        <v>0.51035714285714284</v>
      </c>
      <c r="AI849" s="86">
        <f>AVERAGEIFS($J$2:J849, $B$2:B849, B849)</f>
        <v>0.50821428571428573</v>
      </c>
      <c r="AJ849" s="86">
        <f>AVERAGEIFS($D$2:D849, $B$2:B849, B849)</f>
        <v>0.5714285714285714</v>
      </c>
    </row>
    <row r="850" spans="1:36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 s="86">
        <f>AVERAGEIFS($C$2:C850, $B$2:B850, B850)</f>
        <v>16.2</v>
      </c>
      <c r="AH850" s="86">
        <f>AVERAGEIFS($I$2:I850, $B$2:B850, B850)</f>
        <v>0.50428571428571423</v>
      </c>
      <c r="AI850" s="86">
        <f>AVERAGEIFS($J$2:J850, $B$2:B850, B850)</f>
        <v>0.502</v>
      </c>
      <c r="AJ850" s="86">
        <f>AVERAGEIFS($D$2:D850, $B$2:B850, B850)</f>
        <v>0.54285714285714282</v>
      </c>
    </row>
    <row r="851" spans="1:36" x14ac:dyDescent="0.25">
      <c r="A851" s="85">
        <v>46126</v>
      </c>
      <c r="B851" t="s">
        <v>168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 s="86">
        <f>AVERAGEIFS($C$2:C851, $B$2:B851, B851)</f>
        <v>3</v>
      </c>
      <c r="AH851" s="86">
        <f>AVERAGEIFS($I$2:I851, $B$2:B851, B851)</f>
        <v>0</v>
      </c>
      <c r="AI851" s="86">
        <f>AVERAGEIFS($J$2:J851, $B$2:B851, B851)</f>
        <v>0.18</v>
      </c>
      <c r="AJ851" s="86">
        <f>AVERAGEIFS($D$2:D851, $B$2:B851, B851)</f>
        <v>0</v>
      </c>
    </row>
    <row r="852" spans="1:36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 s="86">
        <f>AVERAGEIFS($C$2:C852, $B$2:B852, B852)</f>
        <v>14.869565217391305</v>
      </c>
      <c r="AH852" s="86">
        <f>AVERAGEIFS($I$2:I852, $B$2:B852, B852)</f>
        <v>0.51521739130434785</v>
      </c>
      <c r="AI852" s="86">
        <f>AVERAGEIFS($J$2:J852, $B$2:B852, B852)</f>
        <v>0.50695652173913053</v>
      </c>
      <c r="AJ852" s="86">
        <f>AVERAGEIFS($D$2:D852, $B$2:B852, B852)</f>
        <v>0.43478260869565216</v>
      </c>
    </row>
    <row r="853" spans="1:36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 s="86">
        <f>AVERAGEIFS($C$2:C853, $B$2:B853, B853)</f>
        <v>10.810810810810811</v>
      </c>
      <c r="AH853" s="86">
        <f>AVERAGEIFS($I$2:I853, $B$2:B853, B853)</f>
        <v>0.45486486486486494</v>
      </c>
      <c r="AI853" s="86">
        <f>AVERAGEIFS($J$2:J853, $B$2:B853, B853)</f>
        <v>0.48027027027027025</v>
      </c>
      <c r="AJ853" s="86">
        <f>AVERAGEIFS($D$2:D853, $B$2:B853, B853)</f>
        <v>0.43243243243243246</v>
      </c>
    </row>
    <row r="854" spans="1:36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 s="86">
        <f>AVERAGEIFS($C$2:C854, $B$2:B854, B854)</f>
        <v>23.641509433962263</v>
      </c>
      <c r="AH854" s="86">
        <f>AVERAGEIFS($I$2:I854, $B$2:B854, B854)</f>
        <v>0.55226415094339631</v>
      </c>
      <c r="AI854" s="86">
        <f>AVERAGEIFS($J$2:J854, $B$2:B854, B854)</f>
        <v>0.52283018867924524</v>
      </c>
      <c r="AJ854" s="86">
        <f>AVERAGEIFS($D$2:D854, $B$2:B854, B854)</f>
        <v>0.56603773584905659</v>
      </c>
    </row>
    <row r="855" spans="1:36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 s="86">
        <f>AVERAGEIFS($C$2:C855, $B$2:B855, B855)</f>
        <v>18.675675675675677</v>
      </c>
      <c r="AH855" s="86">
        <f>AVERAGEIFS($I$2:I855, $B$2:B855, B855)</f>
        <v>0.4391891891891892</v>
      </c>
      <c r="AI855" s="86">
        <f>AVERAGEIFS($J$2:J855, $B$2:B855, B855)</f>
        <v>0.45108108108108103</v>
      </c>
      <c r="AJ855" s="86">
        <f>AVERAGEIFS($D$2:D855, $B$2:B855, B855)</f>
        <v>0.43243243243243246</v>
      </c>
    </row>
    <row r="856" spans="1:36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 s="86">
        <f>AVERAGEIFS($C$2:C856, $B$2:B856, B856)</f>
        <v>17.46875</v>
      </c>
      <c r="AH856" s="86">
        <f>AVERAGEIFS($I$2:I856, $B$2:B856, B856)</f>
        <v>0.57187500000000002</v>
      </c>
      <c r="AI856" s="86">
        <f>AVERAGEIFS($J$2:J856, $B$2:B856, B856)</f>
        <v>0.52343750000000011</v>
      </c>
      <c r="AJ856" s="86">
        <f>AVERAGEIFS($D$2:D856, $B$2:B856, B856)</f>
        <v>0.5625</v>
      </c>
    </row>
    <row r="857" spans="1:36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 s="86">
        <f>AVERAGEIFS($C$2:C857, $B$2:B857, B857)</f>
        <v>14.791666666666666</v>
      </c>
      <c r="AH857" s="86">
        <f>AVERAGEIFS($I$2:I857, $B$2:B857, B857)</f>
        <v>0.50416666666666676</v>
      </c>
      <c r="AI857" s="86">
        <f>AVERAGEIFS($J$2:J857, $B$2:B857, B857)</f>
        <v>0.49708333333333338</v>
      </c>
      <c r="AJ857" s="86">
        <f>AVERAGEIFS($D$2:D857, $B$2:B857, B857)</f>
        <v>0.41666666666666669</v>
      </c>
    </row>
    <row r="858" spans="1:36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 s="86">
        <f>AVERAGEIFS($C$2:C858, $B$2:B858, B858)</f>
        <v>10.657894736842104</v>
      </c>
      <c r="AH858" s="86">
        <f>AVERAGEIFS($I$2:I858, $B$2:B858, B858)</f>
        <v>0.44947368421052636</v>
      </c>
      <c r="AI858" s="86">
        <f>AVERAGEIFS($J$2:J858, $B$2:B858, B858)</f>
        <v>0.47473684210526312</v>
      </c>
      <c r="AJ858" s="86">
        <f>AVERAGEIFS($D$2:D858, $B$2:B858, B858)</f>
        <v>0.42105263157894735</v>
      </c>
    </row>
    <row r="859" spans="1:36" x14ac:dyDescent="0.25">
      <c r="A859" s="85">
        <v>46126</v>
      </c>
      <c r="B859" t="s">
        <v>163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 s="86">
        <f>AVERAGEIFS($C$2:C859, $B$2:B859, B859)</f>
        <v>5.5</v>
      </c>
      <c r="AH859" s="86">
        <f>AVERAGEIFS($I$2:I859, $B$2:B859, B859)</f>
        <v>0.6875</v>
      </c>
      <c r="AI859" s="86">
        <f>AVERAGEIFS($J$2:J859, $B$2:B859, B859)</f>
        <v>0.56499999999999995</v>
      </c>
      <c r="AJ859" s="86">
        <f>AVERAGEIFS($D$2:D859, $B$2:B859, B859)</f>
        <v>0.75</v>
      </c>
    </row>
    <row r="860" spans="1:36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1</v>
      </c>
      <c r="AC860">
        <v>0</v>
      </c>
      <c r="AD860">
        <v>0</v>
      </c>
      <c r="AE860">
        <v>0</v>
      </c>
      <c r="AF860">
        <v>0</v>
      </c>
      <c r="AG860" s="86">
        <f>AVERAGEIFS($C$2:C860, $B$2:B860, B860)</f>
        <v>21.87719298245614</v>
      </c>
      <c r="AH860" s="86">
        <f>AVERAGEIFS($I$2:I860, $B$2:B860, B860)</f>
        <v>0.514561403508772</v>
      </c>
      <c r="AI860" s="86">
        <f>AVERAGEIFS($J$2:J860, $B$2:B860, B860)</f>
        <v>0.51210526315789473</v>
      </c>
      <c r="AJ860" s="86">
        <f>AVERAGEIFS($D$2:D860, $B$2:B860, B860)</f>
        <v>0.57894736842105265</v>
      </c>
    </row>
    <row r="861" spans="1:36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1</v>
      </c>
      <c r="AC861">
        <v>0</v>
      </c>
      <c r="AD861">
        <v>0</v>
      </c>
      <c r="AE861">
        <v>0</v>
      </c>
      <c r="AF861">
        <v>0</v>
      </c>
      <c r="AG861" s="86">
        <f>AVERAGEIFS($C$2:C861, $B$2:B861, B861)</f>
        <v>19.454545454545453</v>
      </c>
      <c r="AH861" s="86">
        <f>AVERAGEIFS($I$2:I861, $B$2:B861, B861)</f>
        <v>0.62818181818181806</v>
      </c>
      <c r="AI861" s="86">
        <f>AVERAGEIFS($J$2:J861, $B$2:B861, B861)</f>
        <v>0.56454545454545457</v>
      </c>
      <c r="AJ861" s="86">
        <f>AVERAGEIFS($D$2:D861, $B$2:B861, B861)</f>
        <v>0.77272727272727271</v>
      </c>
    </row>
    <row r="862" spans="1:36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1</v>
      </c>
      <c r="AC862">
        <v>0</v>
      </c>
      <c r="AD862">
        <v>0</v>
      </c>
      <c r="AE862">
        <v>0</v>
      </c>
      <c r="AF862">
        <v>0</v>
      </c>
      <c r="AG862" s="86">
        <f>AVERAGEIFS($C$2:C862, $B$2:B862, B862)</f>
        <v>16.194444444444443</v>
      </c>
      <c r="AH862" s="86">
        <f>AVERAGEIFS($I$2:I862, $B$2:B862, B862)</f>
        <v>0.51111111111111107</v>
      </c>
      <c r="AI862" s="86">
        <f>AVERAGEIFS($J$2:J862, $B$2:B862, B862)</f>
        <v>0.5083333333333333</v>
      </c>
      <c r="AJ862" s="86">
        <f>AVERAGEIFS($D$2:D862, $B$2:B862, B862)</f>
        <v>0.55555555555555558</v>
      </c>
    </row>
    <row r="863" spans="1:36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1</v>
      </c>
      <c r="AC863">
        <v>0</v>
      </c>
      <c r="AD863">
        <v>0</v>
      </c>
      <c r="AE863">
        <v>0</v>
      </c>
      <c r="AF863">
        <v>0</v>
      </c>
      <c r="AG863" s="86">
        <f>AVERAGEIFS($C$2:C863, $B$2:B863, B863)</f>
        <v>16.142857142857142</v>
      </c>
      <c r="AH863" s="86">
        <f>AVERAGEIFS($I$2:I863, $B$2:B863, B863)</f>
        <v>0.62142857142857133</v>
      </c>
      <c r="AI863" s="86">
        <f>AVERAGEIFS($J$2:J863, $B$2:B863, B863)</f>
        <v>0.5971428571428572</v>
      </c>
      <c r="AJ863" s="86">
        <f>AVERAGEIFS($D$2:D863, $B$2:B863, B863)</f>
        <v>0.5714285714285714</v>
      </c>
    </row>
    <row r="864" spans="1:36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1</v>
      </c>
      <c r="AC864">
        <v>0</v>
      </c>
      <c r="AD864">
        <v>0</v>
      </c>
      <c r="AE864">
        <v>0</v>
      </c>
      <c r="AF864">
        <v>0</v>
      </c>
      <c r="AG864" s="86">
        <f>AVERAGEIFS($C$2:C864, $B$2:B864, B864)</f>
        <v>16.583333333333332</v>
      </c>
      <c r="AH864" s="86">
        <f>AVERAGEIFS($I$2:I864, $B$2:B864, B864)</f>
        <v>0.50972222222222219</v>
      </c>
      <c r="AI864" s="86">
        <f>AVERAGEIFS($J$2:J864, $B$2:B864, B864)</f>
        <v>0.52527777777777773</v>
      </c>
      <c r="AJ864" s="86">
        <f>AVERAGEIFS($D$2:D864, $B$2:B864, B864)</f>
        <v>0.61111111111111116</v>
      </c>
    </row>
    <row r="865" spans="1:36" x14ac:dyDescent="0.25">
      <c r="A865" s="85">
        <v>46126</v>
      </c>
      <c r="B865" t="s">
        <v>168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1</v>
      </c>
      <c r="AC865">
        <v>0</v>
      </c>
      <c r="AD865">
        <v>0</v>
      </c>
      <c r="AE865">
        <v>0</v>
      </c>
      <c r="AF865">
        <v>0</v>
      </c>
      <c r="AG865" s="86">
        <f>AVERAGEIFS($C$2:C865, $B$2:B865, B865)</f>
        <v>5.5</v>
      </c>
      <c r="AH865" s="86">
        <f>AVERAGEIFS($I$2:I865, $B$2:B865, B865)</f>
        <v>0.375</v>
      </c>
      <c r="AI865" s="86">
        <f>AVERAGEIFS($J$2:J865, $B$2:B865, B865)</f>
        <v>0.45499999999999996</v>
      </c>
      <c r="AJ865" s="86">
        <f>AVERAGEIFS($D$2:D865, $B$2:B865, B865)</f>
        <v>0.5</v>
      </c>
    </row>
    <row r="866" spans="1:36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1</v>
      </c>
      <c r="AC866">
        <v>0</v>
      </c>
      <c r="AD866">
        <v>0</v>
      </c>
      <c r="AE866">
        <v>0</v>
      </c>
      <c r="AF866">
        <v>1</v>
      </c>
      <c r="AG866" s="86">
        <f>AVERAGEIFS($C$2:C866, $B$2:B866, B866)</f>
        <v>21.844827586206897</v>
      </c>
      <c r="AH866" s="86">
        <f>AVERAGEIFS($I$2:I866, $B$2:B866, B866)</f>
        <v>0.52293103448275868</v>
      </c>
      <c r="AI866" s="86">
        <f>AVERAGEIFS($J$2:J866, $B$2:B866, B866)</f>
        <v>0.52051724137931032</v>
      </c>
      <c r="AJ866" s="86">
        <f>AVERAGEIFS($D$2:D866, $B$2:B866, B866)</f>
        <v>0.58620689655172409</v>
      </c>
    </row>
    <row r="867" spans="1:36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1</v>
      </c>
      <c r="AC867">
        <v>0</v>
      </c>
      <c r="AD867">
        <v>0</v>
      </c>
      <c r="AE867">
        <v>0</v>
      </c>
      <c r="AF867">
        <v>1</v>
      </c>
      <c r="AG867" s="86">
        <f>AVERAGEIFS($C$2:C867, $B$2:B867, B867)</f>
        <v>25.866666666666667</v>
      </c>
      <c r="AH867" s="86">
        <f>AVERAGEIFS($I$2:I867, $B$2:B867, B867)</f>
        <v>0.47833333333333339</v>
      </c>
      <c r="AI867" s="86">
        <f>AVERAGEIFS($J$2:J867, $B$2:B867, B867)</f>
        <v>0.49000000000000005</v>
      </c>
      <c r="AJ867" s="86">
        <f>AVERAGEIFS($D$2:D867, $B$2:B867, B867)</f>
        <v>0.5</v>
      </c>
    </row>
    <row r="868" spans="1:36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1</v>
      </c>
      <c r="AC868">
        <v>0</v>
      </c>
      <c r="AD868">
        <v>0</v>
      </c>
      <c r="AE868">
        <v>0</v>
      </c>
      <c r="AF868">
        <v>1</v>
      </c>
      <c r="AG868" s="86">
        <f>AVERAGEIFS($C$2:C868, $B$2:B868, B868)</f>
        <v>16.162162162162161</v>
      </c>
      <c r="AH868" s="86">
        <f>AVERAGEIFS($I$2:I868, $B$2:B868, B868)</f>
        <v>0.5243243243243243</v>
      </c>
      <c r="AI868" s="86">
        <f>AVERAGEIFS($J$2:J868, $B$2:B868, B868)</f>
        <v>0.52162162162162162</v>
      </c>
      <c r="AJ868" s="86">
        <f>AVERAGEIFS($D$2:D868, $B$2:B868, B868)</f>
        <v>0.56756756756756754</v>
      </c>
    </row>
    <row r="869" spans="1:36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1</v>
      </c>
      <c r="AC869">
        <v>0</v>
      </c>
      <c r="AD869">
        <v>0</v>
      </c>
      <c r="AE869">
        <v>0</v>
      </c>
      <c r="AF869">
        <v>1</v>
      </c>
      <c r="AG869" s="86">
        <f>AVERAGEIFS($C$2:C869, $B$2:B869, B869)</f>
        <v>17.303030303030305</v>
      </c>
      <c r="AH869" s="86">
        <f>AVERAGEIFS($I$2:I869, $B$2:B869, B869)</f>
        <v>0.58484848484848484</v>
      </c>
      <c r="AI869" s="86">
        <f>AVERAGEIFS($J$2:J869, $B$2:B869, B869)</f>
        <v>0.53787878787878796</v>
      </c>
      <c r="AJ869" s="86">
        <f>AVERAGEIFS($D$2:D869, $B$2:B869, B869)</f>
        <v>0.5757575757575758</v>
      </c>
    </row>
    <row r="870" spans="1:36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1</v>
      </c>
      <c r="AC870">
        <v>0</v>
      </c>
      <c r="AD870">
        <v>0</v>
      </c>
      <c r="AE870">
        <v>0</v>
      </c>
      <c r="AF870">
        <v>1</v>
      </c>
      <c r="AG870" s="86">
        <f>AVERAGEIFS($C$2:C870, $B$2:B870, B870)</f>
        <v>16.351351351351351</v>
      </c>
      <c r="AH870" s="86">
        <f>AVERAGEIFS($I$2:I870, $B$2:B870, B870)</f>
        <v>0.52297297297297296</v>
      </c>
      <c r="AI870" s="86">
        <f>AVERAGEIFS($J$2:J870, $B$2:B870, B870)</f>
        <v>0.53810810810810816</v>
      </c>
      <c r="AJ870" s="86">
        <f>AVERAGEIFS($D$2:D870, $B$2:B870, B870)</f>
        <v>0.6216216216216216</v>
      </c>
    </row>
    <row r="871" spans="1:36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1</v>
      </c>
      <c r="AC871">
        <v>0</v>
      </c>
      <c r="AD871">
        <v>0</v>
      </c>
      <c r="AE871">
        <v>0</v>
      </c>
      <c r="AF871">
        <v>1</v>
      </c>
      <c r="AG871" s="86">
        <f>AVERAGEIFS($C$2:C871, $B$2:B871, B871)</f>
        <v>10.538461538461538</v>
      </c>
      <c r="AH871" s="86">
        <f>AVERAGEIFS($I$2:I871, $B$2:B871, B871)</f>
        <v>0.46358974358974364</v>
      </c>
      <c r="AI871" s="86">
        <f>AVERAGEIFS($J$2:J871, $B$2:B871, B871)</f>
        <v>0.48820512820512818</v>
      </c>
      <c r="AJ871" s="86">
        <f>AVERAGEIFS($D$2:D871, $B$2:B871, B871)</f>
        <v>0.4358974358974359</v>
      </c>
    </row>
    <row r="872" spans="1:36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 s="86">
        <f>AVERAGEIFS($C$2:C872, $B$2:B872, B872)</f>
        <v>18.657894736842106</v>
      </c>
      <c r="AH872" s="86">
        <f>AVERAGEIFS($I$2:I872, $B$2:B872, B872)</f>
        <v>0.42763157894736842</v>
      </c>
      <c r="AI872" s="86">
        <f>AVERAGEIFS($J$2:J872, $B$2:B872, B872)</f>
        <v>0.43921052631578944</v>
      </c>
      <c r="AJ872" s="86">
        <f>AVERAGEIFS($D$2:D872, $B$2:B872, B872)</f>
        <v>0.42105263157894735</v>
      </c>
    </row>
    <row r="873" spans="1:36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 s="86">
        <f>AVERAGEIFS($C$2:C873, $B$2:B873, B873)</f>
        <v>23.481481481481481</v>
      </c>
      <c r="AH873" s="86">
        <f>AVERAGEIFS($I$2:I873, $B$2:B873, B873)</f>
        <v>0.54203703703703709</v>
      </c>
      <c r="AI873" s="86">
        <f>AVERAGEIFS($J$2:J873, $B$2:B873, B873)</f>
        <v>0.51314814814814813</v>
      </c>
      <c r="AJ873" s="86">
        <f>AVERAGEIFS($D$2:D873, $B$2:B873, B873)</f>
        <v>0.55555555555555558</v>
      </c>
    </row>
    <row r="874" spans="1:36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 s="86">
        <f>AVERAGEIFS($C$2:C874, $B$2:B874, B874)</f>
        <v>17.96551724137931</v>
      </c>
      <c r="AH874" s="86">
        <f>AVERAGEIFS($I$2:I874, $B$2:B874, B874)</f>
        <v>0.39310344827586202</v>
      </c>
      <c r="AI874" s="86">
        <f>AVERAGEIFS($J$2:J874, $B$2:B874, B874)</f>
        <v>0.43551724137931036</v>
      </c>
      <c r="AJ874" s="86">
        <f>AVERAGEIFS($D$2:D874, $B$2:B874, B874)</f>
        <v>0.34482758620689657</v>
      </c>
    </row>
    <row r="875" spans="1:36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 s="86">
        <f>AVERAGEIFS($C$2:C875, $B$2:B875, B875)</f>
        <v>16.899999999999999</v>
      </c>
      <c r="AH875" s="86">
        <f>AVERAGEIFS($I$2:I875, $B$2:B875, B875)</f>
        <v>0.45599999999999996</v>
      </c>
      <c r="AI875" s="86">
        <f>AVERAGEIFS($J$2:J875, $B$2:B875, B875)</f>
        <v>0.48699999999999999</v>
      </c>
      <c r="AJ875" s="86">
        <f>AVERAGEIFS($D$2:D875, $B$2:B875, B875)</f>
        <v>0.45</v>
      </c>
    </row>
    <row r="876" spans="1:36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 s="86">
        <f>AVERAGEIFS($C$2:C876, $B$2:B876, B876)</f>
        <v>23.457142857142856</v>
      </c>
      <c r="AH876" s="86">
        <f>AVERAGEIFS($I$2:I876, $B$2:B876, B876)</f>
        <v>0.54942857142857138</v>
      </c>
      <c r="AI876" s="86">
        <f>AVERAGEIFS($J$2:J876, $B$2:B876, B876)</f>
        <v>0.54371428571428571</v>
      </c>
      <c r="AJ876" s="86">
        <f>AVERAGEIFS($D$2:D876, $B$2:B876, B876)</f>
        <v>0.54285714285714282</v>
      </c>
    </row>
    <row r="877" spans="1:36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 s="86">
        <f>AVERAGEIFS($C$2:C877, $B$2:B877, B877)</f>
        <v>19.875</v>
      </c>
      <c r="AH877" s="86">
        <f>AVERAGEIFS($I$2:I877, $B$2:B877, B877)</f>
        <v>0.52249999999999996</v>
      </c>
      <c r="AI877" s="86">
        <f>AVERAGEIFS($J$2:J877, $B$2:B877, B877)</f>
        <v>0.49156250000000007</v>
      </c>
      <c r="AJ877" s="86">
        <f>AVERAGEIFS($D$2:D877, $B$2:B877, B877)</f>
        <v>0.53125</v>
      </c>
    </row>
    <row r="878" spans="1:36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1</v>
      </c>
      <c r="AC878">
        <v>0</v>
      </c>
      <c r="AD878">
        <v>1</v>
      </c>
      <c r="AE878">
        <v>0</v>
      </c>
      <c r="AF878">
        <v>1</v>
      </c>
      <c r="AG878" s="86">
        <f>AVERAGEIFS($C$2:C878, $B$2:B878, B878)</f>
        <v>25.838709677419356</v>
      </c>
      <c r="AH878" s="86">
        <f>AVERAGEIFS($I$2:I878, $B$2:B878, B878)</f>
        <v>0.48709677419354841</v>
      </c>
      <c r="AI878" s="86">
        <f>AVERAGEIFS($J$2:J878, $B$2:B878, B878)</f>
        <v>0.49451612903225811</v>
      </c>
      <c r="AJ878" s="86">
        <f>AVERAGEIFS($D$2:D878, $B$2:B878, B878)</f>
        <v>0.5161290322580645</v>
      </c>
    </row>
    <row r="879" spans="1:36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1</v>
      </c>
      <c r="AC879">
        <v>0</v>
      </c>
      <c r="AD879">
        <v>1</v>
      </c>
      <c r="AE879">
        <v>0</v>
      </c>
      <c r="AF879">
        <v>1</v>
      </c>
      <c r="AG879" s="86">
        <f>AVERAGEIFS($C$2:C879, $B$2:B879, B879)</f>
        <v>23.361111111111111</v>
      </c>
      <c r="AH879" s="86">
        <f>AVERAGEIFS($I$2:I879, $B$2:B879, B879)</f>
        <v>0.55499999999999994</v>
      </c>
      <c r="AI879" s="86">
        <f>AVERAGEIFS($J$2:J879, $B$2:B879, B879)</f>
        <v>0.5461111111111111</v>
      </c>
      <c r="AJ879" s="86">
        <f>AVERAGEIFS($D$2:D879, $B$2:B879, B879)</f>
        <v>0.55555555555555558</v>
      </c>
    </row>
    <row r="880" spans="1:36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1</v>
      </c>
      <c r="AC880">
        <v>0</v>
      </c>
      <c r="AD880">
        <v>1</v>
      </c>
      <c r="AE880">
        <v>0</v>
      </c>
      <c r="AF880">
        <v>1</v>
      </c>
      <c r="AG880" s="86">
        <f>AVERAGEIFS($C$2:C880, $B$2:B880, B880)</f>
        <v>16.133333333333333</v>
      </c>
      <c r="AH880" s="86">
        <f>AVERAGEIFS($I$2:I880, $B$2:B880, B880)</f>
        <v>0.63</v>
      </c>
      <c r="AI880" s="86">
        <f>AVERAGEIFS($J$2:J880, $B$2:B880, B880)</f>
        <v>0.5993333333333335</v>
      </c>
      <c r="AJ880" s="86">
        <f>AVERAGEIFS($D$2:D880, $B$2:B880, B880)</f>
        <v>0.6</v>
      </c>
    </row>
    <row r="881" spans="1:36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1</v>
      </c>
      <c r="AC881">
        <v>0</v>
      </c>
      <c r="AD881">
        <v>1</v>
      </c>
      <c r="AE881">
        <v>0</v>
      </c>
      <c r="AF881">
        <v>1</v>
      </c>
      <c r="AG881" s="86">
        <f>AVERAGEIFS($C$2:C881, $B$2:B881, B881)</f>
        <v>16.289473684210527</v>
      </c>
      <c r="AH881" s="86">
        <f>AVERAGEIFS($I$2:I881, $B$2:B881, B881)</f>
        <v>0.52894736842105261</v>
      </c>
      <c r="AI881" s="86">
        <f>AVERAGEIFS($J$2:J881, $B$2:B881, B881)</f>
        <v>0.54052631578947363</v>
      </c>
      <c r="AJ881" s="86">
        <f>AVERAGEIFS($D$2:D881, $B$2:B881, B881)</f>
        <v>0.63157894736842102</v>
      </c>
    </row>
    <row r="882" spans="1:36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1</v>
      </c>
      <c r="AC882">
        <v>0</v>
      </c>
      <c r="AD882">
        <v>1</v>
      </c>
      <c r="AE882">
        <v>0</v>
      </c>
      <c r="AF882">
        <v>1</v>
      </c>
      <c r="AG882" s="86">
        <f>AVERAGEIFS($C$2:C882, $B$2:B882, B882)</f>
        <v>12.111111111111111</v>
      </c>
      <c r="AH882" s="86">
        <f>AVERAGEIFS($I$2:I882, $B$2:B882, B882)</f>
        <v>0.43888888888888888</v>
      </c>
      <c r="AI882" s="86">
        <f>AVERAGEIFS($J$2:J882, $B$2:B882, B882)</f>
        <v>0.50555555555555565</v>
      </c>
      <c r="AJ882" s="86">
        <f>AVERAGEIFS($D$2:D882, $B$2:B882, B882)</f>
        <v>0.55555555555555558</v>
      </c>
    </row>
    <row r="883" spans="1:36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1</v>
      </c>
      <c r="AC883">
        <v>0</v>
      </c>
      <c r="AD883">
        <v>1</v>
      </c>
      <c r="AE883">
        <v>0</v>
      </c>
      <c r="AF883">
        <v>1</v>
      </c>
      <c r="AG883" s="86">
        <f>AVERAGEIFS($C$2:C883, $B$2:B883, B883)</f>
        <v>18.435897435897434</v>
      </c>
      <c r="AH883" s="86">
        <f>AVERAGEIFS($I$2:I883, $B$2:B883, B883)</f>
        <v>0.4358974358974359</v>
      </c>
      <c r="AI883" s="86">
        <f>AVERAGEIFS($J$2:J883, $B$2:B883, B883)</f>
        <v>0.44410256410256405</v>
      </c>
      <c r="AJ883" s="86">
        <f>AVERAGEIFS($D$2:D883, $B$2:B883, B883)</f>
        <v>0.4358974358974359</v>
      </c>
    </row>
    <row r="884" spans="1:36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1</v>
      </c>
      <c r="AD884">
        <v>0</v>
      </c>
      <c r="AE884">
        <v>0</v>
      </c>
      <c r="AF884">
        <v>0</v>
      </c>
      <c r="AG884" s="86">
        <f>AVERAGEIFS($C$2:C884, $B$2:B884, B884)</f>
        <v>21.864406779661017</v>
      </c>
      <c r="AH884" s="86">
        <f>AVERAGEIFS($I$2:I884, $B$2:B884, B884)</f>
        <v>0.51830508474576276</v>
      </c>
      <c r="AI884" s="86">
        <f>AVERAGEIFS($J$2:J884, $B$2:B884, B884)</f>
        <v>0.51813559322033897</v>
      </c>
      <c r="AJ884" s="86">
        <f>AVERAGEIFS($D$2:D884, $B$2:B884, B884)</f>
        <v>0.57627118644067798</v>
      </c>
    </row>
    <row r="885" spans="1:36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1</v>
      </c>
      <c r="AD885">
        <v>0</v>
      </c>
      <c r="AE885">
        <v>0</v>
      </c>
      <c r="AF885">
        <v>0</v>
      </c>
      <c r="AG885" s="86">
        <f>AVERAGEIFS($C$2:C885, $B$2:B885, B885)</f>
        <v>19.391304347826086</v>
      </c>
      <c r="AH885" s="86">
        <f>AVERAGEIFS($I$2:I885, $B$2:B885, B885)</f>
        <v>0.61173913043478256</v>
      </c>
      <c r="AI885" s="86">
        <f>AVERAGEIFS($J$2:J885, $B$2:B885, B885)</f>
        <v>0.55652173913043479</v>
      </c>
      <c r="AJ885" s="86">
        <f>AVERAGEIFS($D$2:D885, $B$2:B885, B885)</f>
        <v>0.73913043478260865</v>
      </c>
    </row>
    <row r="886" spans="1:36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1</v>
      </c>
      <c r="AD886">
        <v>0</v>
      </c>
      <c r="AE886">
        <v>0</v>
      </c>
      <c r="AF886">
        <v>0</v>
      </c>
      <c r="AG886" s="86">
        <f>AVERAGEIFS($C$2:C886, $B$2:B886, B886)</f>
        <v>19.757575757575758</v>
      </c>
      <c r="AH886" s="86">
        <f>AVERAGEIFS($I$2:I886, $B$2:B886, B886)</f>
        <v>0.51424242424242417</v>
      </c>
      <c r="AI886" s="86">
        <f>AVERAGEIFS($J$2:J886, $B$2:B886, B886)</f>
        <v>0.48818181818181827</v>
      </c>
      <c r="AJ886" s="86">
        <f>AVERAGEIFS($D$2:D886, $B$2:B886, B886)</f>
        <v>0.51515151515151514</v>
      </c>
    </row>
    <row r="887" spans="1:36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1</v>
      </c>
      <c r="AD887">
        <v>0</v>
      </c>
      <c r="AE887">
        <v>0</v>
      </c>
      <c r="AF887">
        <v>0</v>
      </c>
      <c r="AG887" s="86">
        <f>AVERAGEIFS($C$2:C887, $B$2:B887, B887)</f>
        <v>18.267857142857142</v>
      </c>
      <c r="AH887" s="86">
        <f>AVERAGEIFS($I$2:I887, $B$2:B887, B887)</f>
        <v>0.48928571428571416</v>
      </c>
      <c r="AI887" s="86">
        <f>AVERAGEIFS($J$2:J887, $B$2:B887, B887)</f>
        <v>0.48500000000000004</v>
      </c>
      <c r="AJ887" s="86">
        <f>AVERAGEIFS($D$2:D887, $B$2:B887, B887)</f>
        <v>0.42857142857142855</v>
      </c>
    </row>
    <row r="888" spans="1:36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1</v>
      </c>
      <c r="AD888">
        <v>0</v>
      </c>
      <c r="AE888">
        <v>0</v>
      </c>
      <c r="AF888">
        <v>0</v>
      </c>
      <c r="AG888" s="86">
        <f>AVERAGEIFS($C$2:C888, $B$2:B888, B888)</f>
        <v>16.026315789473685</v>
      </c>
      <c r="AH888" s="86">
        <f>AVERAGEIFS($I$2:I888, $B$2:B888, B888)</f>
        <v>0.51710526315789473</v>
      </c>
      <c r="AI888" s="86">
        <f>AVERAGEIFS($J$2:J888, $B$2:B888, B888)</f>
        <v>0.5178947368421053</v>
      </c>
      <c r="AJ888" s="86">
        <f>AVERAGEIFS($D$2:D888, $B$2:B888, B888)</f>
        <v>0.55263157894736847</v>
      </c>
    </row>
    <row r="889" spans="1:36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1</v>
      </c>
      <c r="AD889">
        <v>0</v>
      </c>
      <c r="AE889">
        <v>0</v>
      </c>
      <c r="AF889">
        <v>0</v>
      </c>
      <c r="AG889" s="86">
        <f>AVERAGEIFS($C$2:C889, $B$2:B889, B889)</f>
        <v>10.475</v>
      </c>
      <c r="AH889" s="86">
        <f>AVERAGEIFS($I$2:I889, $B$2:B889, B889)</f>
        <v>0.45825000000000005</v>
      </c>
      <c r="AI889" s="86">
        <f>AVERAGEIFS($J$2:J889, $B$2:B889, B889)</f>
        <v>0.48549999999999993</v>
      </c>
      <c r="AJ889" s="86">
        <f>AVERAGEIFS($D$2:D889, $B$2:B889, B889)</f>
        <v>0.42499999999999999</v>
      </c>
    </row>
    <row r="890" spans="1:36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 s="86">
        <f>AVERAGEIFS($C$2:C890, $B$2:B890, B890)</f>
        <v>16.179487179487179</v>
      </c>
      <c r="AH890" s="86">
        <f>AVERAGEIFS($I$2:I890, $B$2:B890, B890)</f>
        <v>0.5346153846153846</v>
      </c>
      <c r="AI890" s="86">
        <f>AVERAGEIFS($J$2:J890, $B$2:B890, B890)</f>
        <v>0.54102564102564099</v>
      </c>
      <c r="AJ890" s="86">
        <f>AVERAGEIFS($D$2:D890, $B$2:B890, B890)</f>
        <v>0.64102564102564108</v>
      </c>
    </row>
    <row r="891" spans="1:36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 s="86">
        <f>AVERAGEIFS($C$2:C891, $B$2:B891, B891)</f>
        <v>25.84375</v>
      </c>
      <c r="AH891" s="86">
        <f>AVERAGEIFS($I$2:I891, $B$2:B891, B891)</f>
        <v>0.49531250000000004</v>
      </c>
      <c r="AI891" s="86">
        <f>AVERAGEIFS($J$2:J891, $B$2:B891, B891)</f>
        <v>0.49656250000000007</v>
      </c>
      <c r="AJ891" s="86">
        <f>AVERAGEIFS($D$2:D891, $B$2:B891, B891)</f>
        <v>0.53125</v>
      </c>
    </row>
    <row r="892" spans="1:36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 s="86">
        <f>AVERAGEIFS($C$2:C892, $B$2:B892, B892)</f>
        <v>19.291666666666668</v>
      </c>
      <c r="AH892" s="86">
        <f>AVERAGEIFS($I$2:I892, $B$2:B892, B892)</f>
        <v>0.61749999999999994</v>
      </c>
      <c r="AI892" s="86">
        <f>AVERAGEIFS($J$2:J892, $B$2:B892, B892)</f>
        <v>0.55666666666666675</v>
      </c>
      <c r="AJ892" s="86">
        <f>AVERAGEIFS($D$2:D892, $B$2:B892, B892)</f>
        <v>0.75</v>
      </c>
    </row>
    <row r="893" spans="1:36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 s="86">
        <f>AVERAGEIFS($C$2:C893, $B$2:B893, B893)</f>
        <v>16.625</v>
      </c>
      <c r="AH893" s="86">
        <f>AVERAGEIFS($I$2:I893, $B$2:B893, B893)</f>
        <v>0.63749999999999996</v>
      </c>
      <c r="AI893" s="86">
        <f>AVERAGEIFS($J$2:J893, $B$2:B893, B893)</f>
        <v>0.59687500000000016</v>
      </c>
      <c r="AJ893" s="86">
        <f>AVERAGEIFS($D$2:D893, $B$2:B893, B893)</f>
        <v>0.625</v>
      </c>
    </row>
    <row r="894" spans="1:36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 s="86">
        <f>AVERAGEIFS($C$2:C894, $B$2:B894, B894)</f>
        <v>15.948717948717949</v>
      </c>
      <c r="AH894" s="86">
        <f>AVERAGEIFS($I$2:I894, $B$2:B894, B894)</f>
        <v>0.52307692307692299</v>
      </c>
      <c r="AI894" s="86">
        <f>AVERAGEIFS($J$2:J894, $B$2:B894, B894)</f>
        <v>0.51897435897435895</v>
      </c>
      <c r="AJ894" s="86">
        <f>AVERAGEIFS($D$2:D894, $B$2:B894, B894)</f>
        <v>0.5641025641025641</v>
      </c>
    </row>
    <row r="895" spans="1:36" x14ac:dyDescent="0.25">
      <c r="A895" s="85">
        <v>46130</v>
      </c>
      <c r="B895" t="s">
        <v>163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 s="86">
        <f>AVERAGEIFS($C$2:C895, $B$2:B895, B895)</f>
        <v>5</v>
      </c>
      <c r="AH895" s="86">
        <f>AVERAGEIFS($I$2:I895, $B$2:B895, B895)</f>
        <v>0.7</v>
      </c>
      <c r="AI895" s="86">
        <f>AVERAGEIFS($J$2:J895, $B$2:B895, B895)</f>
        <v>0.56399999999999995</v>
      </c>
      <c r="AJ895" s="86">
        <f>AVERAGEIFS($D$2:D895, $B$2:B895, B895)</f>
        <v>0.8</v>
      </c>
    </row>
    <row r="896" spans="1:36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1</v>
      </c>
      <c r="AC896">
        <v>0</v>
      </c>
      <c r="AD896">
        <v>0</v>
      </c>
      <c r="AE896">
        <v>0</v>
      </c>
      <c r="AF896">
        <v>0</v>
      </c>
      <c r="AG896" s="86">
        <f>AVERAGEIFS($C$2:C896, $B$2:B896, B896)</f>
        <v>24.666666666666668</v>
      </c>
      <c r="AH896" s="86">
        <f>AVERAGEIFS($I$2:I896, $B$2:B896, B896)</f>
        <v>0.43166666666666664</v>
      </c>
      <c r="AI896" s="86">
        <f>AVERAGEIFS($J$2:J896, $B$2:B896, B896)</f>
        <v>0.45966666666666661</v>
      </c>
      <c r="AJ896" s="86">
        <f>AVERAGEIFS($D$2:D896, $B$2:B896, B896)</f>
        <v>0.33333333333333331</v>
      </c>
    </row>
    <row r="897" spans="1:36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1</v>
      </c>
      <c r="AC897">
        <v>0</v>
      </c>
      <c r="AD897">
        <v>0</v>
      </c>
      <c r="AE897">
        <v>0</v>
      </c>
      <c r="AF897">
        <v>0</v>
      </c>
      <c r="AG897" s="86">
        <f>AVERAGEIFS($C$2:C897, $B$2:B897, B897)</f>
        <v>23</v>
      </c>
      <c r="AH897" s="86">
        <f>AVERAGEIFS($I$2:I897, $B$2:B897, B897)</f>
        <v>0.54675675675675672</v>
      </c>
      <c r="AI897" s="86">
        <f>AVERAGEIFS($J$2:J897, $B$2:B897, B897)</f>
        <v>0.54324324324324325</v>
      </c>
      <c r="AJ897" s="86">
        <f>AVERAGEIFS($D$2:D897, $B$2:B897, B897)</f>
        <v>0.54054054054054057</v>
      </c>
    </row>
    <row r="898" spans="1:36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1</v>
      </c>
      <c r="AC898">
        <v>0</v>
      </c>
      <c r="AD898">
        <v>0</v>
      </c>
      <c r="AE898">
        <v>0</v>
      </c>
      <c r="AF898">
        <v>0</v>
      </c>
      <c r="AG898" s="86">
        <f>AVERAGEIFS($C$2:C898, $B$2:B898, B898)</f>
        <v>17.588235294117649</v>
      </c>
      <c r="AH898" s="86">
        <f>AVERAGEIFS($I$2:I898, $B$2:B898, B898)</f>
        <v>0.57500000000000007</v>
      </c>
      <c r="AI898" s="86">
        <f>AVERAGEIFS($J$2:J898, $B$2:B898, B898)</f>
        <v>0.53500000000000014</v>
      </c>
      <c r="AJ898" s="86">
        <f>AVERAGEIFS($D$2:D898, $B$2:B898, B898)</f>
        <v>0.55882352941176472</v>
      </c>
    </row>
    <row r="899" spans="1:36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1</v>
      </c>
      <c r="AC899">
        <v>0</v>
      </c>
      <c r="AD899">
        <v>0</v>
      </c>
      <c r="AE899">
        <v>0</v>
      </c>
      <c r="AF899">
        <v>0</v>
      </c>
      <c r="AG899" s="86">
        <f>AVERAGEIFS($C$2:C899, $B$2:B899, B899)</f>
        <v>11.476190476190476</v>
      </c>
      <c r="AH899" s="86">
        <f>AVERAGEIFS($I$2:I899, $B$2:B899, B899)</f>
        <v>0.56428571428571428</v>
      </c>
      <c r="AI899" s="86">
        <f>AVERAGEIFS($J$2:J899, $B$2:B899, B899)</f>
        <v>0.54095238095238085</v>
      </c>
      <c r="AJ899" s="86">
        <f>AVERAGEIFS($D$2:D899, $B$2:B899, B899)</f>
        <v>0.52380952380952384</v>
      </c>
    </row>
    <row r="900" spans="1:36" x14ac:dyDescent="0.25">
      <c r="A900" s="85">
        <v>46130</v>
      </c>
      <c r="B900" t="s">
        <v>170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1</v>
      </c>
      <c r="AC900">
        <v>0</v>
      </c>
      <c r="AD900">
        <v>0</v>
      </c>
      <c r="AE900">
        <v>0</v>
      </c>
      <c r="AF900">
        <v>0</v>
      </c>
      <c r="AG900" s="86">
        <f>AVERAGEIFS($C$2:C900, $B$2:B900, B900)</f>
        <v>10</v>
      </c>
      <c r="AH900" s="86">
        <f>AVERAGEIFS($I$2:I900, $B$2:B900, B900)</f>
        <v>0.46666666666666662</v>
      </c>
      <c r="AI900" s="86">
        <f>AVERAGEIFS($J$2:J900, $B$2:B900, B900)</f>
        <v>0.48333333333333334</v>
      </c>
      <c r="AJ900" s="86">
        <f>AVERAGEIFS($D$2:D900, $B$2:B900, B900)</f>
        <v>0.33333333333333331</v>
      </c>
    </row>
    <row r="901" spans="1:36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1</v>
      </c>
      <c r="AC901">
        <v>0</v>
      </c>
      <c r="AD901">
        <v>0</v>
      </c>
      <c r="AE901">
        <v>0</v>
      </c>
      <c r="AF901">
        <v>0</v>
      </c>
      <c r="AG901" s="86">
        <f>AVERAGEIFS($C$2:C901, $B$2:B901, B901)</f>
        <v>14.72</v>
      </c>
      <c r="AH901" s="86">
        <f>AVERAGEIFS($I$2:I901, $B$2:B901, B901)</f>
        <v>0.49400000000000005</v>
      </c>
      <c r="AI901" s="86">
        <f>AVERAGEIFS($J$2:J901, $B$2:B901, B901)</f>
        <v>0.49480000000000002</v>
      </c>
      <c r="AJ901" s="86">
        <f>AVERAGEIFS($D$2:D901, $B$2:B901, B901)</f>
        <v>0.4</v>
      </c>
    </row>
  </sheetData>
  <autoFilter ref="A1:AJ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M3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6" sqref="A26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164</v>
      </c>
      <c r="D1" s="3" t="s">
        <v>165</v>
      </c>
      <c r="E1" s="3" t="s">
        <v>166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28</v>
      </c>
      <c r="G2" s="66">
        <f>AVERAGEIFS('BA History S2'!C:C,'BA History S2'!B:B,A2)</f>
        <v>9.3333333333333339</v>
      </c>
      <c r="H2" s="35">
        <f t="array" ref="H2">MAX(IF('BA History S2'!B:B=A2, 'BA History S2'!C:C))</f>
        <v>15</v>
      </c>
      <c r="I2" s="34">
        <f>COUNTIFS('BA History S2'!B:B,A2,'BA History S2'!D:D, 1)</f>
        <v>2</v>
      </c>
      <c r="J2" s="2">
        <f>COUNTIFS('BA History S2'!B:B,A2,'BA History S2'!D:D, 0)</f>
        <v>1</v>
      </c>
      <c r="K2" s="75">
        <f>LOOKUP(2, 1/('BA History S2'!$B:$B=A2), 'BA History S2'!$AJ:$AJ)</f>
        <v>0.66666666666666663</v>
      </c>
      <c r="L2" s="34">
        <f>SUMIFS('BA History S2'!F:F,'BA History S2'!B:B,A2)</f>
        <v>6</v>
      </c>
      <c r="M2" s="2">
        <f>SUMIFS('BA History S2'!E:E,'BA History S2'!B:B,A2)-L2</f>
        <v>4</v>
      </c>
      <c r="N2" s="75">
        <f>LOOKUP(2, 1/('BA History S2'!$B:$B=A2), 'BA History S2'!$AH:$AH)</f>
        <v>0.58333333333333337</v>
      </c>
      <c r="O2" s="34">
        <f>SUMIFS('BA History S2'!H:H,'BA History S2'!B:B,A2)</f>
        <v>24</v>
      </c>
      <c r="P2" s="2">
        <f>SUMIFS('BA History S2'!G:G,'BA History S2'!B:B,A2)-O2</f>
        <v>18</v>
      </c>
      <c r="Q2" s="89">
        <f>LOOKUP(2, 1/('BA History S2'!$B:$B=A2), 'BA History S2'!$AI:$AI)</f>
        <v>0.57999999999999996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1</v>
      </c>
      <c r="U2" s="2">
        <f>COUNTIFS('BA History S2'!$B:$B,$A$2,'BA History S2'!N:N, 1)</f>
        <v>1</v>
      </c>
      <c r="V2" s="2">
        <f>COUNTIFS('BA History S2'!$B:$B,$A$2,'BA History S2'!O:O, 1)</f>
        <v>0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0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0</v>
      </c>
      <c r="AG2" s="2">
        <f>COUNTIFS('BA History S2'!$B:$B,$A$2,'BA History S2'!Z:Z, 1)</f>
        <v>1</v>
      </c>
      <c r="AH2" s="2">
        <f>COUNTIFS('BA History S2'!$B:$B,$A$2,'BA History S2'!AA:AA, 1)</f>
        <v>0</v>
      </c>
      <c r="AI2" s="2">
        <f>COUNTIFS('BA History S2'!$B:$B,$A$2,'BA History S2'!AB:AB, 1)</f>
        <v>1</v>
      </c>
      <c r="AJ2" s="2">
        <f>COUNTIFS('BA History S2'!$B:$B,$A$2,'BA History S2'!AC:AC, 1)</f>
        <v>0</v>
      </c>
      <c r="AK2" s="2">
        <f>COUNTIFS('BA History S2'!$B:$B,$A$2,'BA History S2'!AD:AD, 1)</f>
        <v>1</v>
      </c>
      <c r="AL2" s="2">
        <f>COUNTIFS('BA History S2'!$B:$B,$A$2,'BA History S2'!AE:AE, 1)</f>
        <v>0</v>
      </c>
      <c r="AM2" s="2">
        <f>COUNTIFS('BA History S2'!$B:$B,$A$2,'BA History S2'!AF:AF, 1)</f>
        <v>0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14</v>
      </c>
      <c r="G3" s="66">
        <f>AVERAGEIFS('BA History S2'!C:C,'BA History S2'!B:B,A3)</f>
        <v>14</v>
      </c>
      <c r="H3" s="35">
        <f t="array" ref="H3">MAX(IF('BA History S2'!B:B=A3, 'BA History S2'!C:C))</f>
        <v>14</v>
      </c>
      <c r="I3" s="34">
        <f>COUNTIFS('BA History S2'!B:B,A3,'BA History S2'!D:D, 1)</f>
        <v>1</v>
      </c>
      <c r="J3" s="2">
        <f>COUNTIFS('BA History S2'!B:B,A3,'BA History S2'!D:D, 0)</f>
        <v>0</v>
      </c>
      <c r="K3" s="75">
        <f>LOOKUP(2, 1/('BA History S2'!$B:$B=A3), 'BA History S2'!$AJ:$AJ)</f>
        <v>1</v>
      </c>
      <c r="L3" s="34">
        <f>SUMIFS('BA History S2'!F:F,'BA History S2'!B:B,A3)</f>
        <v>3</v>
      </c>
      <c r="M3" s="2">
        <f>SUMIFS('BA History S2'!E:E,'BA History S2'!B:B,A3)-L3</f>
        <v>1</v>
      </c>
      <c r="N3" s="75">
        <f>LOOKUP(2, 1/('BA History S2'!$B:$B=A3), 'BA History S2'!$AH:$AH)</f>
        <v>0.75</v>
      </c>
      <c r="O3" s="34">
        <f>SUMIFS('BA History S2'!H:H,'BA History S2'!B:B,A3)</f>
        <v>10</v>
      </c>
      <c r="P3" s="2">
        <f>SUMIFS('BA History S2'!G:G,'BA History S2'!B:B,A3)-O3</f>
        <v>8</v>
      </c>
      <c r="Q3" s="89">
        <f>LOOKUP(2, 1/('BA History S2'!$B:$B=A3), 'BA History S2'!$AI:$AI)</f>
        <v>0.56000000000000005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1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0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1</v>
      </c>
      <c r="AH3" s="2">
        <f>COUNTIFS('BA History S2'!$B:$B,$A$3,'BA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0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</row>
    <row r="4" spans="1:39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111</v>
      </c>
      <c r="G4" s="66">
        <f>AVERAGEIFS('BA History S2'!C:C,'BA History S2'!B:B,A4)</f>
        <v>12.333333333333334</v>
      </c>
      <c r="H4" s="35">
        <f t="array" ref="H4">MAX(IF('BA History S2'!B:B=A4, 'BA History S2'!C:C))</f>
        <v>23</v>
      </c>
      <c r="I4" s="34">
        <f>COUNTIFS('BA History S2'!B:B,A4,'BA History S2'!D:D, 1)</f>
        <v>3</v>
      </c>
      <c r="J4" s="2">
        <f>COUNTIFS('BA History S2'!B:B,A4,'BA History S2'!D:D, 0)</f>
        <v>6</v>
      </c>
      <c r="K4" s="75">
        <f>LOOKUP(2, 1/('BA History S2'!$B:$B=A4), 'BA History S2'!$AJ:$AJ)</f>
        <v>0.33333333333333331</v>
      </c>
      <c r="L4" s="34">
        <f>SUMIFS('BA History S2'!F:F,'BA History S2'!B:B,A4)</f>
        <v>16</v>
      </c>
      <c r="M4" s="2">
        <f>SUMIFS('BA History S2'!E:E,'BA History S2'!B:B,A4)-L4</f>
        <v>22</v>
      </c>
      <c r="N4" s="75">
        <f>LOOKUP(2, 1/('BA History S2'!$B:$B=A4), 'BA History S2'!$AH:$AH)</f>
        <v>0.40555555555555556</v>
      </c>
      <c r="O4" s="34">
        <f>SUMIFS('BA History S2'!H:H,'BA History S2'!B:B,A4)</f>
        <v>77</v>
      </c>
      <c r="P4" s="2">
        <f>SUMIFS('BA History S2'!G:G,'BA History S2'!B:B,A4)-O4</f>
        <v>88</v>
      </c>
      <c r="Q4" s="89">
        <f>LOOKUP(2, 1/('BA History S2'!$B:$B=A4), 'BA History S2'!$AI:$AI)</f>
        <v>0.45222222222222214</v>
      </c>
      <c r="R4" s="2">
        <f>COUNTIFS('BA History S2'!$B:$B,$A$4,'BA History S2'!K:K, 1)</f>
        <v>2</v>
      </c>
      <c r="S4" s="2">
        <f>COUNTIFS('BA History S2'!$B:$B,$A$4,'BA History S2'!L:L, 1)</f>
        <v>3</v>
      </c>
      <c r="T4" s="2">
        <f>COUNTIFS('BA History S2'!$B:$B,$A$4,'BA History S2'!M:M, 1)</f>
        <v>0</v>
      </c>
      <c r="U4" s="2">
        <f>COUNTIFS('BA History S2'!$B:$B,$A$4,'BA History S2'!N:N, 1)</f>
        <v>2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1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0</v>
      </c>
      <c r="AH4" s="2">
        <f>COUNTIFS('BA History S2'!$B:$B,$A$4,'BA History S2'!AA:AA, 1)</f>
        <v>0</v>
      </c>
      <c r="AI4" s="2">
        <f>COUNTIFS('BA History S2'!$B:$B,$A$4,'BA History S2'!AB:AB, 1)</f>
        <v>2</v>
      </c>
      <c r="AJ4" s="2">
        <f>COUNTIFS('BA History S2'!$B:$B,$A$4,'BA History S2'!AC:AC, 1)</f>
        <v>1</v>
      </c>
      <c r="AK4" s="2">
        <f>COUNTIFS('BA History S2'!$B:$B,$A$4,'BA History S2'!AD:AD, 1)</f>
        <v>1</v>
      </c>
      <c r="AL4" s="2">
        <f>COUNTIFS('BA History S2'!$B:$B,$A$4,'BA History S2'!AE:AE, 1)</f>
        <v>0</v>
      </c>
      <c r="AM4" s="2">
        <f>COUNTIFS('BA History S2'!$B:$B,$A$4,'BA History S2'!AF:AF, 1)</f>
        <v>1</v>
      </c>
    </row>
    <row r="5" spans="1:39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31</v>
      </c>
      <c r="G5" s="66">
        <f>AVERAGEIFS('BA History S2'!C:C,'BA History S2'!B:B,A5)</f>
        <v>6.2</v>
      </c>
      <c r="H5" s="35">
        <f t="array" ref="H5">MAX(IF('BA History S2'!B:B=A5, 'BA History S2'!C:C))</f>
        <v>9</v>
      </c>
      <c r="I5" s="34">
        <f>COUNTIFS('BA History S2'!B:B,A5,'BA History S2'!D:D, 1)</f>
        <v>1</v>
      </c>
      <c r="J5" s="2">
        <f>COUNTIFS('BA History S2'!B:B,A5,'BA History S2'!D:D, 0)</f>
        <v>4</v>
      </c>
      <c r="K5" s="75">
        <f>LOOKUP(2, 1/('BA History S2'!$B:$B=A5), 'BA History S2'!$AJ:$AJ)</f>
        <v>0.2</v>
      </c>
      <c r="L5" s="34">
        <f>SUMIFS('BA History S2'!F:F,'BA History S2'!B:B,A5)</f>
        <v>6</v>
      </c>
      <c r="M5" s="2">
        <f>SUMIFS('BA History S2'!E:E,'BA History S2'!B:B,A5)-L5</f>
        <v>12</v>
      </c>
      <c r="N5" s="75">
        <f>LOOKUP(2, 1/('BA History S2'!$B:$B=A5), 'BA History S2'!$AH:$AH)</f>
        <v>0.35</v>
      </c>
      <c r="O5" s="34">
        <f>SUMIFS('BA History S2'!H:H,'BA History S2'!B:B,A5)</f>
        <v>28</v>
      </c>
      <c r="P5" s="2">
        <f>SUMIFS('BA History S2'!G:G,'BA History S2'!B:B,A5)-O5</f>
        <v>41</v>
      </c>
      <c r="Q5" s="89">
        <f>LOOKUP(2, 1/('BA History S2'!$B:$B=A5), 'BA History S2'!$AI:$AI)</f>
        <v>0.44400000000000006</v>
      </c>
      <c r="R5" s="2">
        <f>COUNTIFS('BA History S2'!$B:$B,$A$5,'BA History S2'!K:K, 1)</f>
        <v>0</v>
      </c>
      <c r="S5" s="2">
        <f>COUNTIFS('BA History S2'!$B:$B,$A$5,'BA History S2'!L:L, 1)</f>
        <v>0</v>
      </c>
      <c r="T5" s="2">
        <f>COUNTIFS('BA History S2'!$B:$B,$A$5,'BA History S2'!M:M, 1)</f>
        <v>0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1</v>
      </c>
      <c r="AH5" s="2">
        <f>COUNTIFS('BA History S2'!$B:$B,$A$5,'BA History S2'!AA:AA, 1)</f>
        <v>0</v>
      </c>
      <c r="AI5" s="2">
        <f>COUNTIFS('BA History S2'!$B:$B,$A$5,'BA History S2'!AB:AB, 1)</f>
        <v>1</v>
      </c>
      <c r="AJ5" s="2">
        <f>COUNTIFS('BA History S2'!$B:$B,$A$5,'BA History S2'!AC:AC, 1)</f>
        <v>1</v>
      </c>
      <c r="AK5" s="2">
        <f>COUNTIFS('BA History S2'!$B:$B,$A$5,'BA History S2'!AD:AD, 1)</f>
        <v>0</v>
      </c>
      <c r="AL5" s="2">
        <f>COUNTIFS('BA History S2'!$B:$B,$A$5,'BA History S2'!AE:AE, 1)</f>
        <v>0</v>
      </c>
      <c r="AM5" s="2">
        <f>COUNTIFS('BA History S2'!$B:$B,$A$5,'BA History S2'!AF:AF, 1)</f>
        <v>1</v>
      </c>
    </row>
    <row r="6" spans="1:39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189</v>
      </c>
      <c r="G6" s="66">
        <f>AVERAGEIFS('BA History S2'!C:C,'BA History S2'!B:B,A6)</f>
        <v>17.181818181818183</v>
      </c>
      <c r="H6" s="35">
        <f t="array" ref="H6">MAX(IF('BA History S2'!B:B=A6, 'BA History S2'!C:C))</f>
        <v>40</v>
      </c>
      <c r="I6" s="34">
        <f>COUNTIFS('BA History S2'!B:B,A6,'BA History S2'!D:D, 1)</f>
        <v>4</v>
      </c>
      <c r="J6" s="2">
        <f>COUNTIFS('BA History S2'!B:B,A6,'BA History S2'!D:D, 0)</f>
        <v>7</v>
      </c>
      <c r="K6" s="75">
        <f>LOOKUP(2, 1/('BA History S2'!$B:$B=A6), 'BA History S2'!$AJ:$AJ)</f>
        <v>0.36363636363636365</v>
      </c>
      <c r="L6" s="34">
        <f>SUMIFS('BA History S2'!F:F,'BA History S2'!B:B,A6)</f>
        <v>18</v>
      </c>
      <c r="M6" s="2">
        <f>SUMIFS('BA History S2'!E:E,'BA History S2'!B:B,A6)-L6</f>
        <v>25</v>
      </c>
      <c r="N6" s="75">
        <f>LOOKUP(2, 1/('BA History S2'!$B:$B=A6), 'BA History S2'!$AH:$AH)</f>
        <v>0.40909090909090912</v>
      </c>
      <c r="O6" s="34">
        <f>SUMIFS('BA History S2'!H:H,'BA History S2'!B:B,A6)</f>
        <v>78</v>
      </c>
      <c r="P6" s="2">
        <f>SUMIFS('BA History S2'!G:G,'BA History S2'!B:B,A6)-O6</f>
        <v>101</v>
      </c>
      <c r="Q6" s="89">
        <f>LOOKUP(2, 1/('BA History S2'!$B:$B=A6), 'BA History S2'!$AI:$AI)</f>
        <v>0.41909090909090901</v>
      </c>
      <c r="R6" s="2">
        <f>COUNTIFS('BA History S2'!$B:$B,$A$6,'BA History S2'!K:K, 1)</f>
        <v>1</v>
      </c>
      <c r="S6" s="2">
        <f>COUNTIFS('BA History S2'!$B:$B,$A$6,'BA History S2'!L:L, 1)</f>
        <v>0</v>
      </c>
      <c r="T6" s="2">
        <f>COUNTIFS('BA History S2'!$B:$B,$A$6,'BA History S2'!M:M, 1)</f>
        <v>2</v>
      </c>
      <c r="U6" s="2">
        <f>COUNTIFS('BA History S2'!$B:$B,$A$6,'BA History S2'!N:N, 1)</f>
        <v>2</v>
      </c>
      <c r="V6" s="2">
        <f>COUNTIFS('BA History S2'!$B:$B,$A$6,'BA History S2'!O:O, 1)</f>
        <v>0</v>
      </c>
      <c r="W6" s="2">
        <f>COUNTIFS('BA History S2'!$B:$B,$A$6,'BA History S2'!P:P, 1)</f>
        <v>0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1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0</v>
      </c>
      <c r="AD6" s="2">
        <f>COUNTIFS('BA History S2'!$B:$B,$A$6,'BA History S2'!W:W, 1)</f>
        <v>0</v>
      </c>
      <c r="AE6" s="2">
        <f>COUNTIFS('BA History S2'!$B:$B,$A$6,'BA History S2'!X:X, 1)</f>
        <v>0</v>
      </c>
      <c r="AF6" s="2">
        <f>COUNTIFS('BA History S2'!$B:$B,$A$6,'BA History S2'!Y:Y, 1)</f>
        <v>2</v>
      </c>
      <c r="AG6" s="2">
        <f>COUNTIFS('BA History S2'!$B:$B,$A$6,'BA History S2'!Z:Z, 1)</f>
        <v>2</v>
      </c>
      <c r="AH6" s="2">
        <f>COUNTIFS('BA History S2'!$B:$B,$A$6,'BA History S2'!AA:AA, 1)</f>
        <v>0</v>
      </c>
      <c r="AI6" s="2">
        <f>COUNTIFS('BA History S2'!$B:$B,$A$6,'BA History S2'!AB:AB, 1)</f>
        <v>5</v>
      </c>
      <c r="AJ6" s="2">
        <f>COUNTIFS('BA History S2'!$B:$B,$A$6,'BA History S2'!AC:AC, 1)</f>
        <v>0</v>
      </c>
      <c r="AK6" s="2">
        <f>COUNTIFS('BA History S2'!$B:$B,$A$6,'BA History S2'!AD:AD, 1)</f>
        <v>1</v>
      </c>
      <c r="AL6" s="2">
        <f>COUNTIFS('BA History S2'!$B:$B,$A$6,'BA History S2'!AE:AE, 1)</f>
        <v>0</v>
      </c>
      <c r="AM6" s="2">
        <f>COUNTIFS('BA History S2'!$B:$B,$A$6,'BA History S2'!AF:AF, 1)</f>
        <v>2</v>
      </c>
    </row>
    <row r="7" spans="1:39" x14ac:dyDescent="0.25">
      <c r="A7" s="2" t="s">
        <v>146</v>
      </c>
      <c r="B7" s="2" t="s">
        <v>79</v>
      </c>
      <c r="C7" s="2"/>
      <c r="D7" s="2"/>
      <c r="E7" s="2"/>
      <c r="F7" s="34">
        <f>SUMIFS('BA History S2'!C:C,'BA History S2'!B:B,A7)</f>
        <v>17</v>
      </c>
      <c r="G7" s="66">
        <f>AVERAGEIFS('BA History S2'!C:C,'BA History S2'!B:B,A7)</f>
        <v>8.5</v>
      </c>
      <c r="H7" s="35">
        <f t="array" ref="H7">MAX(IF('BA History S2'!B:B=A7, 'BA History S2'!C:C))</f>
        <v>13</v>
      </c>
      <c r="I7" s="34">
        <f>COUNTIFS('BA History S2'!B:B,A7,'BA History S2'!D:D, 1)</f>
        <v>0</v>
      </c>
      <c r="J7" s="2">
        <f>COUNTIFS('BA History S2'!B:B,A7,'BA History S2'!D:D, 0)</f>
        <v>2</v>
      </c>
      <c r="K7" s="75">
        <f>LOOKUP(2, 1/('BA History S2'!$B:$B=A7), 'BA History S2'!$AJ:$AJ)</f>
        <v>0</v>
      </c>
      <c r="L7" s="34">
        <f>SUMIFS('BA History S2'!F:F,'BA History S2'!B:B,A7)</f>
        <v>1</v>
      </c>
      <c r="M7" s="2">
        <f>SUMIFS('BA History S2'!E:E,'BA History S2'!B:B,A7)-L7</f>
        <v>6</v>
      </c>
      <c r="N7" s="75">
        <f>LOOKUP(2, 1/('BA History S2'!$B:$B=A7), 'BA History S2'!$AH:$AH)</f>
        <v>0.125</v>
      </c>
      <c r="O7" s="34">
        <f>SUMIFS('BA History S2'!H:H,'BA History S2'!B:B,A7)</f>
        <v>9</v>
      </c>
      <c r="P7" s="2">
        <f>SUMIFS('BA History S2'!G:G,'BA History S2'!B:B,A7)-O7</f>
        <v>19</v>
      </c>
      <c r="Q7" s="89">
        <f>LOOKUP(2, 1/('BA History S2'!$B:$B=A7), 'BA History S2'!$AI:$AI)</f>
        <v>0.27</v>
      </c>
      <c r="R7" s="2">
        <f>COUNTIFS('BA History S2'!$B:$B,$A$7,'BA History S2'!K:K, 1)</f>
        <v>0</v>
      </c>
      <c r="S7" s="2">
        <f>COUNTIFS('BA History S2'!$B:$B,$A$7,'BA History S2'!L:L, 1)</f>
        <v>0</v>
      </c>
      <c r="T7" s="2">
        <f>COUNTIFS('BA History S2'!$B:$B,$A$7,'BA History S2'!M:M, 1)</f>
        <v>0</v>
      </c>
      <c r="U7" s="2">
        <f>COUNTIFS('BA History S2'!$B:$B,$A$7,'BA History S2'!N:N, 1)</f>
        <v>1</v>
      </c>
      <c r="V7" s="2">
        <f>COUNTIFS('BA History S2'!$B:$B,$A$7,'BA History S2'!O:O, 1)</f>
        <v>0</v>
      </c>
      <c r="W7" s="2">
        <f>COUNTIFS('BA History S2'!$B:$B,$A$7,'BA History S2'!P:P, 1)</f>
        <v>0</v>
      </c>
      <c r="X7" s="2">
        <f>COUNTIFS('BA History S2'!$B:$B,$A$7,'BA History S2'!Q:Q, 1)</f>
        <v>0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0</v>
      </c>
      <c r="AH7" s="2">
        <f>COUNTIFS('BA History S2'!$B:$B,$A$7,'BA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0</v>
      </c>
      <c r="AK7" s="2">
        <f>COUNTIFS('BA History S2'!$B:$B,$A$7,'BA History S2'!AD:AD, 1)</f>
        <v>0</v>
      </c>
      <c r="AL7" s="2">
        <f>COUNTIFS('BA History S2'!$B:$B,$A$7,'BA History S2'!AE:AE, 1)</f>
        <v>0</v>
      </c>
      <c r="AM7" s="2">
        <f>COUNTIFS('BA History S2'!$B:$B,$A$7,'BA History S2'!AF:AF, 1)</f>
        <v>0</v>
      </c>
    </row>
    <row r="8" spans="1:39" x14ac:dyDescent="0.25">
      <c r="A8" s="2" t="s">
        <v>152</v>
      </c>
      <c r="B8" s="2" t="s">
        <v>79</v>
      </c>
      <c r="C8" s="2"/>
      <c r="D8" s="2"/>
      <c r="E8" s="2"/>
      <c r="F8" s="34">
        <f>SUMIFS('BA History S2'!C:C,'BA History S2'!B:B,A8)</f>
        <v>12</v>
      </c>
      <c r="G8" s="66">
        <f>AVERAGEIFS('BA History S2'!C:C,'BA History S2'!B:B,A8)</f>
        <v>12</v>
      </c>
      <c r="H8" s="35">
        <f t="array" ref="H8">MAX(IF('BA History S2'!B:B=A8, 'BA History S2'!C:C))</f>
        <v>12</v>
      </c>
      <c r="I8" s="34">
        <f>COUNTIFS('BA History S2'!B:B,A8,'BA History S2'!D:D, 1)</f>
        <v>0</v>
      </c>
      <c r="J8" s="2">
        <f>COUNTIFS('BA History S2'!B:B,A8,'BA History S2'!D:D, 0)</f>
        <v>1</v>
      </c>
      <c r="K8" s="75">
        <f>LOOKUP(2, 1/('BA History S2'!$B:$B=A8), 'BA History S2'!$AJ:$AJ)</f>
        <v>0</v>
      </c>
      <c r="L8" s="34">
        <f>SUMIFS('BA History S2'!F:F,'BA History S2'!B:B,A8)</f>
        <v>1</v>
      </c>
      <c r="M8" s="2">
        <f>SUMIFS('BA History S2'!E:E,'BA History S2'!B:B,A8)-L8</f>
        <v>3</v>
      </c>
      <c r="N8" s="75">
        <f>LOOKUP(2, 1/('BA History S2'!$B:$B=A8), 'BA History S2'!$AH:$AH)</f>
        <v>0.25</v>
      </c>
      <c r="O8" s="34">
        <f>SUMIFS('BA History S2'!H:H,'BA History S2'!B:B,A8)</f>
        <v>8</v>
      </c>
      <c r="P8" s="2">
        <f>SUMIFS('BA History S2'!G:G,'BA History S2'!B:B,A8)-O8</f>
        <v>10</v>
      </c>
      <c r="Q8" s="89">
        <f>LOOKUP(2, 1/('BA History S2'!$B:$B=A8), 'BA History S2'!$AI:$AI)</f>
        <v>0.44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1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0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0</v>
      </c>
      <c r="AH8" s="2">
        <f>COUNTIFS('BA History S2'!$B:$B,$A$8,'BA History S2'!AA:AA, 1)</f>
        <v>0</v>
      </c>
      <c r="AI8" s="2">
        <f>COUNTIFS('BA History S2'!$B:$B,$A$8,'BA History S2'!AB:AB, 1)</f>
        <v>0</v>
      </c>
      <c r="AJ8" s="2">
        <f>COUNTIFS('BA History S2'!$B:$B,$A$8,'BA History S2'!AC:AC, 1)</f>
        <v>0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0</v>
      </c>
    </row>
    <row r="9" spans="1:39" x14ac:dyDescent="0.25">
      <c r="A9" s="2" t="s">
        <v>50</v>
      </c>
      <c r="B9" s="2" t="s">
        <v>79</v>
      </c>
      <c r="C9" s="2"/>
      <c r="D9" s="2"/>
      <c r="E9" s="2"/>
      <c r="F9" s="34">
        <f>SUMIFS('BA History S2'!C:C,'BA History S2'!B:B,A9)</f>
        <v>40</v>
      </c>
      <c r="G9" s="66">
        <f>AVERAGEIFS('BA History S2'!C:C,'BA History S2'!B:B,A9)</f>
        <v>13.333333333333334</v>
      </c>
      <c r="H9" s="35">
        <f t="array" ref="H9">MAX(IF('BA History S2'!B:B=A9, 'BA History S2'!C:C))</f>
        <v>14</v>
      </c>
      <c r="I9" s="34">
        <f>COUNTIFS('BA History S2'!B:B,A9,'BA History S2'!D:D, 1)</f>
        <v>1</v>
      </c>
      <c r="J9" s="2">
        <f>COUNTIFS('BA History S2'!B:B,A9,'BA History S2'!D:D, 0)</f>
        <v>2</v>
      </c>
      <c r="K9" s="75">
        <f>LOOKUP(2, 1/('BA History S2'!$B:$B=A9), 'BA History S2'!$AJ:$AJ)</f>
        <v>0.33333333333333331</v>
      </c>
      <c r="L9" s="34">
        <f>SUMIFS('BA History S2'!F:F,'BA History S2'!B:B,A9)</f>
        <v>4</v>
      </c>
      <c r="M9" s="2">
        <f>SUMIFS('BA History S2'!E:E,'BA History S2'!B:B,A9)-L9</f>
        <v>8</v>
      </c>
      <c r="N9" s="75">
        <f>LOOKUP(2, 1/('BA History S2'!$B:$B=A9), 'BA History S2'!$AH:$AH)</f>
        <v>0.28333333333333333</v>
      </c>
      <c r="O9" s="34">
        <f>SUMIFS('BA History S2'!H:H,'BA History S2'!B:B,A9)</f>
        <v>20</v>
      </c>
      <c r="P9" s="2">
        <f>SUMIFS('BA History S2'!G:G,'BA History S2'!B:B,A9)-O9</f>
        <v>32</v>
      </c>
      <c r="Q9" s="89">
        <f>LOOKUP(2, 1/('BA History S2'!$B:$B=A9), 'BA History S2'!$AI:$AI)</f>
        <v>0.33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1</v>
      </c>
      <c r="U9" s="2">
        <f>COUNTIFS('BA History S2'!$B:$B,$A$9,'BA History S2'!N:N, 1)</f>
        <v>1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0</v>
      </c>
      <c r="AD9" s="2">
        <f>COUNTIFS('BA History S2'!$B:$B,$A$9,'BA History S2'!W:W, 1)</f>
        <v>1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1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</row>
    <row r="10" spans="1:39" x14ac:dyDescent="0.25">
      <c r="A10" s="2" t="s">
        <v>52</v>
      </c>
      <c r="B10" s="2" t="s">
        <v>79</v>
      </c>
      <c r="C10" s="2">
        <v>1</v>
      </c>
      <c r="D10" s="2"/>
      <c r="E10" s="2"/>
      <c r="F10" s="34">
        <f>SUMIFS('BA History S2'!C:C,'BA History S2'!B:B,A10)</f>
        <v>27</v>
      </c>
      <c r="G10" s="66">
        <f>AVERAGEIFS('BA History S2'!C:C,'BA History S2'!B:B,A10)</f>
        <v>13.5</v>
      </c>
      <c r="H10" s="35">
        <f t="array" ref="H10">MAX(IF('BA History S2'!B:B=A10, 'BA History S2'!C:C))</f>
        <v>17</v>
      </c>
      <c r="I10" s="34">
        <f>COUNTIFS('BA History S2'!B:B,A10,'BA History S2'!D:D, 1)</f>
        <v>0</v>
      </c>
      <c r="J10" s="2">
        <f>COUNTIFS('BA History S2'!B:B,A10,'BA History S2'!D:D, 0)</f>
        <v>2</v>
      </c>
      <c r="K10" s="75">
        <f>LOOKUP(2, 1/('BA History S2'!$B:$B=A10), 'BA History S2'!$AJ:$AJ)</f>
        <v>0</v>
      </c>
      <c r="L10" s="34">
        <f>SUMIFS('BA History S2'!F:F,'BA History S2'!B:B,A10)</f>
        <v>3</v>
      </c>
      <c r="M10" s="2">
        <f>SUMIFS('BA History S2'!E:E,'BA History S2'!B:B,A10)-L10</f>
        <v>6</v>
      </c>
      <c r="N10" s="75">
        <f>LOOKUP(2, 1/('BA History S2'!$B:$B=A10), 'BA History S2'!$AH:$AH)</f>
        <v>0.32500000000000001</v>
      </c>
      <c r="O10" s="34">
        <f>SUMIFS('BA History S2'!H:H,'BA History S2'!B:B,A10)</f>
        <v>17</v>
      </c>
      <c r="P10" s="2">
        <f>SUMIFS('BA History S2'!G:G,'BA History S2'!B:B,A10)-O10</f>
        <v>21</v>
      </c>
      <c r="Q10" s="89">
        <f>LOOKUP(2, 1/('BA History S2'!$B:$B=A10), 'BA History S2'!$AI:$AI)</f>
        <v>0.44499999999999995</v>
      </c>
      <c r="R10" s="2">
        <f>COUNTIFS('BA History S2'!$B:$B,$A$10,'BA History S2'!K:K, 1)</f>
        <v>0</v>
      </c>
      <c r="S10" s="2">
        <f>COUNTIFS('BA History S2'!$B:$B,$A$10,'BA History S2'!L:L, 1)</f>
        <v>0</v>
      </c>
      <c r="T10" s="2">
        <f>COUNTIFS('BA History S2'!$B:$B,$A$10,'BA History S2'!M:M, 1)</f>
        <v>0</v>
      </c>
      <c r="U10" s="2">
        <f>COUNTIFS('BA History S2'!$B:$B,$A$10,'BA History S2'!N:N, 1)</f>
        <v>1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0</v>
      </c>
      <c r="AD10" s="2">
        <f>COUNTIFS('BA History S2'!$B:$B,$A$10,'BA History S2'!W:W, 1)</f>
        <v>0</v>
      </c>
      <c r="AE10" s="2">
        <f>COUNTIFS('BA History S2'!$B:$B,$A$10,'BA History S2'!X:X, 1)</f>
        <v>0</v>
      </c>
      <c r="AF10" s="2">
        <f>COUNTIFS('BA History S2'!$B:$B,$A$10,'BA History S2'!Y:Y, 1)</f>
        <v>0</v>
      </c>
      <c r="AG10" s="2">
        <f>COUNTIFS('BA History S2'!$B:$B,$A$10,'BA History S2'!Z:Z, 1)</f>
        <v>1</v>
      </c>
      <c r="AH10" s="2">
        <f>COUNTIFS('BA History S2'!$B:$B,$A$10,'BA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1</v>
      </c>
      <c r="AK10" s="2">
        <f>COUNTIFS('BA History S2'!$B:$B,$A$10,'BA History S2'!AD:AD, 1)</f>
        <v>0</v>
      </c>
      <c r="AL10" s="2">
        <f>COUNTIFS('BA History S2'!$B:$B,$A$10,'BA History S2'!AE:AE, 1)</f>
        <v>0</v>
      </c>
      <c r="AM10" s="2">
        <f>COUNTIFS('BA History S2'!$B:$B,$A$10,'BA History S2'!AF:AF, 1)</f>
        <v>0</v>
      </c>
    </row>
    <row r="11" spans="1:39" x14ac:dyDescent="0.25">
      <c r="A11" s="2" t="s">
        <v>44</v>
      </c>
      <c r="B11" s="2" t="s">
        <v>79</v>
      </c>
      <c r="C11" s="2">
        <v>1</v>
      </c>
      <c r="D11" s="2"/>
      <c r="E11" s="2"/>
      <c r="F11" s="34">
        <f>SUMIFS('BA History S2'!C:C,'BA History S2'!B:B,A11)</f>
        <v>184</v>
      </c>
      <c r="G11" s="66">
        <f>AVERAGEIFS('BA History S2'!C:C,'BA History S2'!B:B,A11)</f>
        <v>15.333333333333334</v>
      </c>
      <c r="H11" s="35">
        <f t="array" ref="H11">MAX(IF('BA History S2'!B:B=A11, 'BA History S2'!C:C))</f>
        <v>28</v>
      </c>
      <c r="I11" s="34">
        <f>COUNTIFS('BA History S2'!B:B,A11,'BA History S2'!D:D, 1)</f>
        <v>8</v>
      </c>
      <c r="J11" s="2">
        <f>COUNTIFS('BA History S2'!B:B,A11,'BA History S2'!D:D, 0)</f>
        <v>4</v>
      </c>
      <c r="K11" s="75">
        <f>LOOKUP(2, 1/('BA History S2'!$B:$B=A11), 'BA History S2'!$AJ:$AJ)</f>
        <v>0.66666666666666663</v>
      </c>
      <c r="L11" s="34">
        <f>SUMIFS('BA History S2'!F:F,'BA History S2'!B:B,A11)</f>
        <v>27</v>
      </c>
      <c r="M11" s="2">
        <f>SUMIFS('BA History S2'!E:E,'BA History S2'!B:B,A11)-L11</f>
        <v>20</v>
      </c>
      <c r="N11" s="75">
        <f>LOOKUP(2, 1/('BA History S2'!$B:$B=A11), 'BA History S2'!$AH:$AH)</f>
        <v>0.57916666666666672</v>
      </c>
      <c r="O11" s="34">
        <f>SUMIFS('BA History S2'!H:H,'BA History S2'!B:B,A11)</f>
        <v>106</v>
      </c>
      <c r="P11" s="2">
        <f>SUMIFS('BA History S2'!G:G,'BA History S2'!B:B,A11)-O11</f>
        <v>89</v>
      </c>
      <c r="Q11" s="89">
        <f>LOOKUP(2, 1/('BA History S2'!$B:$B=A11), 'BA History S2'!$AI:$AI)</f>
        <v>0.56499999999999995</v>
      </c>
      <c r="R11" s="2">
        <f>COUNTIFS('BA History S2'!$B:$B,$A$11,'BA History S2'!K:K, 1)</f>
        <v>0</v>
      </c>
      <c r="S11" s="2">
        <f>COUNTIFS('BA History S2'!$B:$B,$A$11,'BA History S2'!L:L, 1)</f>
        <v>1</v>
      </c>
      <c r="T11" s="2">
        <f>COUNTIFS('BA History S2'!$B:$B,$A$11,'BA History S2'!M:M, 1)</f>
        <v>4</v>
      </c>
      <c r="U11" s="2">
        <f>COUNTIFS('BA History S2'!$B:$B,$A$11,'BA History S2'!N:N, 1)</f>
        <v>5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1</v>
      </c>
      <c r="Y11" s="2">
        <f>COUNTIFS('BA History S2'!$B:$B,$A$11,'BA History S2'!R:R, 1)</f>
        <v>1</v>
      </c>
      <c r="Z11" s="2">
        <f>COUNTIFS('BA History S2'!$B:$B,$A$11,'BA History S2'!S:S, 1)</f>
        <v>1</v>
      </c>
      <c r="AA11" s="2">
        <f>COUNTIFS('BA History S2'!$B:$B,$A$11,'BA History S2'!T:T, 1)</f>
        <v>0</v>
      </c>
      <c r="AB11" s="2">
        <f>COUNTIFS('BA History S2'!$B:$B,$A$11,'BA History S2'!U:U, 1)</f>
        <v>0</v>
      </c>
      <c r="AC11" s="2">
        <f>COUNTIFS('BA History S2'!$B:$B,$A$11,'BA History S2'!V:V, 1)</f>
        <v>0</v>
      </c>
      <c r="AD11" s="2">
        <f>COUNTIFS('BA History S2'!$B:$B,$A$11,'BA History S2'!W:W, 1)</f>
        <v>1</v>
      </c>
      <c r="AE11" s="2">
        <f>COUNTIFS('BA History S2'!$B:$B,$A$11,'BA History S2'!X:X, 1)</f>
        <v>0</v>
      </c>
      <c r="AF11" s="2">
        <f>COUNTIFS('BA History S2'!$B:$B,$A$11,'BA History S2'!Y:Y, 1)</f>
        <v>1</v>
      </c>
      <c r="AG11" s="2">
        <f>COUNTIFS('BA History S2'!$B:$B,$A$11,'BA History S2'!Z:Z, 1)</f>
        <v>2</v>
      </c>
      <c r="AH11" s="2">
        <f>COUNTIFS('BA History S2'!$B:$B,$A$11,'BA History S2'!AA:AA, 1)</f>
        <v>0</v>
      </c>
      <c r="AI11" s="2">
        <f>COUNTIFS('BA History S2'!$B:$B,$A$11,'BA History S2'!AB:AB, 1)</f>
        <v>5</v>
      </c>
      <c r="AJ11" s="2">
        <f>COUNTIFS('BA History S2'!$B:$B,$A$11,'BA History S2'!AC:AC, 1)</f>
        <v>1</v>
      </c>
      <c r="AK11" s="2">
        <f>COUNTIFS('BA History S2'!$B:$B,$A$11,'BA History S2'!AD:AD, 1)</f>
        <v>1</v>
      </c>
      <c r="AL11" s="2">
        <f>COUNTIFS('BA History S2'!$B:$B,$A$11,'BA History S2'!AE:AE, 1)</f>
        <v>0</v>
      </c>
      <c r="AM11" s="2">
        <f>COUNTIFS('BA History S2'!$B:$B,$A$11,'BA History S2'!AF:AF, 1)</f>
        <v>3</v>
      </c>
    </row>
    <row r="12" spans="1:39" x14ac:dyDescent="0.25">
      <c r="A12" s="2" t="s">
        <v>170</v>
      </c>
      <c r="B12" s="2" t="s">
        <v>79</v>
      </c>
      <c r="C12" s="2"/>
      <c r="D12" s="2"/>
      <c r="E12" s="2"/>
      <c r="F12" s="34">
        <f>SUMIFS('BA History S2'!C:C,'BA History S2'!B:B,A12)</f>
        <v>20</v>
      </c>
      <c r="G12" s="66">
        <f>AVERAGEIFS('BA History S2'!C:C,'BA History S2'!B:B,A12)</f>
        <v>10</v>
      </c>
      <c r="H12" s="35">
        <f t="array" ref="H12">MAX(IF('BA History S2'!B:B=A12, 'BA History S2'!C:C))</f>
        <v>14</v>
      </c>
      <c r="I12" s="34">
        <f>COUNTIFS('BA History S2'!B:B,A12,'BA History S2'!D:D, 1)</f>
        <v>1</v>
      </c>
      <c r="J12" s="2">
        <f>COUNTIFS('BA History S2'!B:B,A12,'BA History S2'!D:D, 0)</f>
        <v>1</v>
      </c>
      <c r="K12" s="75">
        <f>LOOKUP(2, 1/('BA History S2'!$B:$B=A12), 'BA History S2'!$AJ:$AJ)</f>
        <v>0.5</v>
      </c>
      <c r="L12" s="34">
        <f>SUMIFS('BA History S2'!F:F,'BA History S2'!B:B,A12)</f>
        <v>4</v>
      </c>
      <c r="M12" s="2">
        <f>SUMIFS('BA History S2'!E:E,'BA History S2'!B:B,A12)-L12</f>
        <v>4</v>
      </c>
      <c r="N12" s="75">
        <f>LOOKUP(2, 1/('BA History S2'!$B:$B=A12), 'BA History S2'!$AH:$AH)</f>
        <v>0.5</v>
      </c>
      <c r="O12" s="34">
        <f>SUMIFS('BA History S2'!H:H,'BA History S2'!B:B,A12)</f>
        <v>17</v>
      </c>
      <c r="P12" s="2">
        <f>SUMIFS('BA History S2'!G:G,'BA History S2'!B:B,A12)-O12</f>
        <v>17</v>
      </c>
      <c r="Q12" s="89">
        <f>LOOKUP(2, 1/('BA History S2'!$B:$B=A12), 'BA History S2'!$AI:$AI)</f>
        <v>0.5</v>
      </c>
      <c r="R12" s="2">
        <f>COUNTIFS('BA History S2'!$B:$B,$A$12,'BA History S2'!K:K, 1)</f>
        <v>0</v>
      </c>
      <c r="S12" s="2">
        <f>COUNTIFS('BA History S2'!$B:$B,$A$12,'BA History S2'!L:L, 1)</f>
        <v>0</v>
      </c>
      <c r="T12" s="2">
        <f>COUNTIFS('BA History S2'!$B:$B,$A$12,'BA History S2'!M:M, 1)</f>
        <v>0</v>
      </c>
      <c r="U12" s="2">
        <f>COUNTIFS('BA History S2'!$B:$B,$A$12,'BA History S2'!N:N, 1)</f>
        <v>0</v>
      </c>
      <c r="V12" s="2">
        <f>COUNTIFS('BA History S2'!$B:$B,$A$12,'BA History S2'!O:O, 1)</f>
        <v>0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0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1</v>
      </c>
      <c r="AG12" s="2">
        <f>COUNTIFS('BA History S2'!$B:$B,$A$12,'BA History S2'!Z:Z, 1)</f>
        <v>1</v>
      </c>
      <c r="AH12" s="2">
        <f>COUNTIFS('BA History S2'!$B:$B,$A$12,'BA History S2'!AA:AA, 1)</f>
        <v>0</v>
      </c>
      <c r="AI12" s="2">
        <f>COUNTIFS('BA History S2'!$B:$B,$A$12,'BA History S2'!AB:AB, 1)</f>
        <v>2</v>
      </c>
      <c r="AJ12" s="2">
        <f>COUNTIFS('BA History S2'!$B:$B,$A$12,'BA History S2'!AC:AC, 1)</f>
        <v>0</v>
      </c>
      <c r="AK12" s="2">
        <f>COUNTIFS('BA History S2'!$B:$B,$A$12,'BA History S2'!AD:AD, 1)</f>
        <v>0</v>
      </c>
      <c r="AL12" s="2">
        <f>COUNTIFS('BA History S2'!$B:$B,$A$12,'BA History S2'!AE:AE, 1)</f>
        <v>0</v>
      </c>
      <c r="AM12" s="2">
        <f>COUNTIFS('BA History S2'!$B:$B,$A$12,'BA History S2'!AF:AF, 1)</f>
        <v>0</v>
      </c>
    </row>
    <row r="13" spans="1:39" x14ac:dyDescent="0.25">
      <c r="A13" s="2" t="s">
        <v>1</v>
      </c>
      <c r="B13" s="1" t="s">
        <v>160</v>
      </c>
      <c r="F13" s="34">
        <f>SUMIFS('BA History S2'!C:C,'BA History S2'!B:B,A13)</f>
        <v>199</v>
      </c>
      <c r="G13" s="66">
        <f>AVERAGEIFS('BA History S2'!C:C,'BA History S2'!B:B,A13)</f>
        <v>22.111111111111111</v>
      </c>
      <c r="H13" s="35">
        <f t="array" ref="H13">MAX(IF('BA History S2'!B:B=A13, 'BA History S2'!C:C))</f>
        <v>28</v>
      </c>
      <c r="I13" s="34">
        <f>COUNTIFS('BA History S2'!B:B,A13,'BA History S2'!D:D, 1)</f>
        <v>6</v>
      </c>
      <c r="J13" s="2">
        <f>COUNTIFS('BA History S2'!B:B,A13,'BA History S2'!D:D, 0)</f>
        <v>3</v>
      </c>
      <c r="K13" s="75">
        <f>LOOKUP(2, 1/('BA History S2'!$B:$B=A13), 'BA History S2'!$AJ:$AJ)</f>
        <v>0.66666666666666663</v>
      </c>
      <c r="L13" s="34">
        <f>SUMIFS('BA History S2'!F:F,'BA History S2'!B:B,A13)</f>
        <v>21</v>
      </c>
      <c r="M13" s="2">
        <f>SUMIFS('BA History S2'!E:E,'BA History S2'!B:B,A13)-L13</f>
        <v>13</v>
      </c>
      <c r="N13" s="75">
        <f>LOOKUP(2, 1/('BA History S2'!$B:$B=A13), 'BA History S2'!$AH:$AH)</f>
        <v>0.62777777777777777</v>
      </c>
      <c r="O13" s="34">
        <f>SUMIFS('BA History S2'!H:H,'BA History S2'!B:B,A13)</f>
        <v>78</v>
      </c>
      <c r="P13" s="2">
        <f>SUMIFS('BA History S2'!G:G,'BA History S2'!B:B,A13)-O13</f>
        <v>62</v>
      </c>
      <c r="Q13" s="89">
        <f>LOOKUP(2, 1/('BA History S2'!$B:$B=A13), 'BA History S2'!$AI:$AI)</f>
        <v>0.5888888888888888</v>
      </c>
      <c r="R13" s="2">
        <f>COUNTIFS('BA History S2'!$B:$B,$A$13,'BA History S2'!K:K, 1)</f>
        <v>2</v>
      </c>
      <c r="S13" s="2">
        <f>COUNTIFS('BA History S2'!$B:$B,$A$13,'BA History S2'!L:L, 1)</f>
        <v>2</v>
      </c>
      <c r="T13" s="2">
        <f>COUNTIFS('BA History S2'!$B:$B,$A$13,'BA History S2'!M:M, 1)</f>
        <v>1</v>
      </c>
      <c r="U13" s="2">
        <f>COUNTIFS('BA History S2'!$B:$B,$A$13,'BA History S2'!N:N, 1)</f>
        <v>2</v>
      </c>
      <c r="V13" s="2">
        <f>COUNTIFS('BA History S2'!$B:$B,$A$13,'BA History S2'!O:O, 1)</f>
        <v>0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1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1</v>
      </c>
      <c r="AC13" s="2">
        <f>COUNTIFS('BA History S2'!$B:$B,$A$13,'BA History S2'!V:V, 1)</f>
        <v>1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1</v>
      </c>
      <c r="AG13" s="2">
        <f>COUNTIFS('BA History S2'!$B:$B,$A$13,'BA History S2'!Z:Z, 1)</f>
        <v>2</v>
      </c>
      <c r="AH13" s="2">
        <f>COUNTIFS('BA History S2'!$B:$B,$A$13,'BA History S2'!AA:AA, 1)</f>
        <v>0</v>
      </c>
      <c r="AI13" s="2">
        <f>COUNTIFS('BA History S2'!$B:$B,$A$13,'BA History S2'!AB:AB, 1)</f>
        <v>2</v>
      </c>
      <c r="AJ13" s="2">
        <f>COUNTIFS('BA History S2'!$B:$B,$A$13,'BA History S2'!AC:AC, 1)</f>
        <v>1</v>
      </c>
      <c r="AK13" s="2">
        <f>COUNTIFS('BA History S2'!$B:$B,$A$13,'BA History S2'!AD:AD, 1)</f>
        <v>2</v>
      </c>
      <c r="AL13" s="2">
        <f>COUNTIFS('BA History S2'!$B:$B,$A$13,'BA History S2'!AE:AE, 1)</f>
        <v>0</v>
      </c>
      <c r="AM13" s="2">
        <f>COUNTIFS('BA History S2'!$B:$B,$A$13,'BA History S2'!AF:AF, 1)</f>
        <v>2</v>
      </c>
    </row>
    <row r="14" spans="1:39" ht="15.75" x14ac:dyDescent="0.25">
      <c r="A14" s="2" t="s">
        <v>150</v>
      </c>
      <c r="B14" s="95" t="s">
        <v>79</v>
      </c>
      <c r="C14" s="95">
        <v>1</v>
      </c>
      <c r="D14" s="95"/>
      <c r="E14" s="95"/>
      <c r="F14" s="34">
        <f>SUMIFS('BA History S2'!C:C,'BA History S2'!B:B,A14)</f>
        <v>186</v>
      </c>
      <c r="G14" s="66">
        <f>AVERAGEIFS('BA History S2'!C:C,'BA History S2'!B:B,A14)</f>
        <v>18.600000000000001</v>
      </c>
      <c r="H14" s="35">
        <f t="array" ref="H14">MAX(IF('BA History S2'!B:B=A14, 'BA History S2'!C:C))</f>
        <v>28</v>
      </c>
      <c r="I14" s="34">
        <f>COUNTIFS('BA History S2'!B:B,A14,'BA History S2'!D:D, 1)</f>
        <v>8</v>
      </c>
      <c r="J14" s="2">
        <f>COUNTIFS('BA History S2'!B:B,A14,'BA History S2'!D:D, 0)</f>
        <v>2</v>
      </c>
      <c r="K14" s="75">
        <f>LOOKUP(2, 1/('BA History S2'!$B:$B=A14), 'BA History S2'!$AJ:$AJ)</f>
        <v>0.8</v>
      </c>
      <c r="L14" s="34">
        <f>SUMIFS('BA History S2'!F:F,'BA History S2'!B:B,A14)</f>
        <v>27</v>
      </c>
      <c r="M14" s="2">
        <f>SUMIFS('BA History S2'!E:E,'BA History S2'!B:B,A14)-L14</f>
        <v>11</v>
      </c>
      <c r="N14" s="75">
        <f>LOOKUP(2, 1/('BA History S2'!$B:$B=A14), 'BA History S2'!$AH:$AH)</f>
        <v>0.74</v>
      </c>
      <c r="O14" s="34">
        <f>SUMIFS('BA History S2'!H:H,'BA History S2'!B:B,A14)</f>
        <v>95</v>
      </c>
      <c r="P14" s="2">
        <f>SUMIFS('BA History S2'!G:G,'BA History S2'!B:B,A14)-O14</f>
        <v>58</v>
      </c>
      <c r="Q14" s="89">
        <f>LOOKUP(2, 1/('BA History S2'!$B:$B=A14), 'BA History S2'!$AI:$AI)</f>
        <v>0.65199999999999991</v>
      </c>
      <c r="R14" s="2">
        <f>COUNTIFS('BA History S2'!$B:$B,$A$14,'BA History S2'!K:K, 1)</f>
        <v>0</v>
      </c>
      <c r="S14" s="2">
        <f>COUNTIFS('BA History S2'!$B:$B,$A$14,'BA History S2'!L:L, 1)</f>
        <v>1</v>
      </c>
      <c r="T14" s="2">
        <f>COUNTIFS('BA History S2'!$B:$B,$A$14,'BA History S2'!M:M, 1)</f>
        <v>3</v>
      </c>
      <c r="U14" s="2">
        <f>COUNTIFS('BA History S2'!$B:$B,$A$14,'BA History S2'!N:N, 1)</f>
        <v>5</v>
      </c>
      <c r="V14" s="2">
        <f>COUNTIFS('BA History S2'!$B:$B,$A$14,'BA History S2'!O:O, 1)</f>
        <v>0</v>
      </c>
      <c r="W14" s="2">
        <f>COUNTIFS('BA History S2'!$B:$B,$A$14,'BA History S2'!P:P, 1)</f>
        <v>0</v>
      </c>
      <c r="X14" s="2">
        <f>COUNTIFS('BA History S2'!$B:$B,$A$14,'BA History S2'!Q:Q, 1)</f>
        <v>1</v>
      </c>
      <c r="Y14" s="2">
        <f>COUNTIFS('BA History S2'!$B:$B,$A$14,'BA History S2'!R:R, 1)</f>
        <v>0</v>
      </c>
      <c r="Z14" s="2">
        <f>COUNTIFS('BA History S2'!$B:$B,$A$14,'BA History S2'!S:S, 1)</f>
        <v>1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0</v>
      </c>
      <c r="AD14" s="2">
        <f>COUNTIFS('BA History S2'!$B:$B,$A$14,'BA History S2'!W:W, 1)</f>
        <v>0</v>
      </c>
      <c r="AE14" s="2">
        <f>COUNTIFS('BA History S2'!$B:$B,$A$14,'BA History S2'!X:X, 1)</f>
        <v>0</v>
      </c>
      <c r="AF14" s="2">
        <f>COUNTIFS('BA History S2'!$B:$B,$A$14,'BA History S2'!Y:Y, 1)</f>
        <v>2</v>
      </c>
      <c r="AG14" s="2">
        <f>COUNTIFS('BA History S2'!$B:$B,$A$14,'BA History S2'!Z:Z, 1)</f>
        <v>5</v>
      </c>
      <c r="AH14" s="2">
        <f>COUNTIFS('BA History S2'!$B:$B,$A$14,'BA History S2'!AA:AA, 1)</f>
        <v>0</v>
      </c>
      <c r="AI14" s="2">
        <f>COUNTIFS('BA History S2'!$B:$B,$A$14,'BA History S2'!AB:AB, 1)</f>
        <v>4</v>
      </c>
      <c r="AJ14" s="2">
        <f>COUNTIFS('BA History S2'!$B:$B,$A$14,'BA History S2'!AC:AC, 1)</f>
        <v>1</v>
      </c>
      <c r="AK14" s="2">
        <f>COUNTIFS('BA History S2'!$B:$B,$A$14,'BA History S2'!AD:AD, 1)</f>
        <v>2</v>
      </c>
      <c r="AL14" s="2">
        <f>COUNTIFS('BA History S2'!$B:$B,$A$14,'BA History S2'!AE:AE, 1)</f>
        <v>0</v>
      </c>
      <c r="AM14" s="2">
        <f>COUNTIFS('BA History S2'!$B:$B,$A$14,'BA History S2'!AF:AF, 1)</f>
        <v>2</v>
      </c>
    </row>
    <row r="15" spans="1:39" x14ac:dyDescent="0.25">
      <c r="A15" s="2" t="s">
        <v>46</v>
      </c>
      <c r="B15" s="1" t="s">
        <v>160</v>
      </c>
      <c r="F15" s="34">
        <f>SUMIFS('BA History S2'!C:C,'BA History S2'!B:B,A15)</f>
        <v>96</v>
      </c>
      <c r="G15" s="66">
        <f>AVERAGEIFS('BA History S2'!C:C,'BA History S2'!B:B,A15)</f>
        <v>16</v>
      </c>
      <c r="H15" s="35">
        <f t="array" ref="H15">MAX(IF('BA History S2'!B:B=A15, 'BA History S2'!C:C))</f>
        <v>34</v>
      </c>
      <c r="I15" s="34">
        <f>COUNTIFS('BA History S2'!B:B,A15,'BA History S2'!D:D, 1)</f>
        <v>1</v>
      </c>
      <c r="J15" s="2">
        <f>COUNTIFS('BA History S2'!B:B,A15,'BA History S2'!D:D, 0)</f>
        <v>5</v>
      </c>
      <c r="K15" s="75">
        <f>LOOKUP(2, 1/('BA History S2'!$B:$B=A15), 'BA History S2'!$AJ:$AJ)</f>
        <v>0.16666666666666666</v>
      </c>
      <c r="L15" s="34">
        <f>SUMIFS('BA History S2'!F:F,'BA History S2'!B:B,A15)</f>
        <v>8</v>
      </c>
      <c r="M15" s="2">
        <f>SUMIFS('BA History S2'!E:E,'BA History S2'!B:B,A15)-L15</f>
        <v>17</v>
      </c>
      <c r="N15" s="75">
        <f>LOOKUP(2, 1/('BA History S2'!$B:$B=A15), 'BA History S2'!$AH:$AH)</f>
        <v>0.27499999999999997</v>
      </c>
      <c r="O15" s="34">
        <f>SUMIFS('BA History S2'!H:H,'BA History S2'!B:B,A15)</f>
        <v>41</v>
      </c>
      <c r="P15" s="2">
        <f>SUMIFS('BA History S2'!G:G,'BA History S2'!B:B,A15)-O15</f>
        <v>62</v>
      </c>
      <c r="Q15" s="89">
        <f>LOOKUP(2, 1/('BA History S2'!$B:$B=A15), 'BA History S2'!$AI:$AI)</f>
        <v>0.35499999999999998</v>
      </c>
      <c r="R15" s="2">
        <f>COUNTIFS('BA History S2'!$B:$B,$A$15,'BA History S2'!K:K, 1)</f>
        <v>1</v>
      </c>
      <c r="S15" s="2">
        <f>COUNTIFS('BA History S2'!$B:$B,$A$15,'BA History S2'!L:L, 1)</f>
        <v>2</v>
      </c>
      <c r="T15" s="2">
        <f>COUNTIFS('BA History S2'!$B:$B,$A$15,'BA History S2'!M:M, 1)</f>
        <v>0</v>
      </c>
      <c r="U15" s="2">
        <f>COUNTIFS('BA History S2'!$B:$B,$A$15,'BA History S2'!N:N, 1)</f>
        <v>1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1</v>
      </c>
      <c r="AE15" s="2">
        <f>COUNTIFS('BA History S2'!$B:$B,$A$15,'BA History S2'!X:X, 1)</f>
        <v>0</v>
      </c>
      <c r="AF15" s="2">
        <f>COUNTIFS('BA History S2'!$B:$B,$A$15,'BA History S2'!Y:Y, 1)</f>
        <v>1</v>
      </c>
      <c r="AG15" s="2">
        <f>COUNTIFS('BA History S2'!$B:$B,$A$15,'BA History S2'!Z:Z, 1)</f>
        <v>0</v>
      </c>
      <c r="AH15" s="2">
        <f>COUNTIFS('BA History S2'!$B:$B,$A$15,'BA History S2'!AA:AA, 1)</f>
        <v>0</v>
      </c>
      <c r="AI15" s="2">
        <f>COUNTIFS('BA History S2'!$B:$B,$A$15,'BA History S2'!AB:AB, 1)</f>
        <v>1</v>
      </c>
      <c r="AJ15" s="2">
        <f>COUNTIFS('BA History S2'!$B:$B,$A$15,'BA History S2'!AC:AC, 1)</f>
        <v>0</v>
      </c>
      <c r="AK15" s="2">
        <f>COUNTIFS('BA History S2'!$B:$B,$A$15,'BA History S2'!AD:AD, 1)</f>
        <v>0</v>
      </c>
      <c r="AL15" s="2">
        <f>COUNTIFS('BA History S2'!$B:$B,$A$15,'BA History S2'!AE:AE, 1)</f>
        <v>0</v>
      </c>
      <c r="AM15" s="2">
        <f>COUNTIFS('BA History S2'!$B:$B,$A$15,'BA History S2'!AF:AF, 1)</f>
        <v>1</v>
      </c>
    </row>
    <row r="16" spans="1:39" x14ac:dyDescent="0.25">
      <c r="A16" s="2" t="s">
        <v>28</v>
      </c>
      <c r="B16" s="1" t="s">
        <v>79</v>
      </c>
      <c r="F16" s="34">
        <f>SUMIFS('BA History S2'!C:C,'BA History S2'!B:B,A16)</f>
        <v>9</v>
      </c>
      <c r="G16" s="66">
        <f>AVERAGEIFS('BA History S2'!C:C,'BA History S2'!B:B,A16)</f>
        <v>9</v>
      </c>
      <c r="H16" s="35">
        <f t="array" ref="H16">MAX(IF('BA History S2'!B:B=A16, 'BA History S2'!C:C))</f>
        <v>9</v>
      </c>
      <c r="I16" s="34">
        <f>COUNTIFS('BA History S2'!B:B,A16,'BA History S2'!D:D, 1)</f>
        <v>0</v>
      </c>
      <c r="J16" s="2">
        <f>COUNTIFS('BA History S2'!B:B,A16,'BA History S2'!D:D, 0)</f>
        <v>1</v>
      </c>
      <c r="K16" s="75">
        <f>LOOKUP(2, 1/('BA History S2'!$B:$B=A16), 'BA History S2'!$AJ:$AJ)</f>
        <v>0</v>
      </c>
      <c r="L16" s="34">
        <f>SUMIFS('BA History S2'!F:F,'BA History S2'!B:B,A16)</f>
        <v>0</v>
      </c>
      <c r="M16" s="2">
        <f>SUMIFS('BA History S2'!E:E,'BA History S2'!B:B,A16)-L16</f>
        <v>3</v>
      </c>
      <c r="N16" s="75">
        <f>LOOKUP(2, 1/('BA History S2'!$B:$B=A16), 'BA History S2'!$AH:$AH)</f>
        <v>0</v>
      </c>
      <c r="O16" s="34">
        <f>SUMIFS('BA History S2'!H:H,'BA History S2'!B:B,A16)</f>
        <v>1</v>
      </c>
      <c r="P16" s="2">
        <f>SUMIFS('BA History S2'!G:G,'BA History S2'!B:B,A16)-O16</f>
        <v>9</v>
      </c>
      <c r="Q16" s="89">
        <f>LOOKUP(2, 1/('BA History S2'!$B:$B=A16), 'BA History S2'!$AI:$AI)</f>
        <v>0.1</v>
      </c>
      <c r="R16" s="2">
        <f>COUNTIFS('BA History S2'!$B:$B,$A$16,'BA History S2'!K:K, 1)</f>
        <v>0</v>
      </c>
      <c r="S16" s="2">
        <f>COUNTIFS('BA History S2'!$B:$B,$A$16,'BA History S2'!L:L, 1)</f>
        <v>0</v>
      </c>
      <c r="T16" s="2">
        <f>COUNTIFS('BA History S2'!$B:$B,$A$16,'BA History S2'!M:M, 1)</f>
        <v>0</v>
      </c>
      <c r="U16" s="2">
        <f>COUNTIFS('BA History S2'!$B:$B,$A$16,'BA History S2'!N:N, 1)</f>
        <v>0</v>
      </c>
      <c r="V16" s="2">
        <f>COUNTIFS('BA History S2'!$B:$B,$A$16,'BA History S2'!O:O, 1)</f>
        <v>0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0</v>
      </c>
      <c r="Z16" s="2">
        <f>COUNTIFS('BA History S2'!$B:$B,$A$16,'BA History S2'!S:S, 1)</f>
        <v>0</v>
      </c>
      <c r="AA16" s="2">
        <f>COUNTIFS('BA History S2'!$B:$B,$A$16,'BA History S2'!T:T, 1)</f>
        <v>0</v>
      </c>
      <c r="AB16" s="2">
        <f>COUNTIFS('BA History S2'!$B:$B,$A$16,'BA History S2'!U:U, 1)</f>
        <v>0</v>
      </c>
      <c r="AC16" s="2">
        <f>COUNTIFS('BA History S2'!$B:$B,$A$16,'BA History S2'!V:V, 1)</f>
        <v>0</v>
      </c>
      <c r="AD16" s="2">
        <f>COUNTIFS('BA History S2'!$B:$B,$A$16,'BA History S2'!W:W, 1)</f>
        <v>0</v>
      </c>
      <c r="AE16" s="2">
        <f>COUNTIFS('BA History S2'!$B:$B,$A$16,'BA History S2'!X:X, 1)</f>
        <v>0</v>
      </c>
      <c r="AF16" s="2">
        <f>COUNTIFS('BA History S2'!$B:$B,$A$16,'BA History S2'!Y:Y, 1)</f>
        <v>0</v>
      </c>
      <c r="AG16" s="2">
        <f>COUNTIFS('BA History S2'!$B:$B,$A$16,'BA History S2'!Z:Z, 1)</f>
        <v>0</v>
      </c>
      <c r="AH16" s="2">
        <f>COUNTIFS('BA History S2'!$B:$B,$A$16,'BA History S2'!AA:AA, 1)</f>
        <v>0</v>
      </c>
      <c r="AI16" s="2">
        <f>COUNTIFS('BA History S2'!$B:$B,$A$16,'BA History S2'!AB:AB, 1)</f>
        <v>0</v>
      </c>
      <c r="AJ16" s="2">
        <f>COUNTIFS('BA History S2'!$B:$B,$A$16,'BA History S2'!AC:AC, 1)</f>
        <v>0</v>
      </c>
      <c r="AK16" s="2">
        <f>COUNTIFS('BA History S2'!$B:$B,$A$16,'BA History S2'!AD:AD, 1)</f>
        <v>0</v>
      </c>
      <c r="AL16" s="2">
        <f>COUNTIFS('BA History S2'!$B:$B,$A$16,'BA History S2'!AE:AE, 1)</f>
        <v>0</v>
      </c>
      <c r="AM16" s="2">
        <f>COUNTIFS('BA History S2'!$B:$B,$A$16,'BA History S2'!AF:AF, 1)</f>
        <v>0</v>
      </c>
    </row>
    <row r="17" spans="1:39" x14ac:dyDescent="0.25">
      <c r="A17" s="2" t="s">
        <v>53</v>
      </c>
      <c r="B17" s="2" t="s">
        <v>79</v>
      </c>
      <c r="C17" s="2">
        <v>1</v>
      </c>
      <c r="D17" s="2"/>
      <c r="E17" s="2"/>
      <c r="F17" s="34">
        <f>SUMIFS('BA History S2'!C:C,'BA History S2'!B:B,A17)</f>
        <v>127</v>
      </c>
      <c r="G17" s="66">
        <f>AVERAGEIFS('BA History S2'!C:C,'BA History S2'!B:B,A17)</f>
        <v>12.7</v>
      </c>
      <c r="H17" s="35">
        <f t="array" ref="H17">MAX(IF('BA History S2'!B:B=A17, 'BA History S2'!C:C))</f>
        <v>27</v>
      </c>
      <c r="I17" s="34">
        <f>COUNTIFS('BA History S2'!B:B,A17,'BA History S2'!D:D, 1)</f>
        <v>2</v>
      </c>
      <c r="J17" s="2">
        <f>COUNTIFS('BA History S2'!B:B,A17,'BA History S2'!D:D, 0)</f>
        <v>8</v>
      </c>
      <c r="K17" s="75">
        <f>LOOKUP(2, 1/('BA History S2'!$B:$B=A17), 'BA History S2'!$AJ:$AJ)</f>
        <v>0.2</v>
      </c>
      <c r="L17" s="34">
        <f>SUMIFS('BA History S2'!F:F,'BA History S2'!B:B,A17)</f>
        <v>16</v>
      </c>
      <c r="M17" s="2">
        <f>SUMIFS('BA History S2'!E:E,'BA History S2'!B:B,A17)-L17</f>
        <v>24</v>
      </c>
      <c r="N17" s="75">
        <f>LOOKUP(2, 1/('BA History S2'!$B:$B=A17), 'BA History S2'!$AH:$AH)</f>
        <v>0.41999999999999993</v>
      </c>
      <c r="O17" s="34">
        <f>SUMIFS('BA History S2'!H:H,'BA History S2'!B:B,A17)</f>
        <v>75</v>
      </c>
      <c r="P17" s="2">
        <f>SUMIFS('BA History S2'!G:G,'BA History S2'!B:B,A17)-O17</f>
        <v>91</v>
      </c>
      <c r="Q17" s="89">
        <f>LOOKUP(2, 1/('BA History S2'!$B:$B=A17), 'BA History S2'!$AI:$AI)</f>
        <v>0.45800000000000002</v>
      </c>
      <c r="R17" s="2">
        <f>COUNTIFS('BA History S2'!$B:$B,$A$17,'BA History S2'!K:K, 1)</f>
        <v>1</v>
      </c>
      <c r="S17" s="2">
        <f>COUNTIFS('BA History S2'!$B:$B,$A$17,'BA History S2'!L:L, 1)</f>
        <v>3</v>
      </c>
      <c r="T17" s="2">
        <f>COUNTIFS('BA History S2'!$B:$B,$A$17,'BA History S2'!M:M, 1)</f>
        <v>0</v>
      </c>
      <c r="U17" s="2">
        <f>COUNTIFS('BA History S2'!$B:$B,$A$17,'BA History S2'!N:N, 1)</f>
        <v>2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3</v>
      </c>
      <c r="AH17" s="2">
        <f>COUNTIFS('BA History S2'!$B:$B,$A$17,'BA History S2'!AA:AA, 1)</f>
        <v>0</v>
      </c>
      <c r="AI17" s="2">
        <f>COUNTIFS('BA History S2'!$B:$B,$A$17,'BA History S2'!AB:AB, 1)</f>
        <v>2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2</v>
      </c>
    </row>
    <row r="18" spans="1:39" x14ac:dyDescent="0.25">
      <c r="A18" s="2" t="s">
        <v>148</v>
      </c>
      <c r="B18" s="2" t="s">
        <v>79</v>
      </c>
      <c r="C18" s="2"/>
      <c r="D18" s="2"/>
      <c r="E18" s="2"/>
      <c r="F18" s="34">
        <f>SUMIFS('BA History S2'!C:C,'BA History S2'!B:B,A18)</f>
        <v>2</v>
      </c>
      <c r="G18" s="66">
        <f>AVERAGEIFS('BA History S2'!C:C,'BA History S2'!B:B,A18)</f>
        <v>2</v>
      </c>
      <c r="H18" s="35">
        <f t="array" ref="H18">MAX(IF('BA History S2'!B:B=A18, 'BA History S2'!C:C))</f>
        <v>2</v>
      </c>
      <c r="I18" s="34">
        <f>COUNTIFS('BA History S2'!B:B,A18,'BA History S2'!D:D, 1)</f>
        <v>1</v>
      </c>
      <c r="J18" s="2">
        <f>COUNTIFS('BA History S2'!B:B,A18,'BA History S2'!D:D, 0)</f>
        <v>0</v>
      </c>
      <c r="K18" s="75">
        <f>LOOKUP(2, 1/('BA History S2'!$B:$B=A18), 'BA History S2'!$AJ:$AJ)</f>
        <v>1</v>
      </c>
      <c r="L18" s="34">
        <f>SUMIFS('BA History S2'!F:F,'BA History S2'!B:B,A18)</f>
        <v>3</v>
      </c>
      <c r="M18" s="2">
        <f>SUMIFS('BA History S2'!E:E,'BA History S2'!B:B,A18)-L18</f>
        <v>2</v>
      </c>
      <c r="N18" s="75">
        <f>LOOKUP(2, 1/('BA History S2'!$B:$B=A18), 'BA History S2'!$AH:$AH)</f>
        <v>0.6</v>
      </c>
      <c r="O18" s="34">
        <f>SUMIFS('BA History S2'!H:H,'BA History S2'!B:B,A18)</f>
        <v>10</v>
      </c>
      <c r="P18" s="2">
        <f>SUMIFS('BA History S2'!G:G,'BA History S2'!B:B,A18)-O18</f>
        <v>9</v>
      </c>
      <c r="Q18" s="89">
        <f>LOOKUP(2, 1/('BA History S2'!$B:$B=A18), 'BA History S2'!$AI:$AI)</f>
        <v>0.53</v>
      </c>
      <c r="R18" s="2">
        <f>COUNTIFS('BA History S2'!$B:$B,$A$18,'BA History S2'!K:K, 1)</f>
        <v>0</v>
      </c>
      <c r="S18" s="2">
        <f>COUNTIFS('BA History S2'!$B:$B,$A$18,'BA History S2'!L:L, 1)</f>
        <v>1</v>
      </c>
      <c r="T18" s="2">
        <f>COUNTIFS('BA History S2'!$B:$B,$A$18,'BA History S2'!M:M, 1)</f>
        <v>0</v>
      </c>
      <c r="U18" s="2">
        <f>COUNTIFS('BA History S2'!$B:$B,$A$18,'BA History S2'!N:N, 1)</f>
        <v>1</v>
      </c>
      <c r="V18" s="2">
        <f>COUNTIFS('BA History S2'!$B:$B,$A$18,'BA History S2'!O:O, 1)</f>
        <v>0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0</v>
      </c>
      <c r="Z18" s="2">
        <f>COUNTIFS('BA History S2'!$B:$B,$A$18,'BA History S2'!S:S, 1)</f>
        <v>0</v>
      </c>
      <c r="AA18" s="2">
        <f>COUNTIFS('BA History S2'!$B:$B,$A$18,'BA History S2'!T:T, 1)</f>
        <v>0</v>
      </c>
      <c r="AB18" s="2">
        <f>COUNTIFS('BA History S2'!$B:$B,$A$18,'BA History S2'!U:U, 1)</f>
        <v>0</v>
      </c>
      <c r="AC18" s="2">
        <f>COUNTIFS('BA History S2'!$B:$B,$A$18,'BA History S2'!V:V, 1)</f>
        <v>0</v>
      </c>
      <c r="AD18" s="2">
        <f>COUNTIFS('BA History S2'!$B:$B,$A$18,'BA History S2'!W:W, 1)</f>
        <v>0</v>
      </c>
      <c r="AE18" s="2">
        <f>COUNTIFS('BA History S2'!$B:$B,$A$18,'BA History S2'!X:X, 1)</f>
        <v>0</v>
      </c>
      <c r="AF18" s="2">
        <f>COUNTIFS('BA History S2'!$B:$B,$A$18,'BA History S2'!Y:Y, 1)</f>
        <v>0</v>
      </c>
      <c r="AG18" s="2">
        <f>COUNTIFS('BA History S2'!$B:$B,$A$18,'BA History S2'!Z:Z, 1)</f>
        <v>0</v>
      </c>
      <c r="AH18" s="2">
        <f>COUNTIFS('BA History S2'!$B:$B,$A$18,'BA History S2'!AA:AA, 1)</f>
        <v>0</v>
      </c>
      <c r="AI18" s="2">
        <f>COUNTIFS('BA History S2'!$B:$B,$A$18,'BA History S2'!AB:AB, 1)</f>
        <v>1</v>
      </c>
      <c r="AJ18" s="2">
        <f>COUNTIFS('BA History S2'!$B:$B,$A$18,'BA History S2'!AC:AC, 1)</f>
        <v>0</v>
      </c>
      <c r="AK18" s="2">
        <f>COUNTIFS('BA History S2'!$B:$B,$A$18,'BA History S2'!AD:AD, 1)</f>
        <v>0</v>
      </c>
      <c r="AL18" s="2">
        <f>COUNTIFS('BA History S2'!$B:$B,$A$18,'BA History S2'!AE:AE, 1)</f>
        <v>0</v>
      </c>
      <c r="AM18" s="2">
        <f>COUNTIFS('BA History S2'!$B:$B,$A$18,'BA History S2'!AF:AF, 1)</f>
        <v>0</v>
      </c>
    </row>
    <row r="19" spans="1:39" x14ac:dyDescent="0.25">
      <c r="A19" s="2" t="s">
        <v>163</v>
      </c>
      <c r="B19" s="2" t="s">
        <v>79</v>
      </c>
      <c r="C19" s="2"/>
      <c r="D19" s="2"/>
      <c r="E19" s="2"/>
      <c r="F19" s="34">
        <f>SUMIFS('BA History S2'!C:C,'BA History S2'!B:B,A19)</f>
        <v>25</v>
      </c>
      <c r="G19" s="66">
        <f>AVERAGEIFS('BA History S2'!C:C,'BA History S2'!B:B,A19)</f>
        <v>5</v>
      </c>
      <c r="H19" s="35">
        <f t="array" ref="H19">MAX(IF('BA History S2'!B:B=A19, 'BA History S2'!C:C))</f>
        <v>10</v>
      </c>
      <c r="I19" s="34">
        <f>COUNTIFS('BA History S2'!B:B,A19,'BA History S2'!D:D, 1)</f>
        <v>4</v>
      </c>
      <c r="J19" s="2">
        <f>COUNTIFS('BA History S2'!B:B,A19,'BA History S2'!D:D, 0)</f>
        <v>1</v>
      </c>
      <c r="K19" s="75">
        <f>LOOKUP(2, 1/('BA History S2'!$B:$B=A19), 'BA History S2'!$AJ:$AJ)</f>
        <v>0.8</v>
      </c>
      <c r="L19" s="34">
        <f>SUMIFS('BA History S2'!F:F,'BA History S2'!B:B,A19)</f>
        <v>13</v>
      </c>
      <c r="M19" s="2">
        <f>SUMIFS('BA History S2'!E:E,'BA History S2'!B:B,A19)-L19</f>
        <v>6</v>
      </c>
      <c r="N19" s="75">
        <f>LOOKUP(2, 1/('BA History S2'!$B:$B=A19), 'BA History S2'!$AH:$AH)</f>
        <v>0.7</v>
      </c>
      <c r="O19" s="34">
        <f>SUMIFS('BA History S2'!H:H,'BA History S2'!B:B,A19)</f>
        <v>43</v>
      </c>
      <c r="P19" s="2">
        <f>SUMIFS('BA History S2'!G:G,'BA History S2'!B:B,A19)-O19</f>
        <v>35</v>
      </c>
      <c r="Q19" s="89">
        <f>LOOKUP(2, 1/('BA History S2'!$B:$B=A19), 'BA History S2'!$AI:$AI)</f>
        <v>0.56399999999999995</v>
      </c>
      <c r="R19" s="2">
        <f>COUNTIFS('BA History S2'!$B:$B,$A$19,'BA History S2'!K:K, 1)</f>
        <v>1</v>
      </c>
      <c r="S19" s="2">
        <f>COUNTIFS('BA History S2'!$B:$B,$A$19,'BA History S2'!L:L, 1)</f>
        <v>0</v>
      </c>
      <c r="T19" s="2">
        <f>COUNTIFS('BA History S2'!$B:$B,$A$19,'BA History S2'!M:M, 1)</f>
        <v>2</v>
      </c>
      <c r="U19" s="2">
        <f>COUNTIFS('BA History S2'!$B:$B,$A$19,'BA History S2'!N:N, 1)</f>
        <v>1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0</v>
      </c>
      <c r="AE19" s="2">
        <f>COUNTIFS('BA History S2'!$B:$B,$A$19,'BA History S2'!X:X, 1)</f>
        <v>0</v>
      </c>
      <c r="AF19" s="2">
        <f>COUNTIFS('BA History S2'!$B:$B,$A$19,'BA History S2'!Y:Y, 1)</f>
        <v>1</v>
      </c>
      <c r="AG19" s="2">
        <f>COUNTIFS('BA History S2'!$B:$B,$A$19,'BA History S2'!Z:Z, 1)</f>
        <v>3</v>
      </c>
      <c r="AH19" s="2">
        <f>COUNTIFS('BA History S2'!$B:$B,$A$19,'BA History S2'!AA:AA, 1)</f>
        <v>0</v>
      </c>
      <c r="AI19" s="2">
        <f>COUNTIFS('BA History S2'!$B:$B,$A$19,'BA History S2'!AB:AB, 1)</f>
        <v>1</v>
      </c>
      <c r="AJ19" s="2">
        <f>COUNTIFS('BA History S2'!$B:$B,$A$19,'BA History S2'!AC:AC, 1)</f>
        <v>1</v>
      </c>
      <c r="AK19" s="2">
        <f>COUNTIFS('BA History S2'!$B:$B,$A$19,'BA History S2'!AD:AD, 1)</f>
        <v>1</v>
      </c>
      <c r="AL19" s="2">
        <f>COUNTIFS('BA History S2'!$B:$B,$A$19,'BA History S2'!AE:AE, 1)</f>
        <v>0</v>
      </c>
      <c r="AM19" s="2">
        <f>COUNTIFS('BA History S2'!$B:$B,$A$19,'BA History S2'!AF:AF, 1)</f>
        <v>1</v>
      </c>
    </row>
    <row r="20" spans="1:39" x14ac:dyDescent="0.25">
      <c r="A20" s="2" t="s">
        <v>13</v>
      </c>
      <c r="B20" s="2" t="s">
        <v>79</v>
      </c>
      <c r="C20" s="2"/>
      <c r="D20" s="2"/>
      <c r="E20" s="2"/>
      <c r="F20" s="34">
        <f>SUMIFS('BA History S2'!C:C,'BA History S2'!B:B,A20)</f>
        <v>79</v>
      </c>
      <c r="G20" s="66">
        <f>AVERAGEIFS('BA History S2'!C:C,'BA History S2'!B:B,A20)</f>
        <v>15.8</v>
      </c>
      <c r="H20" s="35">
        <f t="array" ref="H20">MAX(IF('BA History S2'!B:B=A20, 'BA History S2'!C:C))</f>
        <v>23</v>
      </c>
      <c r="I20" s="34">
        <f>COUNTIFS('BA History S2'!B:B,A20,'BA History S2'!D:D, 1)</f>
        <v>3</v>
      </c>
      <c r="J20" s="2">
        <f>COUNTIFS('BA History S2'!B:B,A20,'BA History S2'!D:D, 0)</f>
        <v>2</v>
      </c>
      <c r="K20" s="75">
        <f>LOOKUP(2, 1/('BA History S2'!$B:$B=A20), 'BA History S2'!$AJ:$AJ)</f>
        <v>0.6</v>
      </c>
      <c r="L20" s="34">
        <f>SUMIFS('BA History S2'!F:F,'BA History S2'!B:B,A20)</f>
        <v>10</v>
      </c>
      <c r="M20" s="2">
        <f>SUMIFS('BA History S2'!E:E,'BA History S2'!B:B,A20)-L20</f>
        <v>8</v>
      </c>
      <c r="N20" s="75">
        <f>LOOKUP(2, 1/('BA History S2'!$B:$B=A20), 'BA History S2'!$AH:$AH)</f>
        <v>0.55000000000000004</v>
      </c>
      <c r="O20" s="34">
        <f>SUMIFS('BA History S2'!H:H,'BA History S2'!B:B,A20)</f>
        <v>39</v>
      </c>
      <c r="P20" s="2">
        <f>SUMIFS('BA History S2'!G:G,'BA History S2'!B:B,A20)-O20</f>
        <v>39</v>
      </c>
      <c r="Q20" s="89">
        <f>LOOKUP(2, 1/('BA History S2'!$B:$B=A20), 'BA History S2'!$AI:$AI)</f>
        <v>0.48599999999999993</v>
      </c>
      <c r="R20" s="2">
        <f>COUNTIFS('BA History S2'!$B:$B,$A$20,'BA History S2'!K:K, 1)</f>
        <v>1</v>
      </c>
      <c r="S20" s="2">
        <f>COUNTIFS('BA History S2'!$B:$B,$A$20,'BA History S2'!L:L, 1)</f>
        <v>1</v>
      </c>
      <c r="T20" s="2">
        <f>COUNTIFS('BA History S2'!$B:$B,$A$20,'BA History S2'!M:M, 1)</f>
        <v>0</v>
      </c>
      <c r="U20" s="2">
        <f>COUNTIFS('BA History S2'!$B:$B,$A$20,'BA History S2'!N:N, 1)</f>
        <v>0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1</v>
      </c>
      <c r="AH20" s="2">
        <f>COUNTIFS('BA History S2'!$B:$B,$A$20,'BA History S2'!AA:AA, 1)</f>
        <v>0</v>
      </c>
      <c r="AI20" s="2">
        <f>COUNTIFS('BA History S2'!$B:$B,$A$20,'BA History S2'!AB:AB, 1)</f>
        <v>1</v>
      </c>
      <c r="AJ20" s="2">
        <f>COUNTIFS('BA History S2'!$B:$B,$A$20,'BA History S2'!AC:AC, 1)</f>
        <v>2</v>
      </c>
      <c r="AK20" s="2">
        <f>COUNTIFS('BA History S2'!$B:$B,$A$20,'BA History S2'!AD:AD, 1)</f>
        <v>1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</row>
    <row r="21" spans="1:39" x14ac:dyDescent="0.25">
      <c r="A21" s="2" t="s">
        <v>2</v>
      </c>
      <c r="B21" s="1" t="s">
        <v>160</v>
      </c>
      <c r="F21" s="34">
        <f>SUMIFS('BA History S2'!C:C,'BA History S2'!B:B,A21)</f>
        <v>121</v>
      </c>
      <c r="G21" s="66">
        <f>AVERAGEIFS('BA History S2'!C:C,'BA History S2'!B:B,A21)</f>
        <v>17.285714285714285</v>
      </c>
      <c r="H21" s="35">
        <f t="array" ref="H21">MAX(IF('BA History S2'!B:B=A21, 'BA History S2'!C:C))</f>
        <v>33</v>
      </c>
      <c r="I21" s="34">
        <f>COUNTIFS('BA History S2'!B:B,A21,'BA History S2'!D:D, 1)</f>
        <v>3</v>
      </c>
      <c r="J21" s="2">
        <f>COUNTIFS('BA History S2'!B:B,A21,'BA History S2'!D:D, 0)</f>
        <v>4</v>
      </c>
      <c r="K21" s="75">
        <f>LOOKUP(2, 1/('BA History S2'!$B:$B=A21), 'BA History S2'!$AJ:$AJ)</f>
        <v>0.42857142857142855</v>
      </c>
      <c r="L21" s="34">
        <f>SUMIFS('BA History S2'!F:F,'BA History S2'!B:B,A21)</f>
        <v>13</v>
      </c>
      <c r="M21" s="2">
        <f>SUMIFS('BA History S2'!E:E,'BA History S2'!B:B,A21)-L21</f>
        <v>14</v>
      </c>
      <c r="N21" s="75">
        <f>LOOKUP(2, 1/('BA History S2'!$B:$B=A21), 'BA History S2'!$AH:$AH)</f>
        <v>0.48571428571428571</v>
      </c>
      <c r="O21" s="34">
        <f>SUMIFS('BA History S2'!H:H,'BA History S2'!B:B,A21)</f>
        <v>57</v>
      </c>
      <c r="P21" s="2">
        <f>SUMIFS('BA History S2'!G:G,'BA History S2'!B:B,A21)-O21</f>
        <v>54</v>
      </c>
      <c r="Q21" s="89">
        <f>LOOKUP(2, 1/('BA History S2'!$B:$B=A21), 'BA History S2'!$AI:$AI)</f>
        <v>0.50285714285714289</v>
      </c>
      <c r="R21" s="2">
        <f>COUNTIFS('BA History S2'!$B:$B,$A$21,'BA History S2'!K:K, 1)</f>
        <v>1</v>
      </c>
      <c r="S21" s="2">
        <f>COUNTIFS('BA History S2'!$B:$B,$A$21,'BA History S2'!L:L, 1)</f>
        <v>1</v>
      </c>
      <c r="T21" s="2">
        <f>COUNTIFS('BA History S2'!$B:$B,$A$21,'BA History S2'!M:M, 1)</f>
        <v>0</v>
      </c>
      <c r="U21" s="2">
        <f>COUNTIFS('BA History S2'!$B:$B,$A$21,'BA History S2'!N:N, 1)</f>
        <v>1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1</v>
      </c>
      <c r="Y21" s="2">
        <f>COUNTIFS('BA History S2'!$B:$B,$A$21,'BA History S2'!R:R, 1)</f>
        <v>0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1</v>
      </c>
      <c r="AH21" s="2">
        <f>COUNTIFS('BA History S2'!$B:$B,$A$21,'BA History S2'!AA:AA, 1)</f>
        <v>0</v>
      </c>
      <c r="AI21" s="2">
        <f>COUNTIFS('BA History S2'!$B:$B,$A$21,'BA History S2'!AB:AB, 1)</f>
        <v>3</v>
      </c>
      <c r="AJ21" s="2">
        <f>COUNTIFS('BA History S2'!$B:$B,$A$21,'BA History S2'!AC:AC, 1)</f>
        <v>1</v>
      </c>
      <c r="AK21" s="2">
        <f>COUNTIFS('BA History S2'!$B:$B,$A$21,'BA History S2'!AD:AD, 1)</f>
        <v>2</v>
      </c>
      <c r="AL21" s="2">
        <f>COUNTIFS('BA History S2'!$B:$B,$A$21,'BA History S2'!AE:AE, 1)</f>
        <v>0</v>
      </c>
      <c r="AM21" s="2">
        <f>COUNTIFS('BA History S2'!$B:$B,$A$21,'BA History S2'!AF:AF, 1)</f>
        <v>2</v>
      </c>
    </row>
    <row r="22" spans="1:39" x14ac:dyDescent="0.25">
      <c r="A22" s="2" t="s">
        <v>54</v>
      </c>
      <c r="B22" s="2" t="s">
        <v>79</v>
      </c>
      <c r="C22" s="2"/>
      <c r="D22" s="2"/>
      <c r="E22" s="2"/>
      <c r="F22" s="34">
        <f>SUMIFS('BA History S2'!C:C,'BA History S2'!B:B,A22)</f>
        <v>135</v>
      </c>
      <c r="G22" s="66">
        <f>AVERAGEIFS('BA History S2'!C:C,'BA History S2'!B:B,A22)</f>
        <v>19.285714285714285</v>
      </c>
      <c r="H22" s="35">
        <f t="array" ref="H22">MAX(IF('BA History S2'!B:B=A22, 'BA History S2'!C:C))</f>
        <v>42</v>
      </c>
      <c r="I22" s="34">
        <f>COUNTIFS('BA History S2'!B:B,A22,'BA History S2'!D:D, 1)</f>
        <v>4</v>
      </c>
      <c r="J22" s="2">
        <f>COUNTIFS('BA History S2'!B:B,A22,'BA History S2'!D:D, 0)</f>
        <v>3</v>
      </c>
      <c r="K22" s="75">
        <f>LOOKUP(2, 1/('BA History S2'!$B:$B=A22), 'BA History S2'!$AJ:$AJ)</f>
        <v>0.5714285714285714</v>
      </c>
      <c r="L22" s="34">
        <f>SUMIFS('BA History S2'!F:F,'BA History S2'!B:B,A22)</f>
        <v>14</v>
      </c>
      <c r="M22" s="2">
        <f>SUMIFS('BA History S2'!E:E,'BA History S2'!B:B,A22)-L22</f>
        <v>10</v>
      </c>
      <c r="N22" s="75">
        <f>LOOKUP(2, 1/('BA History S2'!$B:$B=A22), 'BA History S2'!$AH:$AH)</f>
        <v>0.6071428571428571</v>
      </c>
      <c r="O22" s="34">
        <f>SUMIFS('BA History S2'!H:H,'BA History S2'!B:B,A22)</f>
        <v>50</v>
      </c>
      <c r="P22" s="2">
        <f>SUMIFS('BA History S2'!G:G,'BA History S2'!B:B,A22)-O22</f>
        <v>45</v>
      </c>
      <c r="Q22" s="89">
        <f>LOOKUP(2, 1/('BA History S2'!$B:$B=A22), 'BA History S2'!$AI:$AI)</f>
        <v>0.52857142857142858</v>
      </c>
      <c r="R22" s="2">
        <f>COUNTIFS('BA History S2'!$B:$B,$A$22,'BA History S2'!K:K, 1)</f>
        <v>0</v>
      </c>
      <c r="S22" s="2">
        <f>COUNTIFS('BA History S2'!$B:$B,$A$22,'BA History S2'!L:L, 1)</f>
        <v>2</v>
      </c>
      <c r="T22" s="2">
        <f>COUNTIFS('BA History S2'!$B:$B,$A$22,'BA History S2'!M:M, 1)</f>
        <v>1</v>
      </c>
      <c r="U22" s="2">
        <f>COUNTIFS('BA History S2'!$B:$B,$A$22,'BA History S2'!N:N, 1)</f>
        <v>2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1</v>
      </c>
      <c r="Y22" s="2">
        <f>COUNTIFS('BA History S2'!$B:$B,$A$22,'BA History S2'!R:R, 1)</f>
        <v>0</v>
      </c>
      <c r="Z22" s="2">
        <f>COUNTIFS('BA History S2'!$B:$B,$A$22,'BA History S2'!S:S, 1)</f>
        <v>1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1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0</v>
      </c>
      <c r="AG22" s="2">
        <f>COUNTIFS('BA History S2'!$B:$B,$A$22,'BA History S2'!Z:Z, 1)</f>
        <v>2</v>
      </c>
      <c r="AH22" s="2">
        <f>COUNTIFS('BA History S2'!$B:$B,$A$22,'BA History S2'!AA:AA, 1)</f>
        <v>0</v>
      </c>
      <c r="AI22" s="2">
        <f>COUNTIFS('BA History S2'!$B:$B,$A$22,'BA History S2'!AB:AB, 1)</f>
        <v>0</v>
      </c>
      <c r="AJ22" s="2">
        <f>COUNTIFS('BA History S2'!$B:$B,$A$22,'BA History S2'!AC:AC, 1)</f>
        <v>1</v>
      </c>
      <c r="AK22" s="2">
        <f>COUNTIFS('BA History S2'!$B:$B,$A$22,'BA History S2'!AD:AD, 1)</f>
        <v>0</v>
      </c>
      <c r="AL22" s="2">
        <f>COUNTIFS('BA History S2'!$B:$B,$A$22,'BA History S2'!AE:AE, 1)</f>
        <v>0</v>
      </c>
      <c r="AM22" s="2">
        <f>COUNTIFS('BA History S2'!$B:$B,$A$22,'BA History S2'!AF:AF, 1)</f>
        <v>2</v>
      </c>
    </row>
    <row r="23" spans="1:39" x14ac:dyDescent="0.25">
      <c r="A23" s="2" t="s">
        <v>5</v>
      </c>
      <c r="B23" s="1" t="s">
        <v>160</v>
      </c>
      <c r="F23" s="34">
        <f>SUMIFS('BA History S2'!C:C,'BA History S2'!B:B,A23)</f>
        <v>126</v>
      </c>
      <c r="G23" s="66">
        <f>AVERAGEIFS('BA History S2'!C:C,'BA History S2'!B:B,A23)</f>
        <v>15.75</v>
      </c>
      <c r="H23" s="35">
        <f t="array" ref="H23">MAX(IF('BA History S2'!B:B=A23, 'BA History S2'!C:C))</f>
        <v>19</v>
      </c>
      <c r="I23" s="34">
        <f>COUNTIFS('BA History S2'!B:B,A23,'BA History S2'!D:D, 1)</f>
        <v>5</v>
      </c>
      <c r="J23" s="2">
        <f>COUNTIFS('BA History S2'!B:B,A23,'BA History S2'!D:D, 0)</f>
        <v>3</v>
      </c>
      <c r="K23" s="75">
        <f>LOOKUP(2, 1/('BA History S2'!$B:$B=A23), 'BA History S2'!$AJ:$AJ)</f>
        <v>0.625</v>
      </c>
      <c r="L23" s="34">
        <f>SUMIFS('BA History S2'!F:F,'BA History S2'!B:B,A23)</f>
        <v>17</v>
      </c>
      <c r="M23" s="2">
        <f>SUMIFS('BA History S2'!E:E,'BA History S2'!B:B,A23)-L23</f>
        <v>15</v>
      </c>
      <c r="N23" s="75">
        <f>LOOKUP(2, 1/('BA History S2'!$B:$B=A23), 'BA History S2'!$AH:$AH)</f>
        <v>0.52500000000000002</v>
      </c>
      <c r="O23" s="34">
        <f>SUMIFS('BA History S2'!H:H,'BA History S2'!B:B,A23)</f>
        <v>66</v>
      </c>
      <c r="P23" s="2">
        <f>SUMIFS('BA History S2'!G:G,'BA History S2'!B:B,A23)-O23</f>
        <v>64</v>
      </c>
      <c r="Q23" s="89">
        <f>LOOKUP(2, 1/('BA History S2'!$B:$B=A23), 'BA History S2'!$AI:$AI)</f>
        <v>0.51124999999999998</v>
      </c>
      <c r="R23" s="2">
        <f>COUNTIFS('BA History S2'!$B:$B,$A$23,'BA History S2'!K:K, 1)</f>
        <v>0</v>
      </c>
      <c r="S23" s="2">
        <f>COUNTIFS('BA History S2'!$B:$B,$A$23,'BA History S2'!L:L, 1)</f>
        <v>2</v>
      </c>
      <c r="T23" s="2">
        <f>COUNTIFS('BA History S2'!$B:$B,$A$23,'BA History S2'!M:M, 1)</f>
        <v>2</v>
      </c>
      <c r="U23" s="2">
        <f>COUNTIFS('BA History S2'!$B:$B,$A$23,'BA History S2'!N:N, 1)</f>
        <v>5</v>
      </c>
      <c r="V23" s="2">
        <f>COUNTIFS('BA History S2'!$B:$B,$A$23,'BA History S2'!O:O, 1)</f>
        <v>0</v>
      </c>
      <c r="W23" s="2">
        <f>COUNTIFS('BA History S2'!$B:$B,$A$23,'BA History S2'!P:P, 1)</f>
        <v>0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0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1</v>
      </c>
      <c r="AG23" s="2">
        <f>COUNTIFS('BA History S2'!$B:$B,$A$23,'BA History S2'!Z:Z, 1)</f>
        <v>2</v>
      </c>
      <c r="AH23" s="2">
        <f>COUNTIFS('BA History S2'!$B:$B,$A$23,'BA History S2'!AA:AA, 1)</f>
        <v>0</v>
      </c>
      <c r="AI23" s="2">
        <f>COUNTIFS('BA History S2'!$B:$B,$A$23,'BA History S2'!AB:AB, 1)</f>
        <v>4</v>
      </c>
      <c r="AJ23" s="2">
        <f>COUNTIFS('BA History S2'!$B:$B,$A$23,'BA History S2'!AC:AC, 1)</f>
        <v>1</v>
      </c>
      <c r="AK23" s="2">
        <f>COUNTIFS('BA History S2'!$B:$B,$A$23,'BA History S2'!AD:AD, 1)</f>
        <v>0</v>
      </c>
      <c r="AL23" s="2">
        <f>COUNTIFS('BA History S2'!$B:$B,$A$23,'BA History S2'!AE:AE, 1)</f>
        <v>0</v>
      </c>
      <c r="AM23" s="2">
        <f>COUNTIFS('BA History S2'!$B:$B,$A$23,'BA History S2'!AF:AF, 1)</f>
        <v>0</v>
      </c>
    </row>
    <row r="24" spans="1:39" x14ac:dyDescent="0.25">
      <c r="A24" s="2" t="s">
        <v>141</v>
      </c>
      <c r="B24" s="2" t="s">
        <v>79</v>
      </c>
      <c r="C24" s="2"/>
      <c r="D24" s="2"/>
      <c r="E24" s="2"/>
      <c r="F24" s="34">
        <f>SUMIFS('BA History S2'!C:C,'BA History S2'!B:B,A24)</f>
        <v>27</v>
      </c>
      <c r="G24" s="66">
        <f>AVERAGEIFS('BA History S2'!C:C,'BA History S2'!B:B,A24)</f>
        <v>9</v>
      </c>
      <c r="H24" s="35">
        <f t="array" ref="H24">MAX(IF('BA History S2'!B:B=A24, 'BA History S2'!C:C))</f>
        <v>14</v>
      </c>
      <c r="I24" s="34">
        <f>COUNTIFS('BA History S2'!B:B,A24,'BA History S2'!D:D, 1)</f>
        <v>2</v>
      </c>
      <c r="J24" s="2">
        <f>COUNTIFS('BA History S2'!B:B,A24,'BA History S2'!D:D, 0)</f>
        <v>1</v>
      </c>
      <c r="K24" s="75">
        <f>LOOKUP(2, 1/('BA History S2'!$B:$B=A24), 'BA History S2'!$AJ:$AJ)</f>
        <v>0.66666666666666663</v>
      </c>
      <c r="L24" s="34">
        <f>SUMIFS('BA History S2'!F:F,'BA History S2'!B:B,A24)</f>
        <v>6</v>
      </c>
      <c r="M24" s="2">
        <f>SUMIFS('BA History S2'!E:E,'BA History S2'!B:B,A24)-L24</f>
        <v>6</v>
      </c>
      <c r="N24" s="75">
        <f>LOOKUP(2, 1/('BA History S2'!$B:$B=A24), 'BA History S2'!$AH:$AH)</f>
        <v>0.45</v>
      </c>
      <c r="O24" s="34">
        <f>SUMIFS('BA History S2'!H:H,'BA History S2'!B:B,A24)</f>
        <v>26</v>
      </c>
      <c r="P24" s="2">
        <f>SUMIFS('BA History S2'!G:G,'BA History S2'!B:B,A24)-O24</f>
        <v>23</v>
      </c>
      <c r="Q24" s="89">
        <f>LOOKUP(2, 1/('BA History S2'!$B:$B=A24), 'BA History S2'!$AI:$AI)</f>
        <v>0.51333333333333331</v>
      </c>
      <c r="R24" s="2">
        <f>COUNTIFS('BA History S2'!$B:$B,$A$24,'BA History S2'!K:K, 1)</f>
        <v>0</v>
      </c>
      <c r="S24" s="2">
        <f>COUNTIFS('BA History S2'!$B:$B,$A$24,'BA History S2'!L:L, 1)</f>
        <v>1</v>
      </c>
      <c r="T24" s="2">
        <f>COUNTIFS('BA History S2'!$B:$B,$A$24,'BA History S2'!M:M, 1)</f>
        <v>0</v>
      </c>
      <c r="U24" s="2">
        <f>COUNTIFS('BA History S2'!$B:$B,$A$24,'BA History S2'!N:N, 1)</f>
        <v>1</v>
      </c>
      <c r="V24" s="2">
        <f>COUNTIFS('BA History S2'!$B:$B,$A$24,'BA History S2'!O:O, 1)</f>
        <v>0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0</v>
      </c>
      <c r="AD24" s="2">
        <f>COUNTIFS('BA History S2'!$B:$B,$A$24,'BA History S2'!W:W, 1)</f>
        <v>0</v>
      </c>
      <c r="AE24" s="2">
        <f>COUNTIFS('BA History S2'!$B:$B,$A$24,'BA History S2'!X:X, 1)</f>
        <v>0</v>
      </c>
      <c r="AF24" s="2">
        <f>COUNTIFS('BA History S2'!$B:$B,$A$24,'BA History S2'!Y:Y, 1)</f>
        <v>0</v>
      </c>
      <c r="AG24" s="2">
        <f>COUNTIFS('BA History S2'!$B:$B,$A$24,'BA History S2'!Z:Z, 1)</f>
        <v>0</v>
      </c>
      <c r="AH24" s="2">
        <f>COUNTIFS('BA History S2'!$B:$B,$A$24,'BA History S2'!AA:AA, 1)</f>
        <v>0</v>
      </c>
      <c r="AI24" s="2">
        <f>COUNTIFS('BA History S2'!$B:$B,$A$24,'BA History S2'!AB:AB, 1)</f>
        <v>1</v>
      </c>
      <c r="AJ24" s="2">
        <f>COUNTIFS('BA History S2'!$B:$B,$A$24,'BA History S2'!AC:AC, 1)</f>
        <v>1</v>
      </c>
      <c r="AK24" s="2">
        <f>COUNTIFS('BA History S2'!$B:$B,$A$24,'BA History S2'!AD:AD, 1)</f>
        <v>1</v>
      </c>
      <c r="AL24" s="2">
        <f>COUNTIFS('BA History S2'!$B:$B,$A$24,'BA History S2'!AE:AE, 1)</f>
        <v>0</v>
      </c>
      <c r="AM24" s="2">
        <f>COUNTIFS('BA History S2'!$B:$B,$A$24,'BA History S2'!AF:AF, 1)</f>
        <v>1</v>
      </c>
    </row>
    <row r="25" spans="1:39" x14ac:dyDescent="0.25">
      <c r="A25" s="2" t="s">
        <v>40</v>
      </c>
      <c r="B25" s="2" t="s">
        <v>79</v>
      </c>
      <c r="C25" s="2"/>
      <c r="D25" s="2"/>
      <c r="E25" s="2"/>
      <c r="F25" s="34">
        <f>SUMIFS('BA History S2'!C:C,'BA History S2'!B:B,A25)</f>
        <v>209</v>
      </c>
      <c r="G25" s="66">
        <f>AVERAGEIFS('BA History S2'!C:C,'BA History S2'!B:B,A25)</f>
        <v>19</v>
      </c>
      <c r="H25" s="35">
        <f t="array" ref="H25">MAX(IF('BA History S2'!B:B=A25, 'BA History S2'!C:C))</f>
        <v>37</v>
      </c>
      <c r="I25" s="34">
        <f>COUNTIFS('BA History S2'!B:B,A25,'BA History S2'!D:D, 1)</f>
        <v>5</v>
      </c>
      <c r="J25" s="2">
        <f>COUNTIFS('BA History S2'!B:B,A25,'BA History S2'!D:D, 0)</f>
        <v>6</v>
      </c>
      <c r="K25" s="75">
        <f>LOOKUP(2, 1/('BA History S2'!$B:$B=A25), 'BA History S2'!$AJ:$AJ)</f>
        <v>0.45454545454545453</v>
      </c>
      <c r="L25" s="34">
        <f>SUMIFS('BA History S2'!F:F,'BA History S2'!B:B,A25)</f>
        <v>22</v>
      </c>
      <c r="M25" s="2">
        <f>SUMIFS('BA History S2'!E:E,'BA History S2'!B:B,A25)-L25</f>
        <v>23</v>
      </c>
      <c r="N25" s="75">
        <f>LOOKUP(2, 1/('BA History S2'!$B:$B=A25), 'BA History S2'!$AH:$AH)</f>
        <v>0.49090909090909096</v>
      </c>
      <c r="O25" s="34">
        <f>SUMIFS('BA History S2'!H:H,'BA History S2'!B:B,A25)</f>
        <v>96</v>
      </c>
      <c r="P25" s="2">
        <f>SUMIFS('BA History S2'!G:G,'BA History S2'!B:B,A25)-O25</f>
        <v>95</v>
      </c>
      <c r="Q25" s="89">
        <f>LOOKUP(2, 1/('BA History S2'!$B:$B=A25), 'BA History S2'!$AI:$AI)</f>
        <v>0.49545454545454548</v>
      </c>
      <c r="R25" s="2">
        <f>COUNTIFS('BA History S2'!$B:$B,$A$25,'BA History S2'!K:K, 1)</f>
        <v>0</v>
      </c>
      <c r="S25" s="2">
        <f>COUNTIFS('BA History S2'!$B:$B,$A$25,'BA History S2'!L:L, 1)</f>
        <v>4</v>
      </c>
      <c r="T25" s="2">
        <f>COUNTIFS('BA History S2'!$B:$B,$A$25,'BA History S2'!M:M, 1)</f>
        <v>2</v>
      </c>
      <c r="U25" s="2">
        <f>COUNTIFS('BA History S2'!$B:$B,$A$25,'BA History S2'!N:N, 1)</f>
        <v>3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1</v>
      </c>
      <c r="AC25" s="2">
        <f>COUNTIFS('BA History S2'!$B:$B,$A$25,'BA History S2'!V:V, 1)</f>
        <v>1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3</v>
      </c>
      <c r="AH25" s="2">
        <f>COUNTIFS('BA History S2'!$B:$B,$A$25,'BA History S2'!AA:AA, 1)</f>
        <v>0</v>
      </c>
      <c r="AI25" s="2">
        <f>COUNTIFS('BA History S2'!$B:$B,$A$25,'BA History S2'!AB:AB, 1)</f>
        <v>2</v>
      </c>
      <c r="AJ25" s="2">
        <f>COUNTIFS('BA History S2'!$B:$B,$A$25,'BA History S2'!AC:AC, 1)</f>
        <v>3</v>
      </c>
      <c r="AK25" s="2">
        <f>COUNTIFS('BA History S2'!$B:$B,$A$25,'BA History S2'!AD:AD, 1)</f>
        <v>1</v>
      </c>
      <c r="AL25" s="2">
        <f>COUNTIFS('BA History S2'!$B:$B,$A$25,'BA History S2'!AE:AE, 1)</f>
        <v>0</v>
      </c>
      <c r="AM25" s="2">
        <f>COUNTIFS('BA History S2'!$B:$B,$A$25,'BA History S2'!AF:AF, 1)</f>
        <v>1</v>
      </c>
    </row>
    <row r="26" spans="1:39" x14ac:dyDescent="0.25">
      <c r="A26" s="2" t="s">
        <v>168</v>
      </c>
      <c r="B26" s="2" t="s">
        <v>79</v>
      </c>
      <c r="C26" s="2"/>
      <c r="D26" s="2"/>
      <c r="E26" s="2"/>
      <c r="F26" s="34">
        <f>SUMIFS('BA History S2'!C:C,'BA History S2'!B:B,A26)</f>
        <v>11</v>
      </c>
      <c r="G26" s="66">
        <f>AVERAGEIFS('BA History S2'!C:C,'BA History S2'!B:B,A26)</f>
        <v>5.5</v>
      </c>
      <c r="H26" s="35">
        <f t="array" ref="H26">MAX(IF('BA History S2'!B:B=A26, 'BA History S2'!C:C))</f>
        <v>8</v>
      </c>
      <c r="I26" s="34">
        <f>COUNTIFS('BA History S2'!B:B,A26,'BA History S2'!D:D, 1)</f>
        <v>1</v>
      </c>
      <c r="J26" s="2">
        <f>COUNTIFS('BA History S2'!B:B,A26,'BA History S2'!D:D, 0)</f>
        <v>1</v>
      </c>
      <c r="K26" s="75">
        <f>LOOKUP(2, 1/('BA History S2'!$B:$B=A26), 'BA History S2'!$AJ:$AJ)</f>
        <v>0.5</v>
      </c>
      <c r="L26" s="34">
        <f>SUMIFS('BA History S2'!F:F,'BA History S2'!B:B,A26)</f>
        <v>3</v>
      </c>
      <c r="M26" s="2">
        <f>SUMIFS('BA History S2'!E:E,'BA History S2'!B:B,A26)-L26</f>
        <v>4</v>
      </c>
      <c r="N26" s="75">
        <f>LOOKUP(2, 1/('BA History S2'!$B:$B=A26), 'BA History S2'!$AH:$AH)</f>
        <v>0.375</v>
      </c>
      <c r="O26" s="34">
        <f>SUMIFS('BA History S2'!H:H,'BA History S2'!B:B,A26)</f>
        <v>13</v>
      </c>
      <c r="P26" s="2">
        <f>SUMIFS('BA History S2'!G:G,'BA History S2'!B:B,A26)-O26</f>
        <v>13</v>
      </c>
      <c r="Q26" s="89">
        <f>LOOKUP(2, 1/('BA History S2'!$B:$B=A26), 'BA History S2'!$AI:$AI)</f>
        <v>0.45499999999999996</v>
      </c>
      <c r="R26" s="2">
        <f>COUNTIFS('BA History S2'!$B:$B,$A$26,'BA History S2'!K:K, 1)</f>
        <v>0</v>
      </c>
      <c r="S26" s="2">
        <f>COUNTIFS('BA History S2'!$B:$B,$A$26,'BA History S2'!L:L, 1)</f>
        <v>0</v>
      </c>
      <c r="T26" s="2">
        <f>COUNTIFS('BA History S2'!$B:$B,$A$26,'BA History S2'!M:M, 1)</f>
        <v>0</v>
      </c>
      <c r="U26" s="2">
        <f>COUNTIFS('BA History S2'!$B:$B,$A$26,'BA History S2'!N:N, 1)</f>
        <v>1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0</v>
      </c>
      <c r="AC26" s="2">
        <f>COUNTIFS('BA History S2'!$B:$B,$A$26,'BA History S2'!V:V, 1)</f>
        <v>0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1</v>
      </c>
      <c r="AG26" s="2">
        <f>COUNTIFS('BA History S2'!$B:$B,$A$26,'BA History S2'!Z:Z, 1)</f>
        <v>0</v>
      </c>
      <c r="AH26" s="2">
        <f>COUNTIFS('BA History S2'!$B:$B,$A$26,'BA History S2'!AA:AA, 1)</f>
        <v>0</v>
      </c>
      <c r="AI26" s="2">
        <f>COUNTIFS('BA History S2'!$B:$B,$A$26,'BA History S2'!AB:AB, 1)</f>
        <v>1</v>
      </c>
      <c r="AJ26" s="2">
        <f>COUNTIFS('BA History S2'!$B:$B,$A$26,'BA History S2'!AC:AC, 1)</f>
        <v>0</v>
      </c>
      <c r="AK26" s="2">
        <f>COUNTIFS('BA History S2'!$B:$B,$A$26,'BA History S2'!AD:AD, 1)</f>
        <v>0</v>
      </c>
      <c r="AL26" s="2">
        <f>COUNTIFS('BA History S2'!$B:$B,$A$26,'BA History S2'!AE:AE, 1)</f>
        <v>0</v>
      </c>
      <c r="AM26" s="2">
        <f>COUNTIFS('BA History S2'!$B:$B,$A$26,'BA History S2'!AF:AF, 1)</f>
        <v>0</v>
      </c>
    </row>
    <row r="27" spans="1:39" x14ac:dyDescent="0.25">
      <c r="A27" s="2" t="s">
        <v>147</v>
      </c>
      <c r="B27" s="2" t="s">
        <v>79</v>
      </c>
      <c r="C27" s="2"/>
      <c r="D27" s="2"/>
      <c r="E27" s="2"/>
      <c r="F27" s="34">
        <f>SUMIFS('BA History S2'!C:C,'BA History S2'!B:B,A27)</f>
        <v>47</v>
      </c>
      <c r="G27" s="66">
        <f>AVERAGEIFS('BA History S2'!C:C,'BA History S2'!B:B,A27)</f>
        <v>11.75</v>
      </c>
      <c r="H27" s="35">
        <f t="array" ref="H27">MAX(IF('BA History S2'!B:B=A27, 'BA History S2'!C:C))</f>
        <v>15</v>
      </c>
      <c r="I27" s="34">
        <f>COUNTIFS('BA History S2'!B:B,A27,'BA History S2'!D:D, 1)</f>
        <v>1</v>
      </c>
      <c r="J27" s="2">
        <f>COUNTIFS('BA History S2'!B:B,A27,'BA History S2'!D:D, 0)</f>
        <v>3</v>
      </c>
      <c r="K27" s="75">
        <f>LOOKUP(2, 1/('BA History S2'!$B:$B=A27), 'BA History S2'!$AJ:$AJ)</f>
        <v>0.25</v>
      </c>
      <c r="L27" s="34">
        <f>SUMIFS('BA History S2'!F:F,'BA History S2'!B:B,A27)</f>
        <v>7</v>
      </c>
      <c r="M27" s="2">
        <f>SUMIFS('BA History S2'!E:E,'BA History S2'!B:B,A27)-L27</f>
        <v>9</v>
      </c>
      <c r="N27" s="75">
        <f>LOOKUP(2, 1/('BA History S2'!$B:$B=A27), 'BA History S2'!$AH:$AH)</f>
        <v>0.47499999999999998</v>
      </c>
      <c r="O27" s="34">
        <f>SUMIFS('BA History S2'!H:H,'BA History S2'!B:B,A27)</f>
        <v>36</v>
      </c>
      <c r="P27" s="2">
        <f>SUMIFS('BA History S2'!G:G,'BA History S2'!B:B,A27)-O27</f>
        <v>32</v>
      </c>
      <c r="Q27" s="89">
        <f>LOOKUP(2, 1/('BA History S2'!$B:$B=A27), 'BA History S2'!$AI:$AI)</f>
        <v>0.57000000000000006</v>
      </c>
      <c r="R27" s="2">
        <f>COUNTIFS('BA History S2'!$B:$B,$A$27,'BA History S2'!K:K, 1)</f>
        <v>0</v>
      </c>
      <c r="S27" s="2">
        <f>COUNTIFS('BA History S2'!$B:$B,$A$27,'BA History S2'!L:L, 1)</f>
        <v>1</v>
      </c>
      <c r="T27" s="2">
        <f>COUNTIFS('BA History S2'!$B:$B,$A$27,'BA History S2'!M:M, 1)</f>
        <v>0</v>
      </c>
      <c r="U27" s="2">
        <f>COUNTIFS('BA History S2'!$B:$B,$A$27,'BA History S2'!N:N, 1)</f>
        <v>1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1</v>
      </c>
      <c r="Y27" s="2">
        <f>COUNTIFS('BA History S2'!$B:$B,$A$27,'BA History S2'!R:R, 1)</f>
        <v>0</v>
      </c>
      <c r="Z27" s="2">
        <f>COUNTIFS('BA History S2'!$B:$B,$A$27,'BA History S2'!S:S, 1)</f>
        <v>0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0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0</v>
      </c>
      <c r="AG27" s="2">
        <f>COUNTIFS('BA History S2'!$B:$B,$A$27,'BA History S2'!Z:Z, 1)</f>
        <v>1</v>
      </c>
      <c r="AH27" s="2">
        <f>COUNTIFS('BA History S2'!$B:$B,$A$27,'BA History S2'!AA:AA, 1)</f>
        <v>0</v>
      </c>
      <c r="AI27" s="2">
        <f>COUNTIFS('BA History S2'!$B:$B,$A$27,'BA History S2'!AB:AB, 1)</f>
        <v>2</v>
      </c>
      <c r="AJ27" s="2">
        <f>COUNTIFS('BA History S2'!$B:$B,$A$27,'BA History S2'!AC:AC, 1)</f>
        <v>0</v>
      </c>
      <c r="AK27" s="2">
        <f>COUNTIFS('BA History S2'!$B:$B,$A$27,'BA History S2'!AD:AD, 1)</f>
        <v>0</v>
      </c>
      <c r="AL27" s="2">
        <f>COUNTIFS('BA History S2'!$B:$B,$A$27,'BA History S2'!AE:AE, 1)</f>
        <v>0</v>
      </c>
      <c r="AM27" s="2">
        <f>COUNTIFS('BA History S2'!$B:$B,$A$27,'BA History S2'!AF:AF, 1)</f>
        <v>1</v>
      </c>
    </row>
    <row r="28" spans="1:39" x14ac:dyDescent="0.25">
      <c r="A28" s="2" t="s">
        <v>17</v>
      </c>
      <c r="B28" s="2" t="s">
        <v>79</v>
      </c>
      <c r="C28" s="2"/>
      <c r="D28" s="2"/>
      <c r="E28" s="2"/>
      <c r="F28" s="34">
        <f>SUMIFS('BA History S2'!C:C,'BA History S2'!B:B,A28)</f>
        <v>113</v>
      </c>
      <c r="G28" s="66">
        <f>AVERAGEIFS('BA History S2'!C:C,'BA History S2'!B:B,A28)</f>
        <v>16.142857142857142</v>
      </c>
      <c r="H28" s="35">
        <f t="array" ref="H28">MAX(IF('BA History S2'!B:B=A28, 'BA History S2'!C:C))</f>
        <v>26</v>
      </c>
      <c r="I28" s="34">
        <f>COUNTIFS('BA History S2'!B:B,A28,'BA History S2'!D:D, 1)</f>
        <v>5</v>
      </c>
      <c r="J28" s="2">
        <f>COUNTIFS('BA History S2'!B:B,A28,'BA History S2'!D:D, 0)</f>
        <v>2</v>
      </c>
      <c r="K28" s="75">
        <f>LOOKUP(2, 1/('BA History S2'!$B:$B=A28), 'BA History S2'!$AJ:$AJ)</f>
        <v>0.7142857142857143</v>
      </c>
      <c r="L28" s="34">
        <f>SUMIFS('BA History S2'!F:F,'BA History S2'!B:B,A28)</f>
        <v>16</v>
      </c>
      <c r="M28" s="2">
        <f>SUMIFS('BA History S2'!E:E,'BA History S2'!B:B,A28)-L28</f>
        <v>11</v>
      </c>
      <c r="N28" s="75">
        <f>LOOKUP(2, 1/('BA History S2'!$B:$B=A28), 'BA History S2'!$AH:$AH)</f>
        <v>0.58571428571428563</v>
      </c>
      <c r="O28" s="34">
        <f>SUMIFS('BA History S2'!H:H,'BA History S2'!B:B,A28)</f>
        <v>57</v>
      </c>
      <c r="P28" s="2">
        <f>SUMIFS('BA History S2'!G:G,'BA History S2'!B:B,A28)-O28</f>
        <v>51</v>
      </c>
      <c r="Q28" s="89">
        <f>LOOKUP(2, 1/('BA History S2'!$B:$B=A28), 'BA History S2'!$AI:$AI)</f>
        <v>0.51285714285714279</v>
      </c>
      <c r="R28" s="2">
        <f>COUNTIFS('BA History S2'!$B:$B,$A$28,'BA History S2'!K:K, 1)</f>
        <v>1</v>
      </c>
      <c r="S28" s="2">
        <f>COUNTIFS('BA History S2'!$B:$B,$A$28,'BA History S2'!L:L, 1)</f>
        <v>1</v>
      </c>
      <c r="T28" s="2">
        <f>COUNTIFS('BA History S2'!$B:$B,$A$28,'BA History S2'!M:M, 1)</f>
        <v>2</v>
      </c>
      <c r="U28" s="2">
        <f>COUNTIFS('BA History S2'!$B:$B,$A$28,'BA History S2'!N:N, 1)</f>
        <v>2</v>
      </c>
      <c r="V28" s="2">
        <f>COUNTIFS('BA History S2'!$B:$B,$A$28,'BA History S2'!O:O, 1)</f>
        <v>0</v>
      </c>
      <c r="W28" s="2">
        <f>COUNTIFS('BA History S2'!$B:$B,$A$28,'BA History S2'!P:P, 1)</f>
        <v>0</v>
      </c>
      <c r="X28" s="2">
        <f>COUNTIFS('BA History S2'!$B:$B,$A$28,'BA History S2'!Q:Q, 1)</f>
        <v>2</v>
      </c>
      <c r="Y28" s="2">
        <f>COUNTIFS('BA History S2'!$B:$B,$A$28,'BA History S2'!R:R, 1)</f>
        <v>0</v>
      </c>
      <c r="Z28" s="2">
        <f>COUNTIFS('BA History S2'!$B:$B,$A$28,'BA History S2'!S:S, 1)</f>
        <v>0</v>
      </c>
      <c r="AA28" s="2">
        <f>COUNTIFS('BA History S2'!$B:$B,$A$28,'BA History S2'!T:T, 1)</f>
        <v>0</v>
      </c>
      <c r="AB28" s="2">
        <f>COUNTIFS('BA History S2'!$B:$B,$A$28,'BA History S2'!U:U, 1)</f>
        <v>0</v>
      </c>
      <c r="AC28" s="2">
        <f>COUNTIFS('BA History S2'!$B:$B,$A$28,'BA History S2'!V:V, 1)</f>
        <v>0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0</v>
      </c>
      <c r="AG28" s="2">
        <f>COUNTIFS('BA History S2'!$B:$B,$A$28,'BA History S2'!Z:Z, 1)</f>
        <v>2</v>
      </c>
      <c r="AH28" s="2">
        <f>COUNTIFS('BA History S2'!$B:$B,$A$28,'BA History S2'!AA:AA, 1)</f>
        <v>0</v>
      </c>
      <c r="AI28" s="2">
        <f>COUNTIFS('BA History S2'!$B:$B,$A$28,'BA History S2'!AB:AB, 1)</f>
        <v>2</v>
      </c>
      <c r="AJ28" s="2">
        <f>COUNTIFS('BA History S2'!$B:$B,$A$28,'BA History S2'!AC:AC, 1)</f>
        <v>2</v>
      </c>
      <c r="AK28" s="2">
        <f>COUNTIFS('BA History S2'!$B:$B,$A$28,'BA History S2'!AD:AD, 1)</f>
        <v>2</v>
      </c>
      <c r="AL28" s="2">
        <f>COUNTIFS('BA History S2'!$B:$B,$A$28,'BA History S2'!AE:AE, 1)</f>
        <v>0</v>
      </c>
      <c r="AM28" s="2">
        <f>COUNTIFS('BA History S2'!$B:$B,$A$28,'BA History S2'!AF:AF, 1)</f>
        <v>0</v>
      </c>
    </row>
    <row r="29" spans="1:39" x14ac:dyDescent="0.25">
      <c r="A29" s="2" t="s">
        <v>6</v>
      </c>
      <c r="B29" s="1" t="s">
        <v>160</v>
      </c>
      <c r="E29" s="1">
        <v>1</v>
      </c>
      <c r="F29" s="34">
        <f>SUMIFS('BA History S2'!C:C,'BA History S2'!B:B,A29)</f>
        <v>266</v>
      </c>
      <c r="G29" s="66">
        <f>AVERAGEIFS('BA History S2'!C:C,'BA History S2'!B:B,A29)</f>
        <v>20.46153846153846</v>
      </c>
      <c r="H29" s="35">
        <f t="array" ref="H29">MAX(IF('BA History S2'!B:B=A29, 'BA History S2'!C:C))</f>
        <v>31</v>
      </c>
      <c r="I29" s="34">
        <f>COUNTIFS('BA History S2'!B:B,A29,'BA History S2'!D:D, 1)</f>
        <v>5</v>
      </c>
      <c r="J29" s="2">
        <f>COUNTIFS('BA History S2'!B:B,A29,'BA History S2'!D:D, 0)</f>
        <v>8</v>
      </c>
      <c r="K29" s="75">
        <f>LOOKUP(2, 1/('BA History S2'!$B:$B=A29), 'BA History S2'!$AJ:$AJ)</f>
        <v>0.38461538461538464</v>
      </c>
      <c r="L29" s="34">
        <f>SUMIFS('BA History S2'!F:F,'BA History S2'!B:B,A29)</f>
        <v>22</v>
      </c>
      <c r="M29" s="2">
        <f>SUMIFS('BA History S2'!E:E,'BA History S2'!B:B,A29)-L29</f>
        <v>29</v>
      </c>
      <c r="N29" s="75">
        <f>LOOKUP(2, 1/('BA History S2'!$B:$B=A29), 'BA History S2'!$AH:$AH)</f>
        <v>0.41538461538461541</v>
      </c>
      <c r="O29" s="34">
        <f>SUMIFS('BA History S2'!H:H,'BA History S2'!B:B,A29)</f>
        <v>100</v>
      </c>
      <c r="P29" s="2">
        <f>SUMIFS('BA History S2'!G:G,'BA History S2'!B:B,A29)-O29</f>
        <v>108</v>
      </c>
      <c r="Q29" s="89">
        <f>LOOKUP(2, 1/('BA History S2'!$B:$B=A29), 'BA History S2'!$AI:$AI)</f>
        <v>0.47076923076923077</v>
      </c>
      <c r="R29" s="2">
        <f>COUNTIFS('BA History S2'!$B:$B,$A$29,'BA History S2'!K:K, 1)</f>
        <v>0</v>
      </c>
      <c r="S29" s="2">
        <f>COUNTIFS('BA History S2'!$B:$B,$A$29,'BA History S2'!L:L, 1)</f>
        <v>2</v>
      </c>
      <c r="T29" s="2">
        <f>COUNTIFS('BA History S2'!$B:$B,$A$29,'BA History S2'!M:M, 1)</f>
        <v>2</v>
      </c>
      <c r="U29" s="2">
        <f>COUNTIFS('BA History S2'!$B:$B,$A$29,'BA History S2'!N:N, 1)</f>
        <v>3</v>
      </c>
      <c r="V29" s="2">
        <f>COUNTIFS('BA History S2'!$B:$B,$A$29,'BA History S2'!O:O, 1)</f>
        <v>0</v>
      </c>
      <c r="W29" s="2">
        <f>COUNTIFS('BA History S2'!$B:$B,$A$29,'BA History S2'!P:P, 1)</f>
        <v>0</v>
      </c>
      <c r="X29" s="2">
        <f>COUNTIFS('BA History S2'!$B:$B,$A$29,'BA History S2'!Q:Q, 1)</f>
        <v>1</v>
      </c>
      <c r="Y29" s="2">
        <f>COUNTIFS('BA History S2'!$B:$B,$A$29,'BA History S2'!R:R, 1)</f>
        <v>1</v>
      </c>
      <c r="Z29" s="2">
        <f>COUNTIFS('BA History S2'!$B:$B,$A$29,'BA History S2'!S:S, 1)</f>
        <v>0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0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1</v>
      </c>
      <c r="AG29" s="2">
        <f>COUNTIFS('BA History S2'!$B:$B,$A$29,'BA History S2'!Z:Z, 1)</f>
        <v>2</v>
      </c>
      <c r="AH29" s="2">
        <f>COUNTIFS('BA History S2'!$B:$B,$A$29,'BA History S2'!AA:AA, 1)</f>
        <v>0</v>
      </c>
      <c r="AI29" s="2">
        <f>COUNTIFS('BA History S2'!$B:$B,$A$29,'BA History S2'!AB:AB, 1)</f>
        <v>4</v>
      </c>
      <c r="AJ29" s="2">
        <f>COUNTIFS('BA History S2'!$B:$B,$A$29,'BA History S2'!AC:AC, 1)</f>
        <v>3</v>
      </c>
      <c r="AK29" s="2">
        <f>COUNTIFS('BA History S2'!$B:$B,$A$29,'BA History S2'!AD:AD, 1)</f>
        <v>1</v>
      </c>
      <c r="AL29" s="2">
        <f>COUNTIFS('BA History S2'!$B:$B,$A$29,'BA History S2'!AE:AE, 1)</f>
        <v>0</v>
      </c>
      <c r="AM29" s="2">
        <f>COUNTIFS('BA History S2'!$B:$B,$A$29,'BA History S2'!AF:AF, 1)</f>
        <v>2</v>
      </c>
    </row>
    <row r="30" spans="1:39" x14ac:dyDescent="0.25">
      <c r="A30" s="2" t="s">
        <v>113</v>
      </c>
      <c r="B30" s="2" t="s">
        <v>79</v>
      </c>
      <c r="C30" s="2">
        <v>1</v>
      </c>
      <c r="D30" s="2">
        <v>1</v>
      </c>
      <c r="E30" s="2"/>
      <c r="F30" s="34">
        <f>SUMIFS('BA History S2'!C:C,'BA History S2'!B:B,A30)</f>
        <v>237</v>
      </c>
      <c r="G30" s="66">
        <f>AVERAGEIFS('BA History S2'!C:C,'BA History S2'!B:B,A30)</f>
        <v>19.75</v>
      </c>
      <c r="H30" s="35">
        <f t="array" ref="H30">MAX(IF('BA History S2'!B:B=A30, 'BA History S2'!C:C))</f>
        <v>36</v>
      </c>
      <c r="I30" s="34">
        <f>COUNTIFS('BA History S2'!B:B,A30,'BA History S2'!D:D, 1)</f>
        <v>8</v>
      </c>
      <c r="J30" s="2">
        <f>COUNTIFS('BA History S2'!B:B,A30,'BA History S2'!D:D, 0)</f>
        <v>4</v>
      </c>
      <c r="K30" s="75">
        <f>LOOKUP(2, 1/('BA History S2'!$B:$B=A30), 'BA History S2'!$AJ:$AJ)</f>
        <v>0.66666666666666663</v>
      </c>
      <c r="L30" s="34">
        <f>SUMIFS('BA History S2'!F:F,'BA History S2'!B:B,A30)</f>
        <v>29</v>
      </c>
      <c r="M30" s="2">
        <f>SUMIFS('BA History S2'!E:E,'BA History S2'!B:B,A30)-L30</f>
        <v>18</v>
      </c>
      <c r="N30" s="75">
        <f>LOOKUP(2, 1/('BA History S2'!$B:$B=A30), 'BA History S2'!$AH:$AH)</f>
        <v>0.65416666666666667</v>
      </c>
      <c r="O30" s="34">
        <f>SUMIFS('BA History S2'!H:H,'BA History S2'!B:B,A30)</f>
        <v>108</v>
      </c>
      <c r="P30" s="2">
        <f>SUMIFS('BA History S2'!G:G,'BA History S2'!B:B,A30)-O30</f>
        <v>84</v>
      </c>
      <c r="Q30" s="89">
        <f>LOOKUP(2, 1/('BA History S2'!$B:$B=A30), 'BA History S2'!$AI:$AI)</f>
        <v>0.60166666666666668</v>
      </c>
      <c r="R30" s="2">
        <f>COUNTIFS('BA History S2'!$B:$B,$A$30,'BA History S2'!K:K, 1)</f>
        <v>0</v>
      </c>
      <c r="S30" s="2">
        <f>COUNTIFS('BA History S2'!$B:$B,$A$30,'BA History S2'!L:L, 1)</f>
        <v>3</v>
      </c>
      <c r="T30" s="2">
        <f>COUNTIFS('BA History S2'!$B:$B,$A$30,'BA History S2'!M:M, 1)</f>
        <v>2</v>
      </c>
      <c r="U30" s="2">
        <f>COUNTIFS('BA History S2'!$B:$B,$A$30,'BA History S2'!N:N, 1)</f>
        <v>3</v>
      </c>
      <c r="V30" s="2">
        <f>COUNTIFS('BA History S2'!$B:$B,$A$30,'BA History S2'!O:O, 1)</f>
        <v>0</v>
      </c>
      <c r="W30" s="2">
        <f>COUNTIFS('BA History S2'!$B:$B,$A$30,'BA History S2'!P:P, 1)</f>
        <v>0</v>
      </c>
      <c r="X30" s="2">
        <f>COUNTIFS('BA History S2'!$B:$B,$A$30,'BA History S2'!Q:Q, 1)</f>
        <v>1</v>
      </c>
      <c r="Y30" s="2">
        <f>COUNTIFS('BA History S2'!$B:$B,$A$30,'BA History S2'!R:R, 1)</f>
        <v>1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1</v>
      </c>
      <c r="AC30" s="2">
        <f>COUNTIFS('BA History S2'!$B:$B,$A$30,'BA History S2'!V:V, 1)</f>
        <v>1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1</v>
      </c>
      <c r="AG30" s="2">
        <f>COUNTIFS('BA History S2'!$B:$B,$A$30,'BA History S2'!Z:Z, 1)</f>
        <v>4</v>
      </c>
      <c r="AH30" s="2">
        <f>COUNTIFS('BA History S2'!$B:$B,$A$30,'BA History S2'!AA:AA, 1)</f>
        <v>0</v>
      </c>
      <c r="AI30" s="2">
        <f>COUNTIFS('BA History S2'!$B:$B,$A$30,'BA History S2'!AB:AB, 1)</f>
        <v>5</v>
      </c>
      <c r="AJ30" s="2">
        <f>COUNTIFS('BA History S2'!$B:$B,$A$30,'BA History S2'!AC:AC, 1)</f>
        <v>3</v>
      </c>
      <c r="AK30" s="2">
        <f>COUNTIFS('BA History S2'!$B:$B,$A$30,'BA History S2'!AD:AD, 1)</f>
        <v>0</v>
      </c>
      <c r="AL30" s="2">
        <f>COUNTIFS('BA History S2'!$B:$B,$A$30,'BA History S2'!AE:AE, 1)</f>
        <v>0</v>
      </c>
      <c r="AM30" s="2">
        <f>COUNTIFS('BA History S2'!$B:$B,$A$30,'BA History S2'!AF:AF, 1)</f>
        <v>3</v>
      </c>
    </row>
    <row r="31" spans="1:39" x14ac:dyDescent="0.25">
      <c r="A31" s="2" t="s">
        <v>14</v>
      </c>
      <c r="B31" s="2" t="s">
        <v>79</v>
      </c>
      <c r="C31" s="2">
        <v>1</v>
      </c>
      <c r="D31" s="2"/>
      <c r="E31" s="2"/>
      <c r="F31" s="34">
        <f>SUMIFS('BA History S2'!C:C,'BA History S2'!B:B,A31)</f>
        <v>52</v>
      </c>
      <c r="G31" s="66">
        <f>AVERAGEIFS('BA History S2'!C:C,'BA History S2'!B:B,A31)</f>
        <v>13</v>
      </c>
      <c r="H31" s="35">
        <f t="array" ref="H31">MAX(IF('BA History S2'!B:B=A31, 'BA History S2'!C:C))</f>
        <v>21</v>
      </c>
      <c r="I31" s="34">
        <f>COUNTIFS('BA History S2'!B:B,A31,'BA History S2'!D:D, 1)</f>
        <v>1</v>
      </c>
      <c r="J31" s="2">
        <f>COUNTIFS('BA History S2'!B:B,A31,'BA History S2'!D:D, 0)</f>
        <v>3</v>
      </c>
      <c r="K31" s="75">
        <f>LOOKUP(2, 1/('BA History S2'!$B:$B=A31), 'BA History S2'!$AJ:$AJ)</f>
        <v>0.25</v>
      </c>
      <c r="L31" s="34">
        <f>SUMIFS('BA History S2'!F:F,'BA History S2'!B:B,A31)</f>
        <v>5</v>
      </c>
      <c r="M31" s="2">
        <f>SUMIFS('BA History S2'!E:E,'BA History S2'!B:B,A31)-L31</f>
        <v>11</v>
      </c>
      <c r="N31" s="75">
        <f>LOOKUP(2, 1/('BA History S2'!$B:$B=A31), 'BA History S2'!$AH:$AH)</f>
        <v>0.27500000000000002</v>
      </c>
      <c r="O31" s="34">
        <f>SUMIFS('BA History S2'!H:H,'BA History S2'!B:B,A31)</f>
        <v>25</v>
      </c>
      <c r="P31" s="2">
        <f>SUMIFS('BA History S2'!G:G,'BA History S2'!B:B,A31)-O31</f>
        <v>39</v>
      </c>
      <c r="Q31" s="89">
        <f>LOOKUP(2, 1/('BA History S2'!$B:$B=A31), 'BA History S2'!$AI:$AI)</f>
        <v>0.34</v>
      </c>
      <c r="R31" s="2">
        <f>COUNTIFS('BA History S2'!$B:$B,$A$31,'BA History S2'!K:K, 1)</f>
        <v>0</v>
      </c>
      <c r="S31" s="2">
        <f>COUNTIFS('BA History S2'!$B:$B,$A$31,'BA History S2'!L:L, 1)</f>
        <v>1</v>
      </c>
      <c r="T31" s="2">
        <f>COUNTIFS('BA History S2'!$B:$B,$A$31,'BA History S2'!M:M, 1)</f>
        <v>0</v>
      </c>
      <c r="U31" s="2">
        <f>COUNTIFS('BA History S2'!$B:$B,$A$31,'BA History S2'!N:N, 1)</f>
        <v>1</v>
      </c>
      <c r="V31" s="2">
        <f>COUNTIFS('BA History S2'!$B:$B,$A$31,'BA History S2'!O:O, 1)</f>
        <v>0</v>
      </c>
      <c r="W31" s="2">
        <f>COUNTIFS('BA History S2'!$B:$B,$A$31,'BA History S2'!P:P, 1)</f>
        <v>0</v>
      </c>
      <c r="X31" s="2">
        <f>COUNTIFS('BA History S2'!$B:$B,$A$31,'BA History S2'!Q:Q, 1)</f>
        <v>0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0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0</v>
      </c>
      <c r="AG31" s="2">
        <f>COUNTIFS('BA History S2'!$B:$B,$A$31,'BA History S2'!Z:Z, 1)</f>
        <v>0</v>
      </c>
      <c r="AH31" s="2">
        <f>COUNTIFS('BA History S2'!$B:$B,$A$31,'BA History S2'!AA:AA, 1)</f>
        <v>0</v>
      </c>
      <c r="AI31" s="2">
        <f>COUNTIFS('BA History S2'!$B:$B,$A$31,'BA History S2'!AB:AB, 1)</f>
        <v>3</v>
      </c>
      <c r="AJ31" s="2">
        <f>COUNTIFS('BA History S2'!$B:$B,$A$31,'BA History S2'!AC:AC, 1)</f>
        <v>0</v>
      </c>
      <c r="AK31" s="2">
        <f>COUNTIFS('BA History S2'!$B:$B,$A$31,'BA History S2'!AD:AD, 1)</f>
        <v>0</v>
      </c>
      <c r="AL31" s="2">
        <f>COUNTIFS('BA History S2'!$B:$B,$A$31,'BA History S2'!AE:AE, 1)</f>
        <v>0</v>
      </c>
      <c r="AM31" s="2">
        <f>COUNTIFS('BA History S2'!$B:$B,$A$31,'BA History S2'!AF:AF, 1)</f>
        <v>0</v>
      </c>
    </row>
    <row r="32" spans="1:39" x14ac:dyDescent="0.25">
      <c r="A32" s="2" t="s">
        <v>70</v>
      </c>
      <c r="B32" s="2" t="s">
        <v>79</v>
      </c>
      <c r="C32" s="2"/>
      <c r="D32" s="2"/>
      <c r="E32" s="2"/>
      <c r="F32" s="34">
        <f>SUMIFS('BA History S2'!C:C,'BA History S2'!B:B,A32)</f>
        <v>7</v>
      </c>
      <c r="G32" s="66">
        <f>AVERAGEIFS('BA History S2'!C:C,'BA History S2'!B:B,A32)</f>
        <v>7</v>
      </c>
      <c r="H32" s="35">
        <f t="array" ref="H32">MAX(IF('BA History S2'!B:B=A32, 'BA History S2'!C:C))</f>
        <v>7</v>
      </c>
      <c r="I32" s="34">
        <f>COUNTIFS('BA History S2'!B:B,A32,'BA History S2'!D:D, 1)</f>
        <v>0</v>
      </c>
      <c r="J32" s="2">
        <f>COUNTIFS('BA History S2'!B:B,A32,'BA History S2'!D:D, 0)</f>
        <v>1</v>
      </c>
      <c r="K32" s="75">
        <f>LOOKUP(2, 1/('BA History S2'!$B:$B=A32), 'BA History S2'!$AJ:$AJ)</f>
        <v>0</v>
      </c>
      <c r="L32" s="34">
        <f>SUMIFS('BA History S2'!F:F,'BA History S2'!B:B,A32)</f>
        <v>1</v>
      </c>
      <c r="M32" s="2">
        <f>SUMIFS('BA History S2'!E:E,'BA History S2'!B:B,A32)-L32</f>
        <v>3</v>
      </c>
      <c r="N32" s="75">
        <f>LOOKUP(2, 1/('BA History S2'!$B:$B=A32), 'BA History S2'!$AH:$AH)</f>
        <v>0.25</v>
      </c>
      <c r="O32" s="34">
        <f>SUMIFS('BA History S2'!H:H,'BA History S2'!B:B,A32)</f>
        <v>8</v>
      </c>
      <c r="P32" s="2">
        <f>SUMIFS('BA History S2'!G:G,'BA History S2'!B:B,A32)-O32</f>
        <v>10</v>
      </c>
      <c r="Q32" s="89">
        <f>LOOKUP(2, 1/('BA History S2'!$B:$B=A32), 'BA History S2'!$AI:$AI)</f>
        <v>0.44</v>
      </c>
      <c r="R32" s="2">
        <f>COUNTIFS('BA History S2'!$B:$B,$A$32,'BA History S2'!K:K, 1)</f>
        <v>0</v>
      </c>
      <c r="S32" s="2">
        <f>COUNTIFS('BA History S2'!$B:$B,$A$32,'BA History S2'!L:L, 1)</f>
        <v>0</v>
      </c>
      <c r="T32" s="2">
        <f>COUNTIFS('BA History S2'!$B:$B,$A$32,'BA History S2'!M:M, 1)</f>
        <v>0</v>
      </c>
      <c r="U32" s="2">
        <f>COUNTIFS('BA History S2'!$B:$B,$A$32,'BA History S2'!N:N, 1)</f>
        <v>1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0</v>
      </c>
      <c r="AG32" s="2">
        <f>COUNTIFS('BA History S2'!$B:$B,$A$32,'BA History S2'!Z:Z, 1)</f>
        <v>0</v>
      </c>
      <c r="AH32" s="2">
        <f>COUNTIFS('BA History S2'!$B:$B,$A$32,'BA History S2'!AA:AA, 1)</f>
        <v>0</v>
      </c>
      <c r="AI32" s="2">
        <f>COUNTIFS('BA History S2'!$B:$B,$A$32,'BA History S2'!AB:AB, 1)</f>
        <v>0</v>
      </c>
      <c r="AJ32" s="2">
        <f>COUNTIFS('BA History S2'!$B:$B,$A$32,'BA History S2'!AC:AC, 1)</f>
        <v>0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0</v>
      </c>
    </row>
    <row r="33" spans="1:39" x14ac:dyDescent="0.25">
      <c r="A33" s="2" t="s">
        <v>4</v>
      </c>
      <c r="B33" s="1" t="s">
        <v>160</v>
      </c>
      <c r="C33" s="1">
        <v>1</v>
      </c>
      <c r="F33" s="34">
        <f>SUMIFS('BA History S2'!C:C,'BA History S2'!B:B,A33)</f>
        <v>193</v>
      </c>
      <c r="G33" s="66">
        <f>AVERAGEIFS('BA History S2'!C:C,'BA History S2'!B:B,A33)</f>
        <v>27.571428571428573</v>
      </c>
      <c r="H33" s="35">
        <f t="array" ref="H33">MAX(IF('BA History S2'!B:B=A33, 'BA History S2'!C:C))</f>
        <v>38</v>
      </c>
      <c r="I33" s="34">
        <f>COUNTIFS('BA History S2'!B:B,A33,'BA History S2'!D:D, 1)</f>
        <v>5</v>
      </c>
      <c r="J33" s="2">
        <f>COUNTIFS('BA History S2'!B:B,A33,'BA History S2'!D:D, 0)</f>
        <v>2</v>
      </c>
      <c r="K33" s="75">
        <f>LOOKUP(2, 1/('BA History S2'!$B:$B=A33), 'BA History S2'!$AJ:$AJ)</f>
        <v>0.7142857142857143</v>
      </c>
      <c r="L33" s="34">
        <f>SUMIFS('BA History S2'!F:F,'BA History S2'!B:B,A33)</f>
        <v>17</v>
      </c>
      <c r="M33" s="2">
        <f>SUMIFS('BA History S2'!E:E,'BA History S2'!B:B,A33)-L33</f>
        <v>12</v>
      </c>
      <c r="N33" s="75">
        <f>LOOKUP(2, 1/('BA History S2'!$B:$B=A33), 'BA History S2'!$AH:$AH)</f>
        <v>0.6</v>
      </c>
      <c r="O33" s="34">
        <f>SUMIFS('BA History S2'!H:H,'BA History S2'!B:B,A33)</f>
        <v>69</v>
      </c>
      <c r="P33" s="2">
        <f>SUMIFS('BA History S2'!G:G,'BA History S2'!B:B,A33)-O33</f>
        <v>59</v>
      </c>
      <c r="Q33" s="89">
        <f>LOOKUP(2, 1/('BA History S2'!$B:$B=A33), 'BA History S2'!$AI:$AI)</f>
        <v>0.54571428571428571</v>
      </c>
      <c r="R33" s="2">
        <f>COUNTIFS('BA History S2'!$B:$B,$A$33,'BA History S2'!K:K, 1)</f>
        <v>1</v>
      </c>
      <c r="S33" s="2">
        <f>COUNTIFS('BA History S2'!$B:$B,$A$33,'BA History S2'!L:L, 1)</f>
        <v>2</v>
      </c>
      <c r="T33" s="2">
        <f>COUNTIFS('BA History S2'!$B:$B,$A$33,'BA History S2'!M:M, 1)</f>
        <v>1</v>
      </c>
      <c r="U33" s="2">
        <f>COUNTIFS('BA History S2'!$B:$B,$A$33,'BA History S2'!N:N, 1)</f>
        <v>3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0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0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1</v>
      </c>
      <c r="AG33" s="2">
        <f>COUNTIFS('BA History S2'!$B:$B,$A$33,'BA History S2'!Z:Z, 1)</f>
        <v>1</v>
      </c>
      <c r="AH33" s="2">
        <f>COUNTIFS('BA History S2'!$B:$B,$A$33,'BA History S2'!AA:AA, 1)</f>
        <v>0</v>
      </c>
      <c r="AI33" s="2">
        <f>COUNTIFS('BA History S2'!$B:$B,$A$33,'BA History S2'!AB:AB, 1)</f>
        <v>3</v>
      </c>
      <c r="AJ33" s="2">
        <f>COUNTIFS('BA History S2'!$B:$B,$A$33,'BA History S2'!AC:AC, 1)</f>
        <v>3</v>
      </c>
      <c r="AK33" s="2">
        <f>COUNTIFS('BA History S2'!$B:$B,$A$33,'BA History S2'!AD:AD, 1)</f>
        <v>1</v>
      </c>
      <c r="AL33" s="2">
        <f>COUNTIFS('BA History S2'!$B:$B,$A$33,'BA History S2'!AE:AE, 1)</f>
        <v>0</v>
      </c>
      <c r="AM33" s="2">
        <f>COUNTIFS('BA History S2'!$B:$B,$A$33,'BA History S2'!AF:AF, 1)</f>
        <v>1</v>
      </c>
    </row>
    <row r="34" spans="1:39" x14ac:dyDescent="0.25">
      <c r="A34" s="1" t="s">
        <v>107</v>
      </c>
      <c r="B34" s="2" t="s">
        <v>79</v>
      </c>
      <c r="C34" s="2"/>
      <c r="D34" s="2"/>
      <c r="E34" s="2"/>
      <c r="F34" s="34">
        <f>SUMIFS('BA History S2'!C:C,'BA History S2'!B:B,A34)</f>
        <v>163</v>
      </c>
      <c r="G34" s="66">
        <f>AVERAGEIFS('BA History S2'!C:C,'BA History S2'!B:B,A34)</f>
        <v>13.583333333333334</v>
      </c>
      <c r="H34" s="35">
        <f t="array" ref="H34">MAX(IF('BA History S2'!B:B=A34, 'BA History S2'!C:C))</f>
        <v>22</v>
      </c>
      <c r="I34" s="34">
        <f>COUNTIFS('BA History S2'!B:B,A34,'BA History S2'!D:D, 1)</f>
        <v>6</v>
      </c>
      <c r="J34" s="2">
        <f>COUNTIFS('BA History S2'!B:B,A34,'BA History S2'!D:D, 0)</f>
        <v>6</v>
      </c>
      <c r="K34" s="75">
        <f>LOOKUP(2, 1/('BA History S2'!$B:$B=A34), 'BA History S2'!$AJ:$AJ)</f>
        <v>0.5</v>
      </c>
      <c r="L34" s="34">
        <f>SUMIFS('BA History S2'!F:F,'BA History S2'!B:B,A34)</f>
        <v>21</v>
      </c>
      <c r="M34" s="2">
        <f>SUMIFS('BA History S2'!E:E,'BA History S2'!B:B,A34)-L34</f>
        <v>23</v>
      </c>
      <c r="N34" s="75">
        <f>LOOKUP(2, 1/('BA History S2'!$B:$B=A34), 'BA History S2'!$AH:$AH)</f>
        <v>0.45</v>
      </c>
      <c r="O34" s="34">
        <f>SUMIFS('BA History S2'!H:H,'BA History S2'!B:B,A34)</f>
        <v>85</v>
      </c>
      <c r="P34" s="2">
        <f>SUMIFS('BA History S2'!G:G,'BA History S2'!B:B,A34)-O34</f>
        <v>91</v>
      </c>
      <c r="Q34" s="89">
        <f>LOOKUP(2, 1/('BA History S2'!$B:$B=A34), 'BA History S2'!$AI:$AI)</f>
        <v>0.47000000000000003</v>
      </c>
      <c r="R34" s="2">
        <f>COUNTIFS('BA History S2'!$B:$B,$A$34,'BA History S2'!K:K, 1)</f>
        <v>2</v>
      </c>
      <c r="S34" s="2">
        <f>COUNTIFS('BA History S2'!$B:$B,$A$34,'BA History S2'!L:L, 1)</f>
        <v>1</v>
      </c>
      <c r="T34" s="2">
        <f>COUNTIFS('BA History S2'!$B:$B,$A$34,'BA History S2'!M:M, 1)</f>
        <v>2</v>
      </c>
      <c r="U34" s="2">
        <f>COUNTIFS('BA History S2'!$B:$B,$A$34,'BA History S2'!N:N, 1)</f>
        <v>2</v>
      </c>
      <c r="V34" s="2">
        <f>COUNTIFS('BA History S2'!$B:$B,$A$34,'BA History S2'!O:O, 1)</f>
        <v>0</v>
      </c>
      <c r="W34" s="2">
        <f>COUNTIFS('BA History S2'!$B:$B,$A$34,'BA History S2'!P:P, 1)</f>
        <v>0</v>
      </c>
      <c r="X34" s="2">
        <f>COUNTIFS('BA History S2'!$B:$B,$A$34,'BA History S2'!Q:Q, 1)</f>
        <v>0</v>
      </c>
      <c r="Y34" s="2">
        <f>COUNTIFS('BA History S2'!$B:$B,$A$34,'BA History S2'!R:R, 1)</f>
        <v>1</v>
      </c>
      <c r="Z34" s="2">
        <f>COUNTIFS('BA History S2'!$B:$B,$A$34,'BA History S2'!S:S, 1)</f>
        <v>0</v>
      </c>
      <c r="AA34" s="2">
        <f>COUNTIFS('BA History S2'!$B:$B,$A$34,'BA History S2'!T:T, 1)</f>
        <v>0</v>
      </c>
      <c r="AB34" s="2">
        <f>COUNTIFS('BA History S2'!$B:$B,$A$34,'BA History S2'!U:U, 1)</f>
        <v>1</v>
      </c>
      <c r="AC34" s="2">
        <f>COUNTIFS('BA History S2'!$B:$B,$A$34,'BA History S2'!V:V, 1)</f>
        <v>1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2</v>
      </c>
      <c r="AG34" s="2">
        <f>COUNTIFS('BA History S2'!$B:$B,$A$34,'BA History S2'!Z:Z, 1)</f>
        <v>1</v>
      </c>
      <c r="AH34" s="2">
        <f>COUNTIFS('BA History S2'!$B:$B,$A$34,'BA History S2'!AA:AA, 1)</f>
        <v>0</v>
      </c>
      <c r="AI34" s="2">
        <f>COUNTIFS('BA History S2'!$B:$B,$A$34,'BA History S2'!AB:AB, 1)</f>
        <v>3</v>
      </c>
      <c r="AJ34" s="2">
        <f>COUNTIFS('BA History S2'!$B:$B,$A$34,'BA History S2'!AC:AC, 1)</f>
        <v>2</v>
      </c>
      <c r="AK34" s="2">
        <f>COUNTIFS('BA History S2'!$B:$B,$A$34,'BA History S2'!AD:AD, 1)</f>
        <v>2</v>
      </c>
      <c r="AL34" s="2">
        <f>COUNTIFS('BA History S2'!$B:$B,$A$34,'BA History S2'!AE:AE, 1)</f>
        <v>0</v>
      </c>
      <c r="AM34" s="2">
        <f>COUNTIFS('BA History S2'!$B:$B,$A$34,'BA History S2'!AF:AF, 1)</f>
        <v>1</v>
      </c>
    </row>
  </sheetData>
  <autoFilter ref="A1:AM34" xr:uid="{DA548192-1F03-46EA-8AB8-115EB9A7CE5D}">
    <sortState xmlns:xlrd2="http://schemas.microsoft.com/office/spreadsheetml/2017/richdata2" ref="A2:AM34">
      <sortCondition ref="A1:A34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197"/>
  <sheetViews>
    <sheetView workbookViewId="0">
      <pane xSplit="2" ySplit="1" topLeftCell="C161" activePane="bottomRight" state="frozen"/>
      <selection pane="topRight" activeCell="C1" sqref="C1"/>
      <selection pane="bottomLeft" activeCell="A2" sqref="A2"/>
      <selection pane="bottomRight" activeCell="AB203" sqref="AB203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AVERAGEIFS($C2:C$2, $B2:B$2, B2)</f>
        <v>22</v>
      </c>
      <c r="AH2" s="86">
        <f>AVERAGEIFS($I2:I$2, $B2:B$2, B2)</f>
        <v>0</v>
      </c>
      <c r="AI2" s="86">
        <f>AVERAGEIFS($J2:J$2, $B2:B$2, B2)</f>
        <v>0.31</v>
      </c>
      <c r="AJ2" s="86">
        <f>AVERAGEIFS($D2:D$2, $B2:B$2,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AVERAGEIFS($J$2:J35, $B$2:B35, B35)</f>
        <v>0.59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AVERAGEIFS($J$2:J36, $B$2:B36, B36)</f>
        <v>0.59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AVERAGEIFS($J$2:J37, $B$2:B37, B37)</f>
        <v>0.64500000000000002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AVERAGEIFS($J$2:J38, $B$2:B38, B38)</f>
        <v>0.64500000000000002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AVERAGEIFS($J$2:J39, $B$2:B39, B39)</f>
        <v>0.51666666666666672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AVERAGEIFS($J$2:J40, $B$2:B40, B40)</f>
        <v>0.45499999999999996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AVERAGEIFS($J$2:J41, $B$2:B41, B41)</f>
        <v>0.3666666666666667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AVERAGEIFS($J$2:J42, $B$2:B42, B42)</f>
        <v>0.43999999999999995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AVERAGEIFS($J$2:J43, $B$2:B43, B43)</f>
        <v>0.41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AVERAGEIFS($J$2:J44, $B$2:B44, B44)</f>
        <v>0.3666666666666667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AVERAGEIFS($J$2:J45, $B$2:B45, B45)</f>
        <v>0.54499999999999993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AVERAGEIFS($J$2:J46, $B$2:B46, B46)</f>
        <v>0.42000000000000004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AVERAGEIFS($J$2:J47, $B$2:B47, B47)</f>
        <v>0.67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AVERAGEIFS($J$2:J48, $B$2:B48, B48)</f>
        <v>0.79499999999999993</v>
      </c>
      <c r="AJ48" s="86">
        <f>AVERAGEIFS($D$2:D48, $B$2:B48, B48)</f>
        <v>1</v>
      </c>
    </row>
    <row r="49" spans="1:36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AVERAGEIFS($J$2:J49, $B$2:B49, B49)</f>
        <v>0.67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AVERAGEIFS($J$2:J50, $B$2:B50, B50)</f>
        <v>0.69</v>
      </c>
      <c r="AJ50" s="86">
        <f>AVERAGEIFS($D$2:D50, $B$2:B50, B50)</f>
        <v>1</v>
      </c>
    </row>
    <row r="51" spans="1:36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AVERAGEIFS($J$2:J51, $B$2:B51, B51)</f>
        <v>0.755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16.666666666666668</v>
      </c>
      <c r="AH52" s="86">
        <f>AVERAGEIFS($I$2:I52, $B$2:B52, B52)</f>
        <v>0.8666666666666667</v>
      </c>
      <c r="AI52" s="86">
        <f>AVERAGEIFS($J$2:J52, $B$2:B52, B52)</f>
        <v>0.73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19</v>
      </c>
      <c r="AH53" s="86">
        <f>AVERAGEIFS($I$2:I53, $B$2:B53, B53)</f>
        <v>0.52500000000000002</v>
      </c>
      <c r="AI53" s="86">
        <f>AVERAGEIFS($J$2:J53, $B$2:B53, B53)</f>
        <v>0.46750000000000003</v>
      </c>
      <c r="AJ53" s="86">
        <f>AVERAGEIFS($D$2:D53, $B$2:B53, B53)</f>
        <v>0.75</v>
      </c>
    </row>
    <row r="54" spans="1:36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AVERAGEIFS($J$2:J54, $B$2:B54, B54)</f>
        <v>0.1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AVERAGEIFS($J$2:J55, $B$2:B55, B55)</f>
        <v>0.245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AVERAGEIFS($J$2:J56, $B$2:B56, B56)</f>
        <v>0.1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16.5</v>
      </c>
      <c r="AH57" s="86">
        <f>AVERAGEIFS($I$2:I57, $B$2:B57, B57)</f>
        <v>0.52500000000000002</v>
      </c>
      <c r="AI57" s="86">
        <f>AVERAGEIFS($J$2:J57, $B$2:B57, B57)</f>
        <v>0.46750000000000003</v>
      </c>
      <c r="AJ57" s="86">
        <f>AVERAGEIFS($D$2:D57, $B$2:B57, B57)</f>
        <v>0.75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15</v>
      </c>
      <c r="AH58" s="86">
        <f>AVERAGEIFS($I$2:I58, $B$2:B58, B58)</f>
        <v>0.28749999999999998</v>
      </c>
      <c r="AI58" s="86">
        <f>AVERAGEIFS($J$2:J58, $B$2:B58, B58)</f>
        <v>0.35499999999999998</v>
      </c>
      <c r="AJ58" s="86">
        <f>AVERAGEIFS($D$2:D58, $B$2:B58, B58)</f>
        <v>0.25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26.333333333333332</v>
      </c>
      <c r="AH59" s="86">
        <f>AVERAGEIFS($I$2:I59, $B$2:B59, B59)</f>
        <v>0.73333333333333339</v>
      </c>
      <c r="AI59" s="86">
        <f>AVERAGEIFS($J$2:J59, $B$2:B59, B59)</f>
        <v>0.59666666666666668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AVERAGEIFS($J$2:J60, $B$2:B60, B60)</f>
        <v>0.44666666666666671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AVERAGEIFS($J$2:J61, $B$2:B61, B61)</f>
        <v>0.51249999999999996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17.75</v>
      </c>
      <c r="AH62" s="86">
        <f>AVERAGEIFS($I$2:I62, $B$2:B62, B62)</f>
        <v>0.8</v>
      </c>
      <c r="AI62" s="86">
        <f>AVERAGEIFS($J$2:J62, $B$2:B62, B62)</f>
        <v>0.67249999999999999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AVERAGEIFS($J$2:J63, $B$2:B63, B63)</f>
        <v>0.5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AVERAGEIFS($J$2:J64, $B$2:B64, B64)</f>
        <v>0.33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AVERAGEIFS($J$2:J65, $B$2:B65, B65)</f>
        <v>0.4325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21.4</v>
      </c>
      <c r="AH66" s="86">
        <f>AVERAGEIFS($I$2:I66, $B$2:B66, B66)</f>
        <v>0.5</v>
      </c>
      <c r="AI66" s="86">
        <f>AVERAGEIFS($J$2:J66, $B$2:B66, B66)</f>
        <v>0.47400000000000003</v>
      </c>
      <c r="AJ66" s="86">
        <f>AVERAGEIFS($D$2:D66, $B$2:B66, B66)</f>
        <v>0.6</v>
      </c>
    </row>
    <row r="67" spans="1:36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AVERAGEIFS($J$2:J67, $B$2:B67, B67)</f>
        <v>0.6133333333333334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17.25</v>
      </c>
      <c r="AH68" s="86">
        <f>AVERAGEIFS($I$2:I68, $B$2:B68, B68)</f>
        <v>0.26250000000000001</v>
      </c>
      <c r="AI68" s="86">
        <f>AVERAGEIFS($J$2:J68, $B$2:B68, B68)</f>
        <v>0.4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16.333333333333332</v>
      </c>
      <c r="AH69" s="86">
        <f>AVERAGEIFS($I$2:I69, $B$2:B69, B69)</f>
        <v>0.6</v>
      </c>
      <c r="AI69" s="86">
        <f>AVERAGEIFS($J$2:J69, $B$2:B69, B69)</f>
        <v>0.52999999999999992</v>
      </c>
      <c r="AJ69" s="86">
        <f>AVERAGEIFS($D$2:D69, $B$2:B69, B69)</f>
        <v>0.33333333333333331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20.6</v>
      </c>
      <c r="AH70" s="86">
        <f>AVERAGEIFS($I$2:I70, $B$2:B70, B70)</f>
        <v>0.5</v>
      </c>
      <c r="AI70" s="86">
        <f>AVERAGEIFS($J$2:J70, $B$2:B70, B70)</f>
        <v>0.47400000000000003</v>
      </c>
      <c r="AJ70" s="86">
        <f>AVERAGEIFS($D$2:D70, $B$2:B70, B70)</f>
        <v>0.6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AVERAGEIFS($J$2:J71, $B$2:B71, B71)</f>
        <v>0.6133333333333334</v>
      </c>
      <c r="AJ71" s="86">
        <f>AVERAGEIFS($D$2:D71, $B$2:B71, B71)</f>
        <v>0.33333333333333331</v>
      </c>
    </row>
    <row r="72" spans="1:36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1</v>
      </c>
      <c r="AE72">
        <v>0</v>
      </c>
      <c r="AF72">
        <v>0</v>
      </c>
      <c r="AG72" s="86">
        <f>AVERAGEIFS($C$2:C72, $B$2:B72, B72)</f>
        <v>24</v>
      </c>
      <c r="AH72" s="86">
        <f>AVERAGEIFS($I$2:I72, $B$2:B72, B72)</f>
        <v>0.35</v>
      </c>
      <c r="AI72" s="86">
        <f>AVERAGEIFS($J$2:J72, $B$2:B72, B72)</f>
        <v>0.42749999999999999</v>
      </c>
      <c r="AJ72" s="86">
        <f>AVERAGEIFS($D$2:D72, $B$2:B72, B72)</f>
        <v>0.25</v>
      </c>
    </row>
    <row r="73" spans="1:36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1</v>
      </c>
      <c r="AE73">
        <v>0</v>
      </c>
      <c r="AF73">
        <v>0</v>
      </c>
      <c r="AG73" s="86">
        <f>AVERAGEIFS($C$2:C73, $B$2:B73, B73)</f>
        <v>18.75</v>
      </c>
      <c r="AH73" s="86">
        <f>AVERAGEIFS($I$2:I73, $B$2:B73, B73)</f>
        <v>0.8125</v>
      </c>
      <c r="AI73" s="86">
        <f>AVERAGEIFS($J$2:J73, $B$2:B73, B73)</f>
        <v>0.66999999999999993</v>
      </c>
      <c r="AJ73" s="86">
        <f>AVERAGEIFS($D$2:D73, $B$2:B73, B73)</f>
        <v>1</v>
      </c>
    </row>
    <row r="74" spans="1:36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1</v>
      </c>
      <c r="AE74">
        <v>0</v>
      </c>
      <c r="AF74">
        <v>0</v>
      </c>
      <c r="AG74" s="86">
        <f>AVERAGEIFS($C$2:C74, $B$2:B74, B74)</f>
        <v>26.25</v>
      </c>
      <c r="AH74" s="86">
        <f>AVERAGEIFS($I$2:I74, $B$2:B74, B74)</f>
        <v>0.73750000000000004</v>
      </c>
      <c r="AI74" s="86">
        <f>AVERAGEIFS($J$2:J74, $B$2:B74, B74)</f>
        <v>0.6</v>
      </c>
      <c r="AJ74" s="86">
        <f>AVERAGEIFS($D$2:D74, $B$2:B74, B74)</f>
        <v>1</v>
      </c>
    </row>
    <row r="75" spans="1:36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1</v>
      </c>
      <c r="AD75">
        <v>1</v>
      </c>
      <c r="AE75">
        <v>0</v>
      </c>
      <c r="AF75">
        <v>0</v>
      </c>
      <c r="AG75" s="86">
        <f>AVERAGEIFS($C$2:C75, $B$2:B75, B75)</f>
        <v>20.5</v>
      </c>
      <c r="AH75" s="86">
        <f>AVERAGEIFS($I$2:I75, $B$2:B75, B75)</f>
        <v>0.6</v>
      </c>
      <c r="AI75" s="86">
        <f>AVERAGEIFS($J$2:J75, $B$2:B75, B75)</f>
        <v>0.61250000000000004</v>
      </c>
      <c r="AJ75" s="86">
        <f>AVERAGEIFS($D$2:D75, $B$2:B75, B75)</f>
        <v>0.5</v>
      </c>
    </row>
    <row r="76" spans="1:36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1</v>
      </c>
      <c r="AD76">
        <v>1</v>
      </c>
      <c r="AE76">
        <v>0</v>
      </c>
      <c r="AF76">
        <v>0</v>
      </c>
      <c r="AG76" s="86">
        <f>AVERAGEIFS($C$2:C76, $B$2:B76, B76)</f>
        <v>10</v>
      </c>
      <c r="AH76" s="86">
        <f>AVERAGEIFS($I$2:I76, $B$2:B76, B76)</f>
        <v>0.41</v>
      </c>
      <c r="AI76" s="86">
        <f>AVERAGEIFS($J$2:J76, $B$2:B76, B76)</f>
        <v>0.46799999999999997</v>
      </c>
      <c r="AJ76" s="86">
        <f>AVERAGEIFS($D$2:D76, $B$2:B76, B76)</f>
        <v>0.2</v>
      </c>
    </row>
    <row r="77" spans="1:36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1</v>
      </c>
      <c r="AE77">
        <v>0</v>
      </c>
      <c r="AF77">
        <v>0</v>
      </c>
      <c r="AG77" s="86">
        <f>AVERAGEIFS($C$2:C77, $B$2:B77, B77)</f>
        <v>16.666666666666668</v>
      </c>
      <c r="AH77" s="86">
        <f>AVERAGEIFS($I$2:I77, $B$2:B77, B77)</f>
        <v>0.66666666666666663</v>
      </c>
      <c r="AI77" s="86">
        <f>AVERAGEIFS($J$2:J77, $B$2:B77, B77)</f>
        <v>0.56333333333333335</v>
      </c>
      <c r="AJ77" s="86">
        <f>AVERAGEIFS($D$2:D77, $B$2:B77, B77)</f>
        <v>0.66666666666666663</v>
      </c>
    </row>
    <row r="78" spans="1:36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1</v>
      </c>
      <c r="AE78">
        <v>0</v>
      </c>
      <c r="AF78">
        <v>0</v>
      </c>
      <c r="AG78" s="86">
        <f>AVERAGEIFS($C$2:C78, $B$2:B78, B78)</f>
        <v>15</v>
      </c>
      <c r="AH78" s="86">
        <f>AVERAGEIFS($I$2:I78, $B$2:B78, B78)</f>
        <v>0.38</v>
      </c>
      <c r="AI78" s="86">
        <f>AVERAGEIFS($J$2:J78, $B$2:B78, B78)</f>
        <v>0.40599999999999997</v>
      </c>
      <c r="AJ78" s="86">
        <f>AVERAGEIFS($D$2:D78, $B$2:B78, B78)</f>
        <v>0.4</v>
      </c>
    </row>
    <row r="79" spans="1:36" x14ac:dyDescent="0.25">
      <c r="A79" s="85">
        <v>46121</v>
      </c>
      <c r="B79" t="s">
        <v>163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1</v>
      </c>
      <c r="AD79">
        <v>1</v>
      </c>
      <c r="AE79">
        <v>0</v>
      </c>
      <c r="AF79">
        <v>0</v>
      </c>
      <c r="AG79" s="86">
        <f>AVERAGEIFS($C$2:C79, $B$2:B79, B79)</f>
        <v>4</v>
      </c>
      <c r="AH79" s="86">
        <f>AVERAGEIFS($I$2:I79, $B$2:B79, B79)</f>
        <v>0.75</v>
      </c>
      <c r="AI79" s="86">
        <f>AVERAGEIFS($J$2:J79, $B$2:B79, B79)</f>
        <v>0.61</v>
      </c>
      <c r="AJ79" s="86">
        <f>AVERAGEIFS($D$2:D79, $B$2:B79, B79)</f>
        <v>1</v>
      </c>
    </row>
    <row r="80" spans="1:36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 s="86">
        <f>AVERAGEIFS($C$2:C80, $B$2:B80, B80)</f>
        <v>22.666666666666668</v>
      </c>
      <c r="AH80" s="86">
        <f>AVERAGEIFS($I$2:I80, $B$2:B80, B80)</f>
        <v>0.45833333333333331</v>
      </c>
      <c r="AI80" s="86">
        <f>AVERAGEIFS($J$2:J80, $B$2:B80, B80)</f>
        <v>0.46</v>
      </c>
      <c r="AJ80" s="86">
        <f>AVERAGEIFS($D$2:D80, $B$2:B80, B80)</f>
        <v>0.5</v>
      </c>
    </row>
    <row r="81" spans="1:36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 s="86">
        <f>AVERAGEIFS($C$2:C81, $B$2:B81, B81)</f>
        <v>18.8</v>
      </c>
      <c r="AH81" s="86">
        <f>AVERAGEIFS($I$2:I81, $B$2:B81, B81)</f>
        <v>0.69000000000000006</v>
      </c>
      <c r="AI81" s="86">
        <f>AVERAGEIFS($J$2:J81, $B$2:B81, B81)</f>
        <v>0.61599999999999999</v>
      </c>
      <c r="AJ81" s="86">
        <f>AVERAGEIFS($D$2:D81, $B$2:B81, B81)</f>
        <v>0.8</v>
      </c>
    </row>
    <row r="82" spans="1:36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 s="86">
        <f>AVERAGEIFS($C$2:C82, $B$2:B82, B82)</f>
        <v>19</v>
      </c>
      <c r="AH82" s="86">
        <f>AVERAGEIFS($I$2:I82, $B$2:B82, B82)</f>
        <v>0.42499999999999999</v>
      </c>
      <c r="AI82" s="86">
        <f>AVERAGEIFS($J$2:J82, $B$2:B82, B82)</f>
        <v>0.44500000000000001</v>
      </c>
      <c r="AJ82" s="86">
        <f>AVERAGEIFS($D$2:D82, $B$2:B82, B82)</f>
        <v>0.5</v>
      </c>
    </row>
    <row r="83" spans="1:36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20</v>
      </c>
      <c r="AH83" s="86">
        <f>AVERAGEIFS($I$2:I83, $B$2:B83, B83)</f>
        <v>0.45833333333333331</v>
      </c>
      <c r="AI83" s="86">
        <f>AVERAGEIFS($J$2:J83, $B$2:B83, B83)</f>
        <v>0.46</v>
      </c>
      <c r="AJ83" s="86">
        <f>AVERAGEIFS($D$2:D83, $B$2:B83, B83)</f>
        <v>0.5</v>
      </c>
    </row>
    <row r="84" spans="1:36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25</v>
      </c>
      <c r="AH84" s="86">
        <f>AVERAGEIFS($I$2:I84, $B$2:B84, B84)</f>
        <v>0.375</v>
      </c>
      <c r="AI84" s="86">
        <f>AVERAGEIFS($J$2:J84, $B$2:B84, B84)</f>
        <v>0.4325</v>
      </c>
      <c r="AJ84" s="86">
        <f>AVERAGEIFS($D$2:D84, $B$2:B84, B84)</f>
        <v>0.25</v>
      </c>
    </row>
    <row r="85" spans="1:36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18.600000000000001</v>
      </c>
      <c r="AH85" s="86">
        <f>AVERAGEIFS($I$2:I85, $B$2:B85, B85)</f>
        <v>0.49000000000000005</v>
      </c>
      <c r="AI85" s="86">
        <f>AVERAGEIFS($J$2:J85, $B$2:B85, B85)</f>
        <v>0.48799999999999999</v>
      </c>
      <c r="AJ85" s="86">
        <f>AVERAGEIFS($D$2:D85, $B$2:B85, B85)</f>
        <v>0.6</v>
      </c>
    </row>
    <row r="86" spans="1:36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15.5</v>
      </c>
      <c r="AH86" s="86">
        <f>AVERAGEIFS($I$2:I86, $B$2:B86, B86)</f>
        <v>0.51249999999999996</v>
      </c>
      <c r="AI86" s="86">
        <f>AVERAGEIFS($J$2:J86, $B$2:B86, B86)</f>
        <v>0.495</v>
      </c>
      <c r="AJ86" s="86">
        <f>AVERAGEIFS($D$2:D86, $B$2:B86, B86)</f>
        <v>0.25</v>
      </c>
    </row>
    <row r="87" spans="1:36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10.5</v>
      </c>
      <c r="AH87" s="86">
        <f>AVERAGEIFS($I$2:I87, $B$2:B87, B87)</f>
        <v>0.25</v>
      </c>
      <c r="AI87" s="86">
        <f>AVERAGEIFS($J$2:J87, $B$2:B87, B87)</f>
        <v>0.41500000000000004</v>
      </c>
      <c r="AJ87" s="86">
        <f>AVERAGEIFS($D$2:D87, $B$2:B87, B87)</f>
        <v>0</v>
      </c>
    </row>
    <row r="88" spans="1:36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19.285714285714285</v>
      </c>
      <c r="AH88" s="86">
        <f>AVERAGEIFS($I$2:I88, $B$2:B88, B88)</f>
        <v>0.5357142857142857</v>
      </c>
      <c r="AI88" s="86">
        <f>AVERAGEIFS($J$2:J88, $B$2:B88, B88)</f>
        <v>0.51142857142857145</v>
      </c>
      <c r="AJ88" s="86">
        <f>AVERAGEIFS($D$2:D88, $B$2:B88, B88)</f>
        <v>0.5714285714285714</v>
      </c>
    </row>
    <row r="89" spans="1:36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21.8</v>
      </c>
      <c r="AH89" s="86">
        <f>AVERAGEIFS($I$2:I89, $B$2:B89, B89)</f>
        <v>0.48</v>
      </c>
      <c r="AI89" s="86">
        <f>AVERAGEIFS($J$2:J89, $B$2:B89, B89)</f>
        <v>0.50600000000000001</v>
      </c>
      <c r="AJ89" s="86">
        <f>AVERAGEIFS($D$2:D89, $B$2:B89, B89)</f>
        <v>0.4</v>
      </c>
    </row>
    <row r="90" spans="1:36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17</v>
      </c>
      <c r="AH90" s="86">
        <f>AVERAGEIFS($I$2:I90, $B$2:B90, B90)</f>
        <v>0.6166666666666667</v>
      </c>
      <c r="AI90" s="86">
        <f>AVERAGEIFS($J$2:J90, $B$2:B90, B90)</f>
        <v>0.56999999999999995</v>
      </c>
      <c r="AJ90" s="86">
        <f>AVERAGEIFS($D$2:D90, $B$2:B90, B90)</f>
        <v>0.66666666666666663</v>
      </c>
    </row>
    <row r="91" spans="1:36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15.2</v>
      </c>
      <c r="AH91" s="86">
        <f>AVERAGEIFS($I$2:I91, $B$2:B91, B91)</f>
        <v>0.61</v>
      </c>
      <c r="AI91" s="86">
        <f>AVERAGEIFS($J$2:J91, $B$2:B91, B91)</f>
        <v>0.55999999999999994</v>
      </c>
      <c r="AJ91" s="86">
        <f>AVERAGEIFS($D$2:D91, $B$2:B91, B91)</f>
        <v>0.4</v>
      </c>
    </row>
    <row r="92" spans="1:36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15.333333333333334</v>
      </c>
      <c r="AH92" s="86">
        <f>AVERAGEIFS($I$2:I92, $B$2:B92, B92)</f>
        <v>0.91666666666666663</v>
      </c>
      <c r="AI92" s="86">
        <f>AVERAGEIFS($J$2:J92, $B$2:B92, B92)</f>
        <v>0.77666666666666673</v>
      </c>
      <c r="AJ92" s="86">
        <f>AVERAGEIFS($D$2:D92, $B$2:B92, B92)</f>
        <v>1</v>
      </c>
    </row>
    <row r="93" spans="1:36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9.3333333333333339</v>
      </c>
      <c r="AH93" s="86">
        <f>AVERAGEIFS($I$2:I93, $B$2:B93, B93)</f>
        <v>0.58333333333333337</v>
      </c>
      <c r="AI93" s="86">
        <f>AVERAGEIFS($J$2:J93, $B$2:B93, B93)</f>
        <v>0.57999999999999996</v>
      </c>
      <c r="AJ93" s="86">
        <f>AVERAGEIFS($D$2:D93, $B$2:B93, B93)</f>
        <v>0.66666666666666663</v>
      </c>
    </row>
    <row r="94" spans="1:36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21</v>
      </c>
      <c r="AH94" s="86">
        <f>AVERAGEIFS($I$2:I94, $B$2:B94, B94)</f>
        <v>0.3</v>
      </c>
      <c r="AI94" s="86">
        <f>AVERAGEIFS($J$2:J94, $B$2:B94, B94)</f>
        <v>0.38200000000000001</v>
      </c>
      <c r="AJ94" s="86">
        <f>AVERAGEIFS($D$2:D94, $B$2:B94, B94)</f>
        <v>0.2</v>
      </c>
    </row>
    <row r="95" spans="1:36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21.571428571428573</v>
      </c>
      <c r="AH95" s="86">
        <f>AVERAGEIFS($I$2:I95, $B$2:B95, B95)</f>
        <v>0.39285714285714285</v>
      </c>
      <c r="AI95" s="86">
        <f>AVERAGEIFS($J$2:J95, $B$2:B95, B95)</f>
        <v>0.42000000000000004</v>
      </c>
      <c r="AJ95" s="86">
        <f>AVERAGEIFS($D$2:D95, $B$2:B95, B95)</f>
        <v>0.42857142857142855</v>
      </c>
    </row>
    <row r="96" spans="1:36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13</v>
      </c>
      <c r="AH96" s="86">
        <f>AVERAGEIFS($I$2:I96, $B$2:B96, B96)</f>
        <v>0.31666666666666665</v>
      </c>
      <c r="AI96" s="86">
        <f>AVERAGEIFS($J$2:J96, $B$2:B96, B96)</f>
        <v>0.36833333333333335</v>
      </c>
      <c r="AJ96" s="86">
        <f>AVERAGEIFS($D$2:D96, $B$2:B96, B96)</f>
        <v>0.33333333333333331</v>
      </c>
    </row>
    <row r="97" spans="1:36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16.833333333333332</v>
      </c>
      <c r="AH97" s="86">
        <f>AVERAGEIFS($I$2:I97, $B$2:B97, B97)</f>
        <v>0.40833333333333338</v>
      </c>
      <c r="AI97" s="86">
        <f>AVERAGEIFS($J$2:J97, $B$2:B97, B97)</f>
        <v>0.4366666666666667</v>
      </c>
      <c r="AJ97" s="86">
        <f>AVERAGEIFS($D$2:D97, $B$2:B97, B97)</f>
        <v>0.5</v>
      </c>
    </row>
    <row r="98" spans="1:36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14</v>
      </c>
      <c r="AH98" s="86">
        <f>AVERAGEIFS($I$2:I98, $B$2:B98, B98)</f>
        <v>0.5</v>
      </c>
      <c r="AI98" s="86">
        <f>AVERAGEIFS($J$2:J98, $B$2:B98, B98)</f>
        <v>0.46749999999999997</v>
      </c>
      <c r="AJ98" s="86">
        <f>AVERAGEIFS($D$2:D98, $B$2:B98, B98)</f>
        <v>0.5</v>
      </c>
    </row>
    <row r="99" spans="1:36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9.5</v>
      </c>
      <c r="AH99" s="86">
        <f>AVERAGEIFS($I$2:I99, $B$2:B99, B99)</f>
        <v>0.34166666666666662</v>
      </c>
      <c r="AI99" s="86">
        <f>AVERAGEIFS($J$2:J99, $B$2:B99, B99)</f>
        <v>0.42</v>
      </c>
      <c r="AJ99" s="86">
        <f>AVERAGEIFS($D$2:D99, $B$2:B99, B99)</f>
        <v>0.16666666666666666</v>
      </c>
    </row>
    <row r="100" spans="1:36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14</v>
      </c>
      <c r="AH100" s="86">
        <f>AVERAGEIFS($I$2:I100, $B$2:B100, B100)</f>
        <v>0.3666666666666667</v>
      </c>
      <c r="AI100" s="86">
        <f>AVERAGEIFS($J$2:J100, $B$2:B100, B100)</f>
        <v>0.45333333333333337</v>
      </c>
      <c r="AJ100" s="86">
        <f>AVERAGEIFS($D$2:D100, $B$2:B100, B100)</f>
        <v>0.33333333333333331</v>
      </c>
    </row>
    <row r="101" spans="1:36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10.571428571428571</v>
      </c>
      <c r="AH101" s="86">
        <f>AVERAGEIFS($I$2:I101, $B$2:B101, B101)</f>
        <v>0.37857142857142856</v>
      </c>
      <c r="AI101" s="86">
        <f>AVERAGEIFS($J$2:J101, $B$2:B101, B101)</f>
        <v>0.43571428571428567</v>
      </c>
      <c r="AJ101" s="86">
        <f>AVERAGEIFS($D$2:D101, $B$2:B101, B101)</f>
        <v>0.2857142857142857</v>
      </c>
    </row>
    <row r="102" spans="1:36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17.2</v>
      </c>
      <c r="AH102" s="86">
        <f>AVERAGEIFS($I$2:I102, $B$2:B102, B102)</f>
        <v>0.32999999999999996</v>
      </c>
      <c r="AI102" s="86">
        <f>AVERAGEIFS($J$2:J102, $B$2:B102, B102)</f>
        <v>0.42599999999999999</v>
      </c>
      <c r="AJ102" s="86">
        <f>AVERAGEIFS($D$2:D102, $B$2:B102, B102)</f>
        <v>0.2</v>
      </c>
    </row>
    <row r="103" spans="1:36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16.75</v>
      </c>
      <c r="AH103" s="86">
        <f>AVERAGEIFS($I$2:I103, $B$2:B103, B103)</f>
        <v>0.61250000000000004</v>
      </c>
      <c r="AI103" s="86">
        <f>AVERAGEIFS($J$2:J103, $B$2:B103, B103)</f>
        <v>0.56000000000000005</v>
      </c>
      <c r="AJ103" s="86">
        <f>AVERAGEIFS($D$2:D103, $B$2:B103, B103)</f>
        <v>0.75</v>
      </c>
    </row>
    <row r="104" spans="1:36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18.2</v>
      </c>
      <c r="AH104" s="86">
        <f>AVERAGEIFS($I$2:I104, $B$2:B104, B104)</f>
        <v>0.77</v>
      </c>
      <c r="AI104" s="86">
        <f>AVERAGEIFS($J$2:J104, $B$2:B104, B104)</f>
        <v>0.64200000000000002</v>
      </c>
      <c r="AJ104" s="86">
        <f>AVERAGEIFS($D$2:D104, $B$2:B104, B104)</f>
        <v>1</v>
      </c>
    </row>
    <row r="105" spans="1:36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</v>
      </c>
      <c r="AH105" s="86">
        <f>AVERAGEIFS($I$2:I105, $B$2:B105, B105)</f>
        <v>0.6</v>
      </c>
      <c r="AI105" s="86">
        <f>AVERAGEIFS($J$2:J105, $B$2:B105, B105)</f>
        <v>0.53</v>
      </c>
      <c r="AJ105" s="86">
        <f>AVERAGEIFS($D$2:D105, $B$2:B105, B105)</f>
        <v>1</v>
      </c>
    </row>
    <row r="106" spans="1:36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1</v>
      </c>
      <c r="AD106">
        <v>0</v>
      </c>
      <c r="AE106">
        <v>0</v>
      </c>
      <c r="AF106">
        <v>0</v>
      </c>
      <c r="AG106" s="86">
        <f>AVERAGEIFS($C$2:C106, $B$2:B106, B106)</f>
        <v>21.75</v>
      </c>
      <c r="AH106" s="86">
        <f>AVERAGEIFS($I$2:I106, $B$2:B106, B106)</f>
        <v>0.39374999999999999</v>
      </c>
      <c r="AI106" s="86">
        <f>AVERAGEIFS($J$2:J106, $B$2:B106, B106)</f>
        <v>0.42625000000000002</v>
      </c>
      <c r="AJ106" s="86">
        <f>AVERAGEIFS($D$2:D106, $B$2:B106, B106)</f>
        <v>0.375</v>
      </c>
    </row>
    <row r="107" spans="1:36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 s="86">
        <f>AVERAGEIFS($C$2:C107, $B$2:B107, B107)</f>
        <v>18.833333333333332</v>
      </c>
      <c r="AH107" s="86">
        <f>AVERAGEIFS($I$2:I107, $B$2:B107, B107)</f>
        <v>0.64166666666666672</v>
      </c>
      <c r="AI107" s="86">
        <f>AVERAGEIFS($J$2:J107, $B$2:B107, B107)</f>
        <v>0.59166666666666667</v>
      </c>
      <c r="AJ107" s="86">
        <f>AVERAGEIFS($D$2:D107, $B$2:B107, B107)</f>
        <v>0.66666666666666663</v>
      </c>
    </row>
    <row r="108" spans="1:36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 s="86">
        <f>AVERAGEIFS($C$2:C108, $B$2:B108, B108)</f>
        <v>17</v>
      </c>
      <c r="AH108" s="86">
        <f>AVERAGEIFS($I$2:I108, $B$2:B108, B108)</f>
        <v>0.4</v>
      </c>
      <c r="AI108" s="86">
        <f>AVERAGEIFS($J$2:J108, $B$2:B108, B108)</f>
        <v>0.47</v>
      </c>
      <c r="AJ108" s="86">
        <f>AVERAGEIFS($D$2:D108, $B$2:B108, B108)</f>
        <v>0</v>
      </c>
    </row>
    <row r="109" spans="1:36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1</v>
      </c>
      <c r="AD109">
        <v>0</v>
      </c>
      <c r="AE109">
        <v>0</v>
      </c>
      <c r="AF109">
        <v>0</v>
      </c>
      <c r="AG109" s="86">
        <f>AVERAGEIFS($C$2:C109, $B$2:B109, B109)</f>
        <v>18.75</v>
      </c>
      <c r="AH109" s="86">
        <f>AVERAGEIFS($I$2:I109, $B$2:B109, B109)</f>
        <v>0.51875000000000004</v>
      </c>
      <c r="AI109" s="86">
        <f>AVERAGEIFS($J$2:J109, $B$2:B109, B109)</f>
        <v>0.50624999999999998</v>
      </c>
      <c r="AJ109" s="86">
        <f>AVERAGEIFS($D$2:D109, $B$2:B109, B109)</f>
        <v>0.5</v>
      </c>
    </row>
    <row r="110" spans="1:36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 s="86">
        <f>AVERAGEIFS($C$2:C110, $B$2:B110, B110)</f>
        <v>15.25</v>
      </c>
      <c r="AH110" s="86">
        <f>AVERAGEIFS($I$2:I110, $B$2:B110, B110)</f>
        <v>0.78749999999999998</v>
      </c>
      <c r="AI110" s="86">
        <f>AVERAGEIFS($J$2:J110, $B$2:B110, B110)</f>
        <v>0.7</v>
      </c>
      <c r="AJ110" s="86">
        <f>AVERAGEIFS($D$2:D110, $B$2:B110, B110)</f>
        <v>0.75</v>
      </c>
    </row>
    <row r="111" spans="1:36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0</v>
      </c>
      <c r="AE111">
        <v>0</v>
      </c>
      <c r="AF111">
        <v>0</v>
      </c>
      <c r="AG111" s="86">
        <f>AVERAGEIFS($C$2:C111, $B$2:B111, B111)</f>
        <v>13.666666666666666</v>
      </c>
      <c r="AH111" s="86">
        <f>AVERAGEIFS($I$2:I111, $B$2:B111, B111)</f>
        <v>0.57499999999999996</v>
      </c>
      <c r="AI111" s="86">
        <f>AVERAGEIFS($J$2:J111, $B$2:B111, B111)</f>
        <v>0.54499999999999993</v>
      </c>
      <c r="AJ111" s="86">
        <f>AVERAGEIFS($D$2:D111, $B$2:B111, B111)</f>
        <v>0.33333333333333331</v>
      </c>
    </row>
    <row r="112" spans="1:36" x14ac:dyDescent="0.25">
      <c r="A112" s="85">
        <v>46124</v>
      </c>
      <c r="B112" t="s">
        <v>170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0</v>
      </c>
      <c r="AD112">
        <v>0</v>
      </c>
      <c r="AE112">
        <v>0</v>
      </c>
      <c r="AF112">
        <v>0</v>
      </c>
      <c r="AG112" s="86">
        <f>AVERAGEIFS($C$2:C112, $B$2:B112, B112)</f>
        <v>14</v>
      </c>
      <c r="AH112" s="86">
        <f>AVERAGEIFS($I$2:I112, $B$2:B112, B112)</f>
        <v>0.75</v>
      </c>
      <c r="AI112" s="86">
        <f>AVERAGEIFS($J$2:J112, $B$2:B112, B112)</f>
        <v>0.56000000000000005</v>
      </c>
      <c r="AJ112" s="86">
        <f>AVERAGEIFS($D$2:D112, $B$2:B112, B112)</f>
        <v>1</v>
      </c>
    </row>
    <row r="113" spans="1:36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 s="86">
        <f>AVERAGEIFS($C$2:C113, $B$2:B113, B113)</f>
        <v>15.8</v>
      </c>
      <c r="AH113" s="86">
        <f>AVERAGEIFS($I$2:I113, $B$2:B113, B113)</f>
        <v>0.55000000000000004</v>
      </c>
      <c r="AI113" s="86">
        <f>AVERAGEIFS($J$2:J113, $B$2:B113, B113)</f>
        <v>0.48599999999999993</v>
      </c>
      <c r="AJ113" s="86">
        <f>AVERAGEIFS($D$2:D113, $B$2:B113, B113)</f>
        <v>0.6</v>
      </c>
    </row>
    <row r="114" spans="1:36" x14ac:dyDescent="0.25">
      <c r="A114" s="85">
        <v>46124</v>
      </c>
      <c r="B114" t="s">
        <v>163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1</v>
      </c>
      <c r="AC114">
        <v>0</v>
      </c>
      <c r="AD114">
        <v>0</v>
      </c>
      <c r="AE114">
        <v>0</v>
      </c>
      <c r="AF114">
        <v>0</v>
      </c>
      <c r="AG114" s="86">
        <f>AVERAGEIFS($C$2:C114, $B$2:B114, B114)</f>
        <v>7</v>
      </c>
      <c r="AH114" s="86">
        <f>AVERAGEIFS($I$2:I114, $B$2:B114, B114)</f>
        <v>0.75</v>
      </c>
      <c r="AI114" s="86">
        <f>AVERAGEIFS($J$2:J114, $B$2:B114, B114)</f>
        <v>0.58499999999999996</v>
      </c>
      <c r="AJ114" s="86">
        <f>AVERAGEIFS($D$2:D114, $B$2:B114, B114)</f>
        <v>1</v>
      </c>
    </row>
    <row r="115" spans="1:36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1</v>
      </c>
      <c r="AC115">
        <v>0</v>
      </c>
      <c r="AD115">
        <v>0</v>
      </c>
      <c r="AE115">
        <v>0</v>
      </c>
      <c r="AF115">
        <v>0</v>
      </c>
      <c r="AG115" s="86">
        <f>AVERAGEIFS($C$2:C115, $B$2:B115, B115)</f>
        <v>18.5</v>
      </c>
      <c r="AH115" s="86">
        <f>AVERAGEIFS($I$2:I115, $B$2:B115, B115)</f>
        <v>0.375</v>
      </c>
      <c r="AI115" s="86">
        <f>AVERAGEIFS($J$2:J115, $B$2:B115, B115)</f>
        <v>0.41166666666666663</v>
      </c>
      <c r="AJ115" s="86">
        <f>AVERAGEIFS($D$2:D115, $B$2:B115, B115)</f>
        <v>0.33333333333333331</v>
      </c>
    </row>
    <row r="116" spans="1:36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1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17.8</v>
      </c>
      <c r="AH116" s="86">
        <f>AVERAGEIFS($I$2:I116, $B$2:B116, B116)</f>
        <v>0.78</v>
      </c>
      <c r="AI116" s="86">
        <f>AVERAGEIFS($J$2:J116, $B$2:B116, B116)</f>
        <v>0.67199999999999993</v>
      </c>
      <c r="AJ116" s="86">
        <f>AVERAGEIFS($D$2:D116, $B$2:B116, B116)</f>
        <v>0.8</v>
      </c>
    </row>
    <row r="117" spans="1:36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1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26.6</v>
      </c>
      <c r="AH117" s="86">
        <f>AVERAGEIFS($I$2:I117, $B$2:B117, B117)</f>
        <v>0.74</v>
      </c>
      <c r="AI117" s="86">
        <f>AVERAGEIFS($J$2:J117, $B$2:B117, B117)</f>
        <v>0.59199999999999997</v>
      </c>
      <c r="AJ117" s="86">
        <f>AVERAGEIFS($D$2:D117, $B$2:B117, B117)</f>
        <v>1</v>
      </c>
    </row>
    <row r="118" spans="1:36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1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19.142857142857142</v>
      </c>
      <c r="AH118" s="86">
        <f>AVERAGEIFS($I$2:I118, $B$2:B118, B118)</f>
        <v>0.65714285714285714</v>
      </c>
      <c r="AI118" s="86">
        <f>AVERAGEIFS($J$2:J118, $B$2:B118, B118)</f>
        <v>0.58714285714285708</v>
      </c>
      <c r="AJ118" s="86">
        <f>AVERAGEIFS($D$2:D118, $B$2:B118, B118)</f>
        <v>0.7142857142857143</v>
      </c>
    </row>
    <row r="119" spans="1:36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17.333333333333332</v>
      </c>
      <c r="AH119" s="86">
        <f>AVERAGEIFS($I$2:I119, $B$2:B119, B119)</f>
        <v>0.75</v>
      </c>
      <c r="AI119" s="86">
        <f>AVERAGEIFS($J$2:J119, $B$2:B119, B119)</f>
        <v>0.67666666666666664</v>
      </c>
      <c r="AJ119" s="86">
        <f>AVERAGEIFS($D$2:D119, $B$2:B119, B119)</f>
        <v>0.66666666666666663</v>
      </c>
    </row>
    <row r="120" spans="1:36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8.5</v>
      </c>
      <c r="AH120" s="86">
        <f>AVERAGEIFS($I$2:I120, $B$2:B120, B120)</f>
        <v>0.125</v>
      </c>
      <c r="AI120" s="86">
        <f>AVERAGEIFS($J$2:J120, $B$2:B120, B120)</f>
        <v>0.27</v>
      </c>
      <c r="AJ120" s="86">
        <f>AVERAGEIFS($D$2:D120, $B$2:B120, B120)</f>
        <v>0</v>
      </c>
    </row>
    <row r="121" spans="1:36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s="86">
        <f>AVERAGEIFS($C$2:C121, $B$2:B121, B121)</f>
        <v>12</v>
      </c>
      <c r="AH121" s="86">
        <f>AVERAGEIFS($I$2:I121, $B$2:B121, B121)</f>
        <v>0.25</v>
      </c>
      <c r="AI121" s="86">
        <f>AVERAGEIFS($J$2:J121, $B$2:B121, B121)</f>
        <v>0.44</v>
      </c>
      <c r="AJ121" s="86">
        <f>AVERAGEIFS($D$2:D121, $B$2:B121, B121)</f>
        <v>0</v>
      </c>
    </row>
    <row r="122" spans="1:36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s="86">
        <f>AVERAGEIFS($C$2:C122, $B$2:B122, B122)</f>
        <v>19</v>
      </c>
      <c r="AH122" s="86">
        <f>AVERAGEIFS($I$2:I122, $B$2:B122, B122)</f>
        <v>0.48888888888888893</v>
      </c>
      <c r="AI122" s="86">
        <f>AVERAGEIFS($J$2:J122, $B$2:B122, B122)</f>
        <v>0.49888888888888894</v>
      </c>
      <c r="AJ122" s="86">
        <f>AVERAGEIFS($D$2:D122, $B$2:B122, B122)</f>
        <v>0.44444444444444442</v>
      </c>
    </row>
    <row r="123" spans="1:36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s="86">
        <f>AVERAGEIFS($C$2:C123, $B$2:B123, B123)</f>
        <v>7</v>
      </c>
      <c r="AH123" s="86">
        <f>AVERAGEIFS($I$2:I123, $B$2:B123, B123)</f>
        <v>0.25</v>
      </c>
      <c r="AI123" s="86">
        <f>AVERAGEIFS($J$2:J123, $B$2:B123, B123)</f>
        <v>0.44</v>
      </c>
      <c r="AJ123" s="86">
        <f>AVERAGEIFS($D$2:D123, $B$2:B123, B123)</f>
        <v>0</v>
      </c>
    </row>
    <row r="124" spans="1:36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s="86">
        <f>AVERAGEIFS($C$2:C124, $B$2:B124, B124)</f>
        <v>11</v>
      </c>
      <c r="AH124" s="86">
        <f>AVERAGEIFS($I$2:I124, $B$2:B124, B124)</f>
        <v>0.36249999999999999</v>
      </c>
      <c r="AI124" s="86">
        <f>AVERAGEIFS($J$2:J124, $B$2:B124, B124)</f>
        <v>0.43624999999999997</v>
      </c>
      <c r="AJ124" s="86">
        <f>AVERAGEIFS($D$2:D124, $B$2:B124, B124)</f>
        <v>0.25</v>
      </c>
    </row>
    <row r="125" spans="1:36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s="86">
        <f>AVERAGEIFS($C$2:C125, $B$2:B125, B125)</f>
        <v>27.666666666666668</v>
      </c>
      <c r="AH125" s="86">
        <f>AVERAGEIFS($I$2:I125, $B$2:B125, B125)</f>
        <v>0.65833333333333333</v>
      </c>
      <c r="AI125" s="86">
        <f>AVERAGEIFS($J$2:J125, $B$2:B125, B125)</f>
        <v>0.56333333333333335</v>
      </c>
      <c r="AJ125" s="86">
        <f>AVERAGEIFS($D$2:D125, $B$2:B125, B125)</f>
        <v>0.83333333333333337</v>
      </c>
    </row>
    <row r="126" spans="1:36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21.333333333333332</v>
      </c>
      <c r="AH126" s="86">
        <f>AVERAGEIFS($I$2:I126, $B$2:B126, B126)</f>
        <v>0.37777777777777777</v>
      </c>
      <c r="AI126" s="86">
        <f>AVERAGEIFS($J$2:J126, $B$2:B126, B126)</f>
        <v>0.42555555555555558</v>
      </c>
      <c r="AJ126" s="86">
        <f>AVERAGEIFS($D$2:D126, $B$2:B126, B126)</f>
        <v>0.33333333333333331</v>
      </c>
    </row>
    <row r="127" spans="1:36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18.857142857142858</v>
      </c>
      <c r="AH127" s="86">
        <f>AVERAGEIFS($I$2:I127, $B$2:B127, B127)</f>
        <v>0.35714285714285715</v>
      </c>
      <c r="AI127" s="86">
        <f>AVERAGEIFS($J$2:J127, $B$2:B127, B127)</f>
        <v>0.41285714285714281</v>
      </c>
      <c r="AJ127" s="86">
        <f>AVERAGEIFS($D$2:D127, $B$2:B127, B127)</f>
        <v>0.2857142857142857</v>
      </c>
    </row>
    <row r="128" spans="1:36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13.5</v>
      </c>
      <c r="AH128" s="86">
        <f>AVERAGEIFS($I$2:I128, $B$2:B128, B128)</f>
        <v>0.32500000000000001</v>
      </c>
      <c r="AI128" s="86">
        <f>AVERAGEIFS($J$2:J128, $B$2:B128, B128)</f>
        <v>0.44499999999999995</v>
      </c>
      <c r="AJ128" s="86">
        <f>AVERAGEIFS($D$2:D128, $B$2:B128, B128)</f>
        <v>0</v>
      </c>
    </row>
    <row r="129" spans="1:36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18.666666666666668</v>
      </c>
      <c r="AH129" s="86">
        <f>AVERAGEIFS($I$2:I129, $B$2:B129, B129)</f>
        <v>0.69166666666666676</v>
      </c>
      <c r="AI129" s="86">
        <f>AVERAGEIFS($J$2:J129, $B$2:B129, B129)</f>
        <v>0.63</v>
      </c>
      <c r="AJ129" s="86">
        <f>AVERAGEIFS($D$2:D129, $B$2:B129, B129)</f>
        <v>0.66666666666666663</v>
      </c>
    </row>
    <row r="130" spans="1:36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18.428571428571427</v>
      </c>
      <c r="AH130" s="86">
        <f>AVERAGEIFS($I$2:I130, $B$2:B130, B130)</f>
        <v>0.38571428571428573</v>
      </c>
      <c r="AI130" s="86">
        <f>AVERAGEIFS($J$2:J130, $B$2:B130, B130)</f>
        <v>0.43428571428571427</v>
      </c>
      <c r="AJ130" s="86">
        <f>AVERAGEIFS($D$2:D130, $B$2:B130, B130)</f>
        <v>0.42857142857142855</v>
      </c>
    </row>
    <row r="131" spans="1:36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12.857142857142858</v>
      </c>
      <c r="AH131" s="86">
        <f>AVERAGEIFS($I$2:I131, $B$2:B131, B131)</f>
        <v>0.52857142857142858</v>
      </c>
      <c r="AI131" s="86">
        <f>AVERAGEIFS($J$2:J131, $B$2:B131, B131)</f>
        <v>0.52714285714285702</v>
      </c>
      <c r="AJ131" s="86">
        <f>AVERAGEIFS($D$2:D131, $B$2:B131, B131)</f>
        <v>0.2857142857142857</v>
      </c>
    </row>
    <row r="132" spans="1:36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23.5</v>
      </c>
      <c r="AH132" s="86">
        <f>AVERAGEIFS($I$2:I132, $B$2:B132, B132)</f>
        <v>0.75</v>
      </c>
      <c r="AI132" s="86">
        <f>AVERAGEIFS($J$2:J132, $B$2:B132, B132)</f>
        <v>0.65249999999999997</v>
      </c>
      <c r="AJ132" s="86">
        <f>AVERAGEIFS($D$2:D132, $B$2:B132, B132)</f>
        <v>0.75</v>
      </c>
    </row>
    <row r="133" spans="1:36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21.5</v>
      </c>
      <c r="AH133" s="86">
        <f>AVERAGEIFS($I$2:I133, $B$2:B133, B133)</f>
        <v>0.52500000000000002</v>
      </c>
      <c r="AI133" s="86">
        <f>AVERAGEIFS($J$2:J133, $B$2:B133, B133)</f>
        <v>0.51833333333333331</v>
      </c>
      <c r="AJ133" s="86">
        <f>AVERAGEIFS($D$2:D133, $B$2:B133, B133)</f>
        <v>0.5</v>
      </c>
    </row>
    <row r="134" spans="1:36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19.600000000000001</v>
      </c>
      <c r="AH134" s="86">
        <f>AVERAGEIFS($I$2:I134, $B$2:B134, B134)</f>
        <v>0.51500000000000001</v>
      </c>
      <c r="AI134" s="86">
        <f>AVERAGEIFS($J$2:J134, $B$2:B134, B134)</f>
        <v>0.50700000000000001</v>
      </c>
      <c r="AJ134" s="86">
        <f>AVERAGEIFS($D$2:D134, $B$2:B134, B134)</f>
        <v>0.5</v>
      </c>
    </row>
    <row r="135" spans="1:36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14.142857142857142</v>
      </c>
      <c r="AH135" s="86">
        <f>AVERAGEIFS($I$2:I135, $B$2:B135, B135)</f>
        <v>0.37857142857142856</v>
      </c>
      <c r="AI135" s="86">
        <f>AVERAGEIFS($J$2:J135, $B$2:B135, B135)</f>
        <v>0.39857142857142858</v>
      </c>
      <c r="AJ135" s="86">
        <f>AVERAGEIFS($D$2:D135, $B$2:B135, B135)</f>
        <v>0.42857142857142855</v>
      </c>
    </row>
    <row r="136" spans="1:36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21.25</v>
      </c>
      <c r="AH136" s="86">
        <f>AVERAGEIFS($I$2:I136, $B$2:B136, B136)</f>
        <v>0.66874999999999996</v>
      </c>
      <c r="AI136" s="86">
        <f>AVERAGEIFS($J$2:J136, $B$2:B136, B136)</f>
        <v>0.58624999999999994</v>
      </c>
      <c r="AJ136" s="86">
        <f>AVERAGEIFS($D$2:D136, $B$2:B136, B136)</f>
        <v>0.75</v>
      </c>
    </row>
    <row r="137" spans="1:36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12.333333333333334</v>
      </c>
      <c r="AH137" s="86">
        <f>AVERAGEIFS($I$2:I137, $B$2:B137, B137)</f>
        <v>0.40555555555555556</v>
      </c>
      <c r="AI137" s="86">
        <f>AVERAGEIFS($J$2:J137, $B$2:B137, B137)</f>
        <v>0.45222222222222214</v>
      </c>
      <c r="AJ137" s="86">
        <f>AVERAGEIFS($D$2:D137, $B$2:B137, B137)</f>
        <v>0.33333333333333331</v>
      </c>
    </row>
    <row r="138" spans="1:36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1</v>
      </c>
      <c r="AG138" s="86">
        <f>AVERAGEIFS($C$2:C138, $B$2:B138, B138)</f>
        <v>18</v>
      </c>
      <c r="AH138" s="86">
        <f>AVERAGEIFS($I$2:I138, $B$2:B138, B138)</f>
        <v>0.4375</v>
      </c>
      <c r="AI138" s="86">
        <f>AVERAGEIFS($J$2:J138, $B$2:B138, B138)</f>
        <v>0.46374999999999994</v>
      </c>
      <c r="AJ138" s="86">
        <f>AVERAGEIFS($D$2:D138, $B$2:B138, B138)</f>
        <v>0.375</v>
      </c>
    </row>
    <row r="139" spans="1:36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1</v>
      </c>
      <c r="AG139" s="86">
        <f>AVERAGEIFS($C$2:C139, $B$2:B139, B139)</f>
        <v>17.375</v>
      </c>
      <c r="AH139" s="86">
        <f>AVERAGEIFS($I$2:I139, $B$2:B139, B139)</f>
        <v>0.46250000000000002</v>
      </c>
      <c r="AI139" s="86">
        <f>AVERAGEIFS($J$2:J139, $B$2:B139, B139)</f>
        <v>0.48249999999999998</v>
      </c>
      <c r="AJ139" s="86">
        <f>AVERAGEIFS($D$2:D139, $B$2:B139, B139)</f>
        <v>0.5</v>
      </c>
    </row>
    <row r="140" spans="1:36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1</v>
      </c>
      <c r="AG140" s="86">
        <f>AVERAGEIFS($C$2:C140, $B$2:B140, B140)</f>
        <v>20.222222222222221</v>
      </c>
      <c r="AH140" s="86">
        <f>AVERAGEIFS($I$2:I140, $B$2:B140, B140)</f>
        <v>0.70555555555555549</v>
      </c>
      <c r="AI140" s="86">
        <f>AVERAGEIFS($J$2:J140, $B$2:B140, B140)</f>
        <v>0.61222222222222222</v>
      </c>
      <c r="AJ140" s="86">
        <f>AVERAGEIFS($D$2:D140, $B$2:B140, B140)</f>
        <v>0.77777777777777779</v>
      </c>
    </row>
    <row r="141" spans="1:36" x14ac:dyDescent="0.25">
      <c r="A141" s="85">
        <v>46126</v>
      </c>
      <c r="B141" t="s">
        <v>163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1</v>
      </c>
      <c r="AG141" s="86">
        <f>AVERAGEIFS($C$2:C141, $B$2:B141, B141)</f>
        <v>6</v>
      </c>
      <c r="AH141" s="86">
        <f>AVERAGEIFS($I$2:I141, $B$2:B141, B141)</f>
        <v>0.83333333333333337</v>
      </c>
      <c r="AI141" s="86">
        <f>AVERAGEIFS($J$2:J141, $B$2:B141, B141)</f>
        <v>0.66333333333333322</v>
      </c>
      <c r="AJ141" s="86">
        <f>AVERAGEIFS($D$2:D141, $B$2:B141, B141)</f>
        <v>1</v>
      </c>
    </row>
    <row r="142" spans="1:36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 s="86">
        <f>AVERAGEIFS($C$2:C142, $B$2:B142, B142)</f>
        <v>18.142857142857142</v>
      </c>
      <c r="AH142" s="86">
        <f>AVERAGEIFS($I$2:I142, $B$2:B142, B142)</f>
        <v>0.73571428571428577</v>
      </c>
      <c r="AI142" s="86">
        <f>AVERAGEIFS($J$2:J142, $B$2:B142, B142)</f>
        <v>0.65714285714285714</v>
      </c>
      <c r="AJ142" s="86">
        <f>AVERAGEIFS($D$2:D142, $B$2:B142, B142)</f>
        <v>0.7142857142857143</v>
      </c>
    </row>
    <row r="143" spans="1:36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1</v>
      </c>
      <c r="AG143" s="86">
        <f>AVERAGEIFS($C$2:C143, $B$2:B143, B143)</f>
        <v>22</v>
      </c>
      <c r="AH143" s="86">
        <f>AVERAGEIFS($I$2:I143, $B$2:B143, B143)</f>
        <v>0.8</v>
      </c>
      <c r="AI143" s="86">
        <f>AVERAGEIFS($J$2:J143, $B$2:B143, B143)</f>
        <v>0.68599999999999994</v>
      </c>
      <c r="AJ143" s="86">
        <f>AVERAGEIFS($D$2:D143, $B$2:B143, B143)</f>
        <v>0.8</v>
      </c>
    </row>
    <row r="144" spans="1:36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15.2</v>
      </c>
      <c r="AH144" s="86">
        <f>AVERAGEIFS($I$2:I144, $B$2:B144, B144)</f>
        <v>0.49000000000000005</v>
      </c>
      <c r="AI144" s="86">
        <f>AVERAGEIFS($J$2:J144, $B$2:B144, B144)</f>
        <v>0.4840000000000001</v>
      </c>
      <c r="AJ144" s="86">
        <f>AVERAGEIFS($D$2:D144, $B$2:B144, B144)</f>
        <v>0.6</v>
      </c>
    </row>
    <row r="145" spans="1:36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20.2</v>
      </c>
      <c r="AH145" s="86">
        <f>AVERAGEIFS($I$2:I145, $B$2:B145, B145)</f>
        <v>0.33999999999999997</v>
      </c>
      <c r="AI145" s="86">
        <f>AVERAGEIFS($J$2:J145, $B$2:B145, B145)</f>
        <v>0.40099999999999997</v>
      </c>
      <c r="AJ145" s="86">
        <f>AVERAGEIFS($D$2:D145, $B$2:B145, B145)</f>
        <v>0.3</v>
      </c>
    </row>
    <row r="146" spans="1:36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13.5</v>
      </c>
      <c r="AH146" s="86">
        <f>AVERAGEIFS($I$2:I146, $B$2:B146, B146)</f>
        <v>0.33124999999999999</v>
      </c>
      <c r="AI146" s="86">
        <f>AVERAGEIFS($J$2:J146, $B$2:B146, B146)</f>
        <v>0.37125000000000002</v>
      </c>
      <c r="AJ146" s="86">
        <f>AVERAGEIFS($D$2:D146, $B$2:B146, B146)</f>
        <v>0.375</v>
      </c>
    </row>
    <row r="147" spans="1:36" x14ac:dyDescent="0.25">
      <c r="A147" s="85">
        <v>46126</v>
      </c>
      <c r="B147" t="s">
        <v>167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3</v>
      </c>
      <c r="AH147" s="86">
        <f>AVERAGEIFS($I$2:I147, $B$2:B147, B147)</f>
        <v>0</v>
      </c>
      <c r="AI147" s="86">
        <f>AVERAGEIFS($J$2:J147, $B$2:B147, B147)</f>
        <v>0.18</v>
      </c>
      <c r="AJ147" s="86">
        <f>AVERAGEIFS($D$2:D147, $B$2:B147, B147)</f>
        <v>0</v>
      </c>
    </row>
    <row r="148" spans="1:36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12.625</v>
      </c>
      <c r="AH148" s="86">
        <f>AVERAGEIFS($I$2:I148, $B$2:B148, B148)</f>
        <v>0.46249999999999997</v>
      </c>
      <c r="AI148" s="86">
        <f>AVERAGEIFS($J$2:J148, $B$2:B148, B148)</f>
        <v>0.48374999999999996</v>
      </c>
      <c r="AJ148" s="86">
        <f>AVERAGEIFS($D$2:D148, $B$2:B148, B148)</f>
        <v>0.25</v>
      </c>
    </row>
    <row r="149" spans="1:36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6</v>
      </c>
      <c r="AH149" s="86">
        <f>AVERAGEIFS($I$2:I149, $B$2:B149, B149)</f>
        <v>0.125</v>
      </c>
      <c r="AI149" s="86">
        <f>AVERAGEIFS($J$2:J149, $B$2:B149, B149)</f>
        <v>0.28500000000000003</v>
      </c>
      <c r="AJ149" s="86">
        <f>AVERAGEIFS($D$2:D149, $B$2:B149, B149)</f>
        <v>0</v>
      </c>
    </row>
    <row r="150" spans="1:36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20</v>
      </c>
      <c r="AH150" s="86">
        <f>AVERAGEIFS($I$2:I150, $B$2:B150, B150)</f>
        <v>0.70833333333333337</v>
      </c>
      <c r="AI150" s="86">
        <f>AVERAGEIFS($J$2:J150, $B$2:B150, B150)</f>
        <v>0.61666666666666659</v>
      </c>
      <c r="AJ150" s="86">
        <f>AVERAGEIFS($D$2:D150, $B$2:B150, B150)</f>
        <v>0.66666666666666663</v>
      </c>
    </row>
    <row r="151" spans="1:36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17.888888888888889</v>
      </c>
      <c r="AH151" s="86">
        <f>AVERAGEIFS($I$2:I151, $B$2:B151, B151)</f>
        <v>0.41666666666666669</v>
      </c>
      <c r="AI151" s="86">
        <f>AVERAGEIFS($J$2:J151, $B$2:B151, B151)</f>
        <v>0.44222222222222218</v>
      </c>
      <c r="AJ151" s="86">
        <f>AVERAGEIFS($D$2:D151, $B$2:B151, B151)</f>
        <v>0.33333333333333331</v>
      </c>
    </row>
    <row r="152" spans="1:36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19.8</v>
      </c>
      <c r="AH152" s="86">
        <f>AVERAGEIFS($I$2:I152, $B$2:B152, B152)</f>
        <v>0.65999999999999992</v>
      </c>
      <c r="AI152" s="86">
        <f>AVERAGEIFS($J$2:J152, $B$2:B152, B152)</f>
        <v>0.57799999999999996</v>
      </c>
      <c r="AJ152" s="86">
        <f>AVERAGEIFS($D$2:D152, $B$2:B152, B152)</f>
        <v>0.7</v>
      </c>
    </row>
    <row r="153" spans="1:36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12.666666666666666</v>
      </c>
      <c r="AH153" s="86">
        <f>AVERAGEIFS($I$2:I153, $B$2:B153, B153)</f>
        <v>0.43888888888888888</v>
      </c>
      <c r="AI153" s="86">
        <f>AVERAGEIFS($J$2:J153, $B$2:B153, B153)</f>
        <v>0.45999999999999996</v>
      </c>
      <c r="AJ153" s="86">
        <f>AVERAGEIFS($D$2:D153, $B$2:B153, B153)</f>
        <v>0.22222222222222221</v>
      </c>
    </row>
    <row r="154" spans="1:36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5.666666666666667</v>
      </c>
      <c r="AH154" s="86">
        <f>AVERAGEIFS($I$2:I154, $B$2:B154, B154)</f>
        <v>0.16666666666666666</v>
      </c>
      <c r="AI154" s="86">
        <f>AVERAGEIFS($J$2:J154, $B$2:B154, B154)</f>
        <v>0.28000000000000003</v>
      </c>
      <c r="AJ154" s="86">
        <f>AVERAGEIFS($D$2:D154, $B$2:B154, B154)</f>
        <v>0</v>
      </c>
    </row>
    <row r="155" spans="1:36" x14ac:dyDescent="0.25">
      <c r="A155" s="85">
        <v>46126</v>
      </c>
      <c r="B155" t="s">
        <v>163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s="86">
        <f>AVERAGEIFS($C$2:C155, $B$2:B155, B155)</f>
        <v>5.5</v>
      </c>
      <c r="AH155" s="86">
        <f>AVERAGEIFS($I$2:I155, $B$2:B155, B155)</f>
        <v>0.6875</v>
      </c>
      <c r="AI155" s="86">
        <f>AVERAGEIFS($J$2:J155, $B$2:B155, B155)</f>
        <v>0.56499999999999995</v>
      </c>
      <c r="AJ155" s="86">
        <f>AVERAGEIFS($D$2:D155, $B$2:B155, B155)</f>
        <v>0.75</v>
      </c>
    </row>
    <row r="156" spans="1:36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1</v>
      </c>
      <c r="AC156">
        <v>0</v>
      </c>
      <c r="AD156">
        <v>0</v>
      </c>
      <c r="AE156">
        <v>0</v>
      </c>
      <c r="AF156">
        <v>0</v>
      </c>
      <c r="AG156" s="86">
        <f>AVERAGEIFS($C$2:C156, $B$2:B156, B156)</f>
        <v>20.272727272727273</v>
      </c>
      <c r="AH156" s="86">
        <f>AVERAGEIFS($I$2:I156, $B$2:B156, B156)</f>
        <v>0.37727272727272732</v>
      </c>
      <c r="AI156" s="86">
        <f>AVERAGEIFS($J$2:J156, $B$2:B156, B156)</f>
        <v>0.43090909090909091</v>
      </c>
      <c r="AJ156" s="86">
        <f>AVERAGEIFS($D$2:D156, $B$2:B156, B156)</f>
        <v>0.36363636363636365</v>
      </c>
    </row>
    <row r="157" spans="1:36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1</v>
      </c>
      <c r="AC157">
        <v>0</v>
      </c>
      <c r="AD157">
        <v>0</v>
      </c>
      <c r="AE157">
        <v>0</v>
      </c>
      <c r="AF157">
        <v>0</v>
      </c>
      <c r="AG157" s="86">
        <f>AVERAGEIFS($C$2:C157, $B$2:B157, B157)</f>
        <v>15.166666666666666</v>
      </c>
      <c r="AH157" s="86">
        <f>AVERAGEIFS($I$2:I157, $B$2:B157, B157)</f>
        <v>0.53333333333333333</v>
      </c>
      <c r="AI157" s="86">
        <f>AVERAGEIFS($J$2:J157, $B$2:B157, B157)</f>
        <v>0.52500000000000002</v>
      </c>
      <c r="AJ157" s="86">
        <f>AVERAGEIFS($D$2:D157, $B$2:B157, B157)</f>
        <v>0.66666666666666663</v>
      </c>
    </row>
    <row r="158" spans="1:36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1</v>
      </c>
      <c r="AC158">
        <v>0</v>
      </c>
      <c r="AD158">
        <v>0</v>
      </c>
      <c r="AE158">
        <v>0</v>
      </c>
      <c r="AF158">
        <v>0</v>
      </c>
      <c r="AG158" s="86">
        <f>AVERAGEIFS($C$2:C158, $B$2:B158, B158)</f>
        <v>13.777777777777779</v>
      </c>
      <c r="AH158" s="86">
        <f>AVERAGEIFS($I$2:I158, $B$2:B158, B158)</f>
        <v>0.37777777777777777</v>
      </c>
      <c r="AI158" s="86">
        <f>AVERAGEIFS($J$2:J158, $B$2:B158, B158)</f>
        <v>0.41111111111111115</v>
      </c>
      <c r="AJ158" s="86">
        <f>AVERAGEIFS($D$2:D158, $B$2:B158, B158)</f>
        <v>0.44444444444444442</v>
      </c>
    </row>
    <row r="159" spans="1:36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1</v>
      </c>
      <c r="AC159">
        <v>0</v>
      </c>
      <c r="AD159">
        <v>0</v>
      </c>
      <c r="AE159">
        <v>0</v>
      </c>
      <c r="AF159">
        <v>0</v>
      </c>
      <c r="AG159" s="86">
        <f>AVERAGEIFS($C$2:C159, $B$2:B159, B159)</f>
        <v>18.25</v>
      </c>
      <c r="AH159" s="86">
        <f>AVERAGEIFS($I$2:I159, $B$2:B159, B159)</f>
        <v>0.73750000000000004</v>
      </c>
      <c r="AI159" s="86">
        <f>AVERAGEIFS($J$2:J159, $B$2:B159, B159)</f>
        <v>0.66625000000000001</v>
      </c>
      <c r="AJ159" s="86">
        <f>AVERAGEIFS($D$2:D159, $B$2:B159, B159)</f>
        <v>0.75</v>
      </c>
    </row>
    <row r="160" spans="1:36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1</v>
      </c>
      <c r="AC160">
        <v>0</v>
      </c>
      <c r="AD160">
        <v>0</v>
      </c>
      <c r="AE160">
        <v>0</v>
      </c>
      <c r="AF160">
        <v>0</v>
      </c>
      <c r="AG160" s="86">
        <f>AVERAGEIFS($C$2:C160, $B$2:B160, B160)</f>
        <v>16.666666666666668</v>
      </c>
      <c r="AH160" s="86">
        <f>AVERAGEIFS($I$2:I160, $B$2:B160, B160)</f>
        <v>0.49444444444444446</v>
      </c>
      <c r="AI160" s="86">
        <f>AVERAGEIFS($J$2:J160, $B$2:B160, B160)</f>
        <v>0.51</v>
      </c>
      <c r="AJ160" s="86">
        <f>AVERAGEIFS($D$2:D160, $B$2:B160, B160)</f>
        <v>0.55555555555555558</v>
      </c>
    </row>
    <row r="161" spans="1:36" x14ac:dyDescent="0.25">
      <c r="A161" s="85">
        <v>46126</v>
      </c>
      <c r="B161" t="s">
        <v>168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1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5.5</v>
      </c>
      <c r="AH161" s="86">
        <f>AVERAGEIFS($I$2:I161, $B$2:B161, B161)</f>
        <v>0.375</v>
      </c>
      <c r="AI161" s="86">
        <f>AVERAGEIFS($J$2:J161, $B$2:B161, B161)</f>
        <v>0.45499999999999996</v>
      </c>
      <c r="AJ161" s="86">
        <f>AVERAGEIFS($D$2:D161, $B$2:B161, B161)</f>
        <v>0.5</v>
      </c>
    </row>
    <row r="162" spans="1:36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1</v>
      </c>
      <c r="AC162">
        <v>0</v>
      </c>
      <c r="AD162">
        <v>0</v>
      </c>
      <c r="AE162">
        <v>0</v>
      </c>
      <c r="AF162">
        <v>1</v>
      </c>
      <c r="AG162" s="86">
        <f>AVERAGEIFS($C$2:C162, $B$2:B162, B162)</f>
        <v>20.25</v>
      </c>
      <c r="AH162" s="86">
        <f>AVERAGEIFS($I$2:I162, $B$2:B162, B162)</f>
        <v>0.4291666666666667</v>
      </c>
      <c r="AI162" s="86">
        <f>AVERAGEIFS($J$2:J162, $B$2:B162, B162)</f>
        <v>0.47833333333333333</v>
      </c>
      <c r="AJ162" s="86">
        <f>AVERAGEIFS($D$2:D162, $B$2:B162, B162)</f>
        <v>0.41666666666666669</v>
      </c>
    </row>
    <row r="163" spans="1:36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1</v>
      </c>
      <c r="AC163">
        <v>0</v>
      </c>
      <c r="AD163">
        <v>0</v>
      </c>
      <c r="AE163">
        <v>0</v>
      </c>
      <c r="AF163">
        <v>1</v>
      </c>
      <c r="AG163" s="86">
        <f>AVERAGEIFS($C$2:C163, $B$2:B163, B163)</f>
        <v>21.142857142857142</v>
      </c>
      <c r="AH163" s="86">
        <f>AVERAGEIFS($I$2:I163, $B$2:B163, B163)</f>
        <v>0.59285714285714286</v>
      </c>
      <c r="AI163" s="86">
        <f>AVERAGEIFS($J$2:J163, $B$2:B163, B163)</f>
        <v>0.58714285714285708</v>
      </c>
      <c r="AJ163" s="86">
        <f>AVERAGEIFS($D$2:D163, $B$2:B163, B163)</f>
        <v>0.5714285714285714</v>
      </c>
    </row>
    <row r="164" spans="1:36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1</v>
      </c>
      <c r="AC164">
        <v>0</v>
      </c>
      <c r="AD164">
        <v>0</v>
      </c>
      <c r="AE164">
        <v>0</v>
      </c>
      <c r="AF164">
        <v>1</v>
      </c>
      <c r="AG164" s="86">
        <f>AVERAGEIFS($C$2:C164, $B$2:B164, B164)</f>
        <v>13.9</v>
      </c>
      <c r="AH164" s="86">
        <f>AVERAGEIFS($I$2:I164, $B$2:B164, B164)</f>
        <v>0.44000000000000006</v>
      </c>
      <c r="AI164" s="86">
        <f>AVERAGEIFS($J$2:J164, $B$2:B164, B164)</f>
        <v>0.47000000000000003</v>
      </c>
      <c r="AJ164" s="86">
        <f>AVERAGEIFS($D$2:D164, $B$2:B164, B164)</f>
        <v>0.5</v>
      </c>
    </row>
    <row r="165" spans="1:36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1</v>
      </c>
      <c r="AC165">
        <v>0</v>
      </c>
      <c r="AD165">
        <v>0</v>
      </c>
      <c r="AE165">
        <v>0</v>
      </c>
      <c r="AF165">
        <v>1</v>
      </c>
      <c r="AG165" s="86">
        <f>AVERAGEIFS($C$2:C165, $B$2:B165, B165)</f>
        <v>19.09090909090909</v>
      </c>
      <c r="AH165" s="86">
        <f>AVERAGEIFS($I$2:I165, $B$2:B165, B165)</f>
        <v>0.69090909090909092</v>
      </c>
      <c r="AI165" s="86">
        <f>AVERAGEIFS($J$2:J165, $B$2:B165, B165)</f>
        <v>0.61636363636363634</v>
      </c>
      <c r="AJ165" s="86">
        <f>AVERAGEIFS($D$2:D165, $B$2:B165, B165)</f>
        <v>0.72727272727272729</v>
      </c>
    </row>
    <row r="166" spans="1:36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1</v>
      </c>
      <c r="AC166">
        <v>0</v>
      </c>
      <c r="AD166">
        <v>0</v>
      </c>
      <c r="AE166">
        <v>0</v>
      </c>
      <c r="AF166">
        <v>1</v>
      </c>
      <c r="AG166" s="86">
        <f>AVERAGEIFS($C$2:C166, $B$2:B166, B166)</f>
        <v>15.8</v>
      </c>
      <c r="AH166" s="86">
        <f>AVERAGEIFS($I$2:I166, $B$2:B166, B166)</f>
        <v>0.54500000000000004</v>
      </c>
      <c r="AI166" s="86">
        <f>AVERAGEIFS($J$2:J166, $B$2:B166, B166)</f>
        <v>0.55899999999999994</v>
      </c>
      <c r="AJ166" s="86">
        <f>AVERAGEIFS($D$2:D166, $B$2:B166, B166)</f>
        <v>0.6</v>
      </c>
    </row>
    <row r="167" spans="1:36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1</v>
      </c>
      <c r="AG167" s="86">
        <f>AVERAGEIFS($C$2:C167, $B$2:B167, B167)</f>
        <v>5.75</v>
      </c>
      <c r="AH167" s="86">
        <f>AVERAGEIFS($I$2:I167, $B$2:B167, B167)</f>
        <v>0.375</v>
      </c>
      <c r="AI167" s="86">
        <f>AVERAGEIFS($J$2:J167, $B$2:B167, B167)</f>
        <v>0.46</v>
      </c>
      <c r="AJ167" s="86">
        <f>AVERAGEIFS($D$2:D167, $B$2:B167, B167)</f>
        <v>0.25</v>
      </c>
    </row>
    <row r="168" spans="1:36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17.899999999999999</v>
      </c>
      <c r="AH168" s="86">
        <f>AVERAGEIFS($I$2:I168, $B$2:B168, B168)</f>
        <v>0.375</v>
      </c>
      <c r="AI168" s="86">
        <f>AVERAGEIFS($J$2:J168, $B$2:B168, B168)</f>
        <v>0.39799999999999996</v>
      </c>
      <c r="AJ168" s="86">
        <f>AVERAGEIFS($D$2:D168, $B$2:B168, B168)</f>
        <v>0.3</v>
      </c>
    </row>
    <row r="169" spans="1:36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19.285714285714285</v>
      </c>
      <c r="AH169" s="86">
        <f>AVERAGEIFS($I$2:I169, $B$2:B169, B169)</f>
        <v>0.6071428571428571</v>
      </c>
      <c r="AI169" s="86">
        <f>AVERAGEIFS($J$2:J169, $B$2:B169, B169)</f>
        <v>0.52857142857142858</v>
      </c>
      <c r="AJ169" s="86">
        <f>AVERAGEIFS($D$2:D169, $B$2:B169, B169)</f>
        <v>0.5714285714285714</v>
      </c>
    </row>
    <row r="170" spans="1:36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16</v>
      </c>
      <c r="AH170" s="86">
        <f>AVERAGEIFS($I$2:I170, $B$2:B170, B170)</f>
        <v>0.27499999999999997</v>
      </c>
      <c r="AI170" s="86">
        <f>AVERAGEIFS($J$2:J170, $B$2:B170, B170)</f>
        <v>0.35499999999999998</v>
      </c>
      <c r="AJ170" s="86">
        <f>AVERAGEIFS($D$2:D170, $B$2:B170, B170)</f>
        <v>0.16666666666666666</v>
      </c>
    </row>
    <row r="171" spans="1:36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13</v>
      </c>
      <c r="AH171" s="86">
        <f>AVERAGEIFS($I$2:I171, $B$2:B171, B171)</f>
        <v>0.27500000000000002</v>
      </c>
      <c r="AI171" s="86">
        <f>AVERAGEIFS($J$2:J171, $B$2:B171, B171)</f>
        <v>0.34</v>
      </c>
      <c r="AJ171" s="86">
        <f>AVERAGEIFS($D$2:D171, $B$2:B171, B171)</f>
        <v>0.25</v>
      </c>
    </row>
    <row r="172" spans="1:36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18.2</v>
      </c>
      <c r="AH172" s="86">
        <f>AVERAGEIFS($I$2:I172, $B$2:B172, B172)</f>
        <v>0.48</v>
      </c>
      <c r="AI172" s="86">
        <f>AVERAGEIFS($J$2:J172, $B$2:B172, B172)</f>
        <v>0.49000000000000005</v>
      </c>
      <c r="AJ172" s="86">
        <f>AVERAGEIFS($D$2:D172, $B$2:B172, B172)</f>
        <v>0.4</v>
      </c>
    </row>
    <row r="173" spans="1:36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 s="86">
        <f>AVERAGEIFS($C$2:C173, $B$2:B173, B173)</f>
        <v>16.166666666666668</v>
      </c>
      <c r="AH173" s="86">
        <f>AVERAGEIFS($I$2:I173, $B$2:B173, B173)</f>
        <v>0.64166666666666672</v>
      </c>
      <c r="AI173" s="86">
        <f>AVERAGEIFS($J$2:J173, $B$2:B173, B173)</f>
        <v>0.53500000000000003</v>
      </c>
      <c r="AJ173" s="86">
        <f>AVERAGEIFS($D$2:D173, $B$2:B173, B173)</f>
        <v>0.83333333333333337</v>
      </c>
    </row>
    <row r="174" spans="1:36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1</v>
      </c>
      <c r="AC174">
        <v>0</v>
      </c>
      <c r="AD174">
        <v>1</v>
      </c>
      <c r="AE174">
        <v>0</v>
      </c>
      <c r="AF174">
        <v>1</v>
      </c>
      <c r="AG174" s="86">
        <f>AVERAGEIFS($C$2:C174, $B$2:B174, B174)</f>
        <v>21.625</v>
      </c>
      <c r="AH174" s="86">
        <f>AVERAGEIFS($I$2:I174, $B$2:B174, B174)</f>
        <v>0.61250000000000004</v>
      </c>
      <c r="AI174" s="86">
        <f>AVERAGEIFS($J$2:J174, $B$2:B174, B174)</f>
        <v>0.59249999999999992</v>
      </c>
      <c r="AJ174" s="86">
        <f>AVERAGEIFS($D$2:D174, $B$2:B174, B174)</f>
        <v>0.625</v>
      </c>
    </row>
    <row r="175" spans="1:36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1</v>
      </c>
      <c r="AC175">
        <v>0</v>
      </c>
      <c r="AD175">
        <v>1</v>
      </c>
      <c r="AE175">
        <v>0</v>
      </c>
      <c r="AF175">
        <v>1</v>
      </c>
      <c r="AG175" s="86">
        <f>AVERAGEIFS($C$2:C175, $B$2:B175, B175)</f>
        <v>18.5</v>
      </c>
      <c r="AH175" s="86">
        <f>AVERAGEIFS($I$2:I175, $B$2:B175, B175)</f>
        <v>0.52500000000000002</v>
      </c>
      <c r="AI175" s="86">
        <f>AVERAGEIFS($J$2:J175, $B$2:B175, B175)</f>
        <v>0.51333333333333331</v>
      </c>
      <c r="AJ175" s="86">
        <f>AVERAGEIFS($D$2:D175, $B$2:B175, B175)</f>
        <v>0.5</v>
      </c>
    </row>
    <row r="176" spans="1:36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1</v>
      </c>
      <c r="AC176">
        <v>0</v>
      </c>
      <c r="AD176">
        <v>1</v>
      </c>
      <c r="AE176">
        <v>0</v>
      </c>
      <c r="AF176">
        <v>1</v>
      </c>
      <c r="AG176" s="86">
        <f>AVERAGEIFS($C$2:C176, $B$2:B176, B176)</f>
        <v>18</v>
      </c>
      <c r="AH176" s="86">
        <f>AVERAGEIFS($I$2:I176, $B$2:B176, B176)</f>
        <v>0.73888888888888893</v>
      </c>
      <c r="AI176" s="86">
        <f>AVERAGEIFS($J$2:J176, $B$2:B176, B176)</f>
        <v>0.66222222222222227</v>
      </c>
      <c r="AJ176" s="86">
        <f>AVERAGEIFS($D$2:D176, $B$2:B176, B176)</f>
        <v>0.77777777777777779</v>
      </c>
    </row>
    <row r="177" spans="1:36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1</v>
      </c>
      <c r="AC177">
        <v>0</v>
      </c>
      <c r="AD177">
        <v>1</v>
      </c>
      <c r="AE177">
        <v>0</v>
      </c>
      <c r="AF177">
        <v>1</v>
      </c>
      <c r="AG177" s="86">
        <f>AVERAGEIFS($C$2:C177, $B$2:B177, B177)</f>
        <v>15.636363636363637</v>
      </c>
      <c r="AH177" s="86">
        <f>AVERAGEIFS($I$2:I177, $B$2:B177, B177)</f>
        <v>0.5636363636363636</v>
      </c>
      <c r="AI177" s="86">
        <f>AVERAGEIFS($J$2:J177, $B$2:B177, B177)</f>
        <v>0.56545454545454543</v>
      </c>
      <c r="AJ177" s="86">
        <f>AVERAGEIFS($D$2:D177, $B$2:B177, B177)</f>
        <v>0.63636363636363635</v>
      </c>
    </row>
    <row r="178" spans="1:36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</v>
      </c>
      <c r="AC178">
        <v>0</v>
      </c>
      <c r="AD178">
        <v>1</v>
      </c>
      <c r="AE178">
        <v>0</v>
      </c>
      <c r="AF178">
        <v>1</v>
      </c>
      <c r="AG178" s="86">
        <f>AVERAGEIFS($C$2:C178, $B$2:B178, B178)</f>
        <v>9</v>
      </c>
      <c r="AH178" s="86">
        <f>AVERAGEIFS($I$2:I178, $B$2:B178, B178)</f>
        <v>0.45</v>
      </c>
      <c r="AI178" s="86">
        <f>AVERAGEIFS($J$2:J178, $B$2:B178, B178)</f>
        <v>0.51333333333333331</v>
      </c>
      <c r="AJ178" s="86">
        <f>AVERAGEIFS($D$2:D178, $B$2:B178, B178)</f>
        <v>0.66666666666666663</v>
      </c>
    </row>
    <row r="179" spans="1:36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0</v>
      </c>
      <c r="AD179">
        <v>1</v>
      </c>
      <c r="AE179">
        <v>0</v>
      </c>
      <c r="AF179">
        <v>1</v>
      </c>
      <c r="AG179" s="86">
        <f>AVERAGEIFS($C$2:C179, $B$2:B179, B179)</f>
        <v>17.181818181818183</v>
      </c>
      <c r="AH179" s="86">
        <f>AVERAGEIFS($I$2:I179, $B$2:B179, B179)</f>
        <v>0.40909090909090912</v>
      </c>
      <c r="AI179" s="86">
        <f>AVERAGEIFS($J$2:J179, $B$2:B179, B179)</f>
        <v>0.41909090909090901</v>
      </c>
      <c r="AJ179" s="86">
        <f>AVERAGEIFS($D$2:D179, $B$2:B179, B179)</f>
        <v>0.36363636363636365</v>
      </c>
    </row>
    <row r="180" spans="1:36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20.46153846153846</v>
      </c>
      <c r="AH180" s="86">
        <f>AVERAGEIFS($I$2:I180, $B$2:B180, B180)</f>
        <v>0.41538461538461541</v>
      </c>
      <c r="AI180" s="86">
        <f>AVERAGEIFS($J$2:J180, $B$2:B180, B180)</f>
        <v>0.47076923076923077</v>
      </c>
      <c r="AJ180" s="86">
        <f>AVERAGEIFS($D$2:D180, $B$2:B180, B180)</f>
        <v>0.38461538461538464</v>
      </c>
    </row>
    <row r="181" spans="1:36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15.571428571428571</v>
      </c>
      <c r="AH181" s="86">
        <f>AVERAGEIFS($I$2:I181, $B$2:B181, B181)</f>
        <v>0.49285714285714288</v>
      </c>
      <c r="AI181" s="86">
        <f>AVERAGEIFS($J$2:J181, $B$2:B181, B181)</f>
        <v>0.50428571428571434</v>
      </c>
      <c r="AJ181" s="86">
        <f>AVERAGEIFS($D$2:D181, $B$2:B181, B181)</f>
        <v>0.5714285714285714</v>
      </c>
    </row>
    <row r="182" spans="1:36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16.142857142857142</v>
      </c>
      <c r="AH182" s="86">
        <f>AVERAGEIFS($I$2:I182, $B$2:B182, B182)</f>
        <v>0.58571428571428563</v>
      </c>
      <c r="AI182" s="86">
        <f>AVERAGEIFS($J$2:J182, $B$2:B182, B182)</f>
        <v>0.51285714285714279</v>
      </c>
      <c r="AJ182" s="86">
        <f>AVERAGEIFS($D$2:D182, $B$2:B182, B182)</f>
        <v>0.7142857142857143</v>
      </c>
    </row>
    <row r="183" spans="1:36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19</v>
      </c>
      <c r="AH183" s="86">
        <f>AVERAGEIFS($I$2:I183, $B$2:B183, B183)</f>
        <v>0.49090909090909096</v>
      </c>
      <c r="AI183" s="86">
        <f>AVERAGEIFS($J$2:J183, $B$2:B183, B183)</f>
        <v>0.49545454545454548</v>
      </c>
      <c r="AJ183" s="86">
        <f>AVERAGEIFS($D$2:D183, $B$2:B183, B183)</f>
        <v>0.45454545454545453</v>
      </c>
    </row>
    <row r="184" spans="1:36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13.636363636363637</v>
      </c>
      <c r="AH184" s="86">
        <f>AVERAGEIFS($I$2:I184, $B$2:B184, B184)</f>
        <v>0.42272727272727278</v>
      </c>
      <c r="AI184" s="86">
        <f>AVERAGEIFS($J$2:J184, $B$2:B184, B184)</f>
        <v>0.46181818181818185</v>
      </c>
      <c r="AJ184" s="86">
        <f>AVERAGEIFS($D$2:D184, $B$2:B184, B184)</f>
        <v>0.45454545454545453</v>
      </c>
    </row>
    <row r="185" spans="1:36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1</v>
      </c>
      <c r="AD185">
        <v>0</v>
      </c>
      <c r="AE185">
        <v>0</v>
      </c>
      <c r="AF185">
        <v>0</v>
      </c>
      <c r="AG185" s="86">
        <f>AVERAGEIFS($C$2:C185, $B$2:B185, B185)</f>
        <v>6.2</v>
      </c>
      <c r="AH185" s="86">
        <f>AVERAGEIFS($I$2:I185, $B$2:B185, B185)</f>
        <v>0.35</v>
      </c>
      <c r="AI185" s="86">
        <f>AVERAGEIFS($J$2:J185, $B$2:B185, B185)</f>
        <v>0.44400000000000006</v>
      </c>
      <c r="AJ185" s="86">
        <f>AVERAGEIFS($D$2:D185, $B$2:B185, B185)</f>
        <v>0.2</v>
      </c>
    </row>
    <row r="186" spans="1:36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15.333333333333334</v>
      </c>
      <c r="AH186" s="86">
        <f>AVERAGEIFS($I$2:I186, $B$2:B186, B186)</f>
        <v>0.57916666666666672</v>
      </c>
      <c r="AI186" s="86">
        <f>AVERAGEIFS($J$2:J186, $B$2:B186, B186)</f>
        <v>0.56499999999999995</v>
      </c>
      <c r="AJ186" s="86">
        <f>AVERAGEIFS($D$2:D186, $B$2:B186, B186)</f>
        <v>0.66666666666666663</v>
      </c>
    </row>
    <row r="187" spans="1:36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22.111111111111111</v>
      </c>
      <c r="AH187" s="86">
        <f>AVERAGEIFS($I$2:I187, $B$2:B187, B187)</f>
        <v>0.62777777777777777</v>
      </c>
      <c r="AI187" s="86">
        <f>AVERAGEIFS($J$2:J187, $B$2:B187, B187)</f>
        <v>0.5888888888888888</v>
      </c>
      <c r="AJ187" s="86">
        <f>AVERAGEIFS($D$2:D187, $B$2:B187, B187)</f>
        <v>0.66666666666666663</v>
      </c>
    </row>
    <row r="188" spans="1:36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15.75</v>
      </c>
      <c r="AH188" s="86">
        <f>AVERAGEIFS($I$2:I188, $B$2:B188, B188)</f>
        <v>0.52500000000000002</v>
      </c>
      <c r="AI188" s="86">
        <f>AVERAGEIFS($J$2:J188, $B$2:B188, B188)</f>
        <v>0.51124999999999998</v>
      </c>
      <c r="AJ188" s="86">
        <f>AVERAGEIFS($D$2:D188, $B$2:B188, B188)</f>
        <v>0.625</v>
      </c>
    </row>
    <row r="189" spans="1:36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18.600000000000001</v>
      </c>
      <c r="AH189" s="86">
        <f>AVERAGEIFS($I$2:I189, $B$2:B189, B189)</f>
        <v>0.74</v>
      </c>
      <c r="AI189" s="86">
        <f>AVERAGEIFS($J$2:J189, $B$2:B189, B189)</f>
        <v>0.65199999999999991</v>
      </c>
      <c r="AJ189" s="86">
        <f>AVERAGEIFS($D$2:D189, $B$2:B189, B189)</f>
        <v>0.8</v>
      </c>
    </row>
    <row r="190" spans="1:36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13.583333333333334</v>
      </c>
      <c r="AH190" s="86">
        <f>AVERAGEIFS($I$2:I190, $B$2:B190, B190)</f>
        <v>0.45</v>
      </c>
      <c r="AI190" s="86">
        <f>AVERAGEIFS($J$2:J190, $B$2:B190, B190)</f>
        <v>0.47000000000000003</v>
      </c>
      <c r="AJ190" s="86">
        <f>AVERAGEIFS($D$2:D190, $B$2:B190, B190)</f>
        <v>0.5</v>
      </c>
    </row>
    <row r="191" spans="1:36" x14ac:dyDescent="0.25">
      <c r="A191" s="85">
        <v>46130</v>
      </c>
      <c r="B191" t="s">
        <v>163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 s="86">
        <f>AVERAGEIFS($C$2:C191, $B$2:B191, B191)</f>
        <v>5</v>
      </c>
      <c r="AH191" s="86">
        <f>AVERAGEIFS($I$2:I191, $B$2:B191, B191)</f>
        <v>0.7</v>
      </c>
      <c r="AI191" s="86">
        <f>AVERAGEIFS($J$2:J191, $B$2:B191, B191)</f>
        <v>0.56399999999999995</v>
      </c>
      <c r="AJ191" s="86">
        <f>AVERAGEIFS($D$2:D191, $B$2:B191, B191)</f>
        <v>0.8</v>
      </c>
    </row>
    <row r="192" spans="1:36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1</v>
      </c>
      <c r="AC192">
        <v>0</v>
      </c>
      <c r="AD192">
        <v>0</v>
      </c>
      <c r="AE192">
        <v>0</v>
      </c>
      <c r="AF192">
        <v>0</v>
      </c>
      <c r="AG192" s="86">
        <f>AVERAGEIFS($C$2:C192, $B$2:B192, B192)</f>
        <v>27.571428571428573</v>
      </c>
      <c r="AH192" s="86">
        <f>AVERAGEIFS($I$2:I192, $B$2:B192, B192)</f>
        <v>0.6</v>
      </c>
      <c r="AI192" s="86">
        <f>AVERAGEIFS($J$2:J192, $B$2:B192, B192)</f>
        <v>0.54571428571428571</v>
      </c>
      <c r="AJ192" s="86">
        <f>AVERAGEIFS($D$2:D192, $B$2:B192, B192)</f>
        <v>0.7142857142857143</v>
      </c>
    </row>
    <row r="193" spans="1:36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1</v>
      </c>
      <c r="AC193">
        <v>0</v>
      </c>
      <c r="AD193">
        <v>0</v>
      </c>
      <c r="AE193">
        <v>0</v>
      </c>
      <c r="AF193">
        <v>0</v>
      </c>
      <c r="AG193" s="86">
        <f>AVERAGEIFS($C$2:C193, $B$2:B193, B193)</f>
        <v>17.285714285714285</v>
      </c>
      <c r="AH193" s="86">
        <f>AVERAGEIFS($I$2:I193, $B$2:B193, B193)</f>
        <v>0.48571428571428571</v>
      </c>
      <c r="AI193" s="86">
        <f>AVERAGEIFS($J$2:J193, $B$2:B193, B193)</f>
        <v>0.50285714285714289</v>
      </c>
      <c r="AJ193" s="86">
        <f>AVERAGEIFS($D$2:D193, $B$2:B193, B193)</f>
        <v>0.42857142857142855</v>
      </c>
    </row>
    <row r="194" spans="1:36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1</v>
      </c>
      <c r="AC194">
        <v>0</v>
      </c>
      <c r="AD194">
        <v>0</v>
      </c>
      <c r="AE194">
        <v>0</v>
      </c>
      <c r="AF194">
        <v>0</v>
      </c>
      <c r="AG194" s="86">
        <f>AVERAGEIFS($C$2:C194, $B$2:B194, B194)</f>
        <v>19.75</v>
      </c>
      <c r="AH194" s="86">
        <f>AVERAGEIFS($I$2:I194, $B$2:B194, B194)</f>
        <v>0.65416666666666667</v>
      </c>
      <c r="AI194" s="86">
        <f>AVERAGEIFS($J$2:J194, $B$2:B194, B194)</f>
        <v>0.60166666666666668</v>
      </c>
      <c r="AJ194" s="86">
        <f>AVERAGEIFS($D$2:D194, $B$2:B194, B194)</f>
        <v>0.66666666666666663</v>
      </c>
    </row>
    <row r="195" spans="1:36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1</v>
      </c>
      <c r="AC195">
        <v>0</v>
      </c>
      <c r="AD195">
        <v>0</v>
      </c>
      <c r="AE195">
        <v>0</v>
      </c>
      <c r="AF195">
        <v>0</v>
      </c>
      <c r="AG195" s="86">
        <f>AVERAGEIFS($C$2:C195, $B$2:B195, B195)</f>
        <v>11.75</v>
      </c>
      <c r="AH195" s="86">
        <f>AVERAGEIFS($I$2:I195, $B$2:B195, B195)</f>
        <v>0.47499999999999998</v>
      </c>
      <c r="AI195" s="86">
        <f>AVERAGEIFS($J$2:J195, $B$2:B195, B195)</f>
        <v>0.57000000000000006</v>
      </c>
      <c r="AJ195" s="86">
        <f>AVERAGEIFS($D$2:D195, $B$2:B195, B195)</f>
        <v>0.25</v>
      </c>
    </row>
    <row r="196" spans="1:36" x14ac:dyDescent="0.25">
      <c r="A196" s="85">
        <v>46130</v>
      </c>
      <c r="B196" t="s">
        <v>170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1</v>
      </c>
      <c r="AC196">
        <v>0</v>
      </c>
      <c r="AD196">
        <v>0</v>
      </c>
      <c r="AE196">
        <v>0</v>
      </c>
      <c r="AF196">
        <v>0</v>
      </c>
      <c r="AG196" s="86">
        <f>AVERAGEIFS($C$2:C196, $B$2:B196, B196)</f>
        <v>10</v>
      </c>
      <c r="AH196" s="86">
        <f>AVERAGEIFS($I$2:I196, $B$2:B196, B196)</f>
        <v>0.5</v>
      </c>
      <c r="AI196" s="86">
        <f>AVERAGEIFS($J$2:J196, $B$2:B196, B196)</f>
        <v>0.5</v>
      </c>
      <c r="AJ196" s="86">
        <f>AVERAGEIFS($D$2:D196, $B$2:B196, B196)</f>
        <v>0.5</v>
      </c>
    </row>
    <row r="197" spans="1:36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1</v>
      </c>
      <c r="AC197">
        <v>0</v>
      </c>
      <c r="AD197">
        <v>0</v>
      </c>
      <c r="AE197">
        <v>0</v>
      </c>
      <c r="AF197">
        <v>0</v>
      </c>
      <c r="AG197" s="86">
        <f>AVERAGEIFS($C$2:C197, $B$2:B197, B197)</f>
        <v>12.7</v>
      </c>
      <c r="AH197" s="86">
        <f>AVERAGEIFS($I$2:I197, $B$2:B197, B197)</f>
        <v>0.41999999999999993</v>
      </c>
      <c r="AI197" s="86">
        <f>AVERAGEIFS($J$2:J197, $B$2:B197, B197)</f>
        <v>0.45800000000000002</v>
      </c>
      <c r="AJ197" s="86">
        <f>AVERAGEIFS($D$2:D197, $B$2:B197, B197)</f>
        <v>0.2</v>
      </c>
    </row>
  </sheetData>
  <autoFilter ref="A1:AJ185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59"/>
  <sheetViews>
    <sheetView workbookViewId="0">
      <selection activeCell="C1" sqref="C1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43" sqref="C4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37</v>
      </c>
      <c r="B2" s="2" t="s">
        <v>79</v>
      </c>
      <c r="C2" s="2" t="s">
        <v>79</v>
      </c>
      <c r="D2" s="34">
        <f>SUMIFS('Tourney History'!C:C,'Tourney History'!B:B,A2)</f>
        <v>126</v>
      </c>
      <c r="E2" s="4">
        <f>AVERAGEIFS('Tourney History'!C:C,'Tourney History'!B:B,A2)</f>
        <v>21</v>
      </c>
      <c r="F2" s="35">
        <f t="array" ref="F2">MAX(IF('Tourney History'!B:B=A2, 'Tourney History'!C:C))</f>
        <v>33</v>
      </c>
      <c r="G2" s="34">
        <f>COUNTIFS('Tourney History'!B:B,A2,'Tourney History'!D:D, 1)</f>
        <v>2</v>
      </c>
      <c r="H2" s="2">
        <f>COUNTIFS('Tourney History'!B:B,A2,'Tourney History'!D:D, 0)</f>
        <v>4</v>
      </c>
      <c r="I2" s="88">
        <f>LOOKUP(2, 1/('Tourney History'!$B:$B=A2), 'Tourney History'!$AD:$AD)</f>
        <v>0.33333333333333331</v>
      </c>
      <c r="J2" s="34">
        <f>SUMIFS('Tourney History'!F:F,'Tourney History'!B:B,A2)</f>
        <v>10</v>
      </c>
      <c r="K2" s="2">
        <f>SUMIFS('Tourney History'!E:E,'Tourney History'!B:B,A2)-J2</f>
        <v>15</v>
      </c>
      <c r="L2" s="88">
        <f>LOOKUP(2, 1/('Tourney History'!$B:$B=A2), 'Tourney History'!$AB:$AB)</f>
        <v>0.375</v>
      </c>
      <c r="M2" s="34">
        <f>SUMIFS('Tourney History'!H:H,'Tourney History'!B:B,A2)</f>
        <v>45</v>
      </c>
      <c r="N2" s="2">
        <f>SUMIFS('Tourney History'!G:G,'Tourney History'!B:B,A2)-M2</f>
        <v>55</v>
      </c>
      <c r="O2" s="88">
        <f>LOOKUP(2, 1/('Tourney History'!$B:$B=A2), 'Tourney History'!$AC:$AC)</f>
        <v>0.43333333333333335</v>
      </c>
      <c r="P2" s="2">
        <f>COUNTIFS('Tourney History'!$B:$B,$A$2,'Tourney History'!K:K, 1)</f>
        <v>1</v>
      </c>
      <c r="Q2" s="2">
        <f>COUNTIFS('Tourney History'!$B:$B,$A$2,'Tourney History'!L:L, 1)</f>
        <v>0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1</v>
      </c>
      <c r="U2" s="2">
        <f>COUNTIFS('Tourney History'!$B:$B,$A$2,'Tourney History'!P:P, 1)</f>
        <v>2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3</v>
      </c>
      <c r="AD2" s="2">
        <f>COUNTIFS('Tourney History'!$B:$B,$A$2,'Tourney History'!Y:Y, 1)</f>
        <v>0</v>
      </c>
      <c r="AE2" s="2">
        <f>COUNTIFS('Tourney History'!$B:$B,$A$2,'Tourney History'!Z:Z, 1)</f>
        <v>2</v>
      </c>
    </row>
    <row r="3" spans="1:31" ht="15.75" x14ac:dyDescent="0.25">
      <c r="A3" s="2" t="s">
        <v>35</v>
      </c>
      <c r="B3" s="80" t="s">
        <v>60</v>
      </c>
      <c r="C3" s="2" t="s">
        <v>79</v>
      </c>
      <c r="D3" s="34">
        <f>SUMIFS('Tourney History'!C:C,'Tourney History'!B:B,A3)</f>
        <v>41</v>
      </c>
      <c r="E3" s="4">
        <f>AVERAGEIFS('Tourney History'!C:C,'Tourney History'!B:B,A3)</f>
        <v>10.25</v>
      </c>
      <c r="F3" s="35">
        <f t="array" ref="F3">MAX(IF('Tourney History'!B:B=A3, 'Tourney History'!C:C))</f>
        <v>17</v>
      </c>
      <c r="G3" s="34">
        <f>COUNTIFS('Tourney History'!B:B,A3,'Tourney History'!D:D, 1)</f>
        <v>2</v>
      </c>
      <c r="H3" s="2">
        <f>COUNTIFS('Tourney History'!B:B,A3,'Tourney History'!D:D, 0)</f>
        <v>2</v>
      </c>
      <c r="I3" s="88">
        <f>LOOKUP(2, 1/('Tourney History'!$B:$B=A3), 'Tourney History'!$AD:$AD)</f>
        <v>0.5</v>
      </c>
      <c r="J3" s="34">
        <f>SUMIFS('Tourney History'!F:F,'Tourney History'!B:B,A3)</f>
        <v>7</v>
      </c>
      <c r="K3" s="2">
        <f>SUMIFS('Tourney History'!E:E,'Tourney History'!B:B,A3)-J3</f>
        <v>8</v>
      </c>
      <c r="L3" s="88">
        <f>LOOKUP(2, 1/('Tourney History'!$B:$B=A3), 'Tourney History'!$AB:$AB)</f>
        <v>0.4375</v>
      </c>
      <c r="M3" s="34">
        <f>SUMIFS('Tourney History'!H:H,'Tourney History'!B:B,A3)</f>
        <v>31</v>
      </c>
      <c r="N3" s="2">
        <f>SUMIFS('Tourney History'!G:G,'Tourney History'!B:B,A3)-M3</f>
        <v>29</v>
      </c>
      <c r="O3" s="88">
        <f>LOOKUP(2, 1/('Tourney History'!$B:$B=A3), 'Tourney History'!$AC:$AC)</f>
        <v>0.50749999999999995</v>
      </c>
      <c r="P3" s="2">
        <f>COUNTIFS('Tourney History'!$B:$B,$A$3,'Tourney History'!K:K, 1)</f>
        <v>0</v>
      </c>
      <c r="Q3" s="2">
        <f>COUNTIFS('Tourney History'!$B:$B,$A$3,'Tourney History'!L:L, 1)</f>
        <v>1</v>
      </c>
      <c r="R3" s="2">
        <f>COUNTIFS('Tourney History'!$B:$B,$A$3,'Tourney History'!M:M, 1)</f>
        <v>0</v>
      </c>
      <c r="S3" s="2">
        <f>COUNTIFS('Tourney History'!$B:$B,$A$3,'Tourney History'!N:N, 1)</f>
        <v>2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2</v>
      </c>
      <c r="AC3" s="2">
        <f>COUNTIFS('Tourney History'!$B:$B,$A$3,'Tourney History'!X:X, 1)</f>
        <v>0</v>
      </c>
      <c r="AD3" s="2">
        <f>COUNTIFS('Tourney History'!$B:$B,$A$3,'Tourney History'!Y:Y, 1)</f>
        <v>0</v>
      </c>
      <c r="AE3" s="2">
        <f>COUNTIFS('Tourney History'!$B:$B,$A$3,'Tourney History'!Z:Z, 1)</f>
        <v>1</v>
      </c>
    </row>
    <row r="4" spans="1:31" ht="15.75" x14ac:dyDescent="0.25">
      <c r="A4" s="2" t="s">
        <v>19</v>
      </c>
      <c r="B4" s="95" t="s">
        <v>79</v>
      </c>
      <c r="C4" s="2" t="s">
        <v>79</v>
      </c>
      <c r="D4" s="34">
        <f>SUMIFS('Tourney History'!C:C,'Tourney History'!B:B,A4)</f>
        <v>111</v>
      </c>
      <c r="E4" s="4">
        <f>AVERAGEIFS('Tourney History'!C:C,'Tourney History'!B:B,A4)</f>
        <v>13.875</v>
      </c>
      <c r="F4" s="35">
        <f t="array" ref="F4">MAX(IF('Tourney History'!B:B=A4, 'Tourney History'!C:C))</f>
        <v>26</v>
      </c>
      <c r="G4" s="34">
        <f>COUNTIFS('Tourney History'!B:B,A4,'Tourney History'!D:D, 1)</f>
        <v>3</v>
      </c>
      <c r="H4" s="2">
        <f>COUNTIFS('Tourney History'!B:B,A4,'Tourney History'!D:D, 0)</f>
        <v>5</v>
      </c>
      <c r="I4" s="88">
        <f>LOOKUP(2, 1/('Tourney History'!$B:$B=A4), 'Tourney History'!$AD:$AD)</f>
        <v>0.375</v>
      </c>
      <c r="J4" s="34">
        <f>SUMIFS('Tourney History'!F:F,'Tourney History'!B:B,A4)</f>
        <v>15</v>
      </c>
      <c r="K4" s="2">
        <f>SUMIFS('Tourney History'!E:E,'Tourney History'!B:B,A4)-J4</f>
        <v>18</v>
      </c>
      <c r="L4" s="88">
        <f>LOOKUP(2, 1/('Tourney History'!$B:$B=A4), 'Tourney History'!$AB:$AB)</f>
        <v>0.45624999999999999</v>
      </c>
      <c r="M4" s="34">
        <f>SUMIFS('Tourney History'!H:H,'Tourney History'!B:B,A4)</f>
        <v>65</v>
      </c>
      <c r="N4" s="2">
        <f>SUMIFS('Tourney History'!G:G,'Tourney History'!B:B,A4)-M4</f>
        <v>71</v>
      </c>
      <c r="O4" s="88">
        <f>LOOKUP(2, 1/('Tourney History'!$B:$B=A4), 'Tourney History'!$AC:$AC)</f>
        <v>0.47125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1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3</v>
      </c>
      <c r="AC4" s="2">
        <f>COUNTIFS('Tourney History'!$B:$B,$A$4,'Tourney History'!X:X, 1)</f>
        <v>4</v>
      </c>
      <c r="AD4" s="2">
        <f>COUNTIFS('Tourney History'!$B:$B,$A$4,'Tourney History'!Y:Y, 1)</f>
        <v>0</v>
      </c>
      <c r="AE4" s="2">
        <f>COUNTIFS('Tourney History'!$B:$B,$A$4,'Tourney History'!Z:Z, 1)</f>
        <v>3</v>
      </c>
    </row>
    <row r="5" spans="1:31" x14ac:dyDescent="0.25">
      <c r="A5" s="1" t="s">
        <v>42</v>
      </c>
      <c r="B5" s="6" t="s">
        <v>60</v>
      </c>
      <c r="C5" s="2" t="s">
        <v>79</v>
      </c>
      <c r="D5" s="34">
        <f>SUMIFS('Tourney History'!C:C,'Tourney History'!B:B,A5)</f>
        <v>18</v>
      </c>
      <c r="E5" s="4">
        <f>AVERAGEIFS('Tourney History'!C:C,'Tourney History'!B:B,A5)</f>
        <v>9</v>
      </c>
      <c r="F5" s="35">
        <f t="array" ref="F5">MAX(IF('Tourney History'!B:B=A5, 'Tourney History'!C:C))</f>
        <v>12</v>
      </c>
      <c r="G5" s="34">
        <f>COUNTIFS('Tourney History'!B:B,A5,'Tourney History'!D:D, 1)</f>
        <v>2</v>
      </c>
      <c r="H5" s="2">
        <f>COUNTIFS('Tourney History'!B:B,A5,'Tourney History'!D:D, 0)</f>
        <v>0</v>
      </c>
      <c r="I5" s="88">
        <f>LOOKUP(2, 1/('Tourney History'!$B:$B=A5), 'Tourney History'!$AD:$AD)</f>
        <v>1</v>
      </c>
      <c r="J5" s="34">
        <f>SUMIFS('Tourney History'!F:F,'Tourney History'!B:B,A5)</f>
        <v>6</v>
      </c>
      <c r="K5" s="2">
        <f>SUMIFS('Tourney History'!E:E,'Tourney History'!B:B,A5)-J5</f>
        <v>2</v>
      </c>
      <c r="L5" s="88">
        <f>LOOKUP(2, 1/('Tourney History'!$B:$B=A5), 'Tourney History'!$AB:$AB)</f>
        <v>0.8</v>
      </c>
      <c r="M5" s="34">
        <f>SUMIFS('Tourney History'!H:H,'Tourney History'!B:B,A5)</f>
        <v>20</v>
      </c>
      <c r="N5" s="2">
        <f>SUMIFS('Tourney History'!G:G,'Tourney History'!B:B,A5)-M5</f>
        <v>12</v>
      </c>
      <c r="O5" s="88">
        <f>LOOKUP(2, 1/('Tourney History'!$B:$B=A5), 'Tourney History'!$AC:$AC)</f>
        <v>0.66999999999999993</v>
      </c>
      <c r="P5" s="2">
        <f>COUNTIFS('Tourney History'!$B:$B,$A$5,'Tourney History'!K:K, 1)</f>
        <v>0</v>
      </c>
      <c r="Q5" s="2">
        <f>COUNTIFS('Tourney History'!$B:$B,$A$5,'Tourney History'!L:L, 1)</f>
        <v>2</v>
      </c>
      <c r="R5" s="2">
        <f>COUNTIFS('Tourney History'!$B:$B,$A$5,'Tourney History'!M:M, 1)</f>
        <v>1</v>
      </c>
      <c r="S5" s="2">
        <f>COUNTIFS('Tourney History'!$B:$B,$A$5,'Tourney History'!N:N, 1)</f>
        <v>0</v>
      </c>
      <c r="T5" s="2">
        <f>COUNTIFS('Tourney History'!$B:$B,$A$5,'Tourney History'!O:O, 1)</f>
        <v>1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1</v>
      </c>
      <c r="AC5" s="2">
        <f>COUNTIFS('Tourney History'!$B:$B,$A$5,'Tourney History'!X:X, 1)</f>
        <v>0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x14ac:dyDescent="0.25">
      <c r="A6" s="1" t="s">
        <v>25</v>
      </c>
      <c r="B6" s="6" t="s">
        <v>79</v>
      </c>
      <c r="C6" s="2" t="s">
        <v>79</v>
      </c>
      <c r="D6" s="34">
        <f>SUMIFS('Tourney History'!C:C,'Tourney History'!B:B,A6)</f>
        <v>67</v>
      </c>
      <c r="E6" s="4">
        <f>AVERAGEIFS('Tourney History'!C:C,'Tourney History'!B:B,A6)</f>
        <v>22.333333333333332</v>
      </c>
      <c r="F6" s="35">
        <f t="array" ref="F6">MAX(IF('Tourney History'!B:B=A6, 'Tourney History'!C:C))</f>
        <v>31</v>
      </c>
      <c r="G6" s="34">
        <f>COUNTIFS('Tourney History'!B:B,A6,'Tourney History'!D:D, 1)</f>
        <v>0</v>
      </c>
      <c r="H6" s="2">
        <f>COUNTIFS('Tourney History'!B:B,A6,'Tourney History'!D:D, 0)</f>
        <v>3</v>
      </c>
      <c r="I6" s="88">
        <f>LOOKUP(2, 1/('Tourney History'!$B:$B=A6), 'Tourney History'!$AD:$AD)</f>
        <v>0</v>
      </c>
      <c r="J6" s="34">
        <f>SUMIFS('Tourney History'!F:F,'Tourney History'!B:B,A6)</f>
        <v>5</v>
      </c>
      <c r="K6" s="2">
        <f>SUMIFS('Tourney History'!E:E,'Tourney History'!B:B,A6)-J6</f>
        <v>9</v>
      </c>
      <c r="L6" s="88">
        <f>LOOKUP(2, 1/('Tourney History'!$B:$B=A6), 'Tourney History'!$AB:$AB)</f>
        <v>0.35000000000000003</v>
      </c>
      <c r="M6" s="34">
        <f>SUMIFS('Tourney History'!H:H,'Tourney History'!B:B,A6)</f>
        <v>27</v>
      </c>
      <c r="N6" s="2">
        <f>SUMIFS('Tourney History'!G:G,'Tourney History'!B:B,A6)-M6</f>
        <v>33</v>
      </c>
      <c r="O6" s="88">
        <f>LOOKUP(2, 1/('Tourney History'!$B:$B=A6), 'Tourney History'!$AC:$AC)</f>
        <v>0.45</v>
      </c>
      <c r="P6" s="2">
        <f>COUNTIFS('Tourney History'!$B:$B,$A$6,'Tourney History'!K:K, 1)</f>
        <v>0</v>
      </c>
      <c r="Q6" s="2">
        <f>COUNTIFS('Tourney History'!$B:$B,$A$6,'Tourney History'!L:L, 1)</f>
        <v>0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0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1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0</v>
      </c>
      <c r="AC6" s="2">
        <f>COUNTIFS('Tourney History'!$B:$B,$A$6,'Tourney History'!X:X, 1)</f>
        <v>0</v>
      </c>
      <c r="AD6" s="2">
        <f>COUNTIFS('Tourney History'!$B:$B,$A$6,'Tourney History'!Y:Y, 1)</f>
        <v>1</v>
      </c>
      <c r="AE6" s="2">
        <f>COUNTIFS('Tourney History'!$B:$B,$A$6,'Tourney History'!Z:Z, 1)</f>
        <v>2</v>
      </c>
    </row>
    <row r="7" spans="1:31" x14ac:dyDescent="0.25">
      <c r="A7" s="1" t="s">
        <v>146</v>
      </c>
      <c r="B7" s="6" t="s">
        <v>79</v>
      </c>
      <c r="C7" s="2" t="s">
        <v>79</v>
      </c>
      <c r="D7" s="34">
        <f>SUMIFS('Tourney History'!C:C,'Tourney History'!B:B,A7)</f>
        <v>21</v>
      </c>
      <c r="E7" s="4">
        <f>AVERAGEIFS('Tourney History'!C:C,'Tourney History'!B:B,A7)</f>
        <v>21</v>
      </c>
      <c r="F7" s="35">
        <f t="array" ref="F7">MAX(IF('Tourney History'!B:B=A7, 'Tourney History'!C:C))</f>
        <v>21</v>
      </c>
      <c r="G7" s="34">
        <f>COUNTIFS('Tourney History'!B:B,A7,'Tourney History'!D:D, 1)</f>
        <v>0</v>
      </c>
      <c r="H7" s="2">
        <f>COUNTIFS('Tourney History'!B:B,A7,'Tourney History'!D:D, 0)</f>
        <v>1</v>
      </c>
      <c r="I7" s="88">
        <f>LOOKUP(2, 1/('Tourney History'!$B:$B=A7), 'Tourney History'!$AD:$AD)</f>
        <v>0</v>
      </c>
      <c r="J7" s="34">
        <f>SUMIFS('Tourney History'!F:F,'Tourney History'!B:B,A7)</f>
        <v>2</v>
      </c>
      <c r="K7" s="2">
        <f>SUMIFS('Tourney History'!E:E,'Tourney History'!B:B,A7)-J7</f>
        <v>3</v>
      </c>
      <c r="L7" s="88">
        <f>LOOKUP(2, 1/('Tourney History'!$B:$B=A7), 'Tourney History'!$AB:$AB)</f>
        <v>0.4</v>
      </c>
      <c r="M7" s="34">
        <f>SUMIFS('Tourney History'!H:H,'Tourney History'!B:B,A7)</f>
        <v>8</v>
      </c>
      <c r="N7" s="2">
        <f>SUMIFS('Tourney History'!G:G,'Tourney History'!B:B,A7)-M7</f>
        <v>12</v>
      </c>
      <c r="O7" s="88">
        <f>LOOKUP(2, 1/('Tourney History'!$B:$B=A7), 'Tourney History'!$AC:$AC)</f>
        <v>0.4</v>
      </c>
      <c r="P7" s="2">
        <f>COUNTIFS('Tourney History'!$B:$B,$A$7,'Tourney History'!K:K, 1)</f>
        <v>0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0</v>
      </c>
      <c r="T7" s="2">
        <f>COUNTIFS('Tourney History'!$B:$B,$A$7,'Tourney History'!O:O, 1)</f>
        <v>0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1</v>
      </c>
      <c r="AD7" s="2">
        <f>COUNTIFS('Tourney History'!$B:$B,$A$7,'Tourney History'!Y:Y, 1)</f>
        <v>1</v>
      </c>
      <c r="AE7" s="2">
        <f>COUNTIFS('Tourney History'!$B:$B,$A$7,'Tourney History'!Z:Z, 1)</f>
        <v>0</v>
      </c>
    </row>
    <row r="8" spans="1:31" x14ac:dyDescent="0.25">
      <c r="A8" s="1" t="s">
        <v>27</v>
      </c>
      <c r="B8" s="6" t="s">
        <v>76</v>
      </c>
      <c r="C8" s="6" t="s">
        <v>79</v>
      </c>
      <c r="D8" s="34">
        <f>SUMIFS('Tourney History'!C:C,'Tourney History'!B:B,A8)</f>
        <v>112</v>
      </c>
      <c r="E8" s="4">
        <f>AVERAGEIFS('Tourney History'!C:C,'Tourney History'!B:B,A8)</f>
        <v>16</v>
      </c>
      <c r="F8" s="35">
        <f t="array" ref="F8">MAX(IF('Tourney History'!B:B=A8, 'Tourney History'!C:C))</f>
        <v>29</v>
      </c>
      <c r="G8" s="34">
        <f>COUNTIFS('Tourney History'!B:B,A8,'Tourney History'!D:D, 1)</f>
        <v>4</v>
      </c>
      <c r="H8" s="2">
        <f>COUNTIFS('Tourney History'!B:B,A8,'Tourney History'!D:D, 0)</f>
        <v>3</v>
      </c>
      <c r="I8" s="88">
        <f>LOOKUP(2, 1/('Tourney History'!$B:$B=A8), 'Tourney History'!$AD:$AD)</f>
        <v>0.5714285714285714</v>
      </c>
      <c r="J8" s="34">
        <f>SUMIFS('Tourney History'!F:F,'Tourney History'!B:B,A8)</f>
        <v>15</v>
      </c>
      <c r="K8" s="2">
        <f>SUMIFS('Tourney History'!E:E,'Tourney History'!B:B,A8)-J8</f>
        <v>16</v>
      </c>
      <c r="L8" s="88">
        <f>LOOKUP(2, 1/('Tourney History'!$B:$B=A8), 'Tourney History'!$AB:$AB)</f>
        <v>0.45714285714285718</v>
      </c>
      <c r="M8" s="34">
        <f>SUMIFS('Tourney History'!H:H,'Tourney History'!B:B,A8)</f>
        <v>64</v>
      </c>
      <c r="N8" s="2">
        <f>SUMIFS('Tourney History'!G:G,'Tourney History'!B:B,A8)-M8</f>
        <v>66</v>
      </c>
      <c r="O8" s="88">
        <f>LOOKUP(2, 1/('Tourney History'!$B:$B=A8), 'Tourney History'!$AC:$AC)</f>
        <v>0.47000000000000003</v>
      </c>
      <c r="P8" s="2">
        <f>COUNTIFS('Tourney History'!$B:$B,$A$8,'Tourney History'!K:K, 1)</f>
        <v>0</v>
      </c>
      <c r="Q8" s="2">
        <f>COUNTIFS('Tourney History'!$B:$B,$A$8,'Tourney History'!L:L, 1)</f>
        <v>0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3</v>
      </c>
      <c r="U8" s="2">
        <f>COUNTIFS('Tourney History'!$B:$B,$A$8,'Tourney History'!P:P, 1)</f>
        <v>2</v>
      </c>
      <c r="V8" s="2">
        <f>COUNTIFS('Tourney History'!$B:$B,$A$8,'Tourney History'!Q:Q, 1)</f>
        <v>1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1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26</v>
      </c>
      <c r="B9" s="6" t="s">
        <v>124</v>
      </c>
      <c r="C9" s="6" t="s">
        <v>79</v>
      </c>
      <c r="D9" s="34">
        <f>SUMIFS('Tourney History'!C:C,'Tourney History'!B:B,A9)</f>
        <v>108</v>
      </c>
      <c r="E9" s="4">
        <f>AVERAGEIFS('Tourney History'!C:C,'Tourney History'!B:B,A9)</f>
        <v>15.428571428571429</v>
      </c>
      <c r="F9" s="35">
        <f t="array" ref="F9">MAX(IF('Tourney History'!B:B=A9, 'Tourney History'!C:C))</f>
        <v>24</v>
      </c>
      <c r="G9" s="34">
        <f>COUNTIFS('Tourney History'!B:B,A9,'Tourney History'!D:D, 1)</f>
        <v>5</v>
      </c>
      <c r="H9" s="2">
        <f>COUNTIFS('Tourney History'!B:B,A9,'Tourney History'!D:D, 0)</f>
        <v>2</v>
      </c>
      <c r="I9" s="88">
        <f>LOOKUP(2, 1/('Tourney History'!$B:$B=A9), 'Tourney History'!$AD:$AD)</f>
        <v>0.7142857142857143</v>
      </c>
      <c r="J9" s="34">
        <f>SUMIFS('Tourney History'!F:F,'Tourney History'!B:B,A9)</f>
        <v>17</v>
      </c>
      <c r="K9" s="2">
        <f>SUMIFS('Tourney History'!E:E,'Tourney History'!B:B,A9)-J9</f>
        <v>13</v>
      </c>
      <c r="L9" s="88">
        <f>LOOKUP(2, 1/('Tourney History'!$B:$B=A9), 'Tourney History'!$AB:$AB)</f>
        <v>0.57857142857142863</v>
      </c>
      <c r="M9" s="34">
        <f>SUMIFS('Tourney History'!H:H,'Tourney History'!B:B,A9)</f>
        <v>66</v>
      </c>
      <c r="N9" s="2">
        <f>SUMIFS('Tourney History'!G:G,'Tourney History'!B:B,A9)-M9</f>
        <v>59</v>
      </c>
      <c r="O9" s="88">
        <f>LOOKUP(2, 1/('Tourney History'!$B:$B=A9), 'Tourney History'!$AC:$AC)</f>
        <v>0.53999999999999992</v>
      </c>
      <c r="P9" s="2">
        <f>COUNTIFS('Tourney History'!$B:$B,$A$9,'Tourney History'!K:K, 1)</f>
        <v>0</v>
      </c>
      <c r="Q9" s="2">
        <f>COUNTIFS('Tourney History'!$B:$B,$A$9,'Tourney History'!L:L, 1)</f>
        <v>2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2</v>
      </c>
      <c r="W9" s="2">
        <f>COUNTIFS('Tourney History'!$B:$B,$A$9,'Tourney History'!R:R, 1)</f>
        <v>1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2</v>
      </c>
      <c r="AC9" s="2">
        <f>COUNTIFS('Tourney History'!$B:$B,$A$9,'Tourney History'!X:X, 1)</f>
        <v>0</v>
      </c>
      <c r="AD9" s="2">
        <f>COUNTIFS('Tourney History'!$B:$B,$A$9,'Tourney History'!Y:Y, 1)</f>
        <v>0</v>
      </c>
      <c r="AE9" s="2">
        <f>COUNTIFS('Tourney History'!$B:$B,$A$9,'Tourney History'!Z:Z, 1)</f>
        <v>1</v>
      </c>
    </row>
    <row r="10" spans="1:31" ht="15.75" x14ac:dyDescent="0.25">
      <c r="A10" s="1" t="s">
        <v>45</v>
      </c>
      <c r="B10" s="80" t="s">
        <v>60</v>
      </c>
      <c r="C10" s="2" t="s">
        <v>79</v>
      </c>
      <c r="D10" s="34">
        <f>SUMIFS('Tourney History'!C:C,'Tourney History'!B:B,A10)</f>
        <v>71</v>
      </c>
      <c r="E10" s="4">
        <f>AVERAGEIFS('Tourney History'!C:C,'Tourney History'!B:B,A10)</f>
        <v>14.2</v>
      </c>
      <c r="F10" s="35">
        <f t="array" ref="F10">MAX(IF('Tourney History'!B:B=A10, 'Tourney History'!C:C))</f>
        <v>17</v>
      </c>
      <c r="G10" s="34">
        <f>COUNTIFS('Tourney History'!B:B,A10,'Tourney History'!D:D, 1)</f>
        <v>2</v>
      </c>
      <c r="H10" s="2">
        <f>COUNTIFS('Tourney History'!B:B,A10,'Tourney History'!D:D, 0)</f>
        <v>3</v>
      </c>
      <c r="I10" s="88">
        <f>LOOKUP(2, 1/('Tourney History'!$B:$B=A10), 'Tourney History'!$AD:$AD)</f>
        <v>0.4</v>
      </c>
      <c r="J10" s="34">
        <f>SUMIFS('Tourney History'!F:F,'Tourney History'!B:B,A10)</f>
        <v>9</v>
      </c>
      <c r="K10" s="2">
        <f>SUMIFS('Tourney History'!E:E,'Tourney History'!B:B,A10)-J10</f>
        <v>11</v>
      </c>
      <c r="L10" s="88">
        <f>LOOKUP(2, 1/('Tourney History'!$B:$B=A10), 'Tourney History'!$AB:$AB)</f>
        <v>0.43</v>
      </c>
      <c r="M10" s="34">
        <f>SUMIFS('Tourney History'!H:H,'Tourney History'!B:B,A10)</f>
        <v>39</v>
      </c>
      <c r="N10" s="2">
        <f>SUMIFS('Tourney History'!G:G,'Tourney History'!B:B,A10)-M10</f>
        <v>41</v>
      </c>
      <c r="O10" s="88">
        <f>LOOKUP(2, 1/('Tourney History'!$B:$B=A10), 'Tourney History'!$AC:$AC)</f>
        <v>0.48599999999999993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0</v>
      </c>
      <c r="S10" s="2">
        <f>COUNTIFS('Tourney History'!$B:$B,$A$10,'Tourney History'!N:N, 1)</f>
        <v>2</v>
      </c>
      <c r="T10" s="2">
        <f>COUNTIFS('Tourney History'!$B:$B,$A$10,'Tourney History'!O:O, 1)</f>
        <v>0</v>
      </c>
      <c r="U10" s="2">
        <f>COUNTIFS('Tourney History'!$B:$B,$A$10,'Tourney History'!P:P, 1)</f>
        <v>1</v>
      </c>
      <c r="V10" s="2">
        <f>COUNTIFS('Tourney History'!$B:$B,$A$10,'Tourney History'!Q:Q, 1)</f>
        <v>0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1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50</v>
      </c>
      <c r="B11" s="95" t="s">
        <v>79</v>
      </c>
      <c r="C11" s="2" t="s">
        <v>79</v>
      </c>
      <c r="D11" s="34">
        <f>SUMIFS('Tourney History'!C:C,'Tourney History'!B:B,A11)</f>
        <v>14</v>
      </c>
      <c r="E11" s="4">
        <f>AVERAGEIFS('Tourney History'!C:C,'Tourney History'!B:B,A11)</f>
        <v>14</v>
      </c>
      <c r="F11" s="35">
        <f t="array" ref="F11">MAX(IF('Tourney History'!B:B=A11, 'Tourney History'!C:C))</f>
        <v>14</v>
      </c>
      <c r="G11" s="34">
        <f>COUNTIFS('Tourney History'!B:B,A11,'Tourney History'!D:D, 1)</f>
        <v>0</v>
      </c>
      <c r="H11" s="2">
        <f>COUNTIFS('Tourney History'!B:B,A11,'Tourney History'!D:D, 0)</f>
        <v>1</v>
      </c>
      <c r="I11" s="88">
        <f>LOOKUP(2, 1/('Tourney History'!$B:$B=A11), 'Tourney History'!$AD:$AD)</f>
        <v>0</v>
      </c>
      <c r="J11" s="34">
        <f>SUMIFS('Tourney History'!F:F,'Tourney History'!B:B,A11)</f>
        <v>1</v>
      </c>
      <c r="K11" s="2">
        <f>SUMIFS('Tourney History'!E:E,'Tourney History'!B:B,A11)-J11</f>
        <v>3</v>
      </c>
      <c r="L11" s="88">
        <f>LOOKUP(2, 1/('Tourney History'!$B:$B=A11), 'Tourney History'!$AB:$AB)</f>
        <v>0.25</v>
      </c>
      <c r="M11" s="34">
        <f>SUMIFS('Tourney History'!H:H,'Tourney History'!B:B,A11)</f>
        <v>8</v>
      </c>
      <c r="N11" s="2">
        <f>SUMIFS('Tourney History'!G:G,'Tourney History'!B:B,A11)-M11</f>
        <v>11</v>
      </c>
      <c r="O11" s="88">
        <f>LOOKUP(2, 1/('Tourney History'!$B:$B=A11), 'Tourney History'!$AC:$AC)</f>
        <v>0.42</v>
      </c>
      <c r="P11" s="2">
        <f>COUNTIFS('Tourney History'!$B:$B,$A$11,'Tourney History'!K:K, 1)</f>
        <v>0</v>
      </c>
      <c r="Q11" s="2">
        <f>COUNTIFS('Tourney History'!$B:$B,$A$11,'Tourney History'!L:L, 1)</f>
        <v>0</v>
      </c>
      <c r="R11" s="2">
        <f>COUNTIFS('Tourney History'!$B:$B,$A$11,'Tourney History'!M:M, 1)</f>
        <v>0</v>
      </c>
      <c r="S11" s="2">
        <f>COUNTIFS('Tourney History'!$B:$B,$A$11,'Tourney History'!N:N, 1)</f>
        <v>0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0</v>
      </c>
      <c r="AC11" s="2">
        <f>COUNTIFS('Tourney History'!$B:$B,$A$11,'Tourney History'!X:X, 1)</f>
        <v>0</v>
      </c>
      <c r="AD11" s="2">
        <f>COUNTIFS('Tourney History'!$B:$B,$A$11,'Tourney History'!Y:Y, 1)</f>
        <v>0</v>
      </c>
      <c r="AE11" s="2">
        <f>COUNTIFS('Tourney History'!$B:$B,$A$11,'Tourney History'!Z:Z, 1)</f>
        <v>0</v>
      </c>
    </row>
    <row r="12" spans="1:31" x14ac:dyDescent="0.25">
      <c r="A12" s="2" t="s">
        <v>52</v>
      </c>
      <c r="B12" s="2" t="s">
        <v>79</v>
      </c>
      <c r="C12" s="2" t="s">
        <v>79</v>
      </c>
      <c r="D12" s="34">
        <f>SUMIFS('Tourney History'!C:C,'Tourney History'!B:B,A12)</f>
        <v>5</v>
      </c>
      <c r="E12" s="4">
        <f>AVERAGEIFS('Tourney History'!C:C,'Tourney History'!B:B,A12)</f>
        <v>5</v>
      </c>
      <c r="F12" s="35">
        <f t="array" ref="F12">MAX(IF('Tourney History'!B:B=A12, 'Tourney History'!C:C))</f>
        <v>5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0</v>
      </c>
      <c r="K12" s="2">
        <f>SUMIFS('Tourney History'!E:E,'Tourney History'!B:B,A12)-J12</f>
        <v>3</v>
      </c>
      <c r="L12" s="88">
        <f>LOOKUP(2, 1/('Tourney History'!$B:$B=A12), 'Tourney History'!$AB:$AB)</f>
        <v>0</v>
      </c>
      <c r="M12" s="34">
        <f>SUMIFS('Tourney History'!H:H,'Tourney History'!B:B,A12)</f>
        <v>4</v>
      </c>
      <c r="N12" s="2">
        <f>SUMIFS('Tourney History'!G:G,'Tourney History'!B:B,A12)-M12</f>
        <v>9</v>
      </c>
      <c r="O12" s="88">
        <f>LOOKUP(2, 1/('Tourney History'!$B:$B=A12), 'Tourney History'!$AC:$AC)</f>
        <v>0.31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0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29</v>
      </c>
      <c r="B13" s="6" t="s">
        <v>156</v>
      </c>
      <c r="C13" s="2" t="s">
        <v>79</v>
      </c>
      <c r="D13" s="34">
        <f>SUMIFS('Tourney History'!C:C,'Tourney History'!B:B,A13)</f>
        <v>83</v>
      </c>
      <c r="E13" s="4">
        <f>AVERAGEIFS('Tourney History'!C:C,'Tourney History'!B:B,A13)</f>
        <v>11.857142857142858</v>
      </c>
      <c r="F13" s="35">
        <f t="array" ref="F13">MAX(IF('Tourney History'!B:B=A13, 'Tourney History'!C:C))</f>
        <v>21</v>
      </c>
      <c r="G13" s="34">
        <f>COUNTIFS('Tourney History'!B:B,A13,'Tourney History'!D:D, 1)</f>
        <v>6</v>
      </c>
      <c r="H13" s="2">
        <f>COUNTIFS('Tourney History'!B:B,A13,'Tourney History'!D:D, 0)</f>
        <v>1</v>
      </c>
      <c r="I13" s="88">
        <f>LOOKUP(2, 1/('Tourney History'!$B:$B=A13), 'Tourney History'!$AD:$AD)</f>
        <v>0.8571428571428571</v>
      </c>
      <c r="J13" s="34">
        <f>SUMIFS('Tourney History'!F:F,'Tourney History'!B:B,A13)</f>
        <v>19</v>
      </c>
      <c r="K13" s="2">
        <f>SUMIFS('Tourney History'!E:E,'Tourney History'!B:B,A13)-J13</f>
        <v>10</v>
      </c>
      <c r="L13" s="88">
        <f>LOOKUP(2, 1/('Tourney History'!$B:$B=A13), 'Tourney History'!$AB:$AB)</f>
        <v>0.67142857142857149</v>
      </c>
      <c r="M13" s="34">
        <f>SUMIFS('Tourney History'!H:H,'Tourney History'!B:B,A13)</f>
        <v>71</v>
      </c>
      <c r="N13" s="2">
        <f>SUMIFS('Tourney History'!G:G,'Tourney History'!B:B,A13)-M13</f>
        <v>51</v>
      </c>
      <c r="O13" s="88">
        <f>LOOKUP(2, 1/('Tourney History'!$B:$B=A13), 'Tourney History'!$AC:$AC)</f>
        <v>0.59714285714285709</v>
      </c>
      <c r="P13" s="2">
        <f>COUNTIFS('Tourney History'!$B:$B,$A$13,'Tourney History'!K:K, 1)</f>
        <v>0</v>
      </c>
      <c r="Q13" s="2">
        <f>COUNTIFS('Tourney History'!$B:$B,$A$13,'Tourney History'!L:L, 1)</f>
        <v>3</v>
      </c>
      <c r="R13" s="2">
        <f>COUNTIFS('Tourney History'!$B:$B,$A$13,'Tourney History'!M:M, 1)</f>
        <v>2</v>
      </c>
      <c r="S13" s="2">
        <f>COUNTIFS('Tourney History'!$B:$B,$A$13,'Tourney History'!N:N, 1)</f>
        <v>2</v>
      </c>
      <c r="T13" s="2">
        <f>COUNTIFS('Tourney History'!$B:$B,$A$13,'Tourney History'!O:O, 1)</f>
        <v>2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4</v>
      </c>
      <c r="AC13" s="2">
        <f>COUNTIFS('Tourney History'!$B:$B,$A$13,'Tourney History'!X:X, 1)</f>
        <v>2</v>
      </c>
      <c r="AD13" s="2">
        <f>COUNTIFS('Tourney History'!$B:$B,$A$13,'Tourney History'!Y:Y, 1)</f>
        <v>0</v>
      </c>
      <c r="AE13" s="2">
        <f>COUNTIFS('Tourney History'!$B:$B,$A$13,'Tourney History'!Z:Z, 1)</f>
        <v>3</v>
      </c>
    </row>
    <row r="14" spans="1:31" x14ac:dyDescent="0.25">
      <c r="A14" s="2" t="s">
        <v>1</v>
      </c>
      <c r="B14" s="6" t="s">
        <v>158</v>
      </c>
      <c r="C14" s="2" t="s">
        <v>79</v>
      </c>
      <c r="D14" s="34">
        <f>SUMIFS('Tourney History'!C:C,'Tourney History'!B:B,A14)</f>
        <v>160</v>
      </c>
      <c r="E14" s="4">
        <f>AVERAGEIFS('Tourney History'!C:C,'Tourney History'!B:B,A14)</f>
        <v>26.666666666666668</v>
      </c>
      <c r="F14" s="35">
        <f t="array" ref="F14">MAX(IF('Tourney History'!B:B=A14, 'Tourney History'!C:C))</f>
        <v>33</v>
      </c>
      <c r="G14" s="34">
        <f>COUNTIFS('Tourney History'!B:B,A14,'Tourney History'!D:D, 1)</f>
        <v>5</v>
      </c>
      <c r="H14" s="2">
        <f>COUNTIFS('Tourney History'!B:B,A14,'Tourney History'!D:D, 0)</f>
        <v>1</v>
      </c>
      <c r="I14" s="88">
        <f>LOOKUP(2, 1/('Tourney History'!$B:$B=A14), 'Tourney History'!$AD:$AD)</f>
        <v>0.83333333333333337</v>
      </c>
      <c r="J14" s="34">
        <f>SUMIFS('Tourney History'!F:F,'Tourney History'!B:B,A14)</f>
        <v>17</v>
      </c>
      <c r="K14" s="2">
        <f>SUMIFS('Tourney History'!E:E,'Tourney History'!B:B,A14)-J14</f>
        <v>9</v>
      </c>
      <c r="L14" s="88">
        <f>LOOKUP(2, 1/('Tourney History'!$B:$B=A14), 'Tourney History'!$AB:$AB)</f>
        <v>0.68333333333333324</v>
      </c>
      <c r="M14" s="34">
        <f>SUMIFS('Tourney History'!H:H,'Tourney History'!B:B,A14)</f>
        <v>63</v>
      </c>
      <c r="N14" s="2">
        <f>SUMIFS('Tourney History'!G:G,'Tourney History'!B:B,A14)-M14</f>
        <v>51</v>
      </c>
      <c r="O14" s="88">
        <f>LOOKUP(2, 1/('Tourney History'!$B:$B=A14), 'Tourney History'!$AC:$AC)</f>
        <v>0.57500000000000007</v>
      </c>
      <c r="P14" s="2">
        <f>COUNTIFS('Tourney History'!$B:$B,$A$14,'Tourney History'!K:K, 1)</f>
        <v>0</v>
      </c>
      <c r="Q14" s="2">
        <f>COUNTIFS('Tourney History'!$B:$B,$A$14,'Tourney History'!L:L, 1)</f>
        <v>3</v>
      </c>
      <c r="R14" s="2">
        <f>COUNTIFS('Tourney History'!$B:$B,$A$14,'Tourney History'!M:M, 1)</f>
        <v>3</v>
      </c>
      <c r="S14" s="2">
        <f>COUNTIFS('Tourney History'!$B:$B,$A$14,'Tourney History'!N:N, 1)</f>
        <v>0</v>
      </c>
      <c r="T14" s="2">
        <f>COUNTIFS('Tourney History'!$B:$B,$A$14,'Tourney History'!O:O, 1)</f>
        <v>2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2</v>
      </c>
      <c r="AC14" s="2">
        <f>COUNTIFS('Tourney History'!$B:$B,$A$14,'Tourney History'!X:X, 1)</f>
        <v>2</v>
      </c>
      <c r="AD14" s="2">
        <f>COUNTIFS('Tourney History'!$B:$B,$A$14,'Tourney History'!Y:Y, 1)</f>
        <v>2</v>
      </c>
      <c r="AE14" s="2">
        <f>COUNTIFS('Tourney History'!$B:$B,$A$14,'Tourney History'!Z:Z, 1)</f>
        <v>3</v>
      </c>
    </row>
    <row r="15" spans="1:31" x14ac:dyDescent="0.25">
      <c r="A15" s="2" t="s">
        <v>46</v>
      </c>
      <c r="B15" s="6" t="s">
        <v>160</v>
      </c>
      <c r="C15" s="2" t="s">
        <v>79</v>
      </c>
      <c r="D15" s="34">
        <f>SUMIFS('Tourney History'!C:C,'Tourney History'!B:B,A15)</f>
        <v>106</v>
      </c>
      <c r="E15" s="4">
        <f>AVERAGEIFS('Tourney History'!C:C,'Tourney History'!B:B,A15)</f>
        <v>21.2</v>
      </c>
      <c r="F15" s="35">
        <f t="array" ref="F15">MAX(IF('Tourney History'!B:B=A15, 'Tourney History'!C:C))</f>
        <v>36</v>
      </c>
      <c r="G15" s="34">
        <f>COUNTIFS('Tourney History'!B:B,A15,'Tourney History'!D:D, 1)</f>
        <v>2</v>
      </c>
      <c r="H15" s="2">
        <f>COUNTIFS('Tourney History'!B:B,A15,'Tourney History'!D:D, 0)</f>
        <v>3</v>
      </c>
      <c r="I15" s="88">
        <f>LOOKUP(2, 1/('Tourney History'!$B:$B=A15), 'Tourney History'!$AD:$AD)</f>
        <v>0.4</v>
      </c>
      <c r="J15" s="34">
        <f>SUMIFS('Tourney History'!F:F,'Tourney History'!B:B,A15)</f>
        <v>8</v>
      </c>
      <c r="K15" s="2">
        <f>SUMIFS('Tourney History'!E:E,'Tourney History'!B:B,A15)-J15</f>
        <v>11</v>
      </c>
      <c r="L15" s="88">
        <f>LOOKUP(2, 1/('Tourney History'!$B:$B=A15), 'Tourney History'!$AB:$AB)</f>
        <v>0.4</v>
      </c>
      <c r="M15" s="34">
        <f>SUMIFS('Tourney History'!H:H,'Tourney History'!B:B,A15)</f>
        <v>35</v>
      </c>
      <c r="N15" s="2">
        <f>SUMIFS('Tourney History'!G:G,'Tourney History'!B:B,A15)-M15</f>
        <v>45</v>
      </c>
      <c r="O15" s="88">
        <f>LOOKUP(2, 1/('Tourney History'!$B:$B=A15), 'Tourney History'!$AC:$AC)</f>
        <v>0.42800000000000005</v>
      </c>
      <c r="P15" s="2">
        <f>COUNTIFS('Tourney History'!$B:$B,$A$15,'Tourney History'!K:K, 1)</f>
        <v>0</v>
      </c>
      <c r="Q15" s="2">
        <f>COUNTIFS('Tourney History'!$B:$B,$A$15,'Tourney History'!L:L, 1)</f>
        <v>1</v>
      </c>
      <c r="R15" s="2">
        <f>COUNTIFS('Tourney History'!$B:$B,$A$15,'Tourney History'!M:M, 1)</f>
        <v>1</v>
      </c>
      <c r="S15" s="2">
        <f>COUNTIFS('Tourney History'!$B:$B,$A$15,'Tourney History'!N:N, 1)</f>
        <v>1</v>
      </c>
      <c r="T15" s="2">
        <f>COUNTIFS('Tourney History'!$B:$B,$A$15,'Tourney History'!O:O, 1)</f>
        <v>0</v>
      </c>
      <c r="U15" s="2">
        <f>COUNTIFS('Tourney History'!$B:$B,$A$15,'Tourney History'!P:P, 1)</f>
        <v>2</v>
      </c>
      <c r="V15" s="2">
        <f>COUNTIFS('Tourney History'!$B:$B,$A$15,'Tourney History'!Q:Q, 1)</f>
        <v>0</v>
      </c>
      <c r="W15" s="2">
        <f>COUNTIFS('Tourney History'!$B:$B,$A$15,'Tourney History'!R:R, 1)</f>
        <v>1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1</v>
      </c>
      <c r="AC15" s="2">
        <f>COUNTIFS('Tourney History'!$B:$B,$A$15,'Tourney History'!X:X, 1)</f>
        <v>0</v>
      </c>
      <c r="AD15" s="2">
        <f>COUNTIFS('Tourney History'!$B:$B,$A$15,'Tourney History'!Y:Y, 1)</f>
        <v>1</v>
      </c>
      <c r="AE15" s="2">
        <f>COUNTIFS('Tourney History'!$B:$B,$A$15,'Tourney History'!Z:Z, 1)</f>
        <v>0</v>
      </c>
    </row>
    <row r="16" spans="1:31" x14ac:dyDescent="0.25">
      <c r="A16" s="2" t="s">
        <v>28</v>
      </c>
      <c r="B16" s="6" t="s">
        <v>60</v>
      </c>
      <c r="C16" s="2" t="s">
        <v>79</v>
      </c>
      <c r="D16" s="34">
        <f>SUMIFS('Tourney History'!C:C,'Tourney History'!B:B,A16)</f>
        <v>90</v>
      </c>
      <c r="E16" s="4">
        <f>AVERAGEIFS('Tourney History'!C:C,'Tourney History'!B:B,A16)</f>
        <v>18</v>
      </c>
      <c r="F16" s="35">
        <f t="array" ref="F16">MAX(IF('Tourney History'!B:B=A16, 'Tourney History'!C:C))</f>
        <v>23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11</v>
      </c>
      <c r="K16" s="2">
        <f>SUMIFS('Tourney History'!E:E,'Tourney History'!B:B,A16)-J16</f>
        <v>12</v>
      </c>
      <c r="L16" s="88">
        <f>LOOKUP(2, 1/('Tourney History'!$B:$B=A16), 'Tourney History'!$AB:$AB)</f>
        <v>0.48</v>
      </c>
      <c r="M16" s="34">
        <f>SUMIFS('Tourney History'!H:H,'Tourney History'!B:B,A16)</f>
        <v>51</v>
      </c>
      <c r="N16" s="2">
        <f>SUMIFS('Tourney History'!G:G,'Tourney History'!B:B,A16)-M16</f>
        <v>52</v>
      </c>
      <c r="O16" s="88">
        <f>LOOKUP(2, 1/('Tourney History'!$B:$B=A16), 'Tourney History'!$AC:$AC)</f>
        <v>0.49399999999999994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1</v>
      </c>
      <c r="U16" s="2">
        <f>COUNTIFS('Tourney History'!$B:$B,$A$16,'Tourney History'!P:P, 1)</f>
        <v>0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2</v>
      </c>
      <c r="AD16" s="2">
        <f>COUNTIFS('Tourney History'!$B:$B,$A$16,'Tourney History'!Y:Y, 1)</f>
        <v>1</v>
      </c>
      <c r="AE16" s="2">
        <f>COUNTIFS('Tourney History'!$B:$B,$A$16,'Tourney History'!Z:Z, 1)</f>
        <v>3</v>
      </c>
    </row>
    <row r="17" spans="1:31" x14ac:dyDescent="0.25">
      <c r="A17" s="2" t="s">
        <v>53</v>
      </c>
      <c r="B17" s="6" t="s">
        <v>60</v>
      </c>
      <c r="C17" s="2" t="s">
        <v>79</v>
      </c>
      <c r="D17" s="34">
        <f>SUMIFS('Tourney History'!C:C,'Tourney History'!B:B,A17)</f>
        <v>43</v>
      </c>
      <c r="E17" s="4">
        <f>AVERAGEIFS('Tourney History'!C:C,'Tourney History'!B:B,A17)</f>
        <v>14.333333333333334</v>
      </c>
      <c r="F17" s="35">
        <f t="array" ref="F17">MAX(IF('Tourney History'!B:B=A17, 'Tourney History'!C:C))</f>
        <v>25</v>
      </c>
      <c r="G17" s="34">
        <f>COUNTIFS('Tourney History'!B:B,A17,'Tourney History'!D:D, 1)</f>
        <v>2</v>
      </c>
      <c r="H17" s="2">
        <f>COUNTIFS('Tourney History'!B:B,A17,'Tourney History'!D:D, 0)</f>
        <v>1</v>
      </c>
      <c r="I17" s="88">
        <f>LOOKUP(2, 1/('Tourney History'!$B:$B=A17), 'Tourney History'!$AD:$AD)</f>
        <v>0.66666666666666663</v>
      </c>
      <c r="J17" s="34">
        <f>SUMIFS('Tourney History'!F:F,'Tourney History'!B:B,A17)</f>
        <v>6</v>
      </c>
      <c r="K17" s="2">
        <f>SUMIFS('Tourney History'!E:E,'Tourney History'!B:B,A17)-J17</f>
        <v>7</v>
      </c>
      <c r="L17" s="88">
        <f>LOOKUP(2, 1/('Tourney History'!$B:$B=A17), 'Tourney History'!$AB:$AB)</f>
        <v>0.39999999999999997</v>
      </c>
      <c r="M17" s="34">
        <f>SUMIFS('Tourney History'!H:H,'Tourney History'!B:B,A17)</f>
        <v>27</v>
      </c>
      <c r="N17" s="2">
        <f>SUMIFS('Tourney History'!G:G,'Tourney History'!B:B,A17)-M17</f>
        <v>26</v>
      </c>
      <c r="O17" s="88">
        <f>LOOKUP(2, 1/('Tourney History'!$B:$B=A17), 'Tourney History'!$AC:$AC)</f>
        <v>0.48666666666666664</v>
      </c>
      <c r="P17" s="2">
        <f>COUNTIFS('Tourney History'!$B:$B,$A$17,'Tourney History'!K:K, 1)</f>
        <v>0</v>
      </c>
      <c r="Q17" s="2">
        <f>COUNTIFS('Tourney History'!$B:$B,$A$17,'Tourney History'!L:L, 1)</f>
        <v>0</v>
      </c>
      <c r="R17" s="2">
        <f>COUNTIFS('Tourney History'!$B:$B,$A$17,'Tourney History'!M:M, 1)</f>
        <v>0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1</v>
      </c>
      <c r="V17" s="2">
        <f>COUNTIFS('Tourney History'!$B:$B,$A$17,'Tourney History'!Q:Q, 1)</f>
        <v>2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0</v>
      </c>
      <c r="AC17" s="2">
        <f>COUNTIFS('Tourney History'!$B:$B,$A$17,'Tourney History'!X:X, 1)</f>
        <v>0</v>
      </c>
      <c r="AD17" s="2">
        <f>COUNTIFS('Tourney History'!$B:$B,$A$17,'Tourney History'!Y:Y, 1)</f>
        <v>0</v>
      </c>
      <c r="AE17" s="2">
        <f>COUNTIFS('Tourney History'!$B:$B,$A$17,'Tourney History'!Z:Z, 1)</f>
        <v>0</v>
      </c>
    </row>
    <row r="18" spans="1:31" x14ac:dyDescent="0.25">
      <c r="A18" s="2" t="s">
        <v>51</v>
      </c>
      <c r="B18" s="6" t="s">
        <v>79</v>
      </c>
      <c r="C18" s="2" t="s">
        <v>79</v>
      </c>
      <c r="D18" s="34">
        <f>SUMIFS('Tourney History'!C:C,'Tourney History'!B:B,A18)</f>
        <v>84</v>
      </c>
      <c r="E18" s="4">
        <f>AVERAGEIFS('Tourney History'!C:C,'Tourney History'!B:B,A18)</f>
        <v>16.8</v>
      </c>
      <c r="F18" s="35">
        <f t="array" ref="F18">MAX(IF('Tourney History'!B:B=A18, 'Tourney History'!C:C))</f>
        <v>22</v>
      </c>
      <c r="G18" s="34">
        <f>COUNTIFS('Tourney History'!B:B,A18,'Tourney History'!D:D, 1)</f>
        <v>3</v>
      </c>
      <c r="H18" s="2">
        <f>COUNTIFS('Tourney History'!B:B,A18,'Tourney History'!D:D, 0)</f>
        <v>2</v>
      </c>
      <c r="I18" s="88">
        <f>LOOKUP(2, 1/('Tourney History'!$B:$B=A18), 'Tourney History'!$AD:$AD)</f>
        <v>0.6</v>
      </c>
      <c r="J18" s="34">
        <f>SUMIFS('Tourney History'!F:F,'Tourney History'!B:B,A18)</f>
        <v>12</v>
      </c>
      <c r="K18" s="2">
        <f>SUMIFS('Tourney History'!E:E,'Tourney History'!B:B,A18)-J18</f>
        <v>8</v>
      </c>
      <c r="L18" s="88">
        <f>LOOKUP(2, 1/('Tourney History'!$B:$B=A18), 'Tourney History'!$AB:$AB)</f>
        <v>0.63</v>
      </c>
      <c r="M18" s="34">
        <f>SUMIFS('Tourney History'!H:H,'Tourney History'!B:B,A18)</f>
        <v>41</v>
      </c>
      <c r="N18" s="2">
        <f>SUMIFS('Tourney History'!G:G,'Tourney History'!B:B,A18)-M18</f>
        <v>40</v>
      </c>
      <c r="O18" s="88">
        <f>LOOKUP(2, 1/('Tourney History'!$B:$B=A18), 'Tourney History'!$AC:$AC)</f>
        <v>0.51600000000000001</v>
      </c>
      <c r="P18" s="2">
        <f>COUNTIFS('Tourney History'!$B:$B,$A$18,'Tourney History'!K:K, 1)</f>
        <v>1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2</v>
      </c>
      <c r="T18" s="2">
        <f>COUNTIFS('Tourney History'!$B:$B,$A$18,'Tourney History'!O:O, 1)</f>
        <v>0</v>
      </c>
      <c r="U18" s="2">
        <f>COUNTIFS('Tourney History'!$B:$B,$A$18,'Tourney History'!P:P, 1)</f>
        <v>1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2</v>
      </c>
      <c r="AC18" s="2">
        <f>COUNTIFS('Tourney History'!$B:$B,$A$18,'Tourney History'!X:X, 1)</f>
        <v>3</v>
      </c>
      <c r="AD18" s="2">
        <f>COUNTIFS('Tourney History'!$B:$B,$A$18,'Tourney History'!Y:Y, 1)</f>
        <v>0</v>
      </c>
      <c r="AE18" s="2">
        <f>COUNTIFS('Tourney History'!$B:$B,$A$18,'Tourney History'!Z:Z, 1)</f>
        <v>2</v>
      </c>
    </row>
    <row r="19" spans="1:31" ht="15.75" x14ac:dyDescent="0.25">
      <c r="A19" s="2" t="s">
        <v>20</v>
      </c>
      <c r="B19" s="80" t="s">
        <v>60</v>
      </c>
      <c r="C19" s="2" t="s">
        <v>79</v>
      </c>
      <c r="D19" s="34">
        <f>SUMIFS('Tourney History'!C:C,'Tourney History'!B:B,A19)</f>
        <v>127</v>
      </c>
      <c r="E19" s="4">
        <f>AVERAGEIFS('Tourney History'!C:C,'Tourney History'!B:B,A19)</f>
        <v>15.875</v>
      </c>
      <c r="F19" s="35">
        <f t="array" ref="F19">MAX(IF('Tourney History'!B:B=A19, 'Tourney History'!C:C))</f>
        <v>28</v>
      </c>
      <c r="G19" s="34">
        <f>COUNTIFS('Tourney History'!B:B,A19,'Tourney History'!D:D, 1)</f>
        <v>3</v>
      </c>
      <c r="H19" s="2">
        <f>COUNTIFS('Tourney History'!B:B,A19,'Tourney History'!D:D, 0)</f>
        <v>5</v>
      </c>
      <c r="I19" s="88">
        <f>LOOKUP(2, 1/('Tourney History'!$B:$B=A19), 'Tourney History'!$AD:$AD)</f>
        <v>0.375</v>
      </c>
      <c r="J19" s="34">
        <f>SUMIFS('Tourney History'!F:F,'Tourney History'!B:B,A19)</f>
        <v>17</v>
      </c>
      <c r="K19" s="2">
        <f>SUMIFS('Tourney History'!E:E,'Tourney History'!B:B,A19)-J19</f>
        <v>18</v>
      </c>
      <c r="L19" s="88">
        <f>LOOKUP(2, 1/('Tourney History'!$B:$B=A19), 'Tourney History'!$AB:$AB)</f>
        <v>0.49374999999999997</v>
      </c>
      <c r="M19" s="34">
        <f>SUMIFS('Tourney History'!H:H,'Tourney History'!B:B,A19)</f>
        <v>75</v>
      </c>
      <c r="N19" s="2">
        <f>SUMIFS('Tourney History'!G:G,'Tourney History'!B:B,A19)-M19</f>
        <v>73</v>
      </c>
      <c r="O19" s="88">
        <f>LOOKUP(2, 1/('Tourney History'!$B:$B=A19), 'Tourney History'!$AC:$AC)</f>
        <v>0.51749999999999996</v>
      </c>
      <c r="P19" s="2">
        <f>COUNTIFS('Tourney History'!$B:$B,$A$19,'Tourney History'!K:K, 1)</f>
        <v>1</v>
      </c>
      <c r="Q19" s="2">
        <f>COUNTIFS('Tourney History'!$B:$B,$A$19,'Tourney History'!L:L, 1)</f>
        <v>1</v>
      </c>
      <c r="R19" s="2">
        <f>COUNTIFS('Tourney History'!$B:$B,$A$19,'Tourney History'!M:M, 1)</f>
        <v>0</v>
      </c>
      <c r="S19" s="2">
        <f>COUNTIFS('Tourney History'!$B:$B,$A$19,'Tourney History'!N:N, 1)</f>
        <v>4</v>
      </c>
      <c r="T19" s="2">
        <f>COUNTIFS('Tourney History'!$B:$B,$A$19,'Tourney History'!O:O, 1)</f>
        <v>0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4</v>
      </c>
      <c r="AC19" s="2">
        <f>COUNTIFS('Tourney History'!$B:$B,$A$19,'Tourney History'!X:X, 1)</f>
        <v>2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x14ac:dyDescent="0.25">
      <c r="A20" s="1" t="s">
        <v>47</v>
      </c>
      <c r="B20" s="2" t="s">
        <v>79</v>
      </c>
      <c r="C20" s="2" t="s">
        <v>79</v>
      </c>
      <c r="D20" s="34">
        <f>SUMIFS('Tourney History'!C:C,'Tourney History'!B:B,A20)</f>
        <v>48</v>
      </c>
      <c r="E20" s="4">
        <f>AVERAGEIFS('Tourney History'!C:C,'Tourney History'!B:B,A20)</f>
        <v>9.6</v>
      </c>
      <c r="F20" s="35">
        <f t="array" ref="F20">MAX(IF('Tourney History'!B:B=A20, 'Tourney History'!C:C))</f>
        <v>13</v>
      </c>
      <c r="G20" s="34">
        <f>COUNTIFS('Tourney History'!B:B,A20,'Tourney History'!D:D, 1)</f>
        <v>2</v>
      </c>
      <c r="H20" s="2">
        <f>COUNTIFS('Tourney History'!B:B,A20,'Tourney History'!D:D, 0)</f>
        <v>3</v>
      </c>
      <c r="I20" s="88">
        <f>LOOKUP(2, 1/('Tourney History'!$B:$B=A20), 'Tourney History'!$AD:$AD)</f>
        <v>0.4</v>
      </c>
      <c r="J20" s="34">
        <f>SUMIFS('Tourney History'!F:F,'Tourney History'!B:B,A20)</f>
        <v>9</v>
      </c>
      <c r="K20" s="2">
        <f>SUMIFS('Tourney History'!E:E,'Tourney History'!B:B,A20)-J20</f>
        <v>11</v>
      </c>
      <c r="L20" s="88">
        <f>LOOKUP(2, 1/('Tourney History'!$B:$B=A20), 'Tourney History'!$AB:$AB)</f>
        <v>0.45</v>
      </c>
      <c r="M20" s="34">
        <f>SUMIFS('Tourney History'!H:H,'Tourney History'!B:B,A20)</f>
        <v>42</v>
      </c>
      <c r="N20" s="2">
        <f>SUMIFS('Tourney History'!G:G,'Tourney History'!B:B,A20)-M20</f>
        <v>44</v>
      </c>
      <c r="O20" s="88">
        <f>LOOKUP(2, 1/('Tourney History'!$B:$B=A20), 'Tourney History'!$AC:$AC)</f>
        <v>0.47400000000000003</v>
      </c>
      <c r="P20" s="2">
        <f>COUNTIFS('Tourney History'!$B:$B,$A$20,'Tourney History'!K:K, 1)</f>
        <v>0</v>
      </c>
      <c r="Q20" s="2">
        <f>COUNTIFS('Tourney History'!$B:$B,$A$20,'Tourney History'!L:L, 1)</f>
        <v>0</v>
      </c>
      <c r="R20" s="2">
        <f>COUNTIFS('Tourney History'!$B:$B,$A$20,'Tourney History'!M:M, 1)</f>
        <v>0</v>
      </c>
      <c r="S20" s="2">
        <f>COUNTIFS('Tourney History'!$B:$B,$A$20,'Tourney History'!N:N, 1)</f>
        <v>0</v>
      </c>
      <c r="T20" s="2">
        <f>COUNTIFS('Tourney History'!$B:$B,$A$20,'Tourney History'!O:O, 1)</f>
        <v>1</v>
      </c>
      <c r="U20" s="2">
        <f>COUNTIFS('Tourney History'!$B:$B,$A$20,'Tourney History'!P:P, 1)</f>
        <v>2</v>
      </c>
      <c r="V20" s="2">
        <f>COUNTIFS('Tourney History'!$B:$B,$A$20,'Tourney History'!Q:Q, 1)</f>
        <v>0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2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3</v>
      </c>
    </row>
    <row r="21" spans="1:31" ht="15.75" x14ac:dyDescent="0.25">
      <c r="A21" s="1" t="s">
        <v>3</v>
      </c>
      <c r="B21" s="80" t="s">
        <v>159</v>
      </c>
      <c r="C21" s="2" t="s">
        <v>161</v>
      </c>
      <c r="D21" s="34">
        <f>SUMIFS('Tourney History'!C:C,'Tourney History'!B:B,A21)</f>
        <v>117</v>
      </c>
      <c r="E21" s="4">
        <f>AVERAGEIFS('Tourney History'!C:C,'Tourney History'!B:B,A21)</f>
        <v>29.25</v>
      </c>
      <c r="F21" s="35">
        <f t="array" ref="F21">MAX(IF('Tourney History'!B:B=A21, 'Tourney History'!C:C))</f>
        <v>44</v>
      </c>
      <c r="G21" s="34">
        <f>COUNTIFS('Tourney History'!B:B,A21,'Tourney History'!D:D, 1)</f>
        <v>3</v>
      </c>
      <c r="H21" s="2">
        <f>COUNTIFS('Tourney History'!B:B,A21,'Tourney History'!D:D, 0)</f>
        <v>1</v>
      </c>
      <c r="I21" s="88">
        <f>LOOKUP(2, 1/('Tourney History'!$B:$B=A21), 'Tourney History'!$AD:$AD)</f>
        <v>0.75</v>
      </c>
      <c r="J21" s="34">
        <f>SUMIFS('Tourney History'!F:F,'Tourney History'!B:B,A21)</f>
        <v>10</v>
      </c>
      <c r="K21" s="2">
        <f>SUMIFS('Tourney History'!E:E,'Tourney History'!B:B,A21)-J21</f>
        <v>8</v>
      </c>
      <c r="L21" s="88">
        <f>LOOKUP(2, 1/('Tourney History'!$B:$B=A21), 'Tourney History'!$AB:$AB)</f>
        <v>0.55000000000000004</v>
      </c>
      <c r="M21" s="34">
        <f>SUMIFS('Tourney History'!H:H,'Tourney History'!B:B,A21)</f>
        <v>39</v>
      </c>
      <c r="N21" s="2">
        <f>SUMIFS('Tourney History'!G:G,'Tourney History'!B:B,A21)-M21</f>
        <v>35</v>
      </c>
      <c r="O21" s="88">
        <f>LOOKUP(2, 1/('Tourney History'!$B:$B=A21), 'Tourney History'!$AC:$AC)</f>
        <v>0.52249999999999996</v>
      </c>
      <c r="P21" s="2">
        <f>COUNTIFS('Tourney History'!$B:$B,$A$21,'Tourney History'!K:K, 1)</f>
        <v>0</v>
      </c>
      <c r="Q21" s="2">
        <f>COUNTIFS('Tourney History'!$B:$B,$A$21,'Tourney History'!L:L, 1)</f>
        <v>1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2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0</v>
      </c>
      <c r="AC21" s="2">
        <f>COUNTIFS('Tourney History'!$B:$B,$A$21,'Tourney History'!X:X, 1)</f>
        <v>1</v>
      </c>
      <c r="AD21" s="2">
        <f>COUNTIFS('Tourney History'!$B:$B,$A$21,'Tourney History'!Y:Y, 1)</f>
        <v>1</v>
      </c>
      <c r="AE21" s="2">
        <f>COUNTIFS('Tourney History'!$B:$B,$A$21,'Tourney History'!Z:Z, 1)</f>
        <v>0</v>
      </c>
    </row>
    <row r="22" spans="1:31" x14ac:dyDescent="0.25">
      <c r="A22" s="2" t="s">
        <v>15</v>
      </c>
      <c r="B22" s="2" t="s">
        <v>79</v>
      </c>
      <c r="C22" s="2" t="s">
        <v>79</v>
      </c>
      <c r="D22" s="34">
        <f>SUMIFS('Tourney History'!C:C,'Tourney History'!B:B,A22)</f>
        <v>231</v>
      </c>
      <c r="E22" s="4">
        <f>AVERAGEIFS('Tourney History'!C:C,'Tourney History'!B:B,A22)</f>
        <v>33</v>
      </c>
      <c r="F22" s="35">
        <f t="array" ref="F22">MAX(IF('Tourney History'!B:B=A22, 'Tourney History'!C:C))</f>
        <v>55</v>
      </c>
      <c r="G22" s="34">
        <f>COUNTIFS('Tourney History'!B:B,A22,'Tourney History'!D:D, 1)</f>
        <v>2</v>
      </c>
      <c r="H22" s="2">
        <f>COUNTIFS('Tourney History'!B:B,A22,'Tourney History'!D:D, 0)</f>
        <v>5</v>
      </c>
      <c r="I22" s="88">
        <f>LOOKUP(2, 1/('Tourney History'!$B:$B=A22), 'Tourney History'!$AD:$AD)</f>
        <v>0.2857142857142857</v>
      </c>
      <c r="J22" s="34">
        <f>SUMIFS('Tourney History'!F:F,'Tourney History'!B:B,A22)</f>
        <v>14</v>
      </c>
      <c r="K22" s="2">
        <f>SUMIFS('Tourney History'!E:E,'Tourney History'!B:B,A22)-J22</f>
        <v>16</v>
      </c>
      <c r="L22" s="88">
        <f>LOOKUP(2, 1/('Tourney History'!$B:$B=A22), 'Tourney History'!$AB:$AB)</f>
        <v>0.49285714285714283</v>
      </c>
      <c r="M22" s="34">
        <f>SUMIFS('Tourney History'!H:H,'Tourney History'!B:B,A22)</f>
        <v>61</v>
      </c>
      <c r="N22" s="2">
        <f>SUMIFS('Tourney History'!G:G,'Tourney History'!B:B,A22)-M22</f>
        <v>66</v>
      </c>
      <c r="O22" s="88">
        <f>LOOKUP(2, 1/('Tourney History'!$B:$B=A22), 'Tourney History'!$AC:$AC)</f>
        <v>0.49285714285714283</v>
      </c>
      <c r="P22" s="2">
        <f>COUNTIFS('Tourney History'!$B:$B,$A$22,'Tourney History'!K:K, 1)</f>
        <v>1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1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3</v>
      </c>
      <c r="AC22" s="2">
        <f>COUNTIFS('Tourney History'!$B:$B,$A$22,'Tourney History'!X:X, 1)</f>
        <v>4</v>
      </c>
      <c r="AD22" s="2">
        <f>COUNTIFS('Tourney History'!$B:$B,$A$22,'Tourney History'!Y:Y, 1)</f>
        <v>1</v>
      </c>
      <c r="AE22" s="2">
        <f>COUNTIFS('Tourney History'!$B:$B,$A$22,'Tourney History'!Z:Z, 1)</f>
        <v>3</v>
      </c>
    </row>
    <row r="23" spans="1:31" x14ac:dyDescent="0.25">
      <c r="A23" s="2" t="s">
        <v>13</v>
      </c>
      <c r="B23" s="6" t="s">
        <v>124</v>
      </c>
      <c r="C23" s="1" t="s">
        <v>161</v>
      </c>
      <c r="D23" s="34">
        <f>SUMIFS('Tourney History'!C:C,'Tourney History'!B:B,A23)</f>
        <v>267</v>
      </c>
      <c r="E23" s="4">
        <f>AVERAGEIFS('Tourney History'!C:C,'Tourney History'!B:B,A23)</f>
        <v>33.375</v>
      </c>
      <c r="F23" s="35">
        <f t="array" ref="F23">MAX(IF('Tourney History'!B:B=A23, 'Tourney History'!C:C))</f>
        <v>50</v>
      </c>
      <c r="G23" s="34">
        <f>COUNTIFS('Tourney History'!B:B,A23,'Tourney History'!D:D, 1)</f>
        <v>5</v>
      </c>
      <c r="H23" s="2">
        <f>COUNTIFS('Tourney History'!B:B,A23,'Tourney History'!D:D, 0)</f>
        <v>3</v>
      </c>
      <c r="I23" s="88">
        <f>LOOKUP(2, 1/('Tourney History'!$B:$B=A23), 'Tourney History'!$AD:$AD)</f>
        <v>0.625</v>
      </c>
      <c r="J23" s="34">
        <f>SUMIFS('Tourney History'!F:F,'Tourney History'!B:B,A23)</f>
        <v>16</v>
      </c>
      <c r="K23" s="2">
        <f>SUMIFS('Tourney History'!E:E,'Tourney History'!B:B,A23)-J23</f>
        <v>17</v>
      </c>
      <c r="L23" s="88">
        <f>LOOKUP(2, 1/('Tourney History'!$B:$B=A23), 'Tourney History'!$AB:$AB)</f>
        <v>0.44375000000000003</v>
      </c>
      <c r="M23" s="34">
        <f>SUMIFS('Tourney History'!H:H,'Tourney History'!B:B,A23)</f>
        <v>70</v>
      </c>
      <c r="N23" s="2">
        <f>SUMIFS('Tourney History'!G:G,'Tourney History'!B:B,A23)-M23</f>
        <v>64</v>
      </c>
      <c r="O23" s="88">
        <f>LOOKUP(2, 1/('Tourney History'!$B:$B=A23), 'Tourney History'!$AC:$AC)</f>
        <v>0.5</v>
      </c>
      <c r="P23" s="2">
        <f>COUNTIFS('Tourney History'!$B:$B,$A$23,'Tourney History'!K:K, 1)</f>
        <v>0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3</v>
      </c>
      <c r="T23" s="2">
        <f>COUNTIFS('Tourney History'!$B:$B,$A$23,'Tourney History'!O:O, 1)</f>
        <v>3</v>
      </c>
      <c r="U23" s="2">
        <f>COUNTIFS('Tourney History'!$B:$B,$A$23,'Tourney History'!P:P, 1)</f>
        <v>2</v>
      </c>
      <c r="V23" s="2">
        <f>COUNTIFS('Tourney History'!$B:$B,$A$23,'Tourney History'!Q:Q, 1)</f>
        <v>2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0</v>
      </c>
      <c r="AD23" s="2">
        <f>COUNTIFS('Tourney History'!$B:$B,$A$23,'Tourney History'!Y:Y, 1)</f>
        <v>0</v>
      </c>
      <c r="AE23" s="2">
        <f>COUNTIFS('Tourney History'!$B:$B,$A$23,'Tourney History'!Z:Z, 1)</f>
        <v>2</v>
      </c>
    </row>
    <row r="24" spans="1:31" x14ac:dyDescent="0.25">
      <c r="A24" s="2" t="s">
        <v>2</v>
      </c>
      <c r="B24" s="6" t="s">
        <v>124</v>
      </c>
      <c r="C24" s="6" t="s">
        <v>79</v>
      </c>
      <c r="D24" s="34">
        <f>SUMIFS('Tourney History'!C:C,'Tourney History'!B:B,A24)</f>
        <v>189</v>
      </c>
      <c r="E24" s="4">
        <f>AVERAGEIFS('Tourney History'!C:C,'Tourney History'!B:B,A24)</f>
        <v>31.5</v>
      </c>
      <c r="F24" s="35">
        <f t="array" ref="F24">MAX(IF('Tourney History'!B:B=A24, 'Tourney History'!C:C))</f>
        <v>37</v>
      </c>
      <c r="G24" s="34">
        <f>COUNTIFS('Tourney History'!B:B,A24,'Tourney History'!D:D, 1)</f>
        <v>3</v>
      </c>
      <c r="H24" s="2">
        <f>COUNTIFS('Tourney History'!B:B,A24,'Tourney History'!D:D, 0)</f>
        <v>3</v>
      </c>
      <c r="I24" s="88">
        <f>LOOKUP(2, 1/('Tourney History'!$B:$B=A24), 'Tourney History'!$AD:$AD)</f>
        <v>0.5</v>
      </c>
      <c r="J24" s="34">
        <f>SUMIFS('Tourney History'!F:F,'Tourney History'!B:B,A24)</f>
        <v>14</v>
      </c>
      <c r="K24" s="2">
        <f>SUMIFS('Tourney History'!E:E,'Tourney History'!B:B,A24)-J24</f>
        <v>12</v>
      </c>
      <c r="L24" s="88">
        <f>LOOKUP(2, 1/('Tourney History'!$B:$B=A24), 'Tourney History'!$AB:$AB)</f>
        <v>0.54999999999999993</v>
      </c>
      <c r="M24" s="34">
        <f>SUMIFS('Tourney History'!H:H,'Tourney History'!B:B,A24)</f>
        <v>58</v>
      </c>
      <c r="N24" s="2">
        <f>SUMIFS('Tourney History'!G:G,'Tourney History'!B:B,A24)-M24</f>
        <v>53</v>
      </c>
      <c r="O24" s="88">
        <f>LOOKUP(2, 1/('Tourney History'!$B:$B=A24), 'Tourney History'!$AC:$AC)</f>
        <v>0.53500000000000003</v>
      </c>
      <c r="P24" s="2">
        <f>COUNTIFS('Tourney History'!$B:$B,$A$24,'Tourney History'!K:K, 1)</f>
        <v>0</v>
      </c>
      <c r="Q24" s="2">
        <f>COUNTIFS('Tourney History'!$B:$B,$A$24,'Tourney History'!L:L, 1)</f>
        <v>2</v>
      </c>
      <c r="R24" s="2">
        <f>COUNTIFS('Tourney History'!$B:$B,$A$24,'Tourney History'!M:M, 1)</f>
        <v>1</v>
      </c>
      <c r="S24" s="2">
        <f>COUNTIFS('Tourney History'!$B:$B,$A$24,'Tourney History'!N:N, 1)</f>
        <v>3</v>
      </c>
      <c r="T24" s="2">
        <f>COUNTIFS('Tourney History'!$B:$B,$A$24,'Tourney History'!O:O, 1)</f>
        <v>0</v>
      </c>
      <c r="U24" s="2">
        <f>COUNTIFS('Tourney History'!$B:$B,$A$24,'Tourney History'!P:P, 1)</f>
        <v>1</v>
      </c>
      <c r="V24" s="2">
        <f>COUNTIFS('Tourney History'!$B:$B,$A$24,'Tourney History'!Q:Q, 1)</f>
        <v>0</v>
      </c>
      <c r="W24" s="2">
        <f>COUNTIFS('Tourney History'!$B:$B,$A$24,'Tourney History'!R:R, 1)</f>
        <v>1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2</v>
      </c>
      <c r="AC24" s="2">
        <f>COUNTIFS('Tourney History'!$B:$B,$A$24,'Tourney History'!X:X, 1)</f>
        <v>0</v>
      </c>
      <c r="AD24" s="2">
        <f>COUNTIFS('Tourney History'!$B:$B,$A$24,'Tourney History'!Y:Y, 1)</f>
        <v>2</v>
      </c>
      <c r="AE24" s="2">
        <f>COUNTIFS('Tourney History'!$B:$B,$A$24,'Tourney History'!Z:Z, 1)</f>
        <v>2</v>
      </c>
    </row>
    <row r="25" spans="1:31" x14ac:dyDescent="0.25">
      <c r="A25" s="2" t="s">
        <v>54</v>
      </c>
      <c r="B25" s="6" t="s">
        <v>60</v>
      </c>
      <c r="C25" s="6" t="s">
        <v>79</v>
      </c>
      <c r="D25" s="34">
        <f>SUMIFS('Tourney History'!C:C,'Tourney History'!B:B,A25)</f>
        <v>53</v>
      </c>
      <c r="E25" s="4">
        <f>AVERAGEIFS('Tourney History'!C:C,'Tourney History'!B:B,A25)</f>
        <v>26.5</v>
      </c>
      <c r="F25" s="35">
        <f t="array" ref="F25">MAX(IF('Tourney History'!B:B=A25, 'Tourney History'!C:C))</f>
        <v>29</v>
      </c>
      <c r="G25" s="34">
        <f>COUNTIFS('Tourney History'!B:B,A25,'Tourney History'!D:D, 1)</f>
        <v>2</v>
      </c>
      <c r="H25" s="2">
        <f>COUNTIFS('Tourney History'!B:B,A25,'Tourney History'!D:D, 0)</f>
        <v>0</v>
      </c>
      <c r="I25" s="88">
        <f>LOOKUP(2, 1/('Tourney History'!$B:$B=A25), 'Tourney History'!$AD:$AD)</f>
        <v>1</v>
      </c>
      <c r="J25" s="34">
        <f>SUMIFS('Tourney History'!F:F,'Tourney History'!B:B,A25)</f>
        <v>6</v>
      </c>
      <c r="K25" s="2">
        <f>SUMIFS('Tourney History'!E:E,'Tourney History'!B:B,A25)-J25</f>
        <v>4</v>
      </c>
      <c r="L25" s="88">
        <f>LOOKUP(2, 1/('Tourney History'!$B:$B=A25), 'Tourney History'!$AB:$AB)</f>
        <v>0.6</v>
      </c>
      <c r="M25" s="34">
        <f>SUMIFS('Tourney History'!H:H,'Tourney History'!B:B,A25)</f>
        <v>23</v>
      </c>
      <c r="N25" s="2">
        <f>SUMIFS('Tourney History'!G:G,'Tourney History'!B:B,A25)-M25</f>
        <v>17</v>
      </c>
      <c r="O25" s="88">
        <f>LOOKUP(2, 1/('Tourney History'!$B:$B=A25), 'Tourney History'!$AC:$AC)</f>
        <v>0.57499999999999996</v>
      </c>
      <c r="P25" s="2">
        <f>COUNTIFS('Tourney History'!$B:$B,$A$25,'Tourney History'!K:K, 1)</f>
        <v>0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1</v>
      </c>
      <c r="T25" s="2">
        <f>COUNTIFS('Tourney History'!$B:$B,$A$25,'Tourney History'!O:O, 1)</f>
        <v>2</v>
      </c>
      <c r="U25" s="2">
        <f>COUNTIFS('Tourney History'!$B:$B,$A$25,'Tourney History'!P:P, 1)</f>
        <v>1</v>
      </c>
      <c r="V25" s="2">
        <f>COUNTIFS('Tourney History'!$B:$B,$A$25,'Tourney History'!Q:Q, 1)</f>
        <v>2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0</v>
      </c>
      <c r="AC25" s="2">
        <f>COUNTIFS('Tourney History'!$B:$B,$A$25,'Tourney History'!X:X, 1)</f>
        <v>0</v>
      </c>
      <c r="AD25" s="2">
        <f>COUNTIFS('Tourney History'!$B:$B,$A$25,'Tourney History'!Y:Y, 1)</f>
        <v>0</v>
      </c>
      <c r="AE25" s="2">
        <f>COUNTIFS('Tourney History'!$B:$B,$A$25,'Tourney History'!Z:Z, 1)</f>
        <v>0</v>
      </c>
    </row>
    <row r="26" spans="1:31" x14ac:dyDescent="0.25">
      <c r="A26" s="2" t="s">
        <v>5</v>
      </c>
      <c r="B26" s="6" t="s">
        <v>159</v>
      </c>
      <c r="C26" s="6" t="s">
        <v>79</v>
      </c>
      <c r="D26" s="34">
        <f>SUMIFS('Tourney History'!C:C,'Tourney History'!B:B,A26)</f>
        <v>101</v>
      </c>
      <c r="E26" s="4">
        <f>AVERAGEIFS('Tourney History'!C:C,'Tourney History'!B:B,A26)</f>
        <v>25.25</v>
      </c>
      <c r="F26" s="35">
        <f t="array" ref="F26">MAX(IF('Tourney History'!B:B=A26, 'Tourney History'!C:C))</f>
        <v>33</v>
      </c>
      <c r="G26" s="34">
        <f>COUNTIFS('Tourney History'!B:B,A26,'Tourney History'!D:D, 1)</f>
        <v>3</v>
      </c>
      <c r="H26" s="2">
        <f>COUNTIFS('Tourney History'!B:B,A26,'Tourney History'!D:D, 0)</f>
        <v>1</v>
      </c>
      <c r="I26" s="88">
        <f>LOOKUP(2, 1/('Tourney History'!$B:$B=A26), 'Tourney History'!$AD:$AD)</f>
        <v>0.75</v>
      </c>
      <c r="J26" s="34">
        <f>SUMIFS('Tourney History'!F:F,'Tourney History'!B:B,A26)</f>
        <v>10</v>
      </c>
      <c r="K26" s="2">
        <f>SUMIFS('Tourney History'!E:E,'Tourney History'!B:B,A26)-J26</f>
        <v>7</v>
      </c>
      <c r="L26" s="88">
        <f>LOOKUP(2, 1/('Tourney History'!$B:$B=A26), 'Tourney History'!$AB:$AB)</f>
        <v>0.58750000000000002</v>
      </c>
      <c r="M26" s="34">
        <f>SUMIFS('Tourney History'!H:H,'Tourney History'!B:B,A26)</f>
        <v>40</v>
      </c>
      <c r="N26" s="2">
        <f>SUMIFS('Tourney History'!G:G,'Tourney History'!B:B,A26)-M26</f>
        <v>36</v>
      </c>
      <c r="O26" s="88">
        <f>LOOKUP(2, 1/('Tourney History'!$B:$B=A26), 'Tourney History'!$AC:$AC)</f>
        <v>0.52</v>
      </c>
      <c r="P26" s="2">
        <f>COUNTIFS('Tourney History'!$B:$B,$A$26,'Tourney History'!K:K, 1)</f>
        <v>0</v>
      </c>
      <c r="Q26" s="2">
        <f>COUNTIFS('Tourney History'!$B:$B,$A$26,'Tourney History'!L:L, 1)</f>
        <v>1</v>
      </c>
      <c r="R26" s="2">
        <f>COUNTIFS('Tourney History'!$B:$B,$A$26,'Tourney History'!M:M, 1)</f>
        <v>2</v>
      </c>
      <c r="S26" s="2">
        <f>COUNTIFS('Tourney History'!$B:$B,$A$26,'Tourney History'!N:N, 1)</f>
        <v>0</v>
      </c>
      <c r="T26" s="2">
        <f>COUNTIFS('Tourney History'!$B:$B,$A$26,'Tourney History'!O:O, 1)</f>
        <v>1</v>
      </c>
      <c r="U26" s="2">
        <f>COUNTIFS('Tourney History'!$B:$B,$A$26,'Tourney History'!P:P, 1)</f>
        <v>1</v>
      </c>
      <c r="V26" s="2">
        <f>COUNTIFS('Tourney History'!$B:$B,$A$26,'Tourney History'!Q:Q, 1)</f>
        <v>0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1</v>
      </c>
      <c r="AC26" s="2">
        <f>COUNTIFS('Tourney History'!$B:$B,$A$26,'Tourney History'!X:X, 1)</f>
        <v>2</v>
      </c>
      <c r="AD26" s="2">
        <f>COUNTIFS('Tourney History'!$B:$B,$A$26,'Tourney History'!Y:Y, 1)</f>
        <v>1</v>
      </c>
      <c r="AE26" s="2">
        <f>COUNTIFS('Tourney History'!$B:$B,$A$26,'Tourney History'!Z:Z, 1)</f>
        <v>1</v>
      </c>
    </row>
    <row r="27" spans="1:31" x14ac:dyDescent="0.25">
      <c r="A27" s="2" t="s">
        <v>38</v>
      </c>
      <c r="B27" s="6" t="s">
        <v>79</v>
      </c>
      <c r="C27" s="6" t="s">
        <v>79</v>
      </c>
      <c r="D27" s="34">
        <f>SUMIFS('Tourney History'!C:C,'Tourney History'!B:B,A27)</f>
        <v>10</v>
      </c>
      <c r="E27" s="4">
        <f>AVERAGEIFS('Tourney History'!C:C,'Tourney History'!B:B,A27)</f>
        <v>5</v>
      </c>
      <c r="F27" s="35">
        <f t="array" ref="F27">MAX(IF('Tourney History'!B:B=A27, 'Tourney History'!C:C))</f>
        <v>6</v>
      </c>
      <c r="G27" s="34">
        <f>COUNTIFS('Tourney History'!B:B,A27,'Tourney History'!D:D, 1)</f>
        <v>1</v>
      </c>
      <c r="H27" s="2">
        <f>COUNTIFS('Tourney History'!B:B,A27,'Tourney History'!D:D, 0)</f>
        <v>1</v>
      </c>
      <c r="I27" s="88">
        <f>LOOKUP(2, 1/('Tourney History'!$B:$B=A27), 'Tourney History'!$AD:$AD)</f>
        <v>0.5</v>
      </c>
      <c r="J27" s="34">
        <f>SUMIFS('Tourney History'!F:F,'Tourney History'!B:B,A27)</f>
        <v>4</v>
      </c>
      <c r="K27" s="2">
        <f>SUMIFS('Tourney History'!E:E,'Tourney History'!B:B,A27)-J27</f>
        <v>4</v>
      </c>
      <c r="L27" s="88">
        <f>LOOKUP(2, 1/('Tourney History'!$B:$B=A27), 'Tourney History'!$AB:$AB)</f>
        <v>0.5</v>
      </c>
      <c r="M27" s="34">
        <f>SUMIFS('Tourney History'!H:H,'Tourney History'!B:B,A27)</f>
        <v>15</v>
      </c>
      <c r="N27" s="2">
        <f>SUMIFS('Tourney History'!G:G,'Tourney History'!B:B,A27)-M27</f>
        <v>19</v>
      </c>
      <c r="O27" s="88">
        <f>LOOKUP(2, 1/('Tourney History'!$B:$B=A27), 'Tourney History'!$AC:$AC)</f>
        <v>0.43500000000000005</v>
      </c>
      <c r="P27" s="2">
        <f>COUNTIFS('Tourney History'!$B:$B,$A$27,'Tourney History'!K:K, 1)</f>
        <v>0</v>
      </c>
      <c r="Q27" s="2">
        <f>COUNTIFS('Tourney History'!$B:$B,$A$27,'Tourney History'!L:L, 1)</f>
        <v>0</v>
      </c>
      <c r="R27" s="2">
        <f>COUNTIFS('Tourney History'!$B:$B,$A$27,'Tourney History'!M:M, 1)</f>
        <v>0</v>
      </c>
      <c r="S27" s="2">
        <f>COUNTIFS('Tourney History'!$B:$B,$A$27,'Tourney History'!N:N, 1)</f>
        <v>1</v>
      </c>
      <c r="T27" s="2">
        <f>COUNTIFS('Tourney History'!$B:$B,$A$27,'Tourney History'!O:O, 1)</f>
        <v>0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1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0</v>
      </c>
      <c r="AD27" s="2">
        <f>COUNTIFS('Tourney History'!$B:$B,$A$27,'Tourney History'!Y:Y, 1)</f>
        <v>0</v>
      </c>
      <c r="AE27" s="2">
        <f>COUNTIFS('Tourney History'!$B:$B,$A$27,'Tourney History'!Z:Z, 1)</f>
        <v>0</v>
      </c>
    </row>
    <row r="28" spans="1:31" x14ac:dyDescent="0.25">
      <c r="A28" s="2" t="s">
        <v>40</v>
      </c>
      <c r="B28" s="2" t="s">
        <v>79</v>
      </c>
      <c r="C28" s="2" t="s">
        <v>79</v>
      </c>
      <c r="D28" s="34">
        <f>SUMIFS('Tourney History'!C:C,'Tourney History'!B:B,A28)</f>
        <v>44</v>
      </c>
      <c r="E28" s="4">
        <f>AVERAGEIFS('Tourney History'!C:C,'Tourney History'!B:B,A28)</f>
        <v>22</v>
      </c>
      <c r="F28" s="35">
        <f t="array" ref="F28">MAX(IF('Tourney History'!B:B=A28, 'Tourney History'!C:C))</f>
        <v>28</v>
      </c>
      <c r="G28" s="34">
        <f>COUNTIFS('Tourney History'!B:B,A28,'Tourney History'!D:D, 1)</f>
        <v>0</v>
      </c>
      <c r="H28" s="2">
        <f>COUNTIFS('Tourney History'!B:B,A28,'Tourney History'!D:D, 0)</f>
        <v>2</v>
      </c>
      <c r="I28" s="88">
        <f>LOOKUP(2, 1/('Tourney History'!$B:$B=A28), 'Tourney History'!$AD:$AD)</f>
        <v>0</v>
      </c>
      <c r="J28" s="34">
        <f>SUMIFS('Tourney History'!F:F,'Tourney History'!B:B,A28)</f>
        <v>3</v>
      </c>
      <c r="K28" s="2">
        <f>SUMIFS('Tourney History'!E:E,'Tourney History'!B:B,A28)-J28</f>
        <v>6</v>
      </c>
      <c r="L28" s="88">
        <f>LOOKUP(2, 1/('Tourney History'!$B:$B=A28), 'Tourney History'!$AB:$AB)</f>
        <v>0.32500000000000001</v>
      </c>
      <c r="M28" s="34">
        <f>SUMIFS('Tourney History'!H:H,'Tourney History'!B:B,A28)</f>
        <v>16</v>
      </c>
      <c r="N28" s="2">
        <f>SUMIFS('Tourney History'!G:G,'Tourney History'!B:B,A28)-M28</f>
        <v>22</v>
      </c>
      <c r="O28" s="88">
        <f>LOOKUP(2, 1/('Tourney History'!$B:$B=A28), 'Tourney History'!$AC:$AC)</f>
        <v>0.42000000000000004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0</v>
      </c>
      <c r="T28" s="2">
        <f>COUNTIFS('Tourney History'!$B:$B,$A$28,'Tourney History'!O:O, 1)</f>
        <v>0</v>
      </c>
      <c r="U28" s="2">
        <f>COUNTIFS('Tourney History'!$B:$B,$A$28,'Tourney History'!P:P, 1)</f>
        <v>0</v>
      </c>
      <c r="V28" s="2">
        <f>COUNTIFS('Tourney History'!$B:$B,$A$28,'Tourney History'!Q:Q, 1)</f>
        <v>0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0</v>
      </c>
      <c r="AC28" s="2">
        <f>COUNTIFS('Tourney History'!$B:$B,$A$28,'Tourney History'!X:X, 1)</f>
        <v>1</v>
      </c>
      <c r="AD28" s="2">
        <f>COUNTIFS('Tourney History'!$B:$B,$A$28,'Tourney History'!Y:Y, 1)</f>
        <v>1</v>
      </c>
      <c r="AE28" s="2">
        <f>COUNTIFS('Tourney History'!$B:$B,$A$28,'Tourney History'!Z:Z, 1)</f>
        <v>1</v>
      </c>
    </row>
    <row r="29" spans="1:31" x14ac:dyDescent="0.25">
      <c r="A29" s="2" t="s">
        <v>147</v>
      </c>
      <c r="B29" s="2" t="s">
        <v>79</v>
      </c>
      <c r="C29" s="2" t="s">
        <v>79</v>
      </c>
      <c r="D29" s="34">
        <f>SUMIFS('Tourney History'!C:C,'Tourney History'!B:B,A29)</f>
        <v>22</v>
      </c>
      <c r="E29" s="4">
        <f>AVERAGEIFS('Tourney History'!C:C,'Tourney History'!B:B,A29)</f>
        <v>22</v>
      </c>
      <c r="F29" s="35">
        <f t="array" ref="F29">MAX(IF('Tourney History'!B:B=A29, 'Tourney History'!C:C))</f>
        <v>22</v>
      </c>
      <c r="G29" s="34">
        <f>COUNTIFS('Tourney History'!B:B,A29,'Tourney History'!D:D, 1)</f>
        <v>0</v>
      </c>
      <c r="H29" s="2">
        <f>COUNTIFS('Tourney History'!B:B,A29,'Tourney History'!D:D, 0)</f>
        <v>1</v>
      </c>
      <c r="I29" s="88">
        <f>LOOKUP(2, 1/('Tourney History'!$B:$B=A29), 'Tourney History'!$AD:$AD)</f>
        <v>0</v>
      </c>
      <c r="J29" s="34">
        <f>SUMIFS('Tourney History'!F:F,'Tourney History'!B:B,A29)</f>
        <v>2</v>
      </c>
      <c r="K29" s="2">
        <f>SUMIFS('Tourney History'!E:E,'Tourney History'!B:B,A29)-J29</f>
        <v>3</v>
      </c>
      <c r="L29" s="88">
        <f>LOOKUP(2, 1/('Tourney History'!$B:$B=A29), 'Tourney History'!$AB:$AB)</f>
        <v>0.4</v>
      </c>
      <c r="M29" s="34">
        <f>SUMIFS('Tourney History'!H:H,'Tourney History'!B:B,A29)</f>
        <v>8</v>
      </c>
      <c r="N29" s="2">
        <f>SUMIFS('Tourney History'!G:G,'Tourney History'!B:B,A29)-M29</f>
        <v>12</v>
      </c>
      <c r="O29" s="88">
        <f>LOOKUP(2, 1/('Tourney History'!$B:$B=A29), 'Tourney History'!$AC:$AC)</f>
        <v>0.4</v>
      </c>
      <c r="P29" s="2">
        <f>COUNTIFS('Tourney History'!$B:$B,$A$29,'Tourney History'!K:K, 1)</f>
        <v>0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0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1</v>
      </c>
      <c r="AD29" s="2">
        <f>COUNTIFS('Tourney History'!$B:$B,$A$29,'Tourney History'!Y:Y, 1)</f>
        <v>1</v>
      </c>
      <c r="AE29" s="2">
        <f>COUNTIFS('Tourney History'!$B:$B,$A$29,'Tourney History'!Z:Z, 1)</f>
        <v>0</v>
      </c>
    </row>
    <row r="30" spans="1:31" x14ac:dyDescent="0.25">
      <c r="A30" s="2" t="s">
        <v>17</v>
      </c>
      <c r="B30" s="2" t="s">
        <v>79</v>
      </c>
      <c r="C30" s="2" t="s">
        <v>79</v>
      </c>
      <c r="D30" s="34">
        <f>SUMIFS('Tourney History'!C:C,'Tourney History'!B:B,A30)</f>
        <v>191</v>
      </c>
      <c r="E30" s="4">
        <f>AVERAGEIFS('Tourney History'!C:C,'Tourney History'!B:B,A30)</f>
        <v>31.833333333333332</v>
      </c>
      <c r="F30" s="35">
        <f t="array" ref="F30">MAX(IF('Tourney History'!B:B=A30, 'Tourney History'!C:C))</f>
        <v>42</v>
      </c>
      <c r="G30" s="34">
        <f>COUNTIFS('Tourney History'!B:B,A30,'Tourney History'!D:D, 1)</f>
        <v>1</v>
      </c>
      <c r="H30" s="2">
        <f>COUNTIFS('Tourney History'!B:B,A30,'Tourney History'!D:D, 0)</f>
        <v>5</v>
      </c>
      <c r="I30" s="88">
        <f>LOOKUP(2, 1/('Tourney History'!$B:$B=A30), 'Tourney History'!$AD:$AD)</f>
        <v>0.16666666666666666</v>
      </c>
      <c r="J30" s="34">
        <f>SUMIFS('Tourney History'!F:F,'Tourney History'!B:B,A30)</f>
        <v>11</v>
      </c>
      <c r="K30" s="2">
        <f>SUMIFS('Tourney History'!E:E,'Tourney History'!B:B,A30)-J30</f>
        <v>15</v>
      </c>
      <c r="L30" s="88">
        <f>LOOKUP(2, 1/('Tourney History'!$B:$B=A30), 'Tourney History'!$AB:$AB)</f>
        <v>0.44999999999999996</v>
      </c>
      <c r="M30" s="34">
        <f>SUMIFS('Tourney History'!H:H,'Tourney History'!B:B,A30)</f>
        <v>53</v>
      </c>
      <c r="N30" s="2">
        <f>SUMIFS('Tourney History'!G:G,'Tourney History'!B:B,A30)-M30</f>
        <v>61</v>
      </c>
      <c r="O30" s="88">
        <f>LOOKUP(2, 1/('Tourney History'!$B:$B=A30), 'Tourney History'!$AC:$AC)</f>
        <v>0.47666666666666663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0</v>
      </c>
      <c r="T30" s="2">
        <f>COUNTIFS('Tourney History'!$B:$B,$A$30,'Tourney History'!O:O, 1)</f>
        <v>0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3</v>
      </c>
      <c r="AC30" s="2">
        <f>COUNTIFS('Tourney History'!$B:$B,$A$30,'Tourney History'!X:X, 1)</f>
        <v>2</v>
      </c>
      <c r="AD30" s="2">
        <f>COUNTIFS('Tourney History'!$B:$B,$A$30,'Tourney History'!Y:Y, 1)</f>
        <v>2</v>
      </c>
      <c r="AE30" s="2">
        <f>COUNTIFS('Tourney History'!$B:$B,$A$30,'Tourney History'!Z:Z, 1)</f>
        <v>3</v>
      </c>
    </row>
    <row r="31" spans="1:31" x14ac:dyDescent="0.25">
      <c r="A31" s="2" t="s">
        <v>6</v>
      </c>
      <c r="B31" s="2" t="s">
        <v>159</v>
      </c>
      <c r="C31" s="2" t="s">
        <v>79</v>
      </c>
      <c r="D31" s="34">
        <f>SUMIFS('Tourney History'!C:C,'Tourney History'!B:B,A31)</f>
        <v>176</v>
      </c>
      <c r="E31" s="4">
        <f>AVERAGEIFS('Tourney History'!C:C,'Tourney History'!B:B,A31)</f>
        <v>25.142857142857142</v>
      </c>
      <c r="F31" s="35">
        <f t="array" ref="F31">MAX(IF('Tourney History'!B:B=A31, 'Tourney History'!C:C))</f>
        <v>33</v>
      </c>
      <c r="G31" s="34">
        <f>COUNTIFS('Tourney History'!B:B,A31,'Tourney History'!D:D, 1)</f>
        <v>5</v>
      </c>
      <c r="H31" s="2">
        <f>COUNTIFS('Tourney History'!B:B,A31,'Tourney History'!D:D, 0)</f>
        <v>2</v>
      </c>
      <c r="I31" s="88">
        <f>LOOKUP(2, 1/('Tourney History'!$B:$B=A31), 'Tourney History'!$AD:$AD)</f>
        <v>0.7142857142857143</v>
      </c>
      <c r="J31" s="34">
        <f>SUMIFS('Tourney History'!F:F,'Tourney History'!B:B,A31)</f>
        <v>18</v>
      </c>
      <c r="K31" s="2">
        <f>SUMIFS('Tourney History'!E:E,'Tourney History'!B:B,A31)-J31</f>
        <v>10</v>
      </c>
      <c r="L31" s="88">
        <f>LOOKUP(2, 1/('Tourney History'!$B:$B=A31), 'Tourney History'!$AB:$AB)</f>
        <v>0.6785714285714286</v>
      </c>
      <c r="M31" s="34">
        <f>SUMIFS('Tourney History'!H:H,'Tourney History'!B:B,A31)</f>
        <v>65</v>
      </c>
      <c r="N31" s="2">
        <f>SUMIFS('Tourney History'!G:G,'Tourney History'!B:B,A31)-M31</f>
        <v>56</v>
      </c>
      <c r="O31" s="88">
        <f>LOOKUP(2, 1/('Tourney History'!$B:$B=A31), 'Tourney History'!$AC:$AC)</f>
        <v>0.55999999999999994</v>
      </c>
      <c r="P31" s="2">
        <f>COUNTIFS('Tourney History'!$B:$B,$A$31,'Tourney History'!K:K, 1)</f>
        <v>0</v>
      </c>
      <c r="Q31" s="2">
        <f>COUNTIFS('Tourney History'!$B:$B,$A$31,'Tourney History'!L:L, 1)</f>
        <v>3</v>
      </c>
      <c r="R31" s="2">
        <f>COUNTIFS('Tourney History'!$B:$B,$A$31,'Tourney History'!M:M, 1)</f>
        <v>2</v>
      </c>
      <c r="S31" s="2">
        <f>COUNTIFS('Tourney History'!$B:$B,$A$31,'Tourney History'!N:N, 1)</f>
        <v>1</v>
      </c>
      <c r="T31" s="2">
        <f>COUNTIFS('Tourney History'!$B:$B,$A$31,'Tourney History'!O:O, 1)</f>
        <v>1</v>
      </c>
      <c r="U31" s="2">
        <f>COUNTIFS('Tourney History'!$B:$B,$A$31,'Tourney History'!P:P, 1)</f>
        <v>2</v>
      </c>
      <c r="V31" s="2">
        <f>COUNTIFS('Tourney History'!$B:$B,$A$31,'Tourney History'!Q:Q, 1)</f>
        <v>0</v>
      </c>
      <c r="W31" s="2">
        <f>COUNTIFS('Tourney History'!$B:$B,$A$31,'Tourney History'!R:R, 1)</f>
        <v>1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4</v>
      </c>
      <c r="AC31" s="2">
        <f>COUNTIFS('Tourney History'!$B:$B,$A$31,'Tourney History'!X:X, 1)</f>
        <v>1</v>
      </c>
      <c r="AD31" s="2">
        <f>COUNTIFS('Tourney History'!$B:$B,$A$31,'Tourney History'!Y:Y, 1)</f>
        <v>1</v>
      </c>
      <c r="AE31" s="2">
        <f>COUNTIFS('Tourney History'!$B:$B,$A$31,'Tourney History'!Z:Z, 1)</f>
        <v>2</v>
      </c>
    </row>
    <row r="32" spans="1:31" x14ac:dyDescent="0.25">
      <c r="A32" s="2" t="s">
        <v>18</v>
      </c>
      <c r="B32" s="2" t="s">
        <v>79</v>
      </c>
      <c r="C32" s="2" t="s">
        <v>79</v>
      </c>
      <c r="D32" s="34">
        <f>SUMIFS('Tourney History'!C:C,'Tourney History'!B:B,A32)</f>
        <v>212</v>
      </c>
      <c r="E32" s="4">
        <f>AVERAGEIFS('Tourney History'!C:C,'Tourney History'!B:B,A32)</f>
        <v>30.285714285714285</v>
      </c>
      <c r="F32" s="35">
        <f t="array" ref="F32">MAX(IF('Tourney History'!B:B=A32, 'Tourney History'!C:C))</f>
        <v>41</v>
      </c>
      <c r="G32" s="34">
        <f>COUNTIFS('Tourney History'!B:B,A32,'Tourney History'!D:D, 1)</f>
        <v>2</v>
      </c>
      <c r="H32" s="2">
        <f>COUNTIFS('Tourney History'!B:B,A32,'Tourney History'!D:D, 0)</f>
        <v>5</v>
      </c>
      <c r="I32" s="88">
        <f>LOOKUP(2, 1/('Tourney History'!$B:$B=A32), 'Tourney History'!$AD:$AD)</f>
        <v>0.2857142857142857</v>
      </c>
      <c r="J32" s="34">
        <f>SUMIFS('Tourney History'!F:F,'Tourney History'!B:B,A32)</f>
        <v>13</v>
      </c>
      <c r="K32" s="2">
        <f>SUMIFS('Tourney History'!E:E,'Tourney History'!B:B,A32)-J32</f>
        <v>17</v>
      </c>
      <c r="L32" s="88">
        <f>LOOKUP(2, 1/('Tourney History'!$B:$B=A32), 'Tourney History'!$AB:$AB)</f>
        <v>0.43571428571428567</v>
      </c>
      <c r="M32" s="34">
        <f>SUMIFS('Tourney History'!H:H,'Tourney History'!B:B,A32)</f>
        <v>58</v>
      </c>
      <c r="N32" s="2">
        <f>SUMIFS('Tourney History'!G:G,'Tourney History'!B:B,A32)-M32</f>
        <v>68</v>
      </c>
      <c r="O32" s="88">
        <f>LOOKUP(2, 1/('Tourney History'!$B:$B=A32), 'Tourney History'!$AC:$AC)</f>
        <v>0.46142857142857141</v>
      </c>
      <c r="P32" s="2">
        <f>COUNTIFS('Tourney History'!$B:$B,$A$32,'Tourney History'!K:K, 1)</f>
        <v>1</v>
      </c>
      <c r="Q32" s="2">
        <f>COUNTIFS('Tourney History'!$B:$B,$A$32,'Tourney History'!L:L, 1)</f>
        <v>0</v>
      </c>
      <c r="R32" s="2">
        <f>COUNTIFS('Tourney History'!$B:$B,$A$32,'Tourney History'!M:M, 1)</f>
        <v>0</v>
      </c>
      <c r="S32" s="2">
        <f>COUNTIFS('Tourney History'!$B:$B,$A$32,'Tourney History'!N:N, 1)</f>
        <v>3</v>
      </c>
      <c r="T32" s="2">
        <f>COUNTIFS('Tourney History'!$B:$B,$A$32,'Tourney History'!O:O, 1)</f>
        <v>0</v>
      </c>
      <c r="U32" s="2">
        <f>COUNTIFS('Tourney History'!$B:$B,$A$32,'Tourney History'!P:P, 1)</f>
        <v>2</v>
      </c>
      <c r="V32" s="2">
        <f>COUNTIFS('Tourney History'!$B:$B,$A$32,'Tourney History'!Q:Q, 1)</f>
        <v>0</v>
      </c>
      <c r="W32" s="2">
        <f>COUNTIFS('Tourney History'!$B:$B,$A$32,'Tourney History'!R:R, 1)</f>
        <v>2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2</v>
      </c>
      <c r="AC32" s="2">
        <f>COUNTIFS('Tourney History'!$B:$B,$A$32,'Tourney History'!X:X, 1)</f>
        <v>2</v>
      </c>
      <c r="AD32" s="2">
        <f>COUNTIFS('Tourney History'!$B:$B,$A$32,'Tourney History'!Y:Y, 1)</f>
        <v>0</v>
      </c>
      <c r="AE32" s="2">
        <f>COUNTIFS('Tourney History'!$B:$B,$A$32,'Tourney History'!Z:Z, 1)</f>
        <v>1</v>
      </c>
    </row>
    <row r="33" spans="1:31" x14ac:dyDescent="0.25">
      <c r="A33" s="2" t="s">
        <v>14</v>
      </c>
      <c r="B33" s="6" t="s">
        <v>124</v>
      </c>
      <c r="C33" s="6" t="s">
        <v>162</v>
      </c>
      <c r="D33" s="34">
        <f>SUMIFS('Tourney History'!C:C,'Tourney History'!B:B,A33)</f>
        <v>261</v>
      </c>
      <c r="E33" s="4">
        <f>AVERAGEIFS('Tourney History'!C:C,'Tourney History'!B:B,A33)</f>
        <v>37.285714285714285</v>
      </c>
      <c r="F33" s="35">
        <f t="array" ref="F33">MAX(IF('Tourney History'!B:B=A33, 'Tourney History'!C:C))</f>
        <v>56</v>
      </c>
      <c r="G33" s="34">
        <f>COUNTIFS('Tourney History'!B:B,A33,'Tourney History'!D:D, 1)</f>
        <v>4</v>
      </c>
      <c r="H33" s="2">
        <f>COUNTIFS('Tourney History'!B:B,A33,'Tourney History'!D:D, 0)</f>
        <v>3</v>
      </c>
      <c r="I33" s="88">
        <f>LOOKUP(2, 1/('Tourney History'!$B:$B=A33), 'Tourney History'!$AD:$AD)</f>
        <v>0.5714285714285714</v>
      </c>
      <c r="J33" s="34">
        <f>SUMIFS('Tourney History'!F:F,'Tourney History'!B:B,A33)</f>
        <v>15</v>
      </c>
      <c r="K33" s="2">
        <f>SUMIFS('Tourney History'!E:E,'Tourney History'!B:B,A33)-J33</f>
        <v>14</v>
      </c>
      <c r="L33" s="88">
        <f>LOOKUP(2, 1/('Tourney History'!$B:$B=A33), 'Tourney History'!$AB:$AB)</f>
        <v>0.52857142857142858</v>
      </c>
      <c r="M33" s="34">
        <f>SUMIFS('Tourney History'!H:H,'Tourney History'!B:B,A33)</f>
        <v>64</v>
      </c>
      <c r="N33" s="2">
        <f>SUMIFS('Tourney History'!G:G,'Tourney History'!B:B,A33)-M33</f>
        <v>60</v>
      </c>
      <c r="O33" s="88">
        <f>LOOKUP(2, 1/('Tourney History'!$B:$B=A33), 'Tourney History'!$AC:$AC)</f>
        <v>0.52571428571428569</v>
      </c>
      <c r="P33" s="2">
        <f>COUNTIFS('Tourney History'!$B:$B,$A$33,'Tourney History'!K:K, 1)</f>
        <v>0</v>
      </c>
      <c r="Q33" s="2">
        <f>COUNTIFS('Tourney History'!$B:$B,$A$33,'Tourney History'!L:L, 1)</f>
        <v>2</v>
      </c>
      <c r="R33" s="2">
        <f>COUNTIFS('Tourney History'!$B:$B,$A$33,'Tourney History'!M:M, 1)</f>
        <v>2</v>
      </c>
      <c r="S33" s="2">
        <f>COUNTIFS('Tourney History'!$B:$B,$A$33,'Tourney History'!N:N, 1)</f>
        <v>0</v>
      </c>
      <c r="T33" s="2">
        <f>COUNTIFS('Tourney History'!$B:$B,$A$33,'Tourney History'!O:O, 1)</f>
        <v>2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3</v>
      </c>
      <c r="AD33" s="2">
        <f>COUNTIFS('Tourney History'!$B:$B,$A$33,'Tourney History'!Y:Y, 1)</f>
        <v>0</v>
      </c>
      <c r="AE33" s="2">
        <f>COUNTIFS('Tourney History'!$B:$B,$A$33,'Tourney History'!Z:Z, 1)</f>
        <v>2</v>
      </c>
    </row>
    <row r="34" spans="1:31" x14ac:dyDescent="0.25">
      <c r="A34" s="2" t="s">
        <v>70</v>
      </c>
      <c r="B34" s="6" t="s">
        <v>79</v>
      </c>
      <c r="C34" s="6" t="s">
        <v>79</v>
      </c>
      <c r="D34" s="34">
        <f>SUMIFS('Tourney History'!C:C,'Tourney History'!B:B,A34)</f>
        <v>25</v>
      </c>
      <c r="E34" s="4">
        <f>AVERAGEIFS('Tourney History'!C:C,'Tourney History'!B:B,A34)</f>
        <v>25</v>
      </c>
      <c r="F34" s="35">
        <f t="array" ref="F34">MAX(IF('Tourney History'!B:B=A34, 'Tourney History'!C:C))</f>
        <v>25</v>
      </c>
      <c r="G34" s="34">
        <f>COUNTIFS('Tourney History'!B:B,A34,'Tourney History'!D:D, 1)</f>
        <v>0</v>
      </c>
      <c r="H34" s="2">
        <f>COUNTIFS('Tourney History'!B:B,A34,'Tourney History'!D:D, 0)</f>
        <v>1</v>
      </c>
      <c r="I34" s="88">
        <f>LOOKUP(2, 1/('Tourney History'!$B:$B=A34), 'Tourney History'!$AD:$AD)</f>
        <v>0</v>
      </c>
      <c r="J34" s="34">
        <f>SUMIFS('Tourney History'!F:F,'Tourney History'!B:B,A34)</f>
        <v>2</v>
      </c>
      <c r="K34" s="2">
        <f>SUMIFS('Tourney History'!E:E,'Tourney History'!B:B,A34)-J34</f>
        <v>3</v>
      </c>
      <c r="L34" s="88">
        <f>LOOKUP(2, 1/('Tourney History'!$B:$B=A34), 'Tourney History'!$AB:$AB)</f>
        <v>0.4</v>
      </c>
      <c r="M34" s="34">
        <f>SUMIFS('Tourney History'!H:H,'Tourney History'!B:B,A34)</f>
        <v>10</v>
      </c>
      <c r="N34" s="2">
        <f>SUMIFS('Tourney History'!G:G,'Tourney History'!B:B,A34)-M34</f>
        <v>11</v>
      </c>
      <c r="O34" s="88">
        <f>LOOKUP(2, 1/('Tourney History'!$B:$B=A34), 'Tourney History'!$AC:$AC)</f>
        <v>0.48</v>
      </c>
      <c r="P34" s="2">
        <f>COUNTIFS('Tourney History'!$B:$B,$A$34,'Tourney History'!K:K, 1)</f>
        <v>0</v>
      </c>
      <c r="Q34" s="2">
        <f>COUNTIFS('Tourney History'!$B:$B,$A$34,'Tourney History'!L:L, 1)</f>
        <v>0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0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1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4</v>
      </c>
      <c r="B35" s="6" t="s">
        <v>160</v>
      </c>
      <c r="C35" s="2" t="s">
        <v>79</v>
      </c>
      <c r="D35" s="34">
        <f>SUMIFS('Tourney History'!C:C,'Tourney History'!B:B,A35)</f>
        <v>61</v>
      </c>
      <c r="E35" s="4">
        <f>AVERAGEIFS('Tourney History'!C:C,'Tourney History'!B:B,A35)</f>
        <v>20.333333333333332</v>
      </c>
      <c r="F35" s="35">
        <f t="array" ref="F35">MAX(IF('Tourney History'!B:B=A35, 'Tourney History'!C:C))</f>
        <v>24</v>
      </c>
      <c r="G35" s="34">
        <f>COUNTIFS('Tourney History'!B:B,A35,'Tourney History'!D:D, 1)</f>
        <v>2</v>
      </c>
      <c r="H35" s="2">
        <f>COUNTIFS('Tourney History'!B:B,A35,'Tourney History'!D:D, 0)</f>
        <v>1</v>
      </c>
      <c r="I35" s="88">
        <f>LOOKUP(2, 1/('Tourney History'!$B:$B=A35), 'Tourney History'!$AD:$AD)</f>
        <v>0.66666666666666663</v>
      </c>
      <c r="J35" s="34">
        <f>SUMIFS('Tourney History'!F:F,'Tourney History'!B:B,A35)</f>
        <v>6</v>
      </c>
      <c r="K35" s="2">
        <f>SUMIFS('Tourney History'!E:E,'Tourney History'!B:B,A35)-J35</f>
        <v>6</v>
      </c>
      <c r="L35" s="88">
        <f>LOOKUP(2, 1/('Tourney History'!$B:$B=A35), 'Tourney History'!$AB:$AB)</f>
        <v>0.45</v>
      </c>
      <c r="M35" s="34">
        <f>SUMIFS('Tourney History'!H:H,'Tourney History'!B:B,A35)</f>
        <v>24</v>
      </c>
      <c r="N35" s="2">
        <f>SUMIFS('Tourney History'!G:G,'Tourney History'!B:B,A35)-M35</f>
        <v>25</v>
      </c>
      <c r="O35" s="88">
        <f>LOOKUP(2, 1/('Tourney History'!$B:$B=A35), 'Tourney History'!$AC:$AC)</f>
        <v>0.44666666666666671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1</v>
      </c>
      <c r="S35" s="2">
        <f>COUNTIFS('Tourney History'!$B:$B,$A$35,'Tourney History'!N:N, 1)</f>
        <v>0</v>
      </c>
      <c r="T35" s="2">
        <f>COUNTIFS('Tourney History'!$B:$B,$A$35,'Tourney History'!O:O, 1)</f>
        <v>1</v>
      </c>
      <c r="U35" s="2">
        <f>COUNTIFS('Tourney History'!$B:$B,$A$35,'Tourney History'!P:P, 1)</f>
        <v>1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1</v>
      </c>
      <c r="AE35" s="2">
        <f>COUNTIFS('Tourney History'!$B:$B,$A$35,'Tourney History'!Z:Z, 1)</f>
        <v>1</v>
      </c>
    </row>
    <row r="36" spans="1:31" x14ac:dyDescent="0.25">
      <c r="A36" s="2" t="s">
        <v>55</v>
      </c>
      <c r="B36" s="2" t="s">
        <v>79</v>
      </c>
      <c r="C36" s="2" t="s">
        <v>79</v>
      </c>
      <c r="D36" s="34">
        <f>SUMIFS('Tourney History'!C:C,'Tourney History'!B:B,A36)</f>
        <v>18</v>
      </c>
      <c r="E36" s="4">
        <f>AVERAGEIFS('Tourney History'!C:C,'Tourney History'!B:B,A36)</f>
        <v>9</v>
      </c>
      <c r="F36" s="35">
        <f t="array" ref="F36">MAX(IF('Tourney History'!B:B=A36, 'Tourney History'!C:C))</f>
        <v>12</v>
      </c>
      <c r="G36" s="34">
        <f>COUNTIFS('Tourney History'!B:B,A36,'Tourney History'!D:D, 1)</f>
        <v>1</v>
      </c>
      <c r="H36" s="2">
        <f>COUNTIFS('Tourney History'!B:B,A36,'Tourney History'!D:D, 0)</f>
        <v>1</v>
      </c>
      <c r="I36" s="88">
        <f>LOOKUP(2, 1/('Tourney History'!$B:$B=A36), 'Tourney History'!$AD:$AD)</f>
        <v>0.5</v>
      </c>
      <c r="J36" s="34">
        <f>SUMIFS('Tourney History'!F:F,'Tourney History'!B:B,A36)</f>
        <v>4</v>
      </c>
      <c r="K36" s="2">
        <f>SUMIFS('Tourney History'!E:E,'Tourney History'!B:B,A36)-J36</f>
        <v>5</v>
      </c>
      <c r="L36" s="88">
        <f>LOOKUP(2, 1/('Tourney History'!$B:$B=A36), 'Tourney History'!$AB:$AB)</f>
        <v>0.42499999999999999</v>
      </c>
      <c r="M36" s="34">
        <f>SUMIFS('Tourney History'!H:H,'Tourney History'!B:B,A36)</f>
        <v>18</v>
      </c>
      <c r="N36" s="2">
        <f>SUMIFS('Tourney History'!G:G,'Tourney History'!B:B,A36)-M36</f>
        <v>19</v>
      </c>
      <c r="O36" s="88">
        <f>LOOKUP(2, 1/('Tourney History'!$B:$B=A36), 'Tourney History'!$AC:$AC)</f>
        <v>0.47499999999999998</v>
      </c>
      <c r="P36" s="2">
        <f>COUNTIFS('Tourney History'!$B:$B,$A$36,'Tourney History'!K:K, 1)</f>
        <v>0</v>
      </c>
      <c r="Q36" s="2">
        <f>COUNTIFS('Tourney History'!$B:$B,$A$36,'Tourney History'!L:L, 1)</f>
        <v>0</v>
      </c>
      <c r="R36" s="2">
        <f>COUNTIFS('Tourney History'!$B:$B,$A$36,'Tourney History'!M:M, 1)</f>
        <v>0</v>
      </c>
      <c r="S36" s="2">
        <f>COUNTIFS('Tourney History'!$B:$B,$A$36,'Tourney History'!N:N, 1)</f>
        <v>1</v>
      </c>
      <c r="T36" s="2">
        <f>COUNTIFS('Tourney History'!$B:$B,$A$36,'Tourney History'!O:O, 1)</f>
        <v>1</v>
      </c>
      <c r="U36" s="2">
        <f>COUNTIFS('Tourney History'!$B:$B,$A$36,'Tourney History'!P:P, 1)</f>
        <v>0</v>
      </c>
      <c r="V36" s="2">
        <f>COUNTIFS('Tourney History'!$B:$B,$A$36,'Tourney History'!Q:Q, 1)</f>
        <v>1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0</v>
      </c>
      <c r="AC36" s="2">
        <f>COUNTIFS('Tourney History'!$B:$B,$A$36,'Tourney History'!X:X, 1)</f>
        <v>1</v>
      </c>
      <c r="AD36" s="2">
        <f>COUNTIFS('Tourney History'!$B:$B,$A$36,'Tourney History'!Y:Y, 1)</f>
        <v>0</v>
      </c>
      <c r="AE36" s="2">
        <f>COUNTIFS('Tourney History'!$B:$B,$A$36,'Tourney History'!Z:Z, 1)</f>
        <v>0</v>
      </c>
    </row>
  </sheetData>
  <autoFilter ref="A1:AE36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0" t="s">
        <v>7</v>
      </c>
      <c r="D1" s="101"/>
      <c r="E1" s="102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0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3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3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3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3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3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3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3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3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99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99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99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99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99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99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99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99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2026-04-20T00:48:28Z</dcterms:modified>
</cp:coreProperties>
</file>