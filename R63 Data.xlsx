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C91A16E-91A7-4C4E-B1B0-8CF66079088C}" xr6:coauthVersionLast="47" xr6:coauthVersionMax="47" xr10:uidLastSave="{00000000-0000-0000-0000-000000000000}"/>
  <bookViews>
    <workbookView xWindow="-120" yWindow="-120" windowWidth="38640" windowHeight="21120" activeTab="3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8" r:id="rId6"/>
  </sheets>
  <definedNames>
    <definedName name="_xlnm._FilterDatabase" localSheetId="3" hidden="1">BA!$A$1:$AG$47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8" i="3" l="1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21" i="3"/>
  <c r="J21" i="3"/>
  <c r="G21" i="3"/>
  <c r="C21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8" i="3"/>
  <c r="N19" i="8" s="1"/>
  <c r="J18" i="3"/>
  <c r="K19" i="8" s="1"/>
  <c r="G18" i="3"/>
  <c r="H19" i="8" s="1"/>
  <c r="C18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5" i="3"/>
  <c r="J47" i="3"/>
  <c r="J39" i="3"/>
  <c r="J15" i="3"/>
  <c r="G47" i="3"/>
  <c r="G39" i="3"/>
  <c r="G15" i="3"/>
  <c r="C47" i="3"/>
  <c r="C39" i="3"/>
  <c r="C36" i="3"/>
  <c r="C15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8" s="1"/>
  <c r="M16" i="3"/>
  <c r="J27" i="3"/>
  <c r="K21" i="8" s="1"/>
  <c r="J16" i="3"/>
  <c r="G16" i="3"/>
  <c r="C16" i="3"/>
  <c r="M43" i="3"/>
  <c r="M31" i="3"/>
  <c r="M30" i="3"/>
  <c r="M20" i="3"/>
  <c r="M17" i="3"/>
  <c r="M7" i="3"/>
  <c r="N20" i="8" s="1"/>
  <c r="M4" i="3"/>
  <c r="J43" i="3"/>
  <c r="J42" i="3"/>
  <c r="K22" i="8" s="1"/>
  <c r="J31" i="3"/>
  <c r="J30" i="3"/>
  <c r="J20" i="3"/>
  <c r="J17" i="3"/>
  <c r="J7" i="3"/>
  <c r="K20" i="8" s="1"/>
  <c r="J4" i="3"/>
  <c r="G43" i="3"/>
  <c r="G42" i="3"/>
  <c r="H22" i="8" s="1"/>
  <c r="G31" i="3"/>
  <c r="G30" i="3"/>
  <c r="G20" i="3"/>
  <c r="G17" i="3"/>
  <c r="G7" i="3"/>
  <c r="H6" i="8" s="1"/>
  <c r="C43" i="3"/>
  <c r="C31" i="3"/>
  <c r="C30" i="3"/>
  <c r="C20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D21" i="4" s="1"/>
  <c r="E15" i="1"/>
  <c r="O4" i="1"/>
  <c r="L4" i="1"/>
  <c r="I4" i="1"/>
  <c r="O3" i="1"/>
  <c r="L3" i="1"/>
  <c r="I3" i="1"/>
  <c r="O16" i="1"/>
  <c r="O18" i="1"/>
  <c r="O8" i="1"/>
  <c r="N8" i="4" s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H21" i="4" s="1"/>
  <c r="I36" i="1"/>
  <c r="I29" i="1"/>
  <c r="I33" i="1"/>
  <c r="I17" i="1"/>
  <c r="I26" i="1"/>
  <c r="I35" i="1"/>
  <c r="I24" i="1"/>
  <c r="I34" i="1"/>
  <c r="I5" i="1"/>
  <c r="H20" i="4" s="1"/>
  <c r="I21" i="1"/>
  <c r="I15" i="1"/>
  <c r="AH25" i="8" l="1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C32" i="4" s="1"/>
  <c r="D32" i="4" s="1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C33" i="4" s="1"/>
  <c r="D33" i="4" s="1"/>
  <c r="D25" i="4"/>
  <c r="D36" i="4"/>
  <c r="D35" i="4"/>
  <c r="D34" i="4"/>
  <c r="C36" i="4"/>
  <c r="C35" i="4"/>
  <c r="C34" i="4"/>
  <c r="C30" i="4" l="1"/>
  <c r="D30" i="4" s="1"/>
  <c r="C31" i="4"/>
  <c r="D31" i="4" s="1"/>
</calcChain>
</file>

<file path=xl/sharedStrings.xml><?xml version="1.0" encoding="utf-8"?>
<sst xmlns="http://schemas.openxmlformats.org/spreadsheetml/2006/main" count="425" uniqueCount="127">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</sst>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topLeftCell="A16" workbookViewId="0">
      <selection activeCell="D31" sqref="D31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124</v>
      </c>
      <c r="J1" s="50" t="s">
        <v>64</v>
      </c>
      <c r="K1" s="22" t="s">
        <v>101</v>
      </c>
      <c r="L1" s="23" t="s">
        <v>122</v>
      </c>
      <c r="M1" s="51" t="s">
        <v>99</v>
      </c>
      <c r="N1" s="52" t="s">
        <v>100</v>
      </c>
      <c r="O1" s="46" t="s">
        <v>123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177</v>
      </c>
      <c r="E9" s="4">
        <f t="shared" si="0"/>
        <v>12.642857142857142</v>
      </c>
      <c r="F9" s="35">
        <v>24</v>
      </c>
      <c r="G9" s="34">
        <v>10</v>
      </c>
      <c r="H9" s="2">
        <v>4</v>
      </c>
      <c r="I9" s="41">
        <f t="shared" si="1"/>
        <v>0.7142857142857143</v>
      </c>
      <c r="J9" s="34">
        <v>36</v>
      </c>
      <c r="K9" s="2">
        <v>21</v>
      </c>
      <c r="L9" s="41">
        <f t="shared" si="2"/>
        <v>0.63157894736842102</v>
      </c>
      <c r="M9" s="34">
        <v>134</v>
      </c>
      <c r="N9" s="2">
        <v>103</v>
      </c>
      <c r="O9" s="41">
        <f t="shared" si="3"/>
        <v>0.56540084388185652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80</v>
      </c>
      <c r="E11" s="4">
        <f t="shared" si="0"/>
        <v>10</v>
      </c>
      <c r="F11" s="35">
        <v>17</v>
      </c>
      <c r="G11" s="36">
        <v>3</v>
      </c>
      <c r="H11" s="1">
        <v>5</v>
      </c>
      <c r="I11" s="42">
        <f t="shared" si="1"/>
        <v>0.375</v>
      </c>
      <c r="J11" s="36">
        <v>14</v>
      </c>
      <c r="K11" s="1">
        <v>17</v>
      </c>
      <c r="L11" s="42">
        <f t="shared" si="2"/>
        <v>0.45161290322580644</v>
      </c>
      <c r="M11" s="36">
        <v>61</v>
      </c>
      <c r="N11" s="1">
        <v>66</v>
      </c>
      <c r="O11" s="42">
        <f t="shared" si="3"/>
        <v>0.48031496062992124</v>
      </c>
      <c r="P11" s="34">
        <v>0</v>
      </c>
      <c r="Q11" s="2">
        <v>1</v>
      </c>
      <c r="R11" s="2">
        <v>0</v>
      </c>
      <c r="S11" s="2">
        <v>2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125</v>
      </c>
      <c r="C16" s="2" t="s">
        <v>79</v>
      </c>
      <c r="D16" s="34">
        <v>146</v>
      </c>
      <c r="E16" s="4">
        <f t="shared" si="0"/>
        <v>9.7333333333333325</v>
      </c>
      <c r="F16" s="35">
        <v>21</v>
      </c>
      <c r="G16" s="34">
        <v>8</v>
      </c>
      <c r="H16" s="2">
        <v>7</v>
      </c>
      <c r="I16" s="41">
        <f t="shared" si="1"/>
        <v>0.53333333333333333</v>
      </c>
      <c r="J16" s="34">
        <v>30</v>
      </c>
      <c r="K16" s="2">
        <v>30</v>
      </c>
      <c r="L16" s="41">
        <f t="shared" si="2"/>
        <v>0.5</v>
      </c>
      <c r="M16" s="34">
        <v>128</v>
      </c>
      <c r="N16" s="2">
        <v>125</v>
      </c>
      <c r="O16" s="41">
        <f t="shared" si="3"/>
        <v>0.50592885375494068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5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125</v>
      </c>
      <c r="C26" s="6" t="s">
        <v>60</v>
      </c>
      <c r="D26" s="34">
        <v>624</v>
      </c>
      <c r="E26" s="4">
        <f t="shared" si="0"/>
        <v>28.363636363636363</v>
      </c>
      <c r="F26" s="35">
        <v>57</v>
      </c>
      <c r="G26" s="34">
        <v>15</v>
      </c>
      <c r="H26" s="2">
        <v>7</v>
      </c>
      <c r="I26" s="41">
        <f t="shared" si="1"/>
        <v>0.68181818181818177</v>
      </c>
      <c r="J26" s="34">
        <v>51</v>
      </c>
      <c r="K26" s="2">
        <v>38</v>
      </c>
      <c r="L26" s="41">
        <f t="shared" si="2"/>
        <v>0.5730337078651685</v>
      </c>
      <c r="M26" s="34">
        <v>199</v>
      </c>
      <c r="N26" s="2">
        <v>168</v>
      </c>
      <c r="O26" s="41">
        <f t="shared" si="3"/>
        <v>0.54223433242506813</v>
      </c>
      <c r="P26" s="34">
        <v>2</v>
      </c>
      <c r="Q26" s="2">
        <v>5</v>
      </c>
      <c r="R26" s="2">
        <v>2</v>
      </c>
      <c r="S26" s="2">
        <v>6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126</v>
      </c>
    </row>
    <row r="3" spans="1:3" x14ac:dyDescent="0.25">
      <c r="A3" s="54"/>
      <c r="B3" s="54"/>
      <c r="C3" s="54"/>
    </row>
    <row r="4" spans="1:3" x14ac:dyDescent="0.25">
      <c r="A4" s="83" t="s">
        <v>120</v>
      </c>
      <c r="B4" s="84"/>
      <c r="C4" s="84"/>
    </row>
    <row r="5" spans="1:3" x14ac:dyDescent="0.25">
      <c r="A5" s="83" t="s">
        <v>121</v>
      </c>
      <c r="B5" s="84"/>
      <c r="C5" s="84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86" t="s">
        <v>7</v>
      </c>
      <c r="D1" s="87"/>
      <c r="E1" s="87"/>
      <c r="F1" s="86" t="s">
        <v>22</v>
      </c>
      <c r="G1" s="87"/>
      <c r="H1" s="88"/>
      <c r="I1" s="86" t="s">
        <v>16</v>
      </c>
      <c r="J1" s="87"/>
      <c r="K1" s="88"/>
      <c r="L1" s="86" t="s">
        <v>23</v>
      </c>
      <c r="M1" s="87"/>
      <c r="N1" s="88"/>
      <c r="O1" s="87" t="s">
        <v>64</v>
      </c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8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89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9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9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9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89"/>
      <c r="B7" s="7" t="s">
        <v>26</v>
      </c>
      <c r="C7" s="13">
        <f>INDEX('Old Bow'!D2:D37, MATCH($B$7, 'Old Bow'!$A$2:$A$37, 0))</f>
        <v>177</v>
      </c>
      <c r="D7" s="25">
        <f>INDEX('Old Bow'!E2:E37, MATCH($B$7, 'Old Bow'!$A$2:$A$37, 0))</f>
        <v>12.642857142857142</v>
      </c>
      <c r="E7" s="26">
        <f>INDEX('Old Bow'!F2:F37, MATCH($B$7, 'Old Bow'!$A$2:$A$37, 0))</f>
        <v>24</v>
      </c>
      <c r="F7" s="13">
        <f>INDEX('Old Bow'!G2:G37, MATCH($B$7, 'Old Bow'!$A$2:$A$37, 0))</f>
        <v>10</v>
      </c>
      <c r="G7" s="26">
        <f>INDEX('Old Bow'!H2:H37, MATCH($B$7, 'Old Bow'!$A$2:$A$37, 0))</f>
        <v>4</v>
      </c>
      <c r="H7" s="27">
        <f>INDEX('Old Bow'!I2:I37, MATCH($B$7, 'Old Bow'!$A$2:$A$37, 0))</f>
        <v>0.7142857142857143</v>
      </c>
      <c r="I7" s="13">
        <f>INDEX('Old Bow'!J2:J37, MATCH($B$7, 'Old Bow'!$A$2:$A$37, 0))</f>
        <v>36</v>
      </c>
      <c r="J7" s="26">
        <f>INDEX('Old Bow'!K2:K37, MATCH($B$7, 'Old Bow'!$A$2:$A$37, 0))</f>
        <v>21</v>
      </c>
      <c r="K7" s="27">
        <f>INDEX('Old Bow'!L2:L37, MATCH($B$7, 'Old Bow'!$A$2:$A$37, 0))</f>
        <v>0.63157894736842102</v>
      </c>
      <c r="L7" s="13">
        <f>INDEX('Old Bow'!M2:M37, MATCH($B$7, 'Old Bow'!$A$2:$A$37, 0))</f>
        <v>134</v>
      </c>
      <c r="M7" s="26">
        <f>INDEX('Old Bow'!N2:N37, MATCH($B$7, 'Old Bow'!$A$2:$A$37, 0))</f>
        <v>103</v>
      </c>
      <c r="N7" s="27">
        <f>INDEX('Old Bow'!O2:O37, MATCH($B$7, 'Old Bow'!$A$2:$A$37, 0))</f>
        <v>0.56540084388185652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1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6</v>
      </c>
      <c r="V7" s="26">
        <f>INDEX('Old Bow'!S2:S37, MATCH($B$7, 'Old Bow'!$A$2:$A$37, 0))</f>
        <v>6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89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9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9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90.537379287379281</v>
      </c>
      <c r="H11" s="9">
        <f>AVERAGE(H3:H10)</f>
        <v>0.54966792466792469</v>
      </c>
      <c r="I11" s="1"/>
      <c r="J11" s="1"/>
      <c r="K11" s="9">
        <f>AVERAGE(K3:K10)</f>
        <v>0.52609279296965494</v>
      </c>
      <c r="N11" s="9">
        <f>AVERAGE(N3:N10)</f>
        <v>0.49971146259417837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7</v>
      </c>
      <c r="S11" s="5">
        <f t="shared" si="0"/>
        <v>22</v>
      </c>
      <c r="T11" s="5">
        <f t="shared" si="0"/>
        <v>6</v>
      </c>
      <c r="U11" s="5">
        <f t="shared" si="0"/>
        <v>27</v>
      </c>
      <c r="V11" s="5">
        <f t="shared" si="0"/>
        <v>15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86" t="s">
        <v>7</v>
      </c>
      <c r="D15" s="87"/>
      <c r="E15" s="88"/>
      <c r="F15" s="86" t="s">
        <v>22</v>
      </c>
      <c r="G15" s="87"/>
      <c r="H15" s="88"/>
      <c r="I15" s="86" t="s">
        <v>16</v>
      </c>
      <c r="J15" s="87"/>
      <c r="K15" s="88"/>
      <c r="L15" s="86" t="s">
        <v>23</v>
      </c>
      <c r="M15" s="87"/>
      <c r="N15" s="88"/>
      <c r="O15" s="86" t="s">
        <v>64</v>
      </c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8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85" t="s">
        <v>77</v>
      </c>
      <c r="B17" s="7" t="s">
        <v>13</v>
      </c>
      <c r="C17" s="13">
        <f>INDEX('Old Bow'!D2:D37, MATCH($B$17, 'Old Bow'!$A$2:$A$37, 0))</f>
        <v>624</v>
      </c>
      <c r="D17" s="25">
        <f>INDEX('Old Bow'!E2:E37, MATCH($B$17, 'Old Bow'!$A$2:$A$37, 0))</f>
        <v>28.363636363636363</v>
      </c>
      <c r="E17" s="14">
        <f>INDEX('Old Bow'!F2:F37, MATCH($B$17, 'Old Bow'!$A$2:$A$37, 0))</f>
        <v>57</v>
      </c>
      <c r="F17" s="13">
        <f>INDEX('Old Bow'!G2:G37, MATCH($B$17, 'Old Bow'!$A$2:$A$37, 0))</f>
        <v>15</v>
      </c>
      <c r="G17" s="26">
        <f>INDEX('Old Bow'!H2:H37, MATCH($B$17, 'Old Bow'!$A$2:$A$37, 0))</f>
        <v>7</v>
      </c>
      <c r="H17" s="27">
        <f>INDEX('Old Bow'!I2:I37, MATCH($B$17, 'Old Bow'!$A$2:$A$37, 0))</f>
        <v>0.68181818181818177</v>
      </c>
      <c r="I17" s="13">
        <f>INDEX('Old Bow'!J2:J37, MATCH($B$17, 'Old Bow'!$A$2:$A$37, 0))</f>
        <v>51</v>
      </c>
      <c r="J17" s="26">
        <f>INDEX('Old Bow'!K2:K37, MATCH($B$17, 'Old Bow'!$A$2:$A$37, 0))</f>
        <v>38</v>
      </c>
      <c r="K17" s="27">
        <f>INDEX('Old Bow'!L2:L37, MATCH($B$17, 'Old Bow'!$A$2:$A$37, 0))</f>
        <v>0.5730337078651685</v>
      </c>
      <c r="L17" s="13">
        <f>INDEX('Old Bow'!M2:M37, MATCH($B$17, 'Old Bow'!$A$2:$A$37, 0))</f>
        <v>199</v>
      </c>
      <c r="M17" s="26">
        <f>INDEX('Old Bow'!N2:N37, MATCH($B$17, 'Old Bow'!$A$2:$A$37, 0))</f>
        <v>168</v>
      </c>
      <c r="N17" s="27">
        <f>INDEX('Old Bow'!O2:O37, MATCH($B$17, 'Old Bow'!$A$2:$A$37, 0))</f>
        <v>0.54223433242506813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5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7</v>
      </c>
      <c r="V17" s="26">
        <f>INDEX('Old Bow'!S2:S37, MATCH($B$17, 'Old Bow'!$A$2:$A$37, 0))</f>
        <v>6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85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85"/>
      <c r="B19" s="7" t="s">
        <v>45</v>
      </c>
      <c r="C19" s="13">
        <f>INDEX('Old Bow'!D2:D37, MATCH($B$19, 'Old Bow'!$A$2:$A$37, 0))</f>
        <v>80</v>
      </c>
      <c r="D19" s="25">
        <f>INDEX('Old Bow'!E2:E37, MATCH($B$19, 'Old Bow'!$A$2:$A$37, 0))</f>
        <v>10</v>
      </c>
      <c r="E19" s="14">
        <f>INDEX('Old Bow'!F2:F37, MATCH($B$19, 'Old Bow'!$A$2:$A$37, 0))</f>
        <v>17</v>
      </c>
      <c r="F19" s="13">
        <f>INDEX('Old Bow'!G2:G37, MATCH($B$19, 'Old Bow'!$A$2:$A$37, 0))</f>
        <v>3</v>
      </c>
      <c r="G19" s="26">
        <f>INDEX('Old Bow'!H2:H37, MATCH($B$19, 'Old Bow'!$A$2:$A$37, 0))</f>
        <v>5</v>
      </c>
      <c r="H19" s="27">
        <f>INDEX('Old Bow'!I2:I37, MATCH($B$19, 'Old Bow'!$A$2:$A$37, 0))</f>
        <v>0.375</v>
      </c>
      <c r="I19" s="13">
        <f>INDEX('Old Bow'!J2:J37, MATCH($B$19, 'Old Bow'!$A$2:$A$37, 0))</f>
        <v>14</v>
      </c>
      <c r="J19" s="26">
        <f>INDEX('Old Bow'!K2:K37, MATCH($B$19, 'Old Bow'!$A$2:$A$37, 0))</f>
        <v>17</v>
      </c>
      <c r="K19" s="27">
        <f>INDEX('Old Bow'!L2:L37, MATCH($B$19, 'Old Bow'!$A$2:$A$37, 0))</f>
        <v>0.45161290322580644</v>
      </c>
      <c r="L19" s="13">
        <f>INDEX('Old Bow'!M2:M37, MATCH($B$19, 'Old Bow'!$A$2:$A$37, 0))</f>
        <v>61</v>
      </c>
      <c r="M19" s="26">
        <f>INDEX('Old Bow'!N2:N37, MATCH($B$19, 'Old Bow'!$A$2:$A$37, 0))</f>
        <v>66</v>
      </c>
      <c r="N19" s="27">
        <f>INDEX('Old Bow'!O2:O37, MATCH($B$19, 'Old Bow'!$A$2:$A$37, 0))</f>
        <v>0.48031496062992124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1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3</v>
      </c>
      <c r="V19" s="26">
        <f>INDEX('Old Bow'!S2:S37, MATCH($B$19, 'Old Bow'!$A$2:$A$37, 0))</f>
        <v>2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85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85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85"/>
      <c r="B22" s="7" t="s">
        <v>29</v>
      </c>
      <c r="C22" s="13">
        <f>INDEX('Old Bow'!D2:D37, MATCH($B$22, 'Old Bow'!$A$2:$A$37, 0))</f>
        <v>146</v>
      </c>
      <c r="D22" s="25">
        <f>INDEX('Old Bow'!E2:E37, MATCH($B$22, 'Old Bow'!$A$2:$A$37, 0))</f>
        <v>9.7333333333333325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7</v>
      </c>
      <c r="H22" s="27">
        <f>INDEX('Old Bow'!I2:I37, MATCH($B$22, 'Old Bow'!$A$2:$A$37, 0))</f>
        <v>0.53333333333333333</v>
      </c>
      <c r="I22" s="13">
        <f>INDEX('Old Bow'!J2:J37, MATCH($B$22, 'Old Bow'!$A$2:$A$37, 0))</f>
        <v>30</v>
      </c>
      <c r="J22" s="26">
        <f>INDEX('Old Bow'!K2:K37, MATCH($B$22, 'Old Bow'!$A$2:$A$37, 0))</f>
        <v>30</v>
      </c>
      <c r="K22" s="27">
        <f>INDEX('Old Bow'!L2:L37, MATCH($B$22, 'Old Bow'!$A$2:$A$37, 0))</f>
        <v>0.5</v>
      </c>
      <c r="L22" s="13">
        <f>INDEX('Old Bow'!M2:M37, MATCH($B$22, 'Old Bow'!$A$2:$A$37, 0))</f>
        <v>128</v>
      </c>
      <c r="M22" s="26">
        <f>INDEX('Old Bow'!N2:N37, MATCH($B$22, 'Old Bow'!$A$2:$A$37, 0))</f>
        <v>125</v>
      </c>
      <c r="N22" s="27">
        <f>INDEX('Old Bow'!O2:O37, MATCH($B$22, 'Old Bow'!$A$2:$A$37, 0))</f>
        <v>0.50592885375494068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5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85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85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98.864015151515147</v>
      </c>
      <c r="H25" s="9">
        <f>AVERAGE(H17:H24)</f>
        <v>0.52449494949494946</v>
      </c>
      <c r="I25" s="1"/>
      <c r="J25" s="1"/>
      <c r="K25" s="9">
        <f>AVERAGE(K17:K24)</f>
        <v>0.51343675553154677</v>
      </c>
      <c r="N25" s="9">
        <f>AVERAGE(N17:N24)</f>
        <v>0.51516695186347239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15</v>
      </c>
      <c r="S25" s="5">
        <f t="shared" ref="S25" si="4">SUM(S17:S24)</f>
        <v>22</v>
      </c>
      <c r="T25" s="5">
        <f t="shared" ref="T25" si="5">SUM(T17:T24)</f>
        <v>2</v>
      </c>
      <c r="U25" s="5">
        <f t="shared" ref="U25" si="6">SUM(U17:U24)</f>
        <v>24</v>
      </c>
      <c r="V25" s="5">
        <f t="shared" ref="V25" si="7">SUM(V17:V24)</f>
        <v>24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H19" sqref="AH19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124</v>
      </c>
      <c r="H1" s="51" t="s">
        <v>64</v>
      </c>
      <c r="I1" s="52" t="s">
        <v>101</v>
      </c>
      <c r="J1" s="46" t="s">
        <v>122</v>
      </c>
      <c r="K1" s="51" t="s">
        <v>99</v>
      </c>
      <c r="L1" s="52" t="s">
        <v>100</v>
      </c>
      <c r="M1" s="46" t="s">
        <v>123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117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1" t="s">
        <v>96</v>
      </c>
    </row>
    <row r="2" spans="1:33" x14ac:dyDescent="0.25">
      <c r="A2" s="2" t="s">
        <v>37</v>
      </c>
      <c r="B2" s="34">
        <v>95</v>
      </c>
      <c r="C2" s="90">
        <f>B2/(E2+F2)</f>
        <v>13.571428571428571</v>
      </c>
      <c r="D2" s="35">
        <v>19</v>
      </c>
      <c r="E2" s="34">
        <v>3</v>
      </c>
      <c r="F2" s="91">
        <v>4</v>
      </c>
      <c r="G2" s="75">
        <f>E2/(E2+F2)</f>
        <v>0.42857142857142855</v>
      </c>
      <c r="H2" s="34">
        <v>17</v>
      </c>
      <c r="I2" s="91">
        <v>14</v>
      </c>
      <c r="J2" s="75">
        <f>H2/(H2+I2)</f>
        <v>0.54838709677419351</v>
      </c>
      <c r="K2" s="34">
        <v>69</v>
      </c>
      <c r="L2" s="91">
        <v>62</v>
      </c>
      <c r="M2" s="75">
        <f>K2/(K2+L2)</f>
        <v>0.52671755725190839</v>
      </c>
      <c r="N2" s="34">
        <v>1</v>
      </c>
      <c r="O2" s="91">
        <v>1</v>
      </c>
      <c r="P2" s="91">
        <v>2</v>
      </c>
      <c r="Q2" s="91">
        <v>0</v>
      </c>
      <c r="R2" s="91">
        <v>0</v>
      </c>
      <c r="S2" s="91">
        <v>0</v>
      </c>
      <c r="T2" s="91">
        <v>0</v>
      </c>
      <c r="U2" s="91">
        <v>2</v>
      </c>
      <c r="V2" s="91">
        <v>0</v>
      </c>
      <c r="W2" s="91">
        <v>0</v>
      </c>
      <c r="X2" s="91">
        <v>2</v>
      </c>
      <c r="Y2" s="91">
        <v>0</v>
      </c>
      <c r="Z2" s="91">
        <v>0</v>
      </c>
      <c r="AA2" s="91">
        <v>2</v>
      </c>
      <c r="AB2" s="91">
        <v>1</v>
      </c>
      <c r="AC2" s="91">
        <v>0</v>
      </c>
      <c r="AD2" s="91">
        <v>1</v>
      </c>
      <c r="AE2" s="91">
        <v>2</v>
      </c>
      <c r="AF2" s="91">
        <v>1</v>
      </c>
      <c r="AG2" s="47">
        <v>2</v>
      </c>
    </row>
    <row r="3" spans="1:33" x14ac:dyDescent="0.25">
      <c r="A3" s="2" t="s">
        <v>103</v>
      </c>
      <c r="B3" s="34">
        <v>9</v>
      </c>
      <c r="C3" s="66">
        <f>B3/(E3+F3)</f>
        <v>9</v>
      </c>
      <c r="D3" s="47">
        <v>9</v>
      </c>
      <c r="E3" s="34">
        <v>0</v>
      </c>
      <c r="F3" s="2">
        <v>1</v>
      </c>
      <c r="G3" s="75">
        <f>E3/(E3+F3)</f>
        <v>0</v>
      </c>
      <c r="H3" s="34">
        <v>2</v>
      </c>
      <c r="I3" s="2">
        <v>3</v>
      </c>
      <c r="J3" s="75">
        <f>H3/(H3+I3)</f>
        <v>0.4</v>
      </c>
      <c r="K3" s="34">
        <v>11</v>
      </c>
      <c r="L3" s="2">
        <v>11</v>
      </c>
      <c r="M3" s="75">
        <f>K3/(K3+L3)</f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6">
        <f>B4/(E4+F4)</f>
        <v>10.5</v>
      </c>
      <c r="D4" s="47">
        <v>6</v>
      </c>
      <c r="E4" s="34">
        <v>1</v>
      </c>
      <c r="F4" s="2">
        <v>1</v>
      </c>
      <c r="G4" s="75">
        <f>E4/(E4+F4)</f>
        <v>0.5</v>
      </c>
      <c r="H4" s="34">
        <v>4</v>
      </c>
      <c r="I4" s="2">
        <v>5</v>
      </c>
      <c r="J4" s="75">
        <f>H4/(H4+I4)</f>
        <v>0.44444444444444442</v>
      </c>
      <c r="K4" s="34">
        <v>15</v>
      </c>
      <c r="L4" s="2">
        <v>20</v>
      </c>
      <c r="M4" s="75">
        <f>K4/(K4+L4)</f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6">
        <f>B5/(E5+F5)</f>
        <v>6</v>
      </c>
      <c r="D5" s="65">
        <v>6</v>
      </c>
      <c r="E5" s="36">
        <v>0</v>
      </c>
      <c r="F5" s="1">
        <v>1</v>
      </c>
      <c r="G5" s="75">
        <f>E5/(E5+F5)</f>
        <v>0</v>
      </c>
      <c r="H5" s="36">
        <v>1</v>
      </c>
      <c r="I5" s="1">
        <v>3</v>
      </c>
      <c r="J5" s="75">
        <f>H5/(H5+I5)</f>
        <v>0.25</v>
      </c>
      <c r="K5" s="36">
        <v>8</v>
      </c>
      <c r="L5" s="1">
        <v>11</v>
      </c>
      <c r="M5" s="75">
        <f>K5/(K5+L5)</f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5">
        <v>0</v>
      </c>
    </row>
    <row r="6" spans="1:33" x14ac:dyDescent="0.25">
      <c r="A6" s="2" t="s">
        <v>35</v>
      </c>
      <c r="B6" s="34">
        <v>204</v>
      </c>
      <c r="C6" s="66">
        <f>B6/(E6+F6)</f>
        <v>11.333333333333334</v>
      </c>
      <c r="D6" s="35">
        <v>20</v>
      </c>
      <c r="E6" s="34">
        <v>6</v>
      </c>
      <c r="F6" s="2">
        <v>12</v>
      </c>
      <c r="G6" s="75">
        <f>E6/(E6+F6)</f>
        <v>0.33333333333333331</v>
      </c>
      <c r="H6" s="34">
        <v>32</v>
      </c>
      <c r="I6" s="2">
        <v>44</v>
      </c>
      <c r="J6" s="75">
        <f>H6/(H6+I6)</f>
        <v>0.42105263157894735</v>
      </c>
      <c r="K6" s="34">
        <v>153</v>
      </c>
      <c r="L6" s="2">
        <v>165</v>
      </c>
      <c r="M6" s="75">
        <f>K6/(K6+L6)</f>
        <v>0.48113207547169812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4</v>
      </c>
      <c r="AC6" s="2">
        <v>0</v>
      </c>
      <c r="AD6" s="2">
        <v>3</v>
      </c>
      <c r="AE6" s="2">
        <v>4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6">
        <f>B7/(E7+F7)</f>
        <v>8</v>
      </c>
      <c r="D7" s="35">
        <v>11</v>
      </c>
      <c r="E7" s="34">
        <v>9</v>
      </c>
      <c r="F7" s="2">
        <v>2</v>
      </c>
      <c r="G7" s="75">
        <f>E7/(E7+F7)</f>
        <v>0.81818181818181823</v>
      </c>
      <c r="H7" s="34">
        <v>30</v>
      </c>
      <c r="I7" s="2">
        <v>16</v>
      </c>
      <c r="J7" s="75">
        <f>H7/(H7+I7)</f>
        <v>0.65217391304347827</v>
      </c>
      <c r="K7" s="34">
        <v>106</v>
      </c>
      <c r="L7" s="2">
        <v>79</v>
      </c>
      <c r="M7" s="75">
        <f>K7/(K7+L7)</f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177</v>
      </c>
      <c r="C8" s="66">
        <f>B8/(E8+F8)</f>
        <v>16.09090909090909</v>
      </c>
      <c r="D8" s="35">
        <v>31</v>
      </c>
      <c r="E8" s="34">
        <v>6</v>
      </c>
      <c r="F8" s="2">
        <v>5</v>
      </c>
      <c r="G8" s="75">
        <f>E8/(E8+F8)</f>
        <v>0.54545454545454541</v>
      </c>
      <c r="H8" s="34">
        <v>22</v>
      </c>
      <c r="I8" s="2">
        <v>24</v>
      </c>
      <c r="J8" s="75">
        <f>H8/(H8+I8)</f>
        <v>0.47826086956521741</v>
      </c>
      <c r="K8" s="34">
        <v>91</v>
      </c>
      <c r="L8" s="2">
        <v>97</v>
      </c>
      <c r="M8" s="75">
        <f>K8/(K8+L8)</f>
        <v>0.48404255319148937</v>
      </c>
      <c r="N8" s="34">
        <v>0</v>
      </c>
      <c r="O8" s="2">
        <v>4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2</v>
      </c>
      <c r="AG8" s="47">
        <v>1</v>
      </c>
    </row>
    <row r="9" spans="1:33" x14ac:dyDescent="0.25">
      <c r="A9" s="2" t="s">
        <v>25</v>
      </c>
      <c r="B9" s="34">
        <v>34</v>
      </c>
      <c r="C9" s="66">
        <f>B9/(E9+F9)</f>
        <v>8.5</v>
      </c>
      <c r="D9" s="35">
        <v>12</v>
      </c>
      <c r="E9" s="34">
        <v>3</v>
      </c>
      <c r="F9" s="2">
        <v>1</v>
      </c>
      <c r="G9" s="75">
        <f>E9/(E9+F9)</f>
        <v>0.75</v>
      </c>
      <c r="H9" s="34">
        <v>10</v>
      </c>
      <c r="I9" s="2">
        <v>5</v>
      </c>
      <c r="J9" s="75">
        <f>H9/(H9+I9)</f>
        <v>0.66666666666666663</v>
      </c>
      <c r="K9" s="34">
        <v>36</v>
      </c>
      <c r="L9" s="2">
        <v>20</v>
      </c>
      <c r="M9" s="75">
        <f>K9/(K9+L9)</f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67</v>
      </c>
      <c r="C10" s="66">
        <f>B10/(E10+F10)</f>
        <v>13.4</v>
      </c>
      <c r="D10" s="65">
        <v>14</v>
      </c>
      <c r="E10" s="36">
        <v>1</v>
      </c>
      <c r="F10" s="1">
        <v>4</v>
      </c>
      <c r="G10" s="75">
        <f>E10/(E10+F10)</f>
        <v>0.2</v>
      </c>
      <c r="H10" s="36">
        <v>9</v>
      </c>
      <c r="I10" s="1">
        <v>14</v>
      </c>
      <c r="J10" s="75">
        <f>H10/(H10+I10)</f>
        <v>0.39130434782608697</v>
      </c>
      <c r="K10" s="36">
        <v>39</v>
      </c>
      <c r="L10" s="1">
        <v>51</v>
      </c>
      <c r="M10" s="75">
        <f>K10/(K10+L10)</f>
        <v>0.43333333333333335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65">
        <v>0</v>
      </c>
    </row>
    <row r="11" spans="1:33" x14ac:dyDescent="0.25">
      <c r="A11" s="2" t="s">
        <v>27</v>
      </c>
      <c r="B11" s="34">
        <v>71</v>
      </c>
      <c r="C11" s="66">
        <f>B11/(E11+F11)</f>
        <v>14.2</v>
      </c>
      <c r="D11" s="35">
        <v>20</v>
      </c>
      <c r="E11" s="34">
        <v>2</v>
      </c>
      <c r="F11" s="2">
        <v>3</v>
      </c>
      <c r="G11" s="75">
        <f>E11/(E11+F11)</f>
        <v>0.4</v>
      </c>
      <c r="H11" s="34">
        <v>11</v>
      </c>
      <c r="I11" s="2">
        <v>12</v>
      </c>
      <c r="J11" s="75">
        <f>H11/(H11+I11)</f>
        <v>0.47826086956521741</v>
      </c>
      <c r="K11" s="34">
        <v>43</v>
      </c>
      <c r="L11" s="2">
        <v>51</v>
      </c>
      <c r="M11" s="75">
        <f>K11/(K11+L11)</f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6">
        <f>B12/(E12+F12)</f>
        <v>3</v>
      </c>
      <c r="D12" s="65">
        <v>3</v>
      </c>
      <c r="E12" s="36">
        <v>0</v>
      </c>
      <c r="F12" s="1">
        <v>1</v>
      </c>
      <c r="G12" s="75">
        <f>E12/(E12+F12)</f>
        <v>0</v>
      </c>
      <c r="H12" s="36">
        <v>2</v>
      </c>
      <c r="I12" s="1">
        <v>3</v>
      </c>
      <c r="J12" s="75">
        <f>H12/(H12+I12)</f>
        <v>0.4</v>
      </c>
      <c r="K12" s="36">
        <v>10</v>
      </c>
      <c r="L12" s="1">
        <v>13</v>
      </c>
      <c r="M12" s="75">
        <f>K12/(K12+L12)</f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5">
        <v>0</v>
      </c>
    </row>
    <row r="14" spans="1:33" x14ac:dyDescent="0.25">
      <c r="A14" s="2" t="s">
        <v>74</v>
      </c>
      <c r="B14" s="34">
        <v>9</v>
      </c>
      <c r="C14" s="66">
        <f>B14/(E14+F14)</f>
        <v>9</v>
      </c>
      <c r="D14" s="47">
        <v>9</v>
      </c>
      <c r="E14" s="34">
        <v>0</v>
      </c>
      <c r="F14" s="2">
        <v>1</v>
      </c>
      <c r="G14" s="75">
        <f>E14/(E14+F14)</f>
        <v>0</v>
      </c>
      <c r="H14" s="34">
        <v>1</v>
      </c>
      <c r="I14" s="2">
        <v>3</v>
      </c>
      <c r="J14" s="75">
        <f>H14/(H14+I14)</f>
        <v>0.25</v>
      </c>
      <c r="K14" s="34">
        <v>6</v>
      </c>
      <c r="L14" s="2">
        <v>9</v>
      </c>
      <c r="M14" s="75">
        <f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6">
        <f>B15/(E15+F15)</f>
        <v>3</v>
      </c>
      <c r="D15" s="47">
        <v>3</v>
      </c>
      <c r="E15" s="34">
        <v>0</v>
      </c>
      <c r="F15" s="2">
        <v>1</v>
      </c>
      <c r="G15" s="75">
        <f>E15/(E15+F15)</f>
        <v>0</v>
      </c>
      <c r="H15" s="34">
        <v>0</v>
      </c>
      <c r="I15" s="2">
        <v>3</v>
      </c>
      <c r="J15" s="75">
        <f>H15/(H15+I15)</f>
        <v>0</v>
      </c>
      <c r="K15" s="34">
        <v>4</v>
      </c>
      <c r="L15" s="2">
        <v>9</v>
      </c>
      <c r="M15" s="75">
        <f>K15/(K15+L15)</f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6">
        <f>B16/(E16+F16)</f>
        <v>10.666666666666666</v>
      </c>
      <c r="D16" s="35">
        <v>13</v>
      </c>
      <c r="E16" s="34">
        <v>2</v>
      </c>
      <c r="F16" s="2">
        <v>1</v>
      </c>
      <c r="G16" s="75">
        <f>E16/(E16+F16)</f>
        <v>0.66666666666666663</v>
      </c>
      <c r="H16" s="34">
        <v>8</v>
      </c>
      <c r="I16" s="2">
        <v>5</v>
      </c>
      <c r="J16" s="75">
        <f>H16/(H16+I16)</f>
        <v>0.61538461538461542</v>
      </c>
      <c r="K16" s="34">
        <v>32</v>
      </c>
      <c r="L16" s="2">
        <v>27</v>
      </c>
      <c r="M16" s="75">
        <f>K16/(K16+L16)</f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390</v>
      </c>
      <c r="C17" s="66">
        <f>B17/(E17+F17)</f>
        <v>20.526315789473685</v>
      </c>
      <c r="D17" s="35">
        <v>31</v>
      </c>
      <c r="E17" s="34">
        <v>11</v>
      </c>
      <c r="F17" s="2">
        <v>8</v>
      </c>
      <c r="G17" s="75">
        <f>E17/(E17+F17)</f>
        <v>0.57894736842105265</v>
      </c>
      <c r="H17" s="34">
        <v>43</v>
      </c>
      <c r="I17" s="2">
        <v>36</v>
      </c>
      <c r="J17" s="75">
        <f>H17/(H17+I17)</f>
        <v>0.54430379746835444</v>
      </c>
      <c r="K17" s="34">
        <v>175</v>
      </c>
      <c r="L17" s="2">
        <v>163</v>
      </c>
      <c r="M17" s="75">
        <f>K17/(K17+L17)</f>
        <v>0.51775147928994081</v>
      </c>
      <c r="N17" s="34">
        <v>2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2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8</v>
      </c>
      <c r="AC17" s="2">
        <v>1</v>
      </c>
      <c r="AD17" s="2">
        <v>5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87</v>
      </c>
      <c r="C18" s="66">
        <f>B18/(E18+F18)</f>
        <v>12.428571428571429</v>
      </c>
      <c r="D18" s="35">
        <v>19</v>
      </c>
      <c r="E18" s="34">
        <v>2</v>
      </c>
      <c r="F18" s="2">
        <v>5</v>
      </c>
      <c r="G18" s="75">
        <f>E18/(E18+F18)</f>
        <v>0.2857142857142857</v>
      </c>
      <c r="H18" s="34">
        <v>13</v>
      </c>
      <c r="I18" s="2">
        <v>18</v>
      </c>
      <c r="J18" s="75">
        <f>H18/(H18+I18)</f>
        <v>0.41935483870967744</v>
      </c>
      <c r="K18" s="34">
        <v>52</v>
      </c>
      <c r="L18" s="2">
        <v>68</v>
      </c>
      <c r="M18" s="75">
        <f>K18/(K18+L18)</f>
        <v>0.43333333333333335</v>
      </c>
      <c r="N18" s="34">
        <v>0</v>
      </c>
      <c r="O18" s="2">
        <v>2</v>
      </c>
      <c r="P18" s="2">
        <v>0</v>
      </c>
      <c r="Q18" s="2">
        <v>1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2</v>
      </c>
      <c r="AC18" s="2">
        <v>0</v>
      </c>
      <c r="AD18" s="2">
        <v>3</v>
      </c>
      <c r="AE18" s="2">
        <v>2</v>
      </c>
      <c r="AF18" s="2">
        <v>1</v>
      </c>
      <c r="AG18" s="47">
        <v>0</v>
      </c>
    </row>
    <row r="19" spans="1:33" x14ac:dyDescent="0.25">
      <c r="A19" s="2" t="s">
        <v>102</v>
      </c>
      <c r="B19" s="34">
        <v>126</v>
      </c>
      <c r="C19" s="66">
        <f>B19/(E19+F19)</f>
        <v>18</v>
      </c>
      <c r="D19" s="35">
        <v>31</v>
      </c>
      <c r="E19" s="34">
        <v>5</v>
      </c>
      <c r="F19" s="2">
        <v>2</v>
      </c>
      <c r="G19" s="75">
        <f>E19/(E19+F19)</f>
        <v>0.7142857142857143</v>
      </c>
      <c r="H19" s="34">
        <v>18</v>
      </c>
      <c r="I19" s="2">
        <v>12</v>
      </c>
      <c r="J19" s="75">
        <f>H19/(H19+I19)</f>
        <v>0.6</v>
      </c>
      <c r="K19" s="34">
        <v>65</v>
      </c>
      <c r="L19" s="2">
        <v>51</v>
      </c>
      <c r="M19" s="75">
        <f>K19/(K19+L19)</f>
        <v>0.56034482758620685</v>
      </c>
      <c r="N19" s="34">
        <v>2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1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3</v>
      </c>
      <c r="AC19" s="2">
        <v>1</v>
      </c>
      <c r="AD19" s="2">
        <v>1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275</v>
      </c>
      <c r="C20" s="66">
        <f>B20/(E20+F20)</f>
        <v>27.5</v>
      </c>
      <c r="D20" s="35">
        <v>44</v>
      </c>
      <c r="E20" s="34">
        <v>4</v>
      </c>
      <c r="F20" s="2">
        <v>6</v>
      </c>
      <c r="G20" s="75">
        <f>E20/(E20+F20)</f>
        <v>0.4</v>
      </c>
      <c r="H20" s="34">
        <v>16</v>
      </c>
      <c r="I20" s="2">
        <v>25</v>
      </c>
      <c r="J20" s="75">
        <f>H20/(H20+I20)</f>
        <v>0.3902439024390244</v>
      </c>
      <c r="K20" s="34">
        <v>79</v>
      </c>
      <c r="L20" s="2">
        <v>97</v>
      </c>
      <c r="M20" s="75">
        <f>K20/(K20+L20)</f>
        <v>0.44886363636363635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1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6">
        <f>B21/(E21+F21)</f>
        <v>9.5</v>
      </c>
      <c r="D21" s="65">
        <v>11</v>
      </c>
      <c r="E21" s="36">
        <v>2</v>
      </c>
      <c r="F21" s="1">
        <v>0</v>
      </c>
      <c r="G21" s="75">
        <f>E21/(E21+F21)</f>
        <v>1</v>
      </c>
      <c r="H21" s="36">
        <v>6</v>
      </c>
      <c r="I21" s="1">
        <v>4</v>
      </c>
      <c r="J21" s="75">
        <f>H21/(H21+I21)</f>
        <v>0.6</v>
      </c>
      <c r="K21" s="36">
        <v>24</v>
      </c>
      <c r="L21" s="1">
        <v>19</v>
      </c>
      <c r="M21" s="75">
        <f>K21/(K21+L21)</f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5">
        <v>2</v>
      </c>
    </row>
    <row r="22" spans="1:33" x14ac:dyDescent="0.25">
      <c r="A22" s="2" t="s">
        <v>46</v>
      </c>
      <c r="B22" s="34">
        <v>244</v>
      </c>
      <c r="C22" s="66">
        <f>B22/(E22+F22)</f>
        <v>20.333333333333332</v>
      </c>
      <c r="D22" s="35">
        <v>27</v>
      </c>
      <c r="E22" s="34">
        <v>4</v>
      </c>
      <c r="F22" s="2">
        <v>8</v>
      </c>
      <c r="G22" s="75">
        <f>E22/(E22+F22)</f>
        <v>0.33333333333333331</v>
      </c>
      <c r="H22" s="34">
        <v>24</v>
      </c>
      <c r="I22" s="2">
        <v>31</v>
      </c>
      <c r="J22" s="75">
        <f>H22/(H22+I22)</f>
        <v>0.43636363636363634</v>
      </c>
      <c r="K22" s="34">
        <v>112</v>
      </c>
      <c r="L22" s="2">
        <v>116</v>
      </c>
      <c r="M22" s="75">
        <f>K22/(K22+L22)</f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172</v>
      </c>
      <c r="C23" s="66">
        <f>B23/(E23+F23)</f>
        <v>15.636363636363637</v>
      </c>
      <c r="D23" s="35">
        <v>22</v>
      </c>
      <c r="E23" s="34">
        <v>5</v>
      </c>
      <c r="F23" s="2">
        <v>6</v>
      </c>
      <c r="G23" s="75">
        <f>E23/(E23+F23)</f>
        <v>0.45454545454545453</v>
      </c>
      <c r="H23" s="34">
        <v>20</v>
      </c>
      <c r="I23" s="2">
        <v>23</v>
      </c>
      <c r="J23" s="75">
        <f>H23/(H23+I23)</f>
        <v>0.46511627906976744</v>
      </c>
      <c r="K23" s="34">
        <v>87</v>
      </c>
      <c r="L23" s="2">
        <v>91</v>
      </c>
      <c r="M23" s="75">
        <f>K23/(K23+L23)</f>
        <v>0.4887640449438202</v>
      </c>
      <c r="N23" s="34">
        <v>0</v>
      </c>
      <c r="O23" s="2">
        <v>1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47">
        <v>0</v>
      </c>
    </row>
    <row r="24" spans="1:33" x14ac:dyDescent="0.25">
      <c r="A24" s="2" t="s">
        <v>53</v>
      </c>
      <c r="B24" s="34">
        <v>170</v>
      </c>
      <c r="C24" s="66">
        <f>B24/(E24+F24)</f>
        <v>17</v>
      </c>
      <c r="D24" s="35">
        <v>36</v>
      </c>
      <c r="E24" s="34">
        <v>4</v>
      </c>
      <c r="F24" s="2">
        <v>6</v>
      </c>
      <c r="G24" s="75">
        <f>E24/(E24+F24)</f>
        <v>0.4</v>
      </c>
      <c r="H24" s="34">
        <v>19</v>
      </c>
      <c r="I24" s="2">
        <v>20</v>
      </c>
      <c r="J24" s="75">
        <f>H24/(H24+I24)</f>
        <v>0.48717948717948717</v>
      </c>
      <c r="K24" s="34">
        <v>81</v>
      </c>
      <c r="L24" s="2">
        <v>79</v>
      </c>
      <c r="M24" s="75">
        <f>K24/(K24+L24)</f>
        <v>0.50624999999999998</v>
      </c>
      <c r="N24" s="34">
        <v>1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6">
        <f>B25/(E25+F25)</f>
        <v>5</v>
      </c>
      <c r="D25" s="35">
        <v>5</v>
      </c>
      <c r="E25" s="34">
        <v>0</v>
      </c>
      <c r="F25" s="2">
        <v>1</v>
      </c>
      <c r="G25" s="75">
        <f>E25/(E25+F25)</f>
        <v>0</v>
      </c>
      <c r="H25" s="34">
        <v>0</v>
      </c>
      <c r="I25" s="2">
        <v>3</v>
      </c>
      <c r="J25" s="75">
        <f>H25/(H25+I25)</f>
        <v>0</v>
      </c>
      <c r="K25" s="34">
        <v>2</v>
      </c>
      <c r="L25" s="2">
        <v>9</v>
      </c>
      <c r="M25" s="75">
        <f>K25/(K25+L25)</f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6">
        <f>B26/(E26+F26)</f>
        <v>5.25</v>
      </c>
      <c r="D26" s="35">
        <v>8</v>
      </c>
      <c r="E26" s="34">
        <v>1</v>
      </c>
      <c r="F26" s="2">
        <v>3</v>
      </c>
      <c r="G26" s="75">
        <f>E26/(E26+F26)</f>
        <v>0.25</v>
      </c>
      <c r="H26" s="34">
        <v>8</v>
      </c>
      <c r="I26" s="2">
        <v>11</v>
      </c>
      <c r="J26" s="75">
        <f>H26/(H26+I26)</f>
        <v>0.42105263157894735</v>
      </c>
      <c r="K26" s="34">
        <v>32</v>
      </c>
      <c r="L26" s="2">
        <v>40</v>
      </c>
      <c r="M26" s="75">
        <f>K26/(K26+L26)</f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6">
        <f>B27/(E27+F27)</f>
        <v>23.714285714285715</v>
      </c>
      <c r="D27" s="35">
        <v>27</v>
      </c>
      <c r="E27" s="34">
        <v>2</v>
      </c>
      <c r="F27" s="2">
        <v>5</v>
      </c>
      <c r="G27" s="75">
        <f>E27/(E27+F27)</f>
        <v>0.2857142857142857</v>
      </c>
      <c r="H27" s="34">
        <v>16</v>
      </c>
      <c r="I27" s="2">
        <v>20</v>
      </c>
      <c r="J27" s="75">
        <f>H27/(H27+I27)</f>
        <v>0.44444444444444442</v>
      </c>
      <c r="K27" s="34">
        <v>74</v>
      </c>
      <c r="L27" s="2">
        <v>83</v>
      </c>
      <c r="M27" s="75">
        <f>K27/(K27+L27)</f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15</v>
      </c>
      <c r="B28" s="34">
        <v>4</v>
      </c>
      <c r="C28" s="66">
        <f>B28/(E28+F28)</f>
        <v>4</v>
      </c>
      <c r="D28" s="35">
        <v>4</v>
      </c>
      <c r="E28" s="34">
        <v>0</v>
      </c>
      <c r="F28" s="2">
        <v>1</v>
      </c>
      <c r="G28" s="75">
        <f>E28/(E28+F28)</f>
        <v>0</v>
      </c>
      <c r="H28" s="34">
        <v>0</v>
      </c>
      <c r="I28" s="2">
        <v>2</v>
      </c>
      <c r="J28" s="75">
        <f>H28/(H28+I28)</f>
        <v>0</v>
      </c>
      <c r="K28" s="34">
        <v>1</v>
      </c>
      <c r="L28" s="2">
        <v>6</v>
      </c>
      <c r="M28" s="75">
        <f>K28/(K28+L28)</f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47">
        <v>0</v>
      </c>
    </row>
    <row r="29" spans="1:33" x14ac:dyDescent="0.25">
      <c r="A29" s="2" t="s">
        <v>90</v>
      </c>
      <c r="B29" s="34">
        <v>3</v>
      </c>
      <c r="C29" s="66">
        <f>B29/(E29+F29)</f>
        <v>3</v>
      </c>
      <c r="D29" s="47">
        <v>3</v>
      </c>
      <c r="E29" s="34">
        <v>1</v>
      </c>
      <c r="F29" s="2">
        <v>0</v>
      </c>
      <c r="G29" s="75">
        <f>E29/(E29+F29)</f>
        <v>1</v>
      </c>
      <c r="H29" s="34">
        <v>3</v>
      </c>
      <c r="I29" s="2">
        <v>0</v>
      </c>
      <c r="J29" s="75">
        <f>H29/(H29+I29)</f>
        <v>1</v>
      </c>
      <c r="K29" s="34">
        <v>9</v>
      </c>
      <c r="L29" s="2">
        <v>5</v>
      </c>
      <c r="M29" s="75">
        <f>K29/(K29+L29)</f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13</v>
      </c>
      <c r="B30" s="34">
        <v>34</v>
      </c>
      <c r="C30" s="66">
        <f>B30/(E30+F30)</f>
        <v>8.5</v>
      </c>
      <c r="D30" s="35">
        <v>12</v>
      </c>
      <c r="E30" s="34">
        <v>2</v>
      </c>
      <c r="F30" s="2">
        <v>2</v>
      </c>
      <c r="G30" s="75">
        <f>E30/(E30+F30)</f>
        <v>0.5</v>
      </c>
      <c r="H30" s="34">
        <v>9</v>
      </c>
      <c r="I30" s="2">
        <v>8</v>
      </c>
      <c r="J30" s="75">
        <f>H30/(H30+I30)</f>
        <v>0.52941176470588236</v>
      </c>
      <c r="K30" s="34">
        <v>34</v>
      </c>
      <c r="L30" s="2">
        <v>36</v>
      </c>
      <c r="M30" s="75">
        <f>K30/(K30+L30)</f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47">
        <v>0</v>
      </c>
    </row>
    <row r="31" spans="1:33" x14ac:dyDescent="0.25">
      <c r="A31" s="2" t="s">
        <v>2</v>
      </c>
      <c r="B31" s="34">
        <v>372</v>
      </c>
      <c r="C31" s="66">
        <f>B31/(E31+F31)</f>
        <v>23.25</v>
      </c>
      <c r="D31" s="35">
        <v>35</v>
      </c>
      <c r="E31" s="34">
        <v>9</v>
      </c>
      <c r="F31" s="2">
        <v>7</v>
      </c>
      <c r="G31" s="75">
        <f>E31/(E31+F31)</f>
        <v>0.5625</v>
      </c>
      <c r="H31" s="34">
        <v>36</v>
      </c>
      <c r="I31" s="2">
        <v>31</v>
      </c>
      <c r="J31" s="75">
        <f>H31/(H31+I31)</f>
        <v>0.53731343283582089</v>
      </c>
      <c r="K31" s="34">
        <v>139</v>
      </c>
      <c r="L31" s="2">
        <v>133</v>
      </c>
      <c r="M31" s="75">
        <f>K31/(K31+L31)</f>
        <v>0.51102941176470584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1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47">
        <v>1</v>
      </c>
    </row>
    <row r="32" spans="1:33" x14ac:dyDescent="0.25">
      <c r="A32" s="2" t="s">
        <v>54</v>
      </c>
      <c r="B32" s="34">
        <v>511</v>
      </c>
      <c r="C32" s="66">
        <f>B32/(E32+F32)</f>
        <v>26.894736842105264</v>
      </c>
      <c r="D32" s="35">
        <v>37</v>
      </c>
      <c r="E32" s="34">
        <v>7</v>
      </c>
      <c r="F32" s="2">
        <v>12</v>
      </c>
      <c r="G32" s="75">
        <f>E32/(E32+F32)</f>
        <v>0.36842105263157893</v>
      </c>
      <c r="H32" s="34">
        <v>40</v>
      </c>
      <c r="I32" s="2">
        <v>47</v>
      </c>
      <c r="J32" s="75">
        <f>H32/(H32+I32)</f>
        <v>0.45977011494252873</v>
      </c>
      <c r="K32" s="34">
        <v>171</v>
      </c>
      <c r="L32" s="2">
        <v>189</v>
      </c>
      <c r="M32" s="75">
        <f>K32/(K32+L32)</f>
        <v>0.47499999999999998</v>
      </c>
      <c r="N32" s="34">
        <v>1</v>
      </c>
      <c r="O32" s="2">
        <v>4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4</v>
      </c>
      <c r="AC32" s="2">
        <v>0</v>
      </c>
      <c r="AD32" s="2">
        <v>4</v>
      </c>
      <c r="AE32" s="2">
        <v>5</v>
      </c>
      <c r="AF32" s="2">
        <v>2</v>
      </c>
      <c r="AG32" s="47">
        <v>2</v>
      </c>
    </row>
    <row r="33" spans="1:33" x14ac:dyDescent="0.25">
      <c r="A33" s="2" t="s">
        <v>5</v>
      </c>
      <c r="B33" s="34">
        <v>111</v>
      </c>
      <c r="C33" s="66">
        <f>B33/(E33+F33)</f>
        <v>27.75</v>
      </c>
      <c r="D33" s="35">
        <v>36</v>
      </c>
      <c r="E33" s="34">
        <v>3</v>
      </c>
      <c r="F33" s="2">
        <v>1</v>
      </c>
      <c r="G33" s="75">
        <f>E33/(E33+F33)</f>
        <v>0.75</v>
      </c>
      <c r="H33" s="34">
        <v>12</v>
      </c>
      <c r="I33" s="2">
        <v>6</v>
      </c>
      <c r="J33" s="75">
        <f>H33/(H33+I33)</f>
        <v>0.66666666666666663</v>
      </c>
      <c r="K33" s="34">
        <v>42</v>
      </c>
      <c r="L33" s="2">
        <v>35</v>
      </c>
      <c r="M33" s="75">
        <f>K33/(K33+L33)</f>
        <v>0.54545454545454541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47">
        <v>0</v>
      </c>
    </row>
    <row r="34" spans="1:33" x14ac:dyDescent="0.25">
      <c r="A34" s="2" t="s">
        <v>38</v>
      </c>
      <c r="B34" s="34">
        <v>9</v>
      </c>
      <c r="C34" s="66">
        <f>B34/(E34+F34)</f>
        <v>3</v>
      </c>
      <c r="D34" s="35">
        <v>4</v>
      </c>
      <c r="E34" s="34">
        <v>2</v>
      </c>
      <c r="F34" s="2">
        <v>1</v>
      </c>
      <c r="G34" s="75">
        <f>E34/(E34+F34)</f>
        <v>0.66666666666666663</v>
      </c>
      <c r="H34" s="34">
        <v>6</v>
      </c>
      <c r="I34" s="2">
        <v>6</v>
      </c>
      <c r="J34" s="75">
        <f>H34/(H34+I34)</f>
        <v>0.5</v>
      </c>
      <c r="K34" s="34">
        <v>22</v>
      </c>
      <c r="L34" s="2">
        <v>25</v>
      </c>
      <c r="M34" s="75">
        <f>K34/(K34+L34)</f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47">
        <v>0</v>
      </c>
    </row>
    <row r="35" spans="1:33" x14ac:dyDescent="0.25">
      <c r="A35" s="2" t="s">
        <v>40</v>
      </c>
      <c r="B35" s="34">
        <v>301</v>
      </c>
      <c r="C35" s="66">
        <f>B35/(E35+F35)</f>
        <v>17.705882352941178</v>
      </c>
      <c r="D35" s="35">
        <v>29</v>
      </c>
      <c r="E35" s="34">
        <v>7</v>
      </c>
      <c r="F35" s="2">
        <v>10</v>
      </c>
      <c r="G35" s="75">
        <f>E35/(E35+F35)</f>
        <v>0.41176470588235292</v>
      </c>
      <c r="H35" s="34">
        <v>44</v>
      </c>
      <c r="I35" s="2">
        <v>41</v>
      </c>
      <c r="J35" s="75">
        <f>H35/(H35+I35)</f>
        <v>0.51764705882352946</v>
      </c>
      <c r="K35" s="34">
        <v>148</v>
      </c>
      <c r="L35" s="2">
        <v>164</v>
      </c>
      <c r="M35" s="75">
        <f>K35/(K35+L35)</f>
        <v>0.47435897435897434</v>
      </c>
      <c r="N35" s="34">
        <v>0</v>
      </c>
      <c r="O35" s="2">
        <v>5</v>
      </c>
      <c r="P35" s="2">
        <v>4</v>
      </c>
      <c r="Q35" s="2">
        <v>4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1</v>
      </c>
      <c r="X35" s="2">
        <v>3</v>
      </c>
      <c r="Y35" s="2">
        <v>0</v>
      </c>
      <c r="Z35" s="2">
        <v>0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5</v>
      </c>
      <c r="AG35" s="47">
        <v>1</v>
      </c>
    </row>
    <row r="36" spans="1:33" x14ac:dyDescent="0.25">
      <c r="A36" s="2" t="s">
        <v>17</v>
      </c>
      <c r="B36" s="34">
        <v>342</v>
      </c>
      <c r="C36" s="66">
        <f>B36/(E36+F36)</f>
        <v>21.375</v>
      </c>
      <c r="D36" s="35">
        <v>32</v>
      </c>
      <c r="E36" s="34">
        <v>5</v>
      </c>
      <c r="F36" s="2">
        <v>11</v>
      </c>
      <c r="G36" s="75">
        <f>E36/(E36+F36)</f>
        <v>0.3125</v>
      </c>
      <c r="H36" s="34">
        <v>29</v>
      </c>
      <c r="I36" s="2">
        <v>39</v>
      </c>
      <c r="J36" s="75">
        <f>H36/(H36+I36)</f>
        <v>0.4264705882352941</v>
      </c>
      <c r="K36" s="34">
        <v>127</v>
      </c>
      <c r="L36" s="2">
        <v>145</v>
      </c>
      <c r="M36" s="75">
        <f>K36/(K36+L36)</f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47">
        <v>1</v>
      </c>
    </row>
    <row r="37" spans="1:33" x14ac:dyDescent="0.25">
      <c r="A37" s="1" t="s">
        <v>105</v>
      </c>
      <c r="B37" s="36">
        <v>12</v>
      </c>
      <c r="C37" s="66">
        <f>B37/(E37+F37)</f>
        <v>12</v>
      </c>
      <c r="D37" s="65">
        <v>12</v>
      </c>
      <c r="E37" s="36">
        <v>1</v>
      </c>
      <c r="F37" s="1">
        <v>0</v>
      </c>
      <c r="G37" s="75">
        <f>E37/(E37+F37)</f>
        <v>1</v>
      </c>
      <c r="H37" s="36">
        <v>3</v>
      </c>
      <c r="I37" s="1">
        <v>2</v>
      </c>
      <c r="J37" s="75">
        <f>H37/(H37+I37)</f>
        <v>0.6</v>
      </c>
      <c r="K37" s="36">
        <v>9</v>
      </c>
      <c r="L37" s="1">
        <v>10</v>
      </c>
      <c r="M37" s="75">
        <f>K37/(K37+L37)</f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47">
        <v>0</v>
      </c>
    </row>
    <row r="38" spans="1:33" x14ac:dyDescent="0.25">
      <c r="A38" s="1" t="s">
        <v>119</v>
      </c>
      <c r="B38" s="36">
        <v>10</v>
      </c>
      <c r="C38" s="1">
        <f>B38/(E38+F38)</f>
        <v>10</v>
      </c>
      <c r="D38" s="65">
        <v>10</v>
      </c>
      <c r="E38" s="36">
        <v>1</v>
      </c>
      <c r="F38" s="1">
        <v>0</v>
      </c>
      <c r="G38" s="75">
        <f>E38/(E38+F38)</f>
        <v>1</v>
      </c>
      <c r="H38" s="36">
        <v>3</v>
      </c>
      <c r="I38" s="1">
        <v>1</v>
      </c>
      <c r="J38" s="75">
        <f>H38/(H38+I38)</f>
        <v>0.75</v>
      </c>
      <c r="K38" s="36">
        <v>9</v>
      </c>
      <c r="L38" s="1">
        <v>5</v>
      </c>
      <c r="M38" s="75">
        <f>K38/(K38+L38)</f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65">
        <v>0</v>
      </c>
    </row>
    <row r="39" spans="1:33" x14ac:dyDescent="0.25">
      <c r="A39" s="2" t="s">
        <v>6</v>
      </c>
      <c r="B39" s="34">
        <v>459</v>
      </c>
      <c r="C39" s="66">
        <f>B39/(E39+F39)</f>
        <v>22.95</v>
      </c>
      <c r="D39" s="35">
        <v>37</v>
      </c>
      <c r="E39" s="34">
        <v>16</v>
      </c>
      <c r="F39" s="2">
        <v>4</v>
      </c>
      <c r="G39" s="75">
        <f>E39/(E39+F39)</f>
        <v>0.8</v>
      </c>
      <c r="H39" s="34">
        <v>54</v>
      </c>
      <c r="I39" s="2">
        <v>30</v>
      </c>
      <c r="J39" s="75">
        <f>H39/(H39+I39)</f>
        <v>0.6428571428571429</v>
      </c>
      <c r="K39" s="34">
        <v>197</v>
      </c>
      <c r="L39" s="2">
        <v>150</v>
      </c>
      <c r="M39" s="75">
        <f>K39/(K39+L39)</f>
        <v>0.56772334293948123</v>
      </c>
      <c r="N39" s="34">
        <v>3</v>
      </c>
      <c r="O39" s="2">
        <v>2</v>
      </c>
      <c r="P39" s="2">
        <v>3</v>
      </c>
      <c r="Q39" s="2">
        <v>3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1</v>
      </c>
      <c r="X39" s="2">
        <v>5</v>
      </c>
      <c r="Y39" s="2">
        <v>2</v>
      </c>
      <c r="Z39" s="2">
        <v>1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5</v>
      </c>
      <c r="AG39" s="47">
        <v>3</v>
      </c>
    </row>
    <row r="40" spans="1:33" x14ac:dyDescent="0.25">
      <c r="A40" s="2" t="s">
        <v>18</v>
      </c>
      <c r="B40" s="34">
        <v>38</v>
      </c>
      <c r="C40" s="66">
        <f>B40/(E40+F40)</f>
        <v>19</v>
      </c>
      <c r="D40" s="35">
        <v>24</v>
      </c>
      <c r="E40" s="34">
        <v>2</v>
      </c>
      <c r="F40" s="2">
        <v>0</v>
      </c>
      <c r="G40" s="75">
        <f>E40/(E40+F40)</f>
        <v>1</v>
      </c>
      <c r="H40" s="34">
        <v>6</v>
      </c>
      <c r="I40" s="2">
        <v>2</v>
      </c>
      <c r="J40" s="75">
        <f>H40/(H40+I40)</f>
        <v>0.75</v>
      </c>
      <c r="K40" s="34">
        <v>20</v>
      </c>
      <c r="L40" s="2">
        <v>14</v>
      </c>
      <c r="M40" s="75">
        <f>K40/(K40+L40)</f>
        <v>0.58823529411764708</v>
      </c>
      <c r="N40" s="34">
        <v>0</v>
      </c>
      <c r="O40" s="2">
        <v>1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47">
        <v>0</v>
      </c>
    </row>
    <row r="41" spans="1:33" x14ac:dyDescent="0.25">
      <c r="A41" s="2" t="s">
        <v>113</v>
      </c>
      <c r="B41" s="36">
        <v>82</v>
      </c>
      <c r="C41" s="66">
        <f>B41/(E41+F41)</f>
        <v>20.5</v>
      </c>
      <c r="D41" s="65">
        <v>28</v>
      </c>
      <c r="E41" s="36">
        <v>2</v>
      </c>
      <c r="F41" s="1">
        <v>2</v>
      </c>
      <c r="G41" s="75">
        <f>E41/(E41+F41)</f>
        <v>0.5</v>
      </c>
      <c r="H41" s="36">
        <v>10</v>
      </c>
      <c r="I41" s="1">
        <v>10</v>
      </c>
      <c r="J41" s="75">
        <f>H41/(H41+I41)</f>
        <v>0.5</v>
      </c>
      <c r="K41" s="36">
        <v>39</v>
      </c>
      <c r="L41" s="1">
        <v>42</v>
      </c>
      <c r="M41" s="75">
        <f>K41/(K41+L41)</f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65">
        <v>0</v>
      </c>
    </row>
    <row r="42" spans="1:33" x14ac:dyDescent="0.25">
      <c r="A42" s="2" t="s">
        <v>14</v>
      </c>
      <c r="B42" s="34">
        <v>169</v>
      </c>
      <c r="C42" s="66">
        <f>B42/(E42+F42)</f>
        <v>16.899999999999999</v>
      </c>
      <c r="D42" s="35">
        <v>25</v>
      </c>
      <c r="E42" s="34">
        <v>5</v>
      </c>
      <c r="F42" s="2">
        <v>5</v>
      </c>
      <c r="G42" s="75">
        <f>E42/(E42+F42)</f>
        <v>0.5</v>
      </c>
      <c r="H42" s="34">
        <v>21</v>
      </c>
      <c r="I42" s="2">
        <v>23</v>
      </c>
      <c r="J42" s="75">
        <f>H42/(H42+I42)</f>
        <v>0.47727272727272729</v>
      </c>
      <c r="K42" s="34">
        <v>88</v>
      </c>
      <c r="L42" s="2">
        <v>87</v>
      </c>
      <c r="M42" s="75">
        <f>K42/(K42+L42)</f>
        <v>0.50285714285714289</v>
      </c>
      <c r="N42" s="34">
        <v>1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47">
        <v>0</v>
      </c>
    </row>
    <row r="43" spans="1:33" x14ac:dyDescent="0.25">
      <c r="A43" s="2" t="s">
        <v>70</v>
      </c>
      <c r="B43" s="34">
        <v>25</v>
      </c>
      <c r="C43" s="66">
        <f>B43/(E43+F43)</f>
        <v>12.5</v>
      </c>
      <c r="D43" s="47">
        <v>13</v>
      </c>
      <c r="E43" s="34">
        <v>2</v>
      </c>
      <c r="F43" s="2">
        <v>0</v>
      </c>
      <c r="G43" s="75">
        <f>E43/(E43+F43)</f>
        <v>1</v>
      </c>
      <c r="H43" s="34">
        <v>6</v>
      </c>
      <c r="I43" s="2">
        <v>2</v>
      </c>
      <c r="J43" s="75">
        <f>H43/(H43+I43)</f>
        <v>0.75</v>
      </c>
      <c r="K43" s="34">
        <v>19</v>
      </c>
      <c r="L43" s="2">
        <v>15</v>
      </c>
      <c r="M43" s="75">
        <f>K43/(K43+L43)</f>
        <v>0.55882352941176472</v>
      </c>
      <c r="N43" s="34">
        <v>0</v>
      </c>
      <c r="O43" s="2">
        <v>1</v>
      </c>
      <c r="P43" s="2">
        <v>1</v>
      </c>
      <c r="Q43" s="2">
        <v>1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2</v>
      </c>
      <c r="AG43" s="47">
        <v>0</v>
      </c>
    </row>
    <row r="44" spans="1:33" x14ac:dyDescent="0.25">
      <c r="A44" s="2" t="s">
        <v>4</v>
      </c>
      <c r="B44" s="34">
        <v>256</v>
      </c>
      <c r="C44" s="66">
        <f>B44/(E44+F44)</f>
        <v>25.6</v>
      </c>
      <c r="D44" s="35">
        <v>41</v>
      </c>
      <c r="E44" s="34">
        <v>3</v>
      </c>
      <c r="F44" s="2">
        <v>7</v>
      </c>
      <c r="G44" s="75">
        <f>E44/(E44+F44)</f>
        <v>0.3</v>
      </c>
      <c r="H44" s="34">
        <v>19</v>
      </c>
      <c r="I44" s="2">
        <v>25</v>
      </c>
      <c r="J44" s="75">
        <f>H44/(H44+I44)</f>
        <v>0.43181818181818182</v>
      </c>
      <c r="K44" s="34">
        <v>86</v>
      </c>
      <c r="L44" s="2">
        <v>97</v>
      </c>
      <c r="M44" s="75">
        <f>K44/(K44+L44)</f>
        <v>0.46994535519125685</v>
      </c>
      <c r="N44" s="34">
        <v>0</v>
      </c>
      <c r="O44" s="2">
        <v>3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47">
        <v>0</v>
      </c>
    </row>
    <row r="45" spans="1:33" x14ac:dyDescent="0.25">
      <c r="A45" s="1" t="s">
        <v>107</v>
      </c>
      <c r="B45" s="36">
        <v>85</v>
      </c>
      <c r="C45" s="66">
        <f>B45/(E45+F45)</f>
        <v>14.166666666666666</v>
      </c>
      <c r="D45" s="65">
        <v>24</v>
      </c>
      <c r="E45" s="36">
        <v>3</v>
      </c>
      <c r="F45" s="1">
        <v>3</v>
      </c>
      <c r="G45" s="75">
        <f>E45/(E45+F45)</f>
        <v>0.5</v>
      </c>
      <c r="H45" s="36">
        <v>15</v>
      </c>
      <c r="I45" s="1">
        <v>13</v>
      </c>
      <c r="J45" s="75">
        <f>H45/(H45+I45)</f>
        <v>0.5357142857142857</v>
      </c>
      <c r="K45" s="36">
        <v>65</v>
      </c>
      <c r="L45" s="1">
        <v>61</v>
      </c>
      <c r="M45" s="75">
        <f>K45/(K45+L45)</f>
        <v>0.51587301587301593</v>
      </c>
      <c r="N45" s="34">
        <v>0</v>
      </c>
      <c r="O45" s="1">
        <v>0</v>
      </c>
      <c r="P45" s="1">
        <v>1</v>
      </c>
      <c r="Q45" s="1">
        <v>3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1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1</v>
      </c>
      <c r="AG45" s="47">
        <v>1</v>
      </c>
    </row>
    <row r="46" spans="1:33" x14ac:dyDescent="0.25">
      <c r="A46" s="2" t="s">
        <v>94</v>
      </c>
      <c r="B46" s="34">
        <v>18</v>
      </c>
      <c r="C46" s="66">
        <f>B46/(E46+F46)</f>
        <v>18</v>
      </c>
      <c r="D46" s="47">
        <v>18</v>
      </c>
      <c r="E46" s="34">
        <v>1</v>
      </c>
      <c r="F46" s="2">
        <v>0</v>
      </c>
      <c r="G46" s="75">
        <f>E46/(E46+F46)</f>
        <v>1</v>
      </c>
      <c r="H46" s="34">
        <v>3</v>
      </c>
      <c r="I46" s="2">
        <v>2</v>
      </c>
      <c r="J46" s="75">
        <f>H46/(H46+I46)</f>
        <v>0.6</v>
      </c>
      <c r="K46" s="34">
        <v>11</v>
      </c>
      <c r="L46" s="2">
        <v>10</v>
      </c>
      <c r="M46" s="75">
        <f>K46/(K46+L46)</f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47">
        <v>0</v>
      </c>
    </row>
    <row r="47" spans="1:33" ht="15.75" thickBot="1" x14ac:dyDescent="0.3">
      <c r="A47" s="2" t="s">
        <v>55</v>
      </c>
      <c r="B47" s="38">
        <v>6</v>
      </c>
      <c r="C47" s="67">
        <f>B47/(E47+F47)</f>
        <v>6</v>
      </c>
      <c r="D47" s="40">
        <v>6</v>
      </c>
      <c r="E47" s="38">
        <v>0</v>
      </c>
      <c r="F47" s="48">
        <v>1</v>
      </c>
      <c r="G47" s="76">
        <f>E47/(E47+F47)</f>
        <v>0</v>
      </c>
      <c r="H47" s="38">
        <v>0</v>
      </c>
      <c r="I47" s="48">
        <v>3</v>
      </c>
      <c r="J47" s="76">
        <f>H47/(H47+I47)</f>
        <v>0</v>
      </c>
      <c r="K47" s="38">
        <v>4</v>
      </c>
      <c r="L47" s="48">
        <v>9</v>
      </c>
      <c r="M47" s="76">
        <f>K47/(K47+L47)</f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9">
        <v>0</v>
      </c>
    </row>
  </sheetData>
  <autoFilter ref="A1:AG47" xr:uid="{DA548192-1F03-46EA-8AB8-115EB9A7CE5D}">
    <sortState xmlns:xlrd2="http://schemas.microsoft.com/office/spreadsheetml/2017/richdata2" ref="A2:AG47">
      <sortCondition ref="A1:A47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86" t="s">
        <v>7</v>
      </c>
      <c r="D1" s="87"/>
      <c r="E1" s="88"/>
      <c r="F1" s="86" t="s">
        <v>22</v>
      </c>
      <c r="G1" s="87"/>
      <c r="H1" s="88"/>
      <c r="I1" s="86" t="s">
        <v>16</v>
      </c>
      <c r="J1" s="87"/>
      <c r="K1" s="88"/>
      <c r="L1" s="86" t="s">
        <v>23</v>
      </c>
      <c r="M1" s="87"/>
      <c r="N1" s="88"/>
      <c r="O1" s="86" t="s">
        <v>64</v>
      </c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9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INDEX(BA!AG2:AG46,MATCH('Match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89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INDEX(BA!AG2:AG46,MATCH('Match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89"/>
      <c r="B5" s="7" t="s">
        <v>35</v>
      </c>
      <c r="C5" s="13">
        <f>INDEX(BA!B2:B46,MATCH('Match Analyzer BA'!$B$5,BA!$A$2:$A$46,0))</f>
        <v>204</v>
      </c>
      <c r="D5" s="59">
        <f>INDEX(BA!C2:C46,MATCH('Match Analyzer BA'!$B$5,BA!$A$2:$A$46,0))</f>
        <v>11.333333333333334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12</v>
      </c>
      <c r="H5" s="73">
        <f>INDEX(BA!G2:G46,MATCH('Match Analyzer BA'!$B$5,BA!$A$2:$A$46,0))</f>
        <v>0.33333333333333331</v>
      </c>
      <c r="I5" s="13">
        <f>INDEX(BA!H2:H46,MATCH('Match Analyzer BA'!$B$5,BA!$A$2:$A$46,0))</f>
        <v>32</v>
      </c>
      <c r="J5" s="26">
        <f>INDEX(BA!I2:I46,MATCH('Match Analyzer BA'!$B$5,BA!$A$2:$A$46,0))</f>
        <v>44</v>
      </c>
      <c r="K5" s="73">
        <f>INDEX(BA!J2:J46,MATCH('Match Analyzer BA'!$B$5,BA!$A$2:$A$46,0))</f>
        <v>0.42105263157894735</v>
      </c>
      <c r="L5" s="13">
        <f>INDEX(BA!K2:K46,MATCH('Match Analyzer BA'!$B$5,BA!$A$2:$A$46,0))</f>
        <v>153</v>
      </c>
      <c r="M5" s="26">
        <f>INDEX(BA!L2:L46,MATCH('Match Analyzer BA'!$B$5,BA!$A$2:$A$46,0))</f>
        <v>165</v>
      </c>
      <c r="N5" s="73">
        <f>INDEX(BA!M2:M46,MATCH('Match Analyzer BA'!$B$5,BA!$A$2:$A$46,0))</f>
        <v>0.48113207547169812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4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INDEX(BA!AG2:AG46,MATCH('Match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89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INDEX(BA!AG2:AG46,MATCH('Match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89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INDEX(BA!AG2:AG46,MATCH('Match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89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INDEX(BA!AG2:AG46,MATCH('Match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89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INDEX(BA!AG2:AG46,MATCH('Match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89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INDEX(BA!AG2:AG46,MATCH('Match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69.17619047619047</v>
      </c>
      <c r="H11" s="9">
        <f>AVERAGE(H3:H10)</f>
        <v>0.52644300144300138</v>
      </c>
      <c r="I11" s="1"/>
      <c r="J11" s="1"/>
      <c r="K11" s="9">
        <f>AVERAGE(K3:K10)</f>
        <v>0.55248804573378274</v>
      </c>
      <c r="N11" s="9">
        <f>AVERAGE(N3:N10)</f>
        <v>0.53464068571937817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13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86" t="s">
        <v>7</v>
      </c>
      <c r="D15" s="87"/>
      <c r="E15" s="88"/>
      <c r="F15" s="86" t="s">
        <v>22</v>
      </c>
      <c r="G15" s="87"/>
      <c r="H15" s="88"/>
      <c r="I15" s="86" t="s">
        <v>16</v>
      </c>
      <c r="J15" s="87"/>
      <c r="K15" s="88"/>
      <c r="L15" s="86" t="s">
        <v>23</v>
      </c>
      <c r="M15" s="87"/>
      <c r="N15" s="88"/>
      <c r="O15" s="86" t="s">
        <v>64</v>
      </c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85" t="s">
        <v>77</v>
      </c>
      <c r="B17" s="7" t="s">
        <v>35</v>
      </c>
      <c r="C17" s="13">
        <f>INDEX(BA!B2:B46,MATCH('Match Analyzer BA'!$B$17,BA!$A$2:$A$46,0))</f>
        <v>204</v>
      </c>
      <c r="D17" s="59">
        <f>INDEX(BA!C2:C46,MATCH('Match Analyzer BA'!$B$17,BA!$A$2:$A$46,0))</f>
        <v>11.333333333333334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12</v>
      </c>
      <c r="H17" s="27">
        <f>INDEX(BA!G2:G46,MATCH('Match Analyzer BA'!$B$17,BA!$A$2:$A$46,0))</f>
        <v>0.33333333333333331</v>
      </c>
      <c r="I17" s="13">
        <f>INDEX(BA!H2:H46,MATCH('Match Analyzer BA'!$B$17,BA!$A$2:$A$46,0))</f>
        <v>32</v>
      </c>
      <c r="J17" s="26">
        <f>INDEX(BA!I2:I46,MATCH('Match Analyzer BA'!$B$17,BA!$A$2:$A$46,0))</f>
        <v>44</v>
      </c>
      <c r="K17" s="27">
        <f>INDEX(BA!J2:J46,MATCH('Match Analyzer BA'!$B$17,BA!$A$2:$A$46,0))</f>
        <v>0.42105263157894735</v>
      </c>
      <c r="L17" s="13">
        <f>INDEX(BA!K2:K46,MATCH('Match Analyzer BA'!$B$17,BA!$A$2:$A$46,0))</f>
        <v>153</v>
      </c>
      <c r="M17" s="26">
        <f>INDEX(BA!L2:L46,MATCH('Match Analyzer BA'!$B$17,BA!$A$2:$A$46,0))</f>
        <v>165</v>
      </c>
      <c r="N17" s="27">
        <f>INDEX(BA!M2:M46,MATCH('Match Analyzer BA'!$B$17,BA!$A$2:$A$46,0))</f>
        <v>0.48113207547169812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4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INDEX(BA!AG2:AG46,MATCH('Match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85"/>
      <c r="B18" s="7" t="s">
        <v>42</v>
      </c>
      <c r="C18" s="13">
        <f>INDEX(BA!B2:B46,MATCH('Match Analyzer BA'!$B$18,BA!$A$2:$A$46,0))</f>
        <v>177</v>
      </c>
      <c r="D18" s="59">
        <f>INDEX(BA!C2:C46,MATCH('Match Analyzer BA'!$B$18,BA!$A$2:$A$46,0))</f>
        <v>16.09090909090909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5</v>
      </c>
      <c r="H18" s="27">
        <f>INDEX(BA!G2:G46,MATCH('Match Analyzer BA'!$B$18,BA!$A$2:$A$46,0))</f>
        <v>0.54545454545454541</v>
      </c>
      <c r="I18" s="13">
        <f>INDEX(BA!H2:H46,MATCH('Match Analyzer BA'!$B$18,BA!$A$2:$A$46,0))</f>
        <v>22</v>
      </c>
      <c r="J18" s="26">
        <f>INDEX(BA!I2:I46,MATCH('Match Analyzer BA'!$B$18,BA!$A$2:$A$46,0))</f>
        <v>24</v>
      </c>
      <c r="K18" s="27">
        <f>INDEX(BA!J2:J46,MATCH('Match Analyzer BA'!$B$18,BA!$A$2:$A$46,0))</f>
        <v>0.47826086956521741</v>
      </c>
      <c r="L18" s="13">
        <f>INDEX(BA!K2:K46,MATCH('Match Analyzer BA'!$B$18,BA!$A$2:$A$46,0))</f>
        <v>91</v>
      </c>
      <c r="M18" s="26">
        <f>INDEX(BA!L2:L46,MATCH('Match Analyzer BA'!$B$18,BA!$A$2:$A$46,0))</f>
        <v>97</v>
      </c>
      <c r="N18" s="27">
        <f>INDEX(BA!M2:M46,MATCH('Match Analyzer BA'!$B$18,BA!$A$2:$A$46,0))</f>
        <v>0.48404255319148937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3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0</v>
      </c>
      <c r="Z18" s="26">
        <f>INDEX(BA!O2:O46,MATCH('Match Analyzer BA'!$B$18,BA!$A$2:$A$46,0))</f>
        <v>4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INDEX(BA!AG2:AG46,MATCH('Match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85"/>
      <c r="B19" s="7" t="s">
        <v>52</v>
      </c>
      <c r="C19" s="13">
        <f>INDEX(BA!B2:B46,MATCH('Match Analyzer BA'!$B$19,BA!$A$2:$A$46,0))</f>
        <v>87</v>
      </c>
      <c r="D19" s="59">
        <f>INDEX(BA!C2:C46,MATCH('Match Analyzer BA'!$B$19,BA!$A$2:$A$46,0))</f>
        <v>12.428571428571429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5</v>
      </c>
      <c r="H19" s="27">
        <f>INDEX(BA!G2:G46,MATCH('Match Analyzer BA'!$B$19,BA!$A$2:$A$46,0))</f>
        <v>0.2857142857142857</v>
      </c>
      <c r="I19" s="13">
        <f>INDEX(BA!H2:H46,MATCH('Match Analyzer BA'!$B$19,BA!$A$2:$A$46,0))</f>
        <v>13</v>
      </c>
      <c r="J19" s="26">
        <f>INDEX(BA!I2:I46,MATCH('Match Analyzer BA'!$B$19,BA!$A$2:$A$46,0))</f>
        <v>18</v>
      </c>
      <c r="K19" s="27">
        <f>INDEX(BA!J2:J46,MATCH('Match Analyzer BA'!$B$19,BA!$A$2:$A$46,0))</f>
        <v>0.41935483870967744</v>
      </c>
      <c r="L19" s="13">
        <f>INDEX(BA!K2:K46,MATCH('Match Analyzer BA'!$B$19,BA!$A$2:$A$46,0))</f>
        <v>52</v>
      </c>
      <c r="M19" s="26">
        <f>INDEX(BA!L2:L46,MATCH('Match Analyzer BA'!$B$19,BA!$A$2:$A$46,0))</f>
        <v>68</v>
      </c>
      <c r="N19" s="27">
        <f>INDEX(BA!M2:M46,MATCH('Match Analyzer BA'!$B$19,BA!$A$2:$A$46,0))</f>
        <v>0.43333333333333335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2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INDEX(BA!AG2:AG46,MATCH('Match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85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INDEX(BA!AG2:AG46,MATCH('Match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85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INDEX(BA!AG2:AG46,MATCH('Match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85"/>
      <c r="B22" s="7" t="s">
        <v>14</v>
      </c>
      <c r="C22" s="13">
        <f>INDEX(BA!B2:B46,MATCH('Match Analyzer BA'!$B$22,BA!$A$2:$A$46,0))</f>
        <v>169</v>
      </c>
      <c r="D22" s="59">
        <f>INDEX(BA!C2:C46,MATCH('Match Analyzer BA'!$B$22,BA!$A$2:$A$46,0))</f>
        <v>16.899999999999999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5</v>
      </c>
      <c r="H22" s="27">
        <f>INDEX(BA!G2:G46,MATCH('Match Analyzer BA'!$B$22,BA!$A$2:$A$46,0))</f>
        <v>0.5</v>
      </c>
      <c r="I22" s="13">
        <f>INDEX(BA!H2:H46,MATCH('Match Analyzer BA'!$B$22,BA!$A$2:$A$46,0))</f>
        <v>21</v>
      </c>
      <c r="J22" s="26">
        <f>INDEX(BA!I2:I46,MATCH('Match Analyzer BA'!$B$22,BA!$A$2:$A$46,0))</f>
        <v>23</v>
      </c>
      <c r="K22" s="27">
        <f>INDEX(BA!J2:J46,MATCH('Match Analyzer BA'!$B$22,BA!$A$2:$A$46,0))</f>
        <v>0.47727272727272729</v>
      </c>
      <c r="L22" s="13">
        <f>INDEX(BA!K2:K46,MATCH('Match Analyzer BA'!$B$22,BA!$A$2:$A$46,0))</f>
        <v>88</v>
      </c>
      <c r="M22" s="26">
        <f>INDEX(BA!L2:L46,MATCH('Match Analyzer BA'!$B$22,BA!$A$2:$A$46,0))</f>
        <v>87</v>
      </c>
      <c r="N22" s="27">
        <f>INDEX(BA!M2:M46,MATCH('Match Analyzer BA'!$B$22,BA!$A$2:$A$46,0))</f>
        <v>0.50285714285714289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0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INDEX(BA!AG2:AG46,MATCH('Match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85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INDEX(BA!AG2:AG46,MATCH('Match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85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88.467099567099581</v>
      </c>
      <c r="H25" s="9">
        <f>AVERAGE(H17:H24)</f>
        <v>0.46139971139971142</v>
      </c>
      <c r="I25" s="1"/>
      <c r="J25" s="1"/>
      <c r="K25" s="9">
        <f>AVERAGE(K17:K24)</f>
        <v>0.48209323743574872</v>
      </c>
      <c r="N25" s="9">
        <f>AVERAGE(N17:N24)</f>
        <v>0.49094594290741184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18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7</v>
      </c>
      <c r="Z25" s="5">
        <f t="shared" si="1"/>
        <v>11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2026-03-04T17:12:26Z</dcterms:modified>
</cp:coreProperties>
</file>