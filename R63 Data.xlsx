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64DD065D-8E70-4AA5-A3D8-0F515A2D6A12}" xr6:coauthVersionLast="47" xr6:coauthVersionMax="47" xr10:uidLastSave="{00000000-0000-0000-0000-000000000000}"/>
  <bookViews>
    <workbookView xWindow="-28920" yWindow="-120" windowWidth="29040" windowHeight="15720" activeTab="3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Events" sheetId="20" r:id="rId15"/>
    <sheet name="BA comments" sheetId="6" state="hidden" r:id="rId16"/>
    <sheet name="Match Analyzer BA" sheetId="8" state="hidden" r:id="rId17"/>
  </sheets>
  <definedNames>
    <definedName name="_xlnm._FilterDatabase" localSheetId="8" hidden="1">BA!$A$1:$AH$47</definedName>
    <definedName name="_xlnm._FilterDatabase" localSheetId="9" hidden="1">'BA History'!$A$1:$AJ$901</definedName>
    <definedName name="_xlnm._FilterDatabase" localSheetId="11" hidden="1">'BA History S2'!$A$1:$AJ$339</definedName>
    <definedName name="_xlnm._FilterDatabase" localSheetId="10" hidden="1">'BA S2'!$A$1:$AM$38</definedName>
    <definedName name="_xlnm._FilterDatabase" localSheetId="7" hidden="1">'BA v2'!$A$1:$AM$60</definedName>
    <definedName name="_xlnm._FilterDatabase" localSheetId="1" hidden="1">'OB History'!$A$1:$AD$778</definedName>
    <definedName name="_xlnm._FilterDatabase" localSheetId="3" hidden="1">'OB History S2'!$A$1:$AD$476</definedName>
    <definedName name="_xlnm._FilterDatabase" localSheetId="2" hidden="1">'OB Season 2'!$A$1:$AI$46</definedName>
    <definedName name="_xlnm._FilterDatabase" localSheetId="4" hidden="1">'Old Bow'!$A$1:$AD$37</definedName>
    <definedName name="_xlnm._FilterDatabase" localSheetId="0" hidden="1">'Old Bow v2'!$A$1:$AI$55</definedName>
    <definedName name="_xlnm._FilterDatabase" localSheetId="12" hidden="1">'Tourney History'!$A$1:$AD$159</definedName>
    <definedName name="_xlnm._FilterDatabase" localSheetId="13" hidden="1">'Tourney Stats'!$A$1:$AE$39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404" i="15" l="1"/>
  <c r="AB404" i="15"/>
  <c r="AC404" i="15"/>
  <c r="AD404" i="15"/>
  <c r="AA405" i="15"/>
  <c r="AB405" i="15"/>
  <c r="AC405" i="15"/>
  <c r="AD405" i="15"/>
  <c r="AA406" i="15"/>
  <c r="AB406" i="15"/>
  <c r="AC406" i="15"/>
  <c r="AD406" i="15"/>
  <c r="AA407" i="15"/>
  <c r="AB407" i="15"/>
  <c r="AC407" i="15"/>
  <c r="AD407" i="15"/>
  <c r="AA408" i="15"/>
  <c r="AB408" i="15"/>
  <c r="AC408" i="15"/>
  <c r="AD408" i="15"/>
  <c r="AA409" i="15"/>
  <c r="AB409" i="15"/>
  <c r="AC409" i="15"/>
  <c r="AD409" i="15"/>
  <c r="AA410" i="15"/>
  <c r="AB410" i="15"/>
  <c r="AC410" i="15"/>
  <c r="AD410" i="15"/>
  <c r="AA411" i="15"/>
  <c r="AB411" i="15"/>
  <c r="AC411" i="15"/>
  <c r="AD411" i="15"/>
  <c r="AA412" i="15"/>
  <c r="AB412" i="15"/>
  <c r="AC412" i="15"/>
  <c r="AD412" i="15"/>
  <c r="AA413" i="15"/>
  <c r="AB413" i="15"/>
  <c r="AC413" i="15"/>
  <c r="AD413" i="15"/>
  <c r="AA414" i="15"/>
  <c r="AB414" i="15"/>
  <c r="AC414" i="15"/>
  <c r="AD414" i="15"/>
  <c r="AA415" i="15"/>
  <c r="AB415" i="15"/>
  <c r="AC415" i="15"/>
  <c r="AD415" i="15"/>
  <c r="AA416" i="15"/>
  <c r="AB416" i="15"/>
  <c r="AC416" i="15"/>
  <c r="AD416" i="15"/>
  <c r="AA417" i="15"/>
  <c r="AB417" i="15"/>
  <c r="AC417" i="15"/>
  <c r="AD417" i="15"/>
  <c r="AA418" i="15"/>
  <c r="AB418" i="15"/>
  <c r="AC418" i="15"/>
  <c r="AD418" i="15"/>
  <c r="AA419" i="15"/>
  <c r="AB419" i="15"/>
  <c r="AC419" i="15"/>
  <c r="AD419" i="15"/>
  <c r="AA889" i="10"/>
  <c r="AB889" i="10"/>
  <c r="AC889" i="10"/>
  <c r="AD889" i="10"/>
  <c r="AA890" i="10"/>
  <c r="AB890" i="10"/>
  <c r="AC890" i="10"/>
  <c r="AD890" i="10"/>
  <c r="AA891" i="10"/>
  <c r="AB891" i="10"/>
  <c r="AC891" i="10"/>
  <c r="AD891" i="10"/>
  <c r="AA892" i="10"/>
  <c r="AB892" i="10"/>
  <c r="AC892" i="10"/>
  <c r="AD892" i="10"/>
  <c r="AA893" i="10"/>
  <c r="AB893" i="10"/>
  <c r="AC893" i="10"/>
  <c r="AD893" i="10"/>
  <c r="AA894" i="10"/>
  <c r="AB894" i="10"/>
  <c r="AC894" i="10"/>
  <c r="AD894" i="10"/>
  <c r="AA895" i="10"/>
  <c r="AB895" i="10"/>
  <c r="AC895" i="10"/>
  <c r="AD895" i="10"/>
  <c r="AA896" i="10"/>
  <c r="AB896" i="10"/>
  <c r="AC896" i="10"/>
  <c r="AD896" i="10"/>
  <c r="AA897" i="10"/>
  <c r="AB897" i="10"/>
  <c r="AC897" i="10"/>
  <c r="AD897" i="10"/>
  <c r="AA898" i="10"/>
  <c r="AB898" i="10"/>
  <c r="AC898" i="10"/>
  <c r="AD898" i="10"/>
  <c r="AA899" i="10"/>
  <c r="AB899" i="10"/>
  <c r="AC899" i="10"/>
  <c r="AD899" i="10"/>
  <c r="AA900" i="10"/>
  <c r="AB900" i="10"/>
  <c r="AC900" i="10"/>
  <c r="AD900" i="10"/>
  <c r="AA901" i="10"/>
  <c r="AB901" i="10"/>
  <c r="AC901" i="10"/>
  <c r="AD901" i="10"/>
  <c r="AA902" i="10"/>
  <c r="AB902" i="10"/>
  <c r="AC902" i="10"/>
  <c r="AD902" i="10"/>
  <c r="AA903" i="10"/>
  <c r="AB903" i="10"/>
  <c r="AC903" i="10"/>
  <c r="AD903" i="10"/>
  <c r="AA904" i="10"/>
  <c r="AB904" i="10"/>
  <c r="AC904" i="10"/>
  <c r="AD904" i="10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R32" i="16"/>
  <c r="F32" i="16"/>
  <c r="G32" i="16"/>
  <c r="H32" i="16" a="1"/>
  <c r="H32" i="16" s="1"/>
  <c r="I32" i="16"/>
  <c r="J32" i="16"/>
  <c r="K32" i="16"/>
  <c r="L32" i="16"/>
  <c r="M32" i="16" s="1"/>
  <c r="N32" i="16"/>
  <c r="O32" i="16"/>
  <c r="P32" i="16" s="1"/>
  <c r="Q32" i="16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F10" i="12"/>
  <c r="G10" i="12"/>
  <c r="H10" i="12" a="1"/>
  <c r="H10" i="12" s="1"/>
  <c r="I10" i="12"/>
  <c r="J10" i="12"/>
  <c r="K10" i="12"/>
  <c r="L10" i="12"/>
  <c r="M10" i="12" s="1"/>
  <c r="N10" i="12"/>
  <c r="O10" i="12"/>
  <c r="P10" i="12" s="1"/>
  <c r="Q10" i="12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L7" i="16"/>
  <c r="M7" i="16" s="1"/>
  <c r="N7" i="16"/>
  <c r="O7" i="16"/>
  <c r="P7" i="16" s="1"/>
  <c r="Q7" i="16"/>
  <c r="AG328" i="17"/>
  <c r="AH328" i="17"/>
  <c r="AI328" i="17"/>
  <c r="AJ328" i="17"/>
  <c r="AG329" i="17"/>
  <c r="AH329" i="17"/>
  <c r="AI329" i="17"/>
  <c r="AJ329" i="17"/>
  <c r="AG330" i="17"/>
  <c r="AH330" i="17"/>
  <c r="AI330" i="17"/>
  <c r="AJ330" i="17"/>
  <c r="AG331" i="17"/>
  <c r="AH331" i="17"/>
  <c r="AI331" i="17"/>
  <c r="AJ331" i="17"/>
  <c r="AG332" i="17"/>
  <c r="AH332" i="17"/>
  <c r="AI332" i="17"/>
  <c r="AJ332" i="17"/>
  <c r="AG333" i="17"/>
  <c r="AH333" i="17"/>
  <c r="AI333" i="17"/>
  <c r="AJ333" i="17"/>
  <c r="AG334" i="17"/>
  <c r="AH334" i="17"/>
  <c r="AI334" i="17"/>
  <c r="AJ334" i="17"/>
  <c r="AG335" i="17"/>
  <c r="AH335" i="17"/>
  <c r="AI335" i="17"/>
  <c r="AJ335" i="17"/>
  <c r="AG336" i="17"/>
  <c r="AH336" i="17"/>
  <c r="AI336" i="17"/>
  <c r="AJ336" i="17"/>
  <c r="AG337" i="17"/>
  <c r="AH337" i="17"/>
  <c r="AI337" i="17"/>
  <c r="AJ337" i="17"/>
  <c r="AG338" i="17"/>
  <c r="AH338" i="17"/>
  <c r="AI338" i="17"/>
  <c r="AJ338" i="17"/>
  <c r="K7" i="16" s="1"/>
  <c r="AG339" i="17"/>
  <c r="AH339" i="17"/>
  <c r="AI339" i="17"/>
  <c r="AJ339" i="17"/>
  <c r="AG1032" i="9"/>
  <c r="AH1032" i="9"/>
  <c r="AI1032" i="9"/>
  <c r="AJ1032" i="9"/>
  <c r="AG1033" i="9"/>
  <c r="AH1033" i="9"/>
  <c r="AI1033" i="9"/>
  <c r="AJ1033" i="9"/>
  <c r="AG1034" i="9"/>
  <c r="AH1034" i="9"/>
  <c r="AI1034" i="9"/>
  <c r="AJ1034" i="9"/>
  <c r="AG1035" i="9"/>
  <c r="AH1035" i="9"/>
  <c r="AI1035" i="9"/>
  <c r="AJ1035" i="9"/>
  <c r="AG1036" i="9"/>
  <c r="AH1036" i="9"/>
  <c r="AI1036" i="9"/>
  <c r="AJ1036" i="9"/>
  <c r="AG1037" i="9"/>
  <c r="AH1037" i="9"/>
  <c r="AI1037" i="9"/>
  <c r="AJ1037" i="9"/>
  <c r="AG1038" i="9"/>
  <c r="AH1038" i="9"/>
  <c r="AI1038" i="9"/>
  <c r="AJ1038" i="9"/>
  <c r="AG1039" i="9"/>
  <c r="AH1039" i="9"/>
  <c r="AI1039" i="9"/>
  <c r="AJ1039" i="9"/>
  <c r="AG1040" i="9"/>
  <c r="AH1040" i="9"/>
  <c r="AI1040" i="9"/>
  <c r="AJ1040" i="9"/>
  <c r="AG1041" i="9"/>
  <c r="AH1041" i="9"/>
  <c r="AI1041" i="9"/>
  <c r="AJ1041" i="9"/>
  <c r="AG1042" i="9"/>
  <c r="AH1042" i="9"/>
  <c r="AI1042" i="9"/>
  <c r="AJ1042" i="9"/>
  <c r="AG1043" i="9"/>
  <c r="AH1043" i="9"/>
  <c r="AI1043" i="9"/>
  <c r="AJ1043" i="9"/>
  <c r="AG1016" i="9"/>
  <c r="AH1016" i="9"/>
  <c r="AI1016" i="9"/>
  <c r="AJ1016" i="9"/>
  <c r="AG1017" i="9"/>
  <c r="AH1017" i="9"/>
  <c r="AI1017" i="9"/>
  <c r="AJ1017" i="9"/>
  <c r="AG1018" i="9"/>
  <c r="AH1018" i="9"/>
  <c r="AI1018" i="9"/>
  <c r="AJ1018" i="9"/>
  <c r="AG1019" i="9"/>
  <c r="AH1019" i="9"/>
  <c r="AI1019" i="9"/>
  <c r="AJ1019" i="9"/>
  <c r="AG1020" i="9"/>
  <c r="AH1020" i="9"/>
  <c r="AI1020" i="9"/>
  <c r="AJ1020" i="9"/>
  <c r="AG1021" i="9"/>
  <c r="AH1021" i="9"/>
  <c r="AI1021" i="9"/>
  <c r="AJ1021" i="9"/>
  <c r="AG1022" i="9"/>
  <c r="AH1022" i="9"/>
  <c r="AI1022" i="9"/>
  <c r="AJ1022" i="9"/>
  <c r="AG1023" i="9"/>
  <c r="AH1023" i="9"/>
  <c r="AI1023" i="9"/>
  <c r="AJ1023" i="9"/>
  <c r="AG1024" i="9"/>
  <c r="AH1024" i="9"/>
  <c r="AI1024" i="9"/>
  <c r="AJ1024" i="9"/>
  <c r="AG1025" i="9"/>
  <c r="AH1025" i="9"/>
  <c r="AI1025" i="9"/>
  <c r="AJ1025" i="9"/>
  <c r="AG1026" i="9"/>
  <c r="AH1026" i="9"/>
  <c r="AI1026" i="9"/>
  <c r="AJ1026" i="9"/>
  <c r="AG1027" i="9"/>
  <c r="AH1027" i="9"/>
  <c r="AI1027" i="9"/>
  <c r="AJ1027" i="9"/>
  <c r="AG1028" i="9"/>
  <c r="AH1028" i="9"/>
  <c r="AI1028" i="9"/>
  <c r="AJ1028" i="9"/>
  <c r="AG1029" i="9"/>
  <c r="AH1029" i="9"/>
  <c r="AI1029" i="9"/>
  <c r="AJ1029" i="9"/>
  <c r="AG1030" i="9"/>
  <c r="AH1030" i="9"/>
  <c r="AI1030" i="9"/>
  <c r="AJ1030" i="9"/>
  <c r="AG1031" i="9"/>
  <c r="AH1031" i="9"/>
  <c r="AI1031" i="9"/>
  <c r="AJ1031" i="9"/>
  <c r="AG312" i="17"/>
  <c r="AH312" i="17"/>
  <c r="AI312" i="17"/>
  <c r="AJ312" i="17"/>
  <c r="AG313" i="17"/>
  <c r="AH313" i="17"/>
  <c r="AI313" i="17"/>
  <c r="AJ313" i="17"/>
  <c r="AG314" i="17"/>
  <c r="AH314" i="17"/>
  <c r="AI314" i="17"/>
  <c r="AJ314" i="17"/>
  <c r="AG315" i="17"/>
  <c r="AH315" i="17"/>
  <c r="AI315" i="17"/>
  <c r="AJ315" i="17"/>
  <c r="AG316" i="17"/>
  <c r="AH316" i="17"/>
  <c r="AI316" i="17"/>
  <c r="AJ316" i="17"/>
  <c r="AG317" i="17"/>
  <c r="AH317" i="17"/>
  <c r="AI317" i="17"/>
  <c r="AJ317" i="17"/>
  <c r="AG318" i="17"/>
  <c r="AH318" i="17"/>
  <c r="AI318" i="17"/>
  <c r="AJ318" i="17"/>
  <c r="AG319" i="17"/>
  <c r="AH319" i="17"/>
  <c r="AI319" i="17"/>
  <c r="AJ319" i="17"/>
  <c r="AG320" i="17"/>
  <c r="AH320" i="17"/>
  <c r="AI320" i="17"/>
  <c r="AJ320" i="17"/>
  <c r="AG321" i="17"/>
  <c r="AH321" i="17"/>
  <c r="AI321" i="17"/>
  <c r="AJ321" i="17"/>
  <c r="AG322" i="17"/>
  <c r="AH322" i="17"/>
  <c r="AI322" i="17"/>
  <c r="AJ322" i="17"/>
  <c r="AG323" i="17"/>
  <c r="AH323" i="17"/>
  <c r="AI323" i="17"/>
  <c r="AJ323" i="17"/>
  <c r="AG324" i="17"/>
  <c r="AH324" i="17"/>
  <c r="AI324" i="17"/>
  <c r="AJ324" i="17"/>
  <c r="AG325" i="17"/>
  <c r="AH325" i="17"/>
  <c r="AI325" i="17"/>
  <c r="AJ325" i="17"/>
  <c r="AG326" i="17"/>
  <c r="AH326" i="17"/>
  <c r="AI326" i="17"/>
  <c r="AJ326" i="17"/>
  <c r="AG327" i="17"/>
  <c r="AH327" i="17"/>
  <c r="AI327" i="17"/>
  <c r="AJ327" i="17"/>
  <c r="AG300" i="17"/>
  <c r="AH300" i="17"/>
  <c r="AI300" i="17"/>
  <c r="AJ300" i="17"/>
  <c r="AG301" i="17"/>
  <c r="AH301" i="17"/>
  <c r="AI301" i="17"/>
  <c r="AJ301" i="17"/>
  <c r="AG302" i="17"/>
  <c r="AH302" i="17"/>
  <c r="AI302" i="17"/>
  <c r="AJ302" i="17"/>
  <c r="AG303" i="17"/>
  <c r="AH303" i="17"/>
  <c r="AI303" i="17"/>
  <c r="AJ303" i="17"/>
  <c r="AG304" i="17"/>
  <c r="AH304" i="17"/>
  <c r="AI304" i="17"/>
  <c r="AJ304" i="17"/>
  <c r="AG305" i="17"/>
  <c r="AH305" i="17"/>
  <c r="AI305" i="17"/>
  <c r="AJ305" i="17"/>
  <c r="AG306" i="17"/>
  <c r="AH306" i="17"/>
  <c r="AI306" i="17"/>
  <c r="AJ306" i="17"/>
  <c r="AG307" i="17"/>
  <c r="AH307" i="17"/>
  <c r="AI307" i="17"/>
  <c r="AJ307" i="17"/>
  <c r="AG308" i="17"/>
  <c r="AH308" i="17"/>
  <c r="AI308" i="17"/>
  <c r="AJ308" i="17"/>
  <c r="AG309" i="17"/>
  <c r="AH309" i="17"/>
  <c r="AI309" i="17"/>
  <c r="AJ309" i="17"/>
  <c r="AG310" i="17"/>
  <c r="AH310" i="17"/>
  <c r="AI310" i="17"/>
  <c r="AJ310" i="17"/>
  <c r="AG311" i="17"/>
  <c r="AH311" i="17"/>
  <c r="AI311" i="17"/>
  <c r="AJ311" i="17"/>
  <c r="AG1004" i="9"/>
  <c r="AH1004" i="9"/>
  <c r="AI1004" i="9"/>
  <c r="AJ1004" i="9"/>
  <c r="AG1005" i="9"/>
  <c r="AH1005" i="9"/>
  <c r="AI1005" i="9"/>
  <c r="AJ1005" i="9"/>
  <c r="AG1006" i="9"/>
  <c r="AH1006" i="9"/>
  <c r="AI1006" i="9"/>
  <c r="AJ1006" i="9"/>
  <c r="AG1007" i="9"/>
  <c r="AH1007" i="9"/>
  <c r="AI1007" i="9"/>
  <c r="AJ1007" i="9"/>
  <c r="AG1008" i="9"/>
  <c r="AH1008" i="9"/>
  <c r="AI1008" i="9"/>
  <c r="AJ1008" i="9"/>
  <c r="AG1009" i="9"/>
  <c r="AH1009" i="9"/>
  <c r="AI1009" i="9"/>
  <c r="AJ1009" i="9"/>
  <c r="AG1010" i="9"/>
  <c r="AH1010" i="9"/>
  <c r="AI1010" i="9"/>
  <c r="AJ1010" i="9"/>
  <c r="AG1011" i="9"/>
  <c r="AH1011" i="9"/>
  <c r="AI1011" i="9"/>
  <c r="AJ1011" i="9"/>
  <c r="AG1012" i="9"/>
  <c r="AH1012" i="9"/>
  <c r="AI1012" i="9"/>
  <c r="AJ1012" i="9"/>
  <c r="AG1013" i="9"/>
  <c r="AH1013" i="9"/>
  <c r="AI1013" i="9"/>
  <c r="AJ1013" i="9"/>
  <c r="AG1014" i="9"/>
  <c r="AH1014" i="9"/>
  <c r="AI1014" i="9"/>
  <c r="AJ1014" i="9"/>
  <c r="AG1015" i="9"/>
  <c r="AH1015" i="9"/>
  <c r="AI1015" i="9"/>
  <c r="AJ1015" i="9"/>
  <c r="AA390" i="15"/>
  <c r="AB390" i="15"/>
  <c r="AC390" i="15"/>
  <c r="AD390" i="15"/>
  <c r="AA391" i="15"/>
  <c r="AB391" i="15"/>
  <c r="AC391" i="15"/>
  <c r="AD391" i="15"/>
  <c r="AA392" i="15"/>
  <c r="AB392" i="15"/>
  <c r="AC392" i="15"/>
  <c r="AD392" i="15"/>
  <c r="AA393" i="15"/>
  <c r="AB393" i="15"/>
  <c r="AC393" i="15"/>
  <c r="AD393" i="15"/>
  <c r="AA394" i="15"/>
  <c r="AB394" i="15"/>
  <c r="AC394" i="15"/>
  <c r="AD394" i="15"/>
  <c r="AA395" i="15"/>
  <c r="AB395" i="15"/>
  <c r="AC395" i="15"/>
  <c r="AD395" i="15"/>
  <c r="AA396" i="15"/>
  <c r="AB396" i="15"/>
  <c r="AC396" i="15"/>
  <c r="AD396" i="15"/>
  <c r="AA397" i="15"/>
  <c r="AB397" i="15"/>
  <c r="AC397" i="15"/>
  <c r="AD397" i="15"/>
  <c r="AA398" i="15"/>
  <c r="AB398" i="15"/>
  <c r="AC398" i="15"/>
  <c r="AD398" i="15"/>
  <c r="AA399" i="15"/>
  <c r="AB399" i="15"/>
  <c r="AC399" i="15"/>
  <c r="AD399" i="15"/>
  <c r="AA400" i="15"/>
  <c r="AB400" i="15"/>
  <c r="AC400" i="15"/>
  <c r="AD400" i="15"/>
  <c r="AA401" i="15"/>
  <c r="AB401" i="15"/>
  <c r="AC401" i="15"/>
  <c r="AD401" i="15"/>
  <c r="AA402" i="15"/>
  <c r="AB402" i="15"/>
  <c r="AC402" i="15"/>
  <c r="AD402" i="15"/>
  <c r="AA403" i="15"/>
  <c r="AB403" i="15"/>
  <c r="AC403" i="15"/>
  <c r="AD403" i="15"/>
  <c r="AA875" i="10"/>
  <c r="AB875" i="10"/>
  <c r="AC875" i="10"/>
  <c r="AD875" i="10"/>
  <c r="AA876" i="10"/>
  <c r="AB876" i="10"/>
  <c r="AC876" i="10"/>
  <c r="AD876" i="10"/>
  <c r="AA877" i="10"/>
  <c r="AB877" i="10"/>
  <c r="AC877" i="10"/>
  <c r="AD877" i="10"/>
  <c r="AA878" i="10"/>
  <c r="AB878" i="10"/>
  <c r="AC878" i="10"/>
  <c r="AD878" i="10"/>
  <c r="AA879" i="10"/>
  <c r="AB879" i="10"/>
  <c r="AC879" i="10"/>
  <c r="AD879" i="10"/>
  <c r="AA880" i="10"/>
  <c r="AB880" i="10"/>
  <c r="AC880" i="10"/>
  <c r="AD880" i="10"/>
  <c r="AA881" i="10"/>
  <c r="AB881" i="10"/>
  <c r="AC881" i="10"/>
  <c r="AD881" i="10"/>
  <c r="AA882" i="10"/>
  <c r="AB882" i="10"/>
  <c r="AC882" i="10"/>
  <c r="AD882" i="10"/>
  <c r="AA883" i="10"/>
  <c r="AB883" i="10"/>
  <c r="AC883" i="10"/>
  <c r="AD883" i="10"/>
  <c r="AA884" i="10"/>
  <c r="AB884" i="10"/>
  <c r="AC884" i="10"/>
  <c r="AD884" i="10"/>
  <c r="AA885" i="10"/>
  <c r="AB885" i="10"/>
  <c r="AC885" i="10"/>
  <c r="AD885" i="10"/>
  <c r="AA886" i="10"/>
  <c r="AB886" i="10"/>
  <c r="AC886" i="10"/>
  <c r="AD886" i="10"/>
  <c r="AA887" i="10"/>
  <c r="AB887" i="10"/>
  <c r="AC887" i="10"/>
  <c r="AD887" i="10"/>
  <c r="AA888" i="10"/>
  <c r="AB888" i="10"/>
  <c r="AC888" i="10"/>
  <c r="AD888" i="10"/>
  <c r="AA374" i="15"/>
  <c r="AB374" i="15"/>
  <c r="AC374" i="15"/>
  <c r="AD374" i="15"/>
  <c r="AA375" i="15"/>
  <c r="AB375" i="15"/>
  <c r="AC375" i="15"/>
  <c r="AD375" i="15"/>
  <c r="AA376" i="15"/>
  <c r="AB376" i="15"/>
  <c r="AC376" i="15"/>
  <c r="AD376" i="15"/>
  <c r="AA377" i="15"/>
  <c r="AB377" i="15"/>
  <c r="AC377" i="15"/>
  <c r="AD377" i="15"/>
  <c r="AA378" i="15"/>
  <c r="AB378" i="15"/>
  <c r="AC378" i="15"/>
  <c r="AD378" i="15"/>
  <c r="AA379" i="15"/>
  <c r="AB379" i="15"/>
  <c r="AC379" i="15"/>
  <c r="AD379" i="15"/>
  <c r="AA380" i="15"/>
  <c r="AB380" i="15"/>
  <c r="AC380" i="15"/>
  <c r="AD380" i="15"/>
  <c r="AA381" i="15"/>
  <c r="AB381" i="15"/>
  <c r="AC381" i="15"/>
  <c r="AD381" i="15"/>
  <c r="AA382" i="15"/>
  <c r="AB382" i="15"/>
  <c r="AC382" i="15"/>
  <c r="AD382" i="15"/>
  <c r="AA383" i="15"/>
  <c r="AB383" i="15"/>
  <c r="AC383" i="15"/>
  <c r="AD383" i="15"/>
  <c r="AA384" i="15"/>
  <c r="AB384" i="15"/>
  <c r="AC384" i="15"/>
  <c r="AD384" i="15"/>
  <c r="AA385" i="15"/>
  <c r="AB385" i="15"/>
  <c r="AC385" i="15"/>
  <c r="AD385" i="15"/>
  <c r="AA386" i="15"/>
  <c r="AB386" i="15"/>
  <c r="AC386" i="15"/>
  <c r="AD386" i="15"/>
  <c r="AA387" i="15"/>
  <c r="AB387" i="15"/>
  <c r="AC387" i="15"/>
  <c r="AD387" i="15"/>
  <c r="AA388" i="15"/>
  <c r="AB388" i="15"/>
  <c r="AC388" i="15"/>
  <c r="AD388" i="15"/>
  <c r="AA389" i="15"/>
  <c r="AB389" i="15"/>
  <c r="AC389" i="15"/>
  <c r="AD389" i="15"/>
  <c r="AA859" i="10"/>
  <c r="AB859" i="10"/>
  <c r="AC859" i="10"/>
  <c r="AD859" i="10"/>
  <c r="AA860" i="10"/>
  <c r="AB860" i="10"/>
  <c r="AC860" i="10"/>
  <c r="AD860" i="10"/>
  <c r="AA861" i="10"/>
  <c r="AB861" i="10"/>
  <c r="AC861" i="10"/>
  <c r="AD861" i="10"/>
  <c r="AA862" i="10"/>
  <c r="AB862" i="10"/>
  <c r="AC862" i="10"/>
  <c r="AD862" i="10"/>
  <c r="AA863" i="10"/>
  <c r="AB863" i="10"/>
  <c r="AC863" i="10"/>
  <c r="AD863" i="10"/>
  <c r="AA864" i="10"/>
  <c r="AB864" i="10"/>
  <c r="AC864" i="10"/>
  <c r="AD864" i="10"/>
  <c r="AA865" i="10"/>
  <c r="AB865" i="10"/>
  <c r="AC865" i="10"/>
  <c r="AD865" i="10"/>
  <c r="AA866" i="10"/>
  <c r="AB866" i="10"/>
  <c r="AC866" i="10"/>
  <c r="AD866" i="10"/>
  <c r="AA867" i="10"/>
  <c r="AB867" i="10"/>
  <c r="AC867" i="10"/>
  <c r="AD867" i="10"/>
  <c r="AA868" i="10"/>
  <c r="AB868" i="10"/>
  <c r="AC868" i="10"/>
  <c r="AD868" i="10"/>
  <c r="AA869" i="10"/>
  <c r="AB869" i="10"/>
  <c r="AC869" i="10"/>
  <c r="AD869" i="10"/>
  <c r="AA870" i="10"/>
  <c r="AB870" i="10"/>
  <c r="AC870" i="10"/>
  <c r="AD870" i="10"/>
  <c r="AA871" i="10"/>
  <c r="AB871" i="10"/>
  <c r="AC871" i="10"/>
  <c r="AD871" i="10"/>
  <c r="AA872" i="10"/>
  <c r="AB872" i="10"/>
  <c r="AC872" i="10"/>
  <c r="AD872" i="10"/>
  <c r="AA873" i="10"/>
  <c r="AB873" i="10"/>
  <c r="AC873" i="10"/>
  <c r="AD873" i="10"/>
  <c r="AA874" i="10"/>
  <c r="AB874" i="10"/>
  <c r="AC874" i="10"/>
  <c r="AD874" i="10"/>
  <c r="AA843" i="10"/>
  <c r="AB843" i="10"/>
  <c r="AC843" i="10"/>
  <c r="AD843" i="10"/>
  <c r="AA844" i="10"/>
  <c r="AB844" i="10"/>
  <c r="AC844" i="10"/>
  <c r="AD844" i="10"/>
  <c r="AA845" i="10"/>
  <c r="AB845" i="10"/>
  <c r="AC845" i="10"/>
  <c r="AD845" i="10"/>
  <c r="AA846" i="10"/>
  <c r="AB846" i="10"/>
  <c r="AC846" i="10"/>
  <c r="AD846" i="10"/>
  <c r="AA847" i="10"/>
  <c r="AB847" i="10"/>
  <c r="AC847" i="10"/>
  <c r="AD847" i="10"/>
  <c r="AA848" i="10"/>
  <c r="AB848" i="10"/>
  <c r="AC848" i="10"/>
  <c r="AD848" i="10"/>
  <c r="AA849" i="10"/>
  <c r="AB849" i="10"/>
  <c r="AC849" i="10"/>
  <c r="AD849" i="10"/>
  <c r="AA850" i="10"/>
  <c r="AB850" i="10"/>
  <c r="AC850" i="10"/>
  <c r="AD850" i="10"/>
  <c r="AA851" i="10"/>
  <c r="AB851" i="10"/>
  <c r="AC851" i="10"/>
  <c r="AD851" i="10"/>
  <c r="AA852" i="10"/>
  <c r="AB852" i="10"/>
  <c r="AC852" i="10"/>
  <c r="AD852" i="10"/>
  <c r="AA853" i="10"/>
  <c r="AB853" i="10"/>
  <c r="AC853" i="10"/>
  <c r="AD853" i="10"/>
  <c r="AA854" i="10"/>
  <c r="AB854" i="10"/>
  <c r="AC854" i="10"/>
  <c r="AD854" i="10"/>
  <c r="AA855" i="10"/>
  <c r="AB855" i="10"/>
  <c r="AC855" i="10"/>
  <c r="AD855" i="10"/>
  <c r="AA856" i="10"/>
  <c r="AB856" i="10"/>
  <c r="AC856" i="10"/>
  <c r="AD856" i="10"/>
  <c r="AA857" i="10"/>
  <c r="AB857" i="10"/>
  <c r="AC857" i="10"/>
  <c r="AD857" i="10"/>
  <c r="AA858" i="10"/>
  <c r="AB858" i="10"/>
  <c r="AC858" i="10"/>
  <c r="AD858" i="10"/>
  <c r="AA358" i="15"/>
  <c r="AB358" i="15"/>
  <c r="AC358" i="15"/>
  <c r="AD358" i="15"/>
  <c r="AA359" i="15"/>
  <c r="AB359" i="15"/>
  <c r="AC359" i="15"/>
  <c r="AD359" i="15"/>
  <c r="AA360" i="15"/>
  <c r="AB360" i="15"/>
  <c r="AC360" i="15"/>
  <c r="AD360" i="15"/>
  <c r="AA361" i="15"/>
  <c r="AB361" i="15"/>
  <c r="AC361" i="15"/>
  <c r="AD361" i="15"/>
  <c r="AA362" i="15"/>
  <c r="AB362" i="15"/>
  <c r="AC362" i="15"/>
  <c r="AD362" i="15"/>
  <c r="AA363" i="15"/>
  <c r="AB363" i="15"/>
  <c r="AC363" i="15"/>
  <c r="AD363" i="15"/>
  <c r="AA364" i="15"/>
  <c r="AB364" i="15"/>
  <c r="AC364" i="15"/>
  <c r="AD364" i="15"/>
  <c r="AA365" i="15"/>
  <c r="AB365" i="15"/>
  <c r="AC365" i="15"/>
  <c r="AD365" i="15"/>
  <c r="AA366" i="15"/>
  <c r="AB366" i="15"/>
  <c r="AC366" i="15"/>
  <c r="AD366" i="15"/>
  <c r="AA367" i="15"/>
  <c r="AB367" i="15"/>
  <c r="AC367" i="15"/>
  <c r="AD367" i="15"/>
  <c r="AA368" i="15"/>
  <c r="AB368" i="15"/>
  <c r="AC368" i="15"/>
  <c r="AD368" i="15"/>
  <c r="AA369" i="15"/>
  <c r="AB369" i="15"/>
  <c r="AC369" i="15"/>
  <c r="AD369" i="15"/>
  <c r="AA370" i="15"/>
  <c r="AB370" i="15"/>
  <c r="AC370" i="15"/>
  <c r="AD370" i="15"/>
  <c r="AA371" i="15"/>
  <c r="AB371" i="15"/>
  <c r="AC371" i="15"/>
  <c r="AD371" i="15"/>
  <c r="AA372" i="15"/>
  <c r="AB372" i="15"/>
  <c r="AC372" i="15"/>
  <c r="AD372" i="15"/>
  <c r="AA373" i="15"/>
  <c r="AB373" i="15"/>
  <c r="AC373" i="15"/>
  <c r="AD373" i="15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T10" i="11"/>
  <c r="H10" i="11"/>
  <c r="I10" i="11"/>
  <c r="J10" i="11" a="1"/>
  <c r="J10" i="11" s="1"/>
  <c r="K10" i="11"/>
  <c r="L10" i="11"/>
  <c r="N10" i="11"/>
  <c r="O10" i="11" s="1"/>
  <c r="Q10" i="11"/>
  <c r="R10" i="11" s="1"/>
  <c r="S10" i="11"/>
  <c r="AA342" i="15"/>
  <c r="AB342" i="15"/>
  <c r="AC342" i="15"/>
  <c r="AD342" i="15"/>
  <c r="AA343" i="15"/>
  <c r="AB343" i="15"/>
  <c r="AC343" i="15"/>
  <c r="AD343" i="15"/>
  <c r="AA344" i="15"/>
  <c r="AB344" i="15"/>
  <c r="AC344" i="15"/>
  <c r="AD344" i="15"/>
  <c r="AA345" i="15"/>
  <c r="AB345" i="15"/>
  <c r="AC345" i="15"/>
  <c r="AD345" i="15"/>
  <c r="AA346" i="15"/>
  <c r="AB346" i="15"/>
  <c r="AC346" i="15"/>
  <c r="AD346" i="15"/>
  <c r="AA347" i="15"/>
  <c r="AB347" i="15"/>
  <c r="AC347" i="15"/>
  <c r="AD347" i="15"/>
  <c r="AA348" i="15"/>
  <c r="AB348" i="15"/>
  <c r="AC348" i="15"/>
  <c r="AD348" i="15"/>
  <c r="AA349" i="15"/>
  <c r="AB349" i="15"/>
  <c r="AC349" i="15"/>
  <c r="AD349" i="15"/>
  <c r="AA350" i="15"/>
  <c r="AB350" i="15"/>
  <c r="AC350" i="15"/>
  <c r="AD350" i="15"/>
  <c r="AA351" i="15"/>
  <c r="AB351" i="15"/>
  <c r="AC351" i="15"/>
  <c r="AD351" i="15"/>
  <c r="AA352" i="15"/>
  <c r="AB352" i="15"/>
  <c r="AC352" i="15"/>
  <c r="AD352" i="15"/>
  <c r="AA353" i="15"/>
  <c r="AB353" i="15"/>
  <c r="AC353" i="15"/>
  <c r="AD353" i="15"/>
  <c r="AA354" i="15"/>
  <c r="AB354" i="15"/>
  <c r="AC354" i="15"/>
  <c r="AD354" i="15"/>
  <c r="AA355" i="15"/>
  <c r="AB355" i="15"/>
  <c r="AC355" i="15"/>
  <c r="AD355" i="15"/>
  <c r="AA356" i="15"/>
  <c r="AB356" i="15"/>
  <c r="AC356" i="15"/>
  <c r="AD356" i="15"/>
  <c r="AA357" i="15"/>
  <c r="AB357" i="15"/>
  <c r="AC357" i="15"/>
  <c r="AD357" i="15"/>
  <c r="AA827" i="10"/>
  <c r="AB827" i="10"/>
  <c r="AC827" i="10"/>
  <c r="AD827" i="10"/>
  <c r="AA828" i="10"/>
  <c r="AB828" i="10"/>
  <c r="AC828" i="10"/>
  <c r="AD828" i="10"/>
  <c r="AA829" i="10"/>
  <c r="AB829" i="10"/>
  <c r="AC829" i="10"/>
  <c r="AD829" i="10"/>
  <c r="AA830" i="10"/>
  <c r="AB830" i="10"/>
  <c r="AC830" i="10"/>
  <c r="AD830" i="10"/>
  <c r="AA831" i="10"/>
  <c r="AB831" i="10"/>
  <c r="AC831" i="10"/>
  <c r="AD831" i="10"/>
  <c r="AA832" i="10"/>
  <c r="AB832" i="10"/>
  <c r="AC832" i="10"/>
  <c r="AD832" i="10"/>
  <c r="AA833" i="10"/>
  <c r="AB833" i="10"/>
  <c r="AC833" i="10"/>
  <c r="AD833" i="10"/>
  <c r="AA834" i="10"/>
  <c r="AB834" i="10"/>
  <c r="P10" i="11" s="1"/>
  <c r="AC834" i="10"/>
  <c r="AD834" i="10"/>
  <c r="M10" i="11" s="1"/>
  <c r="AA835" i="10"/>
  <c r="AB835" i="10"/>
  <c r="AC835" i="10"/>
  <c r="AD835" i="10"/>
  <c r="AA836" i="10"/>
  <c r="AB836" i="10"/>
  <c r="AC836" i="10"/>
  <c r="AD836" i="10"/>
  <c r="AA837" i="10"/>
  <c r="AB837" i="10"/>
  <c r="AC837" i="10"/>
  <c r="AD837" i="10"/>
  <c r="AA838" i="10"/>
  <c r="AB838" i="10"/>
  <c r="AC838" i="10"/>
  <c r="AD838" i="10"/>
  <c r="AA839" i="10"/>
  <c r="AB839" i="10"/>
  <c r="AC839" i="10"/>
  <c r="AD839" i="10"/>
  <c r="AA840" i="10"/>
  <c r="AB840" i="10"/>
  <c r="AC840" i="10"/>
  <c r="AD840" i="10"/>
  <c r="AA841" i="10"/>
  <c r="AB841" i="10"/>
  <c r="AC841" i="10"/>
  <c r="AD841" i="10"/>
  <c r="AA842" i="10"/>
  <c r="AB842" i="10"/>
  <c r="AC842" i="10"/>
  <c r="AD842" i="10"/>
  <c r="AG990" i="9"/>
  <c r="AH990" i="9"/>
  <c r="AI990" i="9"/>
  <c r="AJ990" i="9"/>
  <c r="AG991" i="9"/>
  <c r="AH991" i="9"/>
  <c r="AI991" i="9"/>
  <c r="AJ991" i="9"/>
  <c r="AG992" i="9"/>
  <c r="AH992" i="9"/>
  <c r="AI992" i="9"/>
  <c r="AJ992" i="9"/>
  <c r="AG993" i="9"/>
  <c r="AH993" i="9"/>
  <c r="AI993" i="9"/>
  <c r="AJ993" i="9"/>
  <c r="AG994" i="9"/>
  <c r="AH994" i="9"/>
  <c r="AI994" i="9"/>
  <c r="AJ994" i="9"/>
  <c r="AG995" i="9"/>
  <c r="AH995" i="9"/>
  <c r="AI995" i="9"/>
  <c r="AJ995" i="9"/>
  <c r="AG996" i="9"/>
  <c r="AH996" i="9"/>
  <c r="AI996" i="9"/>
  <c r="AJ996" i="9"/>
  <c r="AG997" i="9"/>
  <c r="AH997" i="9"/>
  <c r="AI997" i="9"/>
  <c r="AJ997" i="9"/>
  <c r="AG998" i="9"/>
  <c r="AH998" i="9"/>
  <c r="AI998" i="9"/>
  <c r="AJ998" i="9"/>
  <c r="AG999" i="9"/>
  <c r="AH999" i="9"/>
  <c r="AI999" i="9"/>
  <c r="AJ999" i="9"/>
  <c r="AG1000" i="9"/>
  <c r="AH1000" i="9"/>
  <c r="AI1000" i="9"/>
  <c r="AJ1000" i="9"/>
  <c r="AG1001" i="9"/>
  <c r="AH1001" i="9"/>
  <c r="AI1001" i="9"/>
  <c r="AJ1001" i="9"/>
  <c r="AG1002" i="9"/>
  <c r="AH1002" i="9"/>
  <c r="AI1002" i="9"/>
  <c r="AJ1002" i="9"/>
  <c r="AG1003" i="9"/>
  <c r="AH1003" i="9"/>
  <c r="AI1003" i="9"/>
  <c r="AJ1003" i="9"/>
  <c r="AG286" i="17"/>
  <c r="AH286" i="17"/>
  <c r="AI286" i="17"/>
  <c r="AJ286" i="17"/>
  <c r="AG287" i="17"/>
  <c r="AH287" i="17"/>
  <c r="AI287" i="17"/>
  <c r="AJ287" i="17"/>
  <c r="AG288" i="17"/>
  <c r="AH288" i="17"/>
  <c r="AI288" i="17"/>
  <c r="AJ288" i="17"/>
  <c r="AG289" i="17"/>
  <c r="AH289" i="17"/>
  <c r="AI289" i="17"/>
  <c r="AJ289" i="17"/>
  <c r="AG290" i="17"/>
  <c r="AH290" i="17"/>
  <c r="AI290" i="17"/>
  <c r="AJ290" i="17"/>
  <c r="AG291" i="17"/>
  <c r="AH291" i="17"/>
  <c r="AI291" i="17"/>
  <c r="AJ291" i="17"/>
  <c r="AG292" i="17"/>
  <c r="AH292" i="17"/>
  <c r="AI292" i="17"/>
  <c r="AJ292" i="17"/>
  <c r="AG293" i="17"/>
  <c r="AH293" i="17"/>
  <c r="AI293" i="17"/>
  <c r="AJ293" i="17"/>
  <c r="AG294" i="17"/>
  <c r="AH294" i="17"/>
  <c r="AI294" i="17"/>
  <c r="AJ294" i="17"/>
  <c r="AG295" i="17"/>
  <c r="AH295" i="17"/>
  <c r="AI295" i="17"/>
  <c r="AJ295" i="17"/>
  <c r="AG296" i="17"/>
  <c r="AH296" i="17"/>
  <c r="AI296" i="17"/>
  <c r="AJ296" i="17"/>
  <c r="AG297" i="17"/>
  <c r="AH297" i="17"/>
  <c r="AI297" i="17"/>
  <c r="AJ297" i="17"/>
  <c r="AG298" i="17"/>
  <c r="AH298" i="17"/>
  <c r="AI298" i="17"/>
  <c r="AJ298" i="17"/>
  <c r="AG299" i="17"/>
  <c r="AH299" i="17"/>
  <c r="AI299" i="17"/>
  <c r="AJ299" i="17"/>
  <c r="AG274" i="17"/>
  <c r="AH274" i="17"/>
  <c r="AI274" i="17"/>
  <c r="AJ274" i="17"/>
  <c r="AG275" i="17"/>
  <c r="AH275" i="17"/>
  <c r="AI275" i="17"/>
  <c r="AJ275" i="17"/>
  <c r="AG276" i="17"/>
  <c r="AH276" i="17"/>
  <c r="AI276" i="17"/>
  <c r="AJ276" i="17"/>
  <c r="AG277" i="17"/>
  <c r="AH277" i="17"/>
  <c r="AI277" i="17"/>
  <c r="AJ277" i="17"/>
  <c r="AG278" i="17"/>
  <c r="AH278" i="17"/>
  <c r="AI278" i="17"/>
  <c r="AJ278" i="17"/>
  <c r="AG279" i="17"/>
  <c r="AH279" i="17"/>
  <c r="AI279" i="17"/>
  <c r="AJ279" i="17"/>
  <c r="AG280" i="17"/>
  <c r="AH280" i="17"/>
  <c r="AI280" i="17"/>
  <c r="AJ280" i="17"/>
  <c r="AG281" i="17"/>
  <c r="AH281" i="17"/>
  <c r="AI281" i="17"/>
  <c r="AJ281" i="17"/>
  <c r="AG282" i="17"/>
  <c r="AH282" i="17"/>
  <c r="AI282" i="17"/>
  <c r="AJ282" i="17"/>
  <c r="AG283" i="17"/>
  <c r="AH283" i="17"/>
  <c r="AI283" i="17"/>
  <c r="AJ283" i="17"/>
  <c r="AG284" i="17"/>
  <c r="AH284" i="17"/>
  <c r="AI284" i="17"/>
  <c r="AJ284" i="17"/>
  <c r="AG285" i="17"/>
  <c r="AH285" i="17"/>
  <c r="AI285" i="17"/>
  <c r="AJ285" i="17"/>
  <c r="AG978" i="9"/>
  <c r="AH978" i="9"/>
  <c r="AI978" i="9"/>
  <c r="AJ978" i="9"/>
  <c r="AG979" i="9"/>
  <c r="AH979" i="9"/>
  <c r="AI979" i="9"/>
  <c r="AJ979" i="9"/>
  <c r="AG980" i="9"/>
  <c r="AH980" i="9"/>
  <c r="AI980" i="9"/>
  <c r="AJ980" i="9"/>
  <c r="AG981" i="9"/>
  <c r="AH981" i="9"/>
  <c r="AI981" i="9"/>
  <c r="AJ981" i="9"/>
  <c r="AG982" i="9"/>
  <c r="AH982" i="9"/>
  <c r="AI982" i="9"/>
  <c r="AJ982" i="9"/>
  <c r="AG983" i="9"/>
  <c r="AH983" i="9"/>
  <c r="AI983" i="9"/>
  <c r="AJ983" i="9"/>
  <c r="AG984" i="9"/>
  <c r="AH984" i="9"/>
  <c r="AI984" i="9"/>
  <c r="AJ984" i="9"/>
  <c r="AG985" i="9"/>
  <c r="AH985" i="9"/>
  <c r="AI985" i="9"/>
  <c r="AJ985" i="9"/>
  <c r="AG986" i="9"/>
  <c r="AH986" i="9"/>
  <c r="AI986" i="9"/>
  <c r="AJ986" i="9"/>
  <c r="AG987" i="9"/>
  <c r="AH987" i="9"/>
  <c r="AI987" i="9"/>
  <c r="AJ987" i="9"/>
  <c r="AG988" i="9"/>
  <c r="AH988" i="9"/>
  <c r="AI988" i="9"/>
  <c r="AJ988" i="9"/>
  <c r="AG989" i="9"/>
  <c r="AH989" i="9"/>
  <c r="AI989" i="9"/>
  <c r="AJ989" i="9"/>
  <c r="AG966" i="9"/>
  <c r="AH966" i="9"/>
  <c r="AI966" i="9"/>
  <c r="AJ966" i="9"/>
  <c r="AG967" i="9"/>
  <c r="AH967" i="9"/>
  <c r="AI967" i="9"/>
  <c r="AJ967" i="9"/>
  <c r="AG968" i="9"/>
  <c r="AH968" i="9"/>
  <c r="AI968" i="9"/>
  <c r="AJ968" i="9"/>
  <c r="AG969" i="9"/>
  <c r="AH969" i="9"/>
  <c r="AI969" i="9"/>
  <c r="AJ969" i="9"/>
  <c r="AG970" i="9"/>
  <c r="AH970" i="9"/>
  <c r="AI970" i="9"/>
  <c r="AJ970" i="9"/>
  <c r="AG971" i="9"/>
  <c r="AH971" i="9"/>
  <c r="AI971" i="9"/>
  <c r="AJ971" i="9"/>
  <c r="AG972" i="9"/>
  <c r="AH972" i="9"/>
  <c r="AI972" i="9"/>
  <c r="AJ972" i="9"/>
  <c r="AG973" i="9"/>
  <c r="AH973" i="9"/>
  <c r="AI973" i="9"/>
  <c r="AJ973" i="9"/>
  <c r="AG974" i="9"/>
  <c r="AH974" i="9"/>
  <c r="AI974" i="9"/>
  <c r="AJ974" i="9"/>
  <c r="AG975" i="9"/>
  <c r="AH975" i="9"/>
  <c r="AI975" i="9"/>
  <c r="AJ975" i="9"/>
  <c r="AG976" i="9"/>
  <c r="AH976" i="9"/>
  <c r="AI976" i="9"/>
  <c r="AJ976" i="9"/>
  <c r="AG977" i="9"/>
  <c r="AH977" i="9"/>
  <c r="AI977" i="9"/>
  <c r="AJ977" i="9"/>
  <c r="AG262" i="17"/>
  <c r="AH262" i="17"/>
  <c r="AI262" i="17"/>
  <c r="AJ262" i="17"/>
  <c r="AG263" i="17"/>
  <c r="AH263" i="17"/>
  <c r="AI263" i="17"/>
  <c r="AJ263" i="17"/>
  <c r="AG264" i="17"/>
  <c r="AH264" i="17"/>
  <c r="AI264" i="17"/>
  <c r="AJ264" i="17"/>
  <c r="AG265" i="17"/>
  <c r="AH265" i="17"/>
  <c r="AI265" i="17"/>
  <c r="AJ265" i="17"/>
  <c r="AG266" i="17"/>
  <c r="AH266" i="17"/>
  <c r="AI266" i="17"/>
  <c r="AJ266" i="17"/>
  <c r="AG267" i="17"/>
  <c r="AH267" i="17"/>
  <c r="AI267" i="17"/>
  <c r="AJ267" i="17"/>
  <c r="AG268" i="17"/>
  <c r="AH268" i="17"/>
  <c r="AI268" i="17"/>
  <c r="AJ268" i="17"/>
  <c r="AG269" i="17"/>
  <c r="AH269" i="17"/>
  <c r="AI269" i="17"/>
  <c r="AJ269" i="17"/>
  <c r="AG270" i="17"/>
  <c r="AH270" i="17"/>
  <c r="AI270" i="17"/>
  <c r="AJ270" i="17"/>
  <c r="AG271" i="17"/>
  <c r="AH271" i="17"/>
  <c r="AI271" i="17"/>
  <c r="AJ271" i="17"/>
  <c r="AG272" i="17"/>
  <c r="AH272" i="17"/>
  <c r="AI272" i="17"/>
  <c r="AJ272" i="17"/>
  <c r="AG273" i="17"/>
  <c r="AH273" i="17"/>
  <c r="AI273" i="17"/>
  <c r="AJ273" i="17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R9" i="16"/>
  <c r="F9" i="16"/>
  <c r="G9" i="16"/>
  <c r="H9" i="16" a="1"/>
  <c r="H9" i="16" s="1"/>
  <c r="I9" i="16"/>
  <c r="J9" i="16"/>
  <c r="K9" i="16"/>
  <c r="L9" i="16"/>
  <c r="M9" i="16" s="1"/>
  <c r="N9" i="16"/>
  <c r="O9" i="16"/>
  <c r="P9" i="16" s="1"/>
  <c r="Q9" i="16"/>
  <c r="AG250" i="17"/>
  <c r="AH250" i="17"/>
  <c r="AI250" i="17"/>
  <c r="AJ250" i="17"/>
  <c r="AG251" i="17"/>
  <c r="AH251" i="17"/>
  <c r="AI251" i="17"/>
  <c r="AJ251" i="17"/>
  <c r="AG252" i="17"/>
  <c r="AH252" i="17"/>
  <c r="AI252" i="17"/>
  <c r="AJ252" i="17"/>
  <c r="AG253" i="17"/>
  <c r="AH253" i="17"/>
  <c r="AI253" i="17"/>
  <c r="AJ253" i="17"/>
  <c r="AG254" i="17"/>
  <c r="AH254" i="17"/>
  <c r="AI254" i="17"/>
  <c r="AJ254" i="17"/>
  <c r="AG255" i="17"/>
  <c r="AH255" i="17"/>
  <c r="AI255" i="17"/>
  <c r="AJ255" i="17"/>
  <c r="AG256" i="17"/>
  <c r="AH256" i="17"/>
  <c r="AI256" i="17"/>
  <c r="AJ256" i="17"/>
  <c r="AG257" i="17"/>
  <c r="AH257" i="17"/>
  <c r="AI257" i="17"/>
  <c r="AJ257" i="17"/>
  <c r="AG258" i="17"/>
  <c r="AH258" i="17"/>
  <c r="AI258" i="17"/>
  <c r="AJ258" i="17"/>
  <c r="AG259" i="17"/>
  <c r="AH259" i="17"/>
  <c r="AI259" i="17"/>
  <c r="AJ259" i="17"/>
  <c r="AG260" i="17"/>
  <c r="AH260" i="17"/>
  <c r="AI260" i="17"/>
  <c r="AJ260" i="17"/>
  <c r="AG261" i="17"/>
  <c r="AH261" i="17"/>
  <c r="AI261" i="17"/>
  <c r="AJ261" i="17"/>
  <c r="AG954" i="9"/>
  <c r="AH954" i="9"/>
  <c r="AI954" i="9"/>
  <c r="AJ954" i="9"/>
  <c r="AG955" i="9"/>
  <c r="AH955" i="9"/>
  <c r="AI955" i="9"/>
  <c r="AJ955" i="9"/>
  <c r="AG956" i="9"/>
  <c r="AH956" i="9"/>
  <c r="AI956" i="9"/>
  <c r="AJ956" i="9"/>
  <c r="AG957" i="9"/>
  <c r="AH957" i="9"/>
  <c r="AI957" i="9"/>
  <c r="AJ957" i="9"/>
  <c r="AG958" i="9"/>
  <c r="AH958" i="9"/>
  <c r="AI958" i="9"/>
  <c r="AJ958" i="9"/>
  <c r="AG959" i="9"/>
  <c r="AH959" i="9"/>
  <c r="AI959" i="9"/>
  <c r="AJ959" i="9"/>
  <c r="AG960" i="9"/>
  <c r="AH960" i="9"/>
  <c r="AI960" i="9"/>
  <c r="AJ960" i="9"/>
  <c r="AG961" i="9"/>
  <c r="AH961" i="9"/>
  <c r="AI961" i="9"/>
  <c r="AJ961" i="9"/>
  <c r="AG962" i="9"/>
  <c r="AH962" i="9"/>
  <c r="AI962" i="9"/>
  <c r="AJ962" i="9"/>
  <c r="AG963" i="9"/>
  <c r="AH963" i="9"/>
  <c r="AI963" i="9"/>
  <c r="AJ963" i="9"/>
  <c r="AG964" i="9"/>
  <c r="AH964" i="9"/>
  <c r="AI964" i="9"/>
  <c r="AJ964" i="9"/>
  <c r="AG965" i="9"/>
  <c r="AH965" i="9"/>
  <c r="AI965" i="9"/>
  <c r="AJ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R33" i="16"/>
  <c r="F33" i="16"/>
  <c r="G33" i="16"/>
  <c r="H33" i="16" a="1"/>
  <c r="H33" i="16" s="1"/>
  <c r="I33" i="16"/>
  <c r="J33" i="16"/>
  <c r="K33" i="16"/>
  <c r="L33" i="16"/>
  <c r="M33" i="16" s="1"/>
  <c r="N33" i="16"/>
  <c r="O33" i="16"/>
  <c r="P33" i="16" s="1"/>
  <c r="Q33" i="16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F53" i="12"/>
  <c r="G53" i="12"/>
  <c r="H53" i="12" a="1"/>
  <c r="H53" i="12" s="1"/>
  <c r="I53" i="12"/>
  <c r="J53" i="12"/>
  <c r="K53" i="12"/>
  <c r="L53" i="12"/>
  <c r="M53" i="12" s="1"/>
  <c r="N53" i="12"/>
  <c r="O53" i="12"/>
  <c r="P53" i="12" s="1"/>
  <c r="Q53" i="12"/>
  <c r="AG234" i="17"/>
  <c r="AH234" i="17"/>
  <c r="AI234" i="17"/>
  <c r="AJ234" i="17"/>
  <c r="AG235" i="17"/>
  <c r="AH235" i="17"/>
  <c r="AI235" i="17"/>
  <c r="AJ235" i="17"/>
  <c r="AG236" i="17"/>
  <c r="AH236" i="17"/>
  <c r="AI236" i="17"/>
  <c r="AJ236" i="17"/>
  <c r="AG237" i="17"/>
  <c r="AH237" i="17"/>
  <c r="AI237" i="17"/>
  <c r="AJ237" i="17"/>
  <c r="AG238" i="17"/>
  <c r="AH238" i="17"/>
  <c r="AI238" i="17"/>
  <c r="AJ238" i="17"/>
  <c r="AG239" i="17"/>
  <c r="AH239" i="17"/>
  <c r="AI239" i="17"/>
  <c r="AJ239" i="17"/>
  <c r="AG240" i="17"/>
  <c r="AH240" i="17"/>
  <c r="AI240" i="17"/>
  <c r="AJ240" i="17"/>
  <c r="AG241" i="17"/>
  <c r="AH241" i="17"/>
  <c r="N28" i="16" s="1"/>
  <c r="AI241" i="17"/>
  <c r="AJ241" i="17"/>
  <c r="K28" i="16" s="1"/>
  <c r="AG242" i="17"/>
  <c r="AH242" i="17"/>
  <c r="AI242" i="17"/>
  <c r="AJ242" i="17"/>
  <c r="AG243" i="17"/>
  <c r="AH243" i="17"/>
  <c r="AI243" i="17"/>
  <c r="AJ243" i="17"/>
  <c r="AG244" i="17"/>
  <c r="AH244" i="17"/>
  <c r="AI244" i="17"/>
  <c r="AJ244" i="17"/>
  <c r="AG245" i="17"/>
  <c r="AH245" i="17"/>
  <c r="AI245" i="17"/>
  <c r="AJ245" i="17"/>
  <c r="AG246" i="17"/>
  <c r="AH246" i="17"/>
  <c r="AI246" i="17"/>
  <c r="AJ246" i="17"/>
  <c r="AG247" i="17"/>
  <c r="AH247" i="17"/>
  <c r="AI247" i="17"/>
  <c r="AJ247" i="17"/>
  <c r="AG248" i="17"/>
  <c r="AH248" i="17"/>
  <c r="AI248" i="17"/>
  <c r="AJ248" i="17"/>
  <c r="AG249" i="17"/>
  <c r="AH249" i="17"/>
  <c r="AI249" i="17"/>
  <c r="AJ249" i="17"/>
  <c r="AG938" i="9"/>
  <c r="AH938" i="9"/>
  <c r="AI938" i="9"/>
  <c r="AJ938" i="9"/>
  <c r="AG939" i="9"/>
  <c r="AH939" i="9"/>
  <c r="AI939" i="9"/>
  <c r="AJ939" i="9"/>
  <c r="AG940" i="9"/>
  <c r="AH940" i="9"/>
  <c r="AI940" i="9"/>
  <c r="AJ940" i="9"/>
  <c r="AG941" i="9"/>
  <c r="AH941" i="9"/>
  <c r="AI941" i="9"/>
  <c r="AJ941" i="9"/>
  <c r="AG942" i="9"/>
  <c r="AH942" i="9"/>
  <c r="AI942" i="9"/>
  <c r="AJ942" i="9"/>
  <c r="AG943" i="9"/>
  <c r="AH943" i="9"/>
  <c r="AI943" i="9"/>
  <c r="AJ943" i="9"/>
  <c r="AG944" i="9"/>
  <c r="AH944" i="9"/>
  <c r="AI944" i="9"/>
  <c r="AJ944" i="9"/>
  <c r="AG945" i="9"/>
  <c r="AH945" i="9"/>
  <c r="AI945" i="9"/>
  <c r="AJ945" i="9"/>
  <c r="AG946" i="9"/>
  <c r="AH946" i="9"/>
  <c r="AI946" i="9"/>
  <c r="AJ946" i="9"/>
  <c r="AG947" i="9"/>
  <c r="AH947" i="9"/>
  <c r="AI947" i="9"/>
  <c r="AJ947" i="9"/>
  <c r="AG948" i="9"/>
  <c r="AH948" i="9"/>
  <c r="AI948" i="9"/>
  <c r="AJ948" i="9"/>
  <c r="AG949" i="9"/>
  <c r="AH949" i="9"/>
  <c r="AI949" i="9"/>
  <c r="AJ949" i="9"/>
  <c r="AG950" i="9"/>
  <c r="AH950" i="9"/>
  <c r="AI950" i="9"/>
  <c r="AJ950" i="9"/>
  <c r="AG951" i="9"/>
  <c r="AH951" i="9"/>
  <c r="AI951" i="9"/>
  <c r="AJ951" i="9"/>
  <c r="AG952" i="9"/>
  <c r="AH952" i="9"/>
  <c r="AI952" i="9"/>
  <c r="AJ952" i="9"/>
  <c r="AG953" i="9"/>
  <c r="AH953" i="9"/>
  <c r="AI953" i="9"/>
  <c r="AJ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T29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 s="1"/>
  <c r="S29" i="13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T34" i="11"/>
  <c r="H34" i="11"/>
  <c r="I34" i="11"/>
  <c r="J34" i="11" a="1"/>
  <c r="J34" i="11" s="1"/>
  <c r="K34" i="11"/>
  <c r="L34" i="11"/>
  <c r="M34" i="11"/>
  <c r="N34" i="11"/>
  <c r="O34" i="11" s="1"/>
  <c r="P34" i="11"/>
  <c r="Q34" i="11"/>
  <c r="R34" i="11" s="1"/>
  <c r="S34" i="1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G222" i="17"/>
  <c r="AH222" i="17"/>
  <c r="AI222" i="17"/>
  <c r="AJ222" i="17"/>
  <c r="AG223" i="17"/>
  <c r="AH223" i="17"/>
  <c r="AI223" i="17"/>
  <c r="AJ223" i="17"/>
  <c r="AG224" i="17"/>
  <c r="AH224" i="17"/>
  <c r="AI224" i="17"/>
  <c r="AJ224" i="17"/>
  <c r="AG225" i="17"/>
  <c r="AH225" i="17"/>
  <c r="AI225" i="17"/>
  <c r="AJ225" i="17"/>
  <c r="AG226" i="17"/>
  <c r="AH226" i="17"/>
  <c r="AI226" i="17"/>
  <c r="AJ226" i="17"/>
  <c r="AG227" i="17"/>
  <c r="AH227" i="17"/>
  <c r="AI227" i="17"/>
  <c r="AJ227" i="17"/>
  <c r="AG228" i="17"/>
  <c r="AH228" i="17"/>
  <c r="AI228" i="17"/>
  <c r="AJ228" i="17"/>
  <c r="AG229" i="17"/>
  <c r="AH229" i="17"/>
  <c r="AI229" i="17"/>
  <c r="AJ229" i="17"/>
  <c r="AG230" i="17"/>
  <c r="AH230" i="17"/>
  <c r="AI230" i="17"/>
  <c r="AJ230" i="17"/>
  <c r="AG231" i="17"/>
  <c r="AH231" i="17"/>
  <c r="AI231" i="17"/>
  <c r="AJ231" i="17"/>
  <c r="AG232" i="17"/>
  <c r="AH232" i="17"/>
  <c r="AI232" i="17"/>
  <c r="AJ232" i="17"/>
  <c r="AG233" i="17"/>
  <c r="AH233" i="17"/>
  <c r="AI233" i="17"/>
  <c r="AJ233" i="17"/>
  <c r="AG926" i="9"/>
  <c r="AH926" i="9"/>
  <c r="AI926" i="9"/>
  <c r="AJ926" i="9"/>
  <c r="AG927" i="9"/>
  <c r="AH927" i="9"/>
  <c r="AI927" i="9"/>
  <c r="AJ927" i="9"/>
  <c r="AG928" i="9"/>
  <c r="AH928" i="9"/>
  <c r="AI928" i="9"/>
  <c r="AJ928" i="9"/>
  <c r="AG929" i="9"/>
  <c r="AH929" i="9"/>
  <c r="AI929" i="9"/>
  <c r="AJ929" i="9"/>
  <c r="AG930" i="9"/>
  <c r="AH930" i="9"/>
  <c r="AI930" i="9"/>
  <c r="AJ930" i="9"/>
  <c r="AG931" i="9"/>
  <c r="AH931" i="9"/>
  <c r="AI931" i="9"/>
  <c r="AJ931" i="9"/>
  <c r="AG932" i="9"/>
  <c r="AH932" i="9"/>
  <c r="AI932" i="9"/>
  <c r="AJ932" i="9"/>
  <c r="AG933" i="9"/>
  <c r="AH933" i="9"/>
  <c r="AI933" i="9"/>
  <c r="AJ933" i="9"/>
  <c r="AG934" i="9"/>
  <c r="AH934" i="9"/>
  <c r="AI934" i="9"/>
  <c r="AJ934" i="9"/>
  <c r="AG935" i="9"/>
  <c r="AH935" i="9"/>
  <c r="AI935" i="9"/>
  <c r="AJ935" i="9"/>
  <c r="AG936" i="9"/>
  <c r="AH936" i="9"/>
  <c r="AI936" i="9"/>
  <c r="AJ936" i="9"/>
  <c r="AG937" i="9"/>
  <c r="AH937" i="9"/>
  <c r="AI937" i="9"/>
  <c r="AJ937" i="9"/>
  <c r="AG914" i="9"/>
  <c r="AH914" i="9"/>
  <c r="AI914" i="9"/>
  <c r="AJ914" i="9"/>
  <c r="AG915" i="9"/>
  <c r="AH915" i="9"/>
  <c r="AI915" i="9"/>
  <c r="AJ915" i="9"/>
  <c r="AG916" i="9"/>
  <c r="AH916" i="9"/>
  <c r="AI916" i="9"/>
  <c r="AJ916" i="9"/>
  <c r="AG917" i="9"/>
  <c r="AH917" i="9"/>
  <c r="AI917" i="9"/>
  <c r="AJ917" i="9"/>
  <c r="AG918" i="9"/>
  <c r="AH918" i="9"/>
  <c r="AI918" i="9"/>
  <c r="AJ918" i="9"/>
  <c r="AG919" i="9"/>
  <c r="AH919" i="9"/>
  <c r="AI919" i="9"/>
  <c r="AJ919" i="9"/>
  <c r="AG920" i="9"/>
  <c r="AH920" i="9"/>
  <c r="AI920" i="9"/>
  <c r="AJ920" i="9"/>
  <c r="AG921" i="9"/>
  <c r="AH921" i="9"/>
  <c r="AI921" i="9"/>
  <c r="AJ921" i="9"/>
  <c r="AG922" i="9"/>
  <c r="AH922" i="9"/>
  <c r="AI922" i="9"/>
  <c r="AJ922" i="9"/>
  <c r="AG923" i="9"/>
  <c r="AH923" i="9"/>
  <c r="AI923" i="9"/>
  <c r="AJ923" i="9"/>
  <c r="AG924" i="9"/>
  <c r="AH924" i="9"/>
  <c r="AI924" i="9"/>
  <c r="AJ924" i="9"/>
  <c r="AG925" i="9"/>
  <c r="AH925" i="9"/>
  <c r="AI925" i="9"/>
  <c r="AJ925" i="9"/>
  <c r="AG210" i="17"/>
  <c r="AH210" i="17"/>
  <c r="AI210" i="17"/>
  <c r="AJ210" i="17"/>
  <c r="AG211" i="17"/>
  <c r="AH211" i="17"/>
  <c r="AI211" i="17"/>
  <c r="AJ211" i="17"/>
  <c r="AG212" i="17"/>
  <c r="AH212" i="17"/>
  <c r="AI212" i="17"/>
  <c r="AJ212" i="17"/>
  <c r="AG213" i="17"/>
  <c r="AH213" i="17"/>
  <c r="AI213" i="17"/>
  <c r="AJ213" i="17"/>
  <c r="AG214" i="17"/>
  <c r="AH214" i="17"/>
  <c r="AI214" i="17"/>
  <c r="AJ214" i="17"/>
  <c r="AG215" i="17"/>
  <c r="AH215" i="17"/>
  <c r="AI215" i="17"/>
  <c r="AJ215" i="17"/>
  <c r="AG216" i="17"/>
  <c r="AH216" i="17"/>
  <c r="AI216" i="17"/>
  <c r="AJ216" i="17"/>
  <c r="AG217" i="17"/>
  <c r="AH217" i="17"/>
  <c r="AI217" i="17"/>
  <c r="AJ217" i="17"/>
  <c r="AG218" i="17"/>
  <c r="AH218" i="17"/>
  <c r="AI218" i="17"/>
  <c r="AJ218" i="17"/>
  <c r="AG219" i="17"/>
  <c r="AH219" i="17"/>
  <c r="AI219" i="17"/>
  <c r="AJ219" i="17"/>
  <c r="AG220" i="17"/>
  <c r="AH220" i="17"/>
  <c r="AI220" i="17"/>
  <c r="AJ220" i="17"/>
  <c r="AG221" i="17"/>
  <c r="AH221" i="17"/>
  <c r="AI221" i="17"/>
  <c r="AJ221" i="17"/>
  <c r="AG198" i="17"/>
  <c r="AH198" i="17"/>
  <c r="AI198" i="17"/>
  <c r="AJ198" i="17"/>
  <c r="AG199" i="17"/>
  <c r="AH199" i="17"/>
  <c r="AI199" i="17"/>
  <c r="AJ199" i="17"/>
  <c r="AG200" i="17"/>
  <c r="AH200" i="17"/>
  <c r="AI200" i="17"/>
  <c r="AJ200" i="17"/>
  <c r="AG201" i="17"/>
  <c r="AH201" i="17"/>
  <c r="AI201" i="17"/>
  <c r="AJ201" i="17"/>
  <c r="AG202" i="17"/>
  <c r="AH202" i="17"/>
  <c r="AI202" i="17"/>
  <c r="AJ202" i="17"/>
  <c r="AG203" i="17"/>
  <c r="AH203" i="17"/>
  <c r="AI203" i="17"/>
  <c r="AJ203" i="17"/>
  <c r="AG204" i="17"/>
  <c r="AH204" i="17"/>
  <c r="AI204" i="17"/>
  <c r="AJ204" i="17"/>
  <c r="AG205" i="17"/>
  <c r="AH205" i="17"/>
  <c r="AI205" i="17"/>
  <c r="AJ205" i="17"/>
  <c r="AG206" i="17"/>
  <c r="AH206" i="17"/>
  <c r="AI206" i="17"/>
  <c r="AJ206" i="17"/>
  <c r="AG207" i="17"/>
  <c r="AH207" i="17"/>
  <c r="AI207" i="17"/>
  <c r="AJ207" i="17"/>
  <c r="AG208" i="17"/>
  <c r="AH208" i="17"/>
  <c r="AI208" i="17"/>
  <c r="AJ208" i="17"/>
  <c r="AG209" i="17"/>
  <c r="AH209" i="17"/>
  <c r="AI209" i="17"/>
  <c r="AJ209" i="17"/>
  <c r="AG902" i="9"/>
  <c r="AH902" i="9"/>
  <c r="AI902" i="9"/>
  <c r="AJ902" i="9"/>
  <c r="AG903" i="9"/>
  <c r="AH903" i="9"/>
  <c r="AI903" i="9"/>
  <c r="AJ903" i="9"/>
  <c r="AG904" i="9"/>
  <c r="AH904" i="9"/>
  <c r="AI904" i="9"/>
  <c r="AJ904" i="9"/>
  <c r="AG905" i="9"/>
  <c r="AH905" i="9"/>
  <c r="AI905" i="9"/>
  <c r="AJ905" i="9"/>
  <c r="AG906" i="9"/>
  <c r="AH906" i="9"/>
  <c r="AI906" i="9"/>
  <c r="AJ906" i="9"/>
  <c r="AG907" i="9"/>
  <c r="AH907" i="9"/>
  <c r="AI907" i="9"/>
  <c r="AJ907" i="9"/>
  <c r="AG908" i="9"/>
  <c r="AH908" i="9"/>
  <c r="AI908" i="9"/>
  <c r="AJ908" i="9"/>
  <c r="AG909" i="9"/>
  <c r="AH909" i="9"/>
  <c r="AI909" i="9"/>
  <c r="AJ909" i="9"/>
  <c r="AG910" i="9"/>
  <c r="AH910" i="9"/>
  <c r="AI910" i="9"/>
  <c r="AJ910" i="9"/>
  <c r="AG911" i="9"/>
  <c r="AH911" i="9"/>
  <c r="AI911" i="9"/>
  <c r="AJ911" i="9"/>
  <c r="AG912" i="9"/>
  <c r="AH912" i="9"/>
  <c r="AI912" i="9"/>
  <c r="AJ912" i="9"/>
  <c r="AG913" i="9"/>
  <c r="AH913" i="9"/>
  <c r="AI913" i="9"/>
  <c r="AJ913" i="9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T43" i="13"/>
  <c r="H43" i="13"/>
  <c r="I43" i="13"/>
  <c r="J43" i="13" a="1"/>
  <c r="J43" i="13" s="1"/>
  <c r="K43" i="13"/>
  <c r="L43" i="13"/>
  <c r="N43" i="13"/>
  <c r="O43" i="13" s="1"/>
  <c r="Q43" i="13"/>
  <c r="R43" i="13" s="1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T15" i="13"/>
  <c r="H15" i="13"/>
  <c r="I15" i="13"/>
  <c r="J15" i="13" a="1"/>
  <c r="J15" i="13" s="1"/>
  <c r="K15" i="13"/>
  <c r="L15" i="13"/>
  <c r="N15" i="13"/>
  <c r="O15" i="13" s="1"/>
  <c r="Q15" i="13"/>
  <c r="R15" i="13" s="1"/>
  <c r="S15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M2" i="13"/>
  <c r="N2" i="13"/>
  <c r="O2" i="13" s="1"/>
  <c r="Q2" i="13"/>
  <c r="R2" i="13" s="1"/>
  <c r="U51" i="11"/>
  <c r="V51" i="11"/>
  <c r="W51" i="11"/>
  <c r="X51" i="11"/>
  <c r="Y51" i="11"/>
  <c r="Z51" i="11"/>
  <c r="AA51" i="11"/>
  <c r="AB51" i="11"/>
  <c r="AC51" i="11"/>
  <c r="AD51" i="11"/>
  <c r="AE51" i="11"/>
  <c r="AF51" i="11"/>
  <c r="AG51" i="11"/>
  <c r="AH51" i="11"/>
  <c r="AI51" i="11"/>
  <c r="T51" i="11"/>
  <c r="H51" i="11"/>
  <c r="I51" i="11"/>
  <c r="J51" i="11" a="1"/>
  <c r="J51" i="11" s="1"/>
  <c r="K51" i="11"/>
  <c r="L51" i="11"/>
  <c r="M51" i="11"/>
  <c r="N51" i="11"/>
  <c r="O51" i="11" s="1"/>
  <c r="P51" i="11"/>
  <c r="Q51" i="11"/>
  <c r="R51" i="11" s="1"/>
  <c r="S51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T15" i="11"/>
  <c r="H15" i="11"/>
  <c r="I15" i="11"/>
  <c r="J15" i="11" a="1"/>
  <c r="J15" i="11" s="1"/>
  <c r="K15" i="11"/>
  <c r="L15" i="11"/>
  <c r="M15" i="11"/>
  <c r="N15" i="11"/>
  <c r="O15" i="11" s="1"/>
  <c r="P15" i="11"/>
  <c r="Q15" i="11"/>
  <c r="R15" i="11" s="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M2" i="11"/>
  <c r="N2" i="11"/>
  <c r="O2" i="11" s="1"/>
  <c r="P2" i="1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5" i="13" s="1"/>
  <c r="AC306" i="15"/>
  <c r="AD306" i="15"/>
  <c r="M15" i="13" s="1"/>
  <c r="AA307" i="15"/>
  <c r="AB307" i="15"/>
  <c r="AC307" i="15"/>
  <c r="AD307" i="15"/>
  <c r="AA308" i="15"/>
  <c r="AB308" i="15"/>
  <c r="AC308" i="15"/>
  <c r="AD308" i="15"/>
  <c r="AA309" i="15"/>
  <c r="AB309" i="15"/>
  <c r="P43" i="13" s="1"/>
  <c r="AC309" i="15"/>
  <c r="S43" i="13" s="1"/>
  <c r="AD309" i="15"/>
  <c r="M43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AC786" i="10"/>
  <c r="AD786" i="10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S15" i="11" s="1"/>
  <c r="AD791" i="10"/>
  <c r="AA792" i="10"/>
  <c r="AB792" i="10"/>
  <c r="AC792" i="10"/>
  <c r="AD792" i="10"/>
  <c r="AA793" i="10"/>
  <c r="AB793" i="10"/>
  <c r="AC793" i="10"/>
  <c r="AD793" i="10"/>
  <c r="AA794" i="10"/>
  <c r="AB794" i="10"/>
  <c r="AC794" i="10"/>
  <c r="AD794" i="10"/>
  <c r="Q35" i="19"/>
  <c r="R35" i="19"/>
  <c r="S35" i="19"/>
  <c r="T35" i="19"/>
  <c r="U35" i="19"/>
  <c r="V35" i="19"/>
  <c r="W35" i="19"/>
  <c r="X35" i="19"/>
  <c r="Y35" i="19"/>
  <c r="Z35" i="19"/>
  <c r="AA35" i="19"/>
  <c r="AB35" i="19"/>
  <c r="AC35" i="19"/>
  <c r="AD35" i="19"/>
  <c r="AE35" i="19"/>
  <c r="P35" i="19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D32" i="19"/>
  <c r="E32" i="19"/>
  <c r="F32" i="19" a="1"/>
  <c r="F32" i="19" s="1"/>
  <c r="G32" i="19"/>
  <c r="H32" i="19"/>
  <c r="I32" i="19"/>
  <c r="J32" i="19"/>
  <c r="K32" i="19" s="1"/>
  <c r="L32" i="19"/>
  <c r="M32" i="19"/>
  <c r="N32" i="19" s="1"/>
  <c r="O32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G186" i="17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T32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T31" i="13"/>
  <c r="T33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T38" i="13"/>
  <c r="H38" i="13"/>
  <c r="I38" i="13"/>
  <c r="J38" i="13" a="1"/>
  <c r="J38" i="13" s="1"/>
  <c r="K38" i="13"/>
  <c r="L38" i="13"/>
  <c r="M38" i="13"/>
  <c r="N38" i="13"/>
  <c r="O38" i="13" s="1"/>
  <c r="P38" i="13"/>
  <c r="Q38" i="13"/>
  <c r="R38" i="13" s="1"/>
  <c r="S38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T46" i="11"/>
  <c r="H46" i="11"/>
  <c r="I46" i="11"/>
  <c r="J46" i="11" a="1"/>
  <c r="J46" i="11" s="1"/>
  <c r="K46" i="11"/>
  <c r="L46" i="11"/>
  <c r="M46" i="11"/>
  <c r="N46" i="11"/>
  <c r="O46" i="11" s="1"/>
  <c r="P46" i="11"/>
  <c r="Q46" i="11"/>
  <c r="R46" i="11" s="1"/>
  <c r="S46" i="11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R28" i="16"/>
  <c r="F28" i="16"/>
  <c r="G28" i="16"/>
  <c r="H28" i="16" a="1"/>
  <c r="H28" i="16" s="1"/>
  <c r="I28" i="16"/>
  <c r="J28" i="16"/>
  <c r="L28" i="16"/>
  <c r="M28" i="16" s="1"/>
  <c r="O28" i="16"/>
  <c r="P28" i="16" s="1"/>
  <c r="Q28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F45" i="12"/>
  <c r="G45" i="12"/>
  <c r="H45" i="12" a="1"/>
  <c r="H45" i="12" s="1"/>
  <c r="I45" i="12"/>
  <c r="J45" i="12"/>
  <c r="K45" i="12"/>
  <c r="L45" i="12"/>
  <c r="M45" i="12" s="1"/>
  <c r="N45" i="12"/>
  <c r="O45" i="12"/>
  <c r="P45" i="12" s="1"/>
  <c r="Q45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T45" i="13"/>
  <c r="H45" i="13"/>
  <c r="I45" i="13"/>
  <c r="J45" i="13" a="1"/>
  <c r="J45" i="13" s="1"/>
  <c r="K45" i="13"/>
  <c r="L45" i="13"/>
  <c r="M45" i="13"/>
  <c r="N45" i="13"/>
  <c r="O45" i="13" s="1"/>
  <c r="P45" i="13"/>
  <c r="Q45" i="13"/>
  <c r="R45" i="13" s="1"/>
  <c r="S45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6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2" i="16" s="1"/>
  <c r="AI128" i="17"/>
  <c r="Q12" i="16" s="1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H35" i="16"/>
  <c r="AI35" i="16"/>
  <c r="AJ35" i="16"/>
  <c r="AK35" i="16"/>
  <c r="AL35" i="16"/>
  <c r="AM35" i="16"/>
  <c r="L35" i="16"/>
  <c r="R35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H36" i="16"/>
  <c r="AI36" i="16"/>
  <c r="AJ36" i="16"/>
  <c r="AK36" i="16"/>
  <c r="AL36" i="16"/>
  <c r="AM36" i="16"/>
  <c r="R36" i="16"/>
  <c r="AJ2" i="17"/>
  <c r="AH2" i="17"/>
  <c r="AG2" i="17"/>
  <c r="F36" i="16"/>
  <c r="G36" i="16"/>
  <c r="H36" i="16" a="1"/>
  <c r="H36" i="16" s="1"/>
  <c r="I36" i="16"/>
  <c r="J36" i="16"/>
  <c r="L36" i="16"/>
  <c r="M36" i="16" s="1"/>
  <c r="O36" i="16"/>
  <c r="P36" i="16" s="1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R14" i="16"/>
  <c r="F14" i="16"/>
  <c r="G14" i="16"/>
  <c r="H14" i="16" a="1"/>
  <c r="H14" i="16" s="1"/>
  <c r="I14" i="16"/>
  <c r="J14" i="16"/>
  <c r="K14" i="16"/>
  <c r="L14" i="16"/>
  <c r="M14" i="16" s="1"/>
  <c r="N14" i="16"/>
  <c r="O14" i="16"/>
  <c r="P14" i="16" s="1"/>
  <c r="Q14" i="16"/>
  <c r="N36" i="16"/>
  <c r="K36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O12" i="16"/>
  <c r="P12" i="16" s="1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F32" i="12"/>
  <c r="G32" i="12"/>
  <c r="H32" i="12" a="1"/>
  <c r="H32" i="12" s="1"/>
  <c r="I32" i="12"/>
  <c r="J32" i="12"/>
  <c r="K32" i="12"/>
  <c r="L32" i="12"/>
  <c r="M32" i="12" s="1"/>
  <c r="N32" i="12"/>
  <c r="O32" i="12"/>
  <c r="P32" i="12" s="1"/>
  <c r="Q32" i="12"/>
  <c r="K20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R20" i="16"/>
  <c r="Q19" i="16"/>
  <c r="F20" i="16"/>
  <c r="G20" i="16"/>
  <c r="H20" i="16" a="1"/>
  <c r="H20" i="16" s="1"/>
  <c r="I20" i="16"/>
  <c r="J20" i="16"/>
  <c r="L20" i="16"/>
  <c r="M20" i="16" s="1"/>
  <c r="N20" i="16"/>
  <c r="O20" i="16"/>
  <c r="P20" i="16" s="1"/>
  <c r="Q20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R21" i="16"/>
  <c r="F21" i="16"/>
  <c r="G21" i="16"/>
  <c r="H21" i="16" a="1"/>
  <c r="H21" i="16" s="1"/>
  <c r="I21" i="16"/>
  <c r="J21" i="16"/>
  <c r="K21" i="16"/>
  <c r="L21" i="16"/>
  <c r="M21" i="16" s="1"/>
  <c r="N21" i="16"/>
  <c r="O21" i="16"/>
  <c r="P21" i="16" s="1"/>
  <c r="Q21" i="16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O33" i="12"/>
  <c r="P33" i="12" s="1"/>
  <c r="Q33" i="12"/>
  <c r="O31" i="12"/>
  <c r="F33" i="12"/>
  <c r="G33" i="12"/>
  <c r="H33" i="12" a="1"/>
  <c r="H33" i="12" s="1"/>
  <c r="I33" i="12"/>
  <c r="J33" i="12"/>
  <c r="K33" i="12"/>
  <c r="L33" i="12"/>
  <c r="M33" i="12" s="1"/>
  <c r="N33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H33" i="13"/>
  <c r="I33" i="13"/>
  <c r="J33" i="13" a="1"/>
  <c r="J33" i="13" s="1"/>
  <c r="K33" i="13"/>
  <c r="L33" i="13"/>
  <c r="M33" i="13"/>
  <c r="N33" i="13"/>
  <c r="O33" i="13" s="1"/>
  <c r="P33" i="13"/>
  <c r="Q33" i="13"/>
  <c r="R33" i="13" s="1"/>
  <c r="S33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T23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T22" i="13"/>
  <c r="T21" i="13"/>
  <c r="T20" i="13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R25" i="16"/>
  <c r="F25" i="16"/>
  <c r="G25" i="16"/>
  <c r="H25" i="16" a="1"/>
  <c r="H25" i="16" s="1"/>
  <c r="I25" i="16"/>
  <c r="J25" i="16"/>
  <c r="K25" i="16"/>
  <c r="L25" i="16"/>
  <c r="M25" i="16" s="1"/>
  <c r="N25" i="16"/>
  <c r="O25" i="16"/>
  <c r="P25" i="16" s="1"/>
  <c r="Q25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F18" i="16"/>
  <c r="G18" i="16"/>
  <c r="H18" i="16" a="1"/>
  <c r="H18" i="16" s="1"/>
  <c r="I18" i="16"/>
  <c r="J18" i="16"/>
  <c r="L18" i="16"/>
  <c r="M18" i="16" s="1"/>
  <c r="O18" i="16"/>
  <c r="P18" i="16" s="1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Q19" i="12" s="1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8" i="16"/>
  <c r="Q18" i="16"/>
  <c r="K18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P15" i="19"/>
  <c r="Q12" i="19"/>
  <c r="R12" i="19"/>
  <c r="S12" i="19"/>
  <c r="T12" i="19"/>
  <c r="U12" i="19"/>
  <c r="V12" i="19"/>
  <c r="W12" i="19"/>
  <c r="X12" i="19"/>
  <c r="Y12" i="19"/>
  <c r="Z12" i="19"/>
  <c r="AA12" i="19"/>
  <c r="AB12" i="19"/>
  <c r="AC12" i="19"/>
  <c r="AD12" i="19"/>
  <c r="AE12" i="19"/>
  <c r="P12" i="19"/>
  <c r="D4" i="19"/>
  <c r="D3" i="19"/>
  <c r="E4" i="19"/>
  <c r="F4" i="19" a="1"/>
  <c r="F4" i="19" s="1"/>
  <c r="G4" i="19"/>
  <c r="H4" i="19"/>
  <c r="J4" i="19"/>
  <c r="K4" i="19" s="1"/>
  <c r="M4" i="19"/>
  <c r="N4" i="19" s="1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J7" i="19"/>
  <c r="K7" i="19" s="1"/>
  <c r="M7" i="19"/>
  <c r="N7" i="19"/>
  <c r="D8" i="19"/>
  <c r="E8" i="19"/>
  <c r="F8" i="19" a="1"/>
  <c r="F8" i="19" s="1"/>
  <c r="G8" i="19"/>
  <c r="H8" i="19"/>
  <c r="J8" i="19"/>
  <c r="K8" i="19" s="1"/>
  <c r="M8" i="19"/>
  <c r="N8" i="19" s="1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D16" i="19"/>
  <c r="E16" i="19"/>
  <c r="F16" i="19" a="1"/>
  <c r="F16" i="19" s="1"/>
  <c r="G16" i="19"/>
  <c r="H16" i="19"/>
  <c r="J16" i="19"/>
  <c r="K16" i="19" s="1"/>
  <c r="M16" i="19"/>
  <c r="N16" i="19" s="1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/>
  <c r="D19" i="19"/>
  <c r="E19" i="19"/>
  <c r="F19" i="19" a="1"/>
  <c r="F19" i="19" s="1"/>
  <c r="G19" i="19"/>
  <c r="H19" i="19"/>
  <c r="J19" i="19"/>
  <c r="K19" i="19" s="1"/>
  <c r="M19" i="19"/>
  <c r="N19" i="19" s="1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I21" i="19"/>
  <c r="J21" i="19"/>
  <c r="K21" i="19" s="1"/>
  <c r="L21" i="19"/>
  <c r="M21" i="19"/>
  <c r="N21" i="19" s="1"/>
  <c r="O21" i="19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J23" i="19"/>
  <c r="K23" i="19"/>
  <c r="M23" i="19"/>
  <c r="N23" i="19" s="1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 s="1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 s="1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/>
  <c r="O36" i="19"/>
  <c r="D37" i="19"/>
  <c r="E37" i="19"/>
  <c r="F37" i="19" a="1"/>
  <c r="F37" i="19" s="1"/>
  <c r="G37" i="19"/>
  <c r="H37" i="19"/>
  <c r="J37" i="19"/>
  <c r="K37" i="19" s="1"/>
  <c r="L37" i="19"/>
  <c r="M37" i="19"/>
  <c r="N37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I39" i="19"/>
  <c r="J39" i="19"/>
  <c r="K39" i="19" s="1"/>
  <c r="L39" i="19"/>
  <c r="M39" i="19"/>
  <c r="N39" i="19" s="1"/>
  <c r="O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L25" i="19"/>
  <c r="O25" i="19"/>
  <c r="I25" i="19"/>
  <c r="O34" i="19"/>
  <c r="I34" i="19"/>
  <c r="L7" i="19"/>
  <c r="O7" i="19"/>
  <c r="I7" i="19"/>
  <c r="O37" i="19"/>
  <c r="I37" i="19"/>
  <c r="L4" i="19"/>
  <c r="O4" i="19"/>
  <c r="I4" i="19"/>
  <c r="L16" i="19"/>
  <c r="O16" i="19"/>
  <c r="I16" i="19"/>
  <c r="L19" i="19"/>
  <c r="O19" i="19"/>
  <c r="I19" i="19"/>
  <c r="L28" i="19"/>
  <c r="I28" i="19"/>
  <c r="L29" i="19"/>
  <c r="O29" i="19"/>
  <c r="I29" i="19"/>
  <c r="L31" i="19"/>
  <c r="O31" i="19"/>
  <c r="I31" i="19"/>
  <c r="L30" i="19"/>
  <c r="O30" i="19"/>
  <c r="I30" i="19"/>
  <c r="L11" i="19"/>
  <c r="O11" i="19"/>
  <c r="I11" i="19"/>
  <c r="L8" i="19"/>
  <c r="O8" i="19"/>
  <c r="I8" i="19"/>
  <c r="L23" i="19"/>
  <c r="O23" i="19"/>
  <c r="I23" i="19"/>
  <c r="L22" i="19"/>
  <c r="O22" i="19"/>
  <c r="I22" i="19"/>
  <c r="L27" i="19"/>
  <c r="O27" i="19"/>
  <c r="I27" i="19"/>
  <c r="L18" i="19"/>
  <c r="O18" i="19"/>
  <c r="I18" i="19"/>
  <c r="L13" i="19"/>
  <c r="O13" i="19"/>
  <c r="I13" i="19"/>
  <c r="L12" i="19"/>
  <c r="O12" i="19"/>
  <c r="I12" i="19"/>
  <c r="L26" i="19"/>
  <c r="O26" i="19"/>
  <c r="I26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T47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T46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T22" i="11"/>
  <c r="H22" i="11"/>
  <c r="I22" i="11"/>
  <c r="J22" i="11" a="1"/>
  <c r="J22" i="11" s="1"/>
  <c r="K22" i="11"/>
  <c r="L22" i="11"/>
  <c r="M22" i="11"/>
  <c r="N22" i="11"/>
  <c r="O22" i="11" s="1"/>
  <c r="P22" i="11"/>
  <c r="Q22" i="11"/>
  <c r="R22" i="11" s="1"/>
  <c r="S22" i="11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T24" i="13"/>
  <c r="H24" i="13"/>
  <c r="I24" i="13"/>
  <c r="J24" i="13" a="1"/>
  <c r="J24" i="13" s="1"/>
  <c r="K24" i="13"/>
  <c r="L24" i="13"/>
  <c r="M24" i="13"/>
  <c r="N24" i="13"/>
  <c r="O24" i="13" s="1"/>
  <c r="P24" i="13"/>
  <c r="Q24" i="13"/>
  <c r="R24" i="13" s="1"/>
  <c r="S24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M14" i="13"/>
  <c r="N14" i="13"/>
  <c r="O14" i="13" s="1"/>
  <c r="P14" i="13"/>
  <c r="Q14" i="13"/>
  <c r="R14" i="13" s="1"/>
  <c r="S14" i="13"/>
  <c r="H16" i="13"/>
  <c r="I16" i="13"/>
  <c r="J16" i="13" a="1"/>
  <c r="J16" i="13" s="1"/>
  <c r="K16" i="13"/>
  <c r="L16" i="13"/>
  <c r="N16" i="13"/>
  <c r="O16" i="13" s="1"/>
  <c r="Q16" i="13"/>
  <c r="R16" i="13" s="1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H17" i="13"/>
  <c r="I17" i="13"/>
  <c r="J17" i="13" a="1"/>
  <c r="J17" i="13" s="1"/>
  <c r="K17" i="13"/>
  <c r="L17" i="13"/>
  <c r="M17" i="13"/>
  <c r="N17" i="13"/>
  <c r="O17" i="13" s="1"/>
  <c r="P17" i="13"/>
  <c r="Q17" i="13"/>
  <c r="R17" i="13" s="1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19" i="13"/>
  <c r="I19" i="13"/>
  <c r="J19" i="13" a="1"/>
  <c r="J19" i="13" s="1"/>
  <c r="K19" i="13"/>
  <c r="L19" i="13"/>
  <c r="N19" i="13"/>
  <c r="O19" i="13" s="1"/>
  <c r="Q19" i="13"/>
  <c r="R19" i="13" s="1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H21" i="13"/>
  <c r="I21" i="13"/>
  <c r="J21" i="13" a="1"/>
  <c r="J21" i="13" s="1"/>
  <c r="K21" i="13"/>
  <c r="L21" i="13"/>
  <c r="M21" i="13"/>
  <c r="N21" i="13"/>
  <c r="O21" i="13" s="1"/>
  <c r="P21" i="13"/>
  <c r="Q21" i="13"/>
  <c r="R21" i="13" s="1"/>
  <c r="S21" i="13"/>
  <c r="H22" i="13"/>
  <c r="I22" i="13"/>
  <c r="J22" i="13" a="1"/>
  <c r="J22" i="13" s="1"/>
  <c r="K22" i="13"/>
  <c r="L22" i="13"/>
  <c r="M22" i="13"/>
  <c r="N22" i="13"/>
  <c r="O22" i="13" s="1"/>
  <c r="P22" i="13"/>
  <c r="Q22" i="13"/>
  <c r="R22" i="13" s="1"/>
  <c r="S22" i="13"/>
  <c r="H20" i="13"/>
  <c r="I20" i="13"/>
  <c r="J20" i="13" a="1"/>
  <c r="J20" i="13" s="1"/>
  <c r="K20" i="13"/>
  <c r="L20" i="13"/>
  <c r="N20" i="13"/>
  <c r="O20" i="13" s="1"/>
  <c r="Q20" i="13"/>
  <c r="R20" i="13" s="1"/>
  <c r="H25" i="13"/>
  <c r="I25" i="13"/>
  <c r="J25" i="13" a="1"/>
  <c r="J25" i="13" s="1"/>
  <c r="K25" i="13"/>
  <c r="L25" i="13"/>
  <c r="N25" i="13"/>
  <c r="O25" i="13" s="1"/>
  <c r="Q25" i="13"/>
  <c r="R25" i="13" s="1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H26" i="13"/>
  <c r="I26" i="13"/>
  <c r="J26" i="13" a="1"/>
  <c r="J26" i="13" s="1"/>
  <c r="K26" i="13"/>
  <c r="L26" i="13"/>
  <c r="N26" i="13"/>
  <c r="O26" i="13" s="1"/>
  <c r="Q26" i="13"/>
  <c r="R26" i="13" s="1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H30" i="13"/>
  <c r="I30" i="13"/>
  <c r="J30" i="13" a="1"/>
  <c r="J30" i="13" s="1"/>
  <c r="K30" i="13"/>
  <c r="L30" i="13"/>
  <c r="M30" i="13"/>
  <c r="N30" i="13"/>
  <c r="O30" i="13" s="1"/>
  <c r="P30" i="13"/>
  <c r="Q30" i="13"/>
  <c r="R30" i="13" s="1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H34" i="13"/>
  <c r="I34" i="13"/>
  <c r="J34" i="13" a="1"/>
  <c r="J34" i="13" s="1"/>
  <c r="K34" i="13"/>
  <c r="L34" i="13"/>
  <c r="N34" i="13"/>
  <c r="O34" i="13" s="1"/>
  <c r="Q34" i="13"/>
  <c r="R34" i="13" s="1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5" i="13"/>
  <c r="I35" i="13"/>
  <c r="J35" i="13" a="1"/>
  <c r="J35" i="13" s="1"/>
  <c r="K35" i="13"/>
  <c r="L35" i="13"/>
  <c r="N35" i="13"/>
  <c r="O35" i="13" s="1"/>
  <c r="Q35" i="13"/>
  <c r="R35" i="13" s="1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H36" i="13"/>
  <c r="I36" i="13"/>
  <c r="J36" i="13" a="1"/>
  <c r="J36" i="13" s="1"/>
  <c r="K36" i="13"/>
  <c r="L36" i="13"/>
  <c r="N36" i="13"/>
  <c r="O36" i="13" s="1"/>
  <c r="Q36" i="13"/>
  <c r="R36" i="13" s="1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M11" i="13"/>
  <c r="N11" i="13"/>
  <c r="O11" i="13" s="1"/>
  <c r="P11" i="13"/>
  <c r="Q11" i="13"/>
  <c r="R11" i="13" s="1"/>
  <c r="S11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47" i="13"/>
  <c r="I47" i="13"/>
  <c r="J47" i="13" a="1"/>
  <c r="J47" i="13" s="1"/>
  <c r="K47" i="13"/>
  <c r="L47" i="13"/>
  <c r="M47" i="13"/>
  <c r="N47" i="13"/>
  <c r="O47" i="13" s="1"/>
  <c r="P47" i="13"/>
  <c r="Q47" i="13"/>
  <c r="R47" i="13" s="1"/>
  <c r="S47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20" i="13" s="1"/>
  <c r="AC52" i="15"/>
  <c r="S20" i="13" s="1"/>
  <c r="AD52" i="15"/>
  <c r="M20" i="13" s="1"/>
  <c r="AA53" i="15"/>
  <c r="AB53" i="15"/>
  <c r="P35" i="13" s="1"/>
  <c r="AC53" i="15"/>
  <c r="S35" i="13" s="1"/>
  <c r="AD53" i="15"/>
  <c r="M35" i="13" s="1"/>
  <c r="AA54" i="15"/>
  <c r="AB54" i="15"/>
  <c r="P36" i="13" s="1"/>
  <c r="AC54" i="15"/>
  <c r="S36" i="13" s="1"/>
  <c r="AD54" i="15"/>
  <c r="M36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T16" i="11"/>
  <c r="H16" i="11"/>
  <c r="I16" i="11"/>
  <c r="J16" i="11" a="1"/>
  <c r="J16" i="11" s="1"/>
  <c r="K16" i="11"/>
  <c r="L16" i="11"/>
  <c r="N16" i="11"/>
  <c r="O16" i="11" s="1"/>
  <c r="Q16" i="11"/>
  <c r="R16" i="11" s="1"/>
  <c r="S16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T41" i="11"/>
  <c r="H41" i="11"/>
  <c r="I41" i="11"/>
  <c r="J41" i="11" a="1"/>
  <c r="J41" i="11" s="1"/>
  <c r="K41" i="11"/>
  <c r="L41" i="11"/>
  <c r="M41" i="11"/>
  <c r="N41" i="11"/>
  <c r="O41" i="11" s="1"/>
  <c r="P41" i="11"/>
  <c r="Q41" i="11"/>
  <c r="R41" i="11" s="1"/>
  <c r="AF16" i="13"/>
  <c r="AG16" i="13"/>
  <c r="AH16" i="13"/>
  <c r="AI16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N12" i="13"/>
  <c r="O12" i="13" s="1"/>
  <c r="Q12" i="13"/>
  <c r="R12" i="13" s="1"/>
  <c r="AF34" i="13"/>
  <c r="AG34" i="13"/>
  <c r="AH34" i="13"/>
  <c r="AI34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4" i="13" s="1"/>
  <c r="AC31" i="15"/>
  <c r="S34" i="13" s="1"/>
  <c r="AD31" i="15"/>
  <c r="M34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5" i="13" s="1"/>
  <c r="AC37" i="15"/>
  <c r="S25" i="13" s="1"/>
  <c r="AD37" i="15"/>
  <c r="M25" i="13" s="1"/>
  <c r="AA38" i="15"/>
  <c r="AB38" i="15"/>
  <c r="AC38" i="15"/>
  <c r="AD38" i="15"/>
  <c r="AA39" i="15"/>
  <c r="AB39" i="15"/>
  <c r="AC39" i="15"/>
  <c r="AD39" i="15"/>
  <c r="AA40" i="15"/>
  <c r="AB40" i="15"/>
  <c r="P12" i="13" s="1"/>
  <c r="AC40" i="15"/>
  <c r="S12" i="13" s="1"/>
  <c r="AD40" i="15"/>
  <c r="M12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41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39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18" i="13" s="1"/>
  <c r="AC23" i="15"/>
  <c r="S18" i="13" s="1"/>
  <c r="AD23" i="15"/>
  <c r="M18" i="13" s="1"/>
  <c r="AA24" i="15"/>
  <c r="AB24" i="15"/>
  <c r="AC24" i="15"/>
  <c r="AD24" i="15"/>
  <c r="AA25" i="15"/>
  <c r="AB25" i="15"/>
  <c r="P16" i="13" s="1"/>
  <c r="AC25" i="15"/>
  <c r="S16" i="13" s="1"/>
  <c r="AD25" i="15"/>
  <c r="M16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6" i="11" s="1"/>
  <c r="AC510" i="10"/>
  <c r="AD510" i="10"/>
  <c r="M16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19" i="13" s="1"/>
  <c r="AC6" i="15"/>
  <c r="S19" i="13" s="1"/>
  <c r="AD6" i="15"/>
  <c r="M19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26" i="13" s="1"/>
  <c r="AC11" i="15"/>
  <c r="S26" i="13" s="1"/>
  <c r="AD11" i="15"/>
  <c r="M26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H37" i="16"/>
  <c r="AI37" i="16"/>
  <c r="AJ37" i="16"/>
  <c r="AK37" i="16"/>
  <c r="AL37" i="16"/>
  <c r="AM37" i="16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H38" i="16"/>
  <c r="AI38" i="16"/>
  <c r="AJ38" i="16"/>
  <c r="AK38" i="16"/>
  <c r="AL38" i="16"/>
  <c r="AM38" i="16"/>
  <c r="R38" i="16"/>
  <c r="R37" i="16"/>
  <c r="R34" i="16"/>
  <c r="R31" i="16"/>
  <c r="R30" i="16"/>
  <c r="R29" i="16"/>
  <c r="R27" i="16"/>
  <c r="R26" i="16"/>
  <c r="R24" i="16"/>
  <c r="R23" i="16"/>
  <c r="R22" i="16"/>
  <c r="R19" i="16"/>
  <c r="R17" i="16"/>
  <c r="R16" i="16"/>
  <c r="R15" i="16"/>
  <c r="R13" i="16"/>
  <c r="R11" i="16"/>
  <c r="R6" i="16"/>
  <c r="R5" i="16"/>
  <c r="R4" i="16"/>
  <c r="R3" i="16"/>
  <c r="R2" i="16"/>
  <c r="Q3" i="16"/>
  <c r="Q4" i="16"/>
  <c r="Q5" i="16"/>
  <c r="Q6" i="16"/>
  <c r="Q13" i="16"/>
  <c r="Q15" i="16"/>
  <c r="Q16" i="16"/>
  <c r="Q17" i="16"/>
  <c r="Q22" i="16"/>
  <c r="Q23" i="16"/>
  <c r="Q24" i="16"/>
  <c r="Q26" i="16"/>
  <c r="Q27" i="16"/>
  <c r="Q29" i="16"/>
  <c r="Q30" i="16"/>
  <c r="Q31" i="16"/>
  <c r="Q34" i="16"/>
  <c r="Q35" i="16"/>
  <c r="Q37" i="16"/>
  <c r="Q38" i="16"/>
  <c r="Q2" i="16"/>
  <c r="O3" i="16"/>
  <c r="P3" i="16" s="1"/>
  <c r="O4" i="16"/>
  <c r="P4" i="16" s="1"/>
  <c r="O5" i="16"/>
  <c r="P5" i="16" s="1"/>
  <c r="O6" i="16"/>
  <c r="P6" i="16" s="1"/>
  <c r="O11" i="16"/>
  <c r="P11" i="16" s="1"/>
  <c r="O13" i="16"/>
  <c r="P13" i="16" s="1"/>
  <c r="O15" i="16"/>
  <c r="P15" i="16" s="1"/>
  <c r="O16" i="16"/>
  <c r="P16" i="16" s="1"/>
  <c r="O17" i="16"/>
  <c r="P17" i="16" s="1"/>
  <c r="O19" i="16"/>
  <c r="P19" i="16" s="1"/>
  <c r="O22" i="16"/>
  <c r="P22" i="16" s="1"/>
  <c r="O23" i="16"/>
  <c r="P23" i="16" s="1"/>
  <c r="O24" i="16"/>
  <c r="P24" i="16" s="1"/>
  <c r="O26" i="16"/>
  <c r="P26" i="16" s="1"/>
  <c r="O27" i="16"/>
  <c r="P27" i="16" s="1"/>
  <c r="O29" i="16"/>
  <c r="P29" i="16" s="1"/>
  <c r="O30" i="16"/>
  <c r="P30" i="16" s="1"/>
  <c r="O31" i="16"/>
  <c r="P31" i="16" s="1"/>
  <c r="O34" i="16"/>
  <c r="P34" i="16" s="1"/>
  <c r="O35" i="16"/>
  <c r="P35" i="16" s="1"/>
  <c r="O37" i="16"/>
  <c r="P37" i="16" s="1"/>
  <c r="O38" i="16"/>
  <c r="P38" i="16" s="1"/>
  <c r="O2" i="16"/>
  <c r="P2" i="16" s="1"/>
  <c r="N3" i="16"/>
  <c r="N4" i="16"/>
  <c r="N5" i="16"/>
  <c r="N6" i="16"/>
  <c r="N13" i="16"/>
  <c r="N15" i="16"/>
  <c r="N16" i="16"/>
  <c r="N17" i="16"/>
  <c r="N19" i="16"/>
  <c r="N22" i="16"/>
  <c r="N23" i="16"/>
  <c r="N24" i="16"/>
  <c r="N26" i="16"/>
  <c r="N27" i="16"/>
  <c r="N29" i="16"/>
  <c r="N30" i="16"/>
  <c r="N31" i="16"/>
  <c r="N34" i="16"/>
  <c r="N35" i="16"/>
  <c r="N37" i="16"/>
  <c r="N38" i="16"/>
  <c r="N2" i="16"/>
  <c r="L3" i="16"/>
  <c r="M3" i="16" s="1"/>
  <c r="L4" i="16"/>
  <c r="M4" i="16" s="1"/>
  <c r="L5" i="16"/>
  <c r="M5" i="16" s="1"/>
  <c r="L6" i="16"/>
  <c r="M6" i="16" s="1"/>
  <c r="L11" i="16"/>
  <c r="M11" i="16" s="1"/>
  <c r="L13" i="16"/>
  <c r="M13" i="16" s="1"/>
  <c r="L15" i="16"/>
  <c r="M15" i="16" s="1"/>
  <c r="L16" i="16"/>
  <c r="M16" i="16" s="1"/>
  <c r="L17" i="16"/>
  <c r="M17" i="16" s="1"/>
  <c r="L19" i="16"/>
  <c r="M19" i="16" s="1"/>
  <c r="L22" i="16"/>
  <c r="M22" i="16" s="1"/>
  <c r="L23" i="16"/>
  <c r="M23" i="16" s="1"/>
  <c r="L24" i="16"/>
  <c r="M24" i="16" s="1"/>
  <c r="L26" i="16"/>
  <c r="M26" i="16" s="1"/>
  <c r="L27" i="16"/>
  <c r="M27" i="16" s="1"/>
  <c r="L29" i="16"/>
  <c r="M29" i="16" s="1"/>
  <c r="L30" i="16"/>
  <c r="M30" i="16" s="1"/>
  <c r="L31" i="16"/>
  <c r="M31" i="16" s="1"/>
  <c r="L34" i="16"/>
  <c r="M34" i="16" s="1"/>
  <c r="M35" i="16"/>
  <c r="L37" i="16"/>
  <c r="M37" i="16" s="1"/>
  <c r="L38" i="16"/>
  <c r="M38" i="16" s="1"/>
  <c r="L2" i="16"/>
  <c r="M2" i="16" s="1"/>
  <c r="K3" i="16"/>
  <c r="K4" i="16"/>
  <c r="K5" i="16"/>
  <c r="K6" i="16"/>
  <c r="K13" i="16"/>
  <c r="K15" i="16"/>
  <c r="K16" i="16"/>
  <c r="K17" i="16"/>
  <c r="K19" i="16"/>
  <c r="K22" i="16"/>
  <c r="K23" i="16"/>
  <c r="K24" i="16"/>
  <c r="K26" i="16"/>
  <c r="K27" i="16"/>
  <c r="K29" i="16"/>
  <c r="K30" i="16"/>
  <c r="K31" i="16"/>
  <c r="K34" i="16"/>
  <c r="K35" i="16"/>
  <c r="K37" i="16"/>
  <c r="K38" i="16"/>
  <c r="J3" i="16"/>
  <c r="J4" i="16"/>
  <c r="J5" i="16"/>
  <c r="J6" i="16"/>
  <c r="J11" i="16"/>
  <c r="J13" i="16"/>
  <c r="J15" i="16"/>
  <c r="J16" i="16"/>
  <c r="J17" i="16"/>
  <c r="J19" i="16"/>
  <c r="J22" i="16"/>
  <c r="J23" i="16"/>
  <c r="J24" i="16"/>
  <c r="J26" i="16"/>
  <c r="J27" i="16"/>
  <c r="J29" i="16"/>
  <c r="J30" i="16"/>
  <c r="J31" i="16"/>
  <c r="J34" i="16"/>
  <c r="J35" i="16"/>
  <c r="J37" i="16"/>
  <c r="J38" i="16"/>
  <c r="J2" i="16"/>
  <c r="I3" i="16"/>
  <c r="I4" i="16"/>
  <c r="I5" i="16"/>
  <c r="I6" i="16"/>
  <c r="I11" i="16"/>
  <c r="I13" i="16"/>
  <c r="I15" i="16"/>
  <c r="I16" i="16"/>
  <c r="I17" i="16"/>
  <c r="I19" i="16"/>
  <c r="I22" i="16"/>
  <c r="I23" i="16"/>
  <c r="I24" i="16"/>
  <c r="I26" i="16"/>
  <c r="I27" i="16"/>
  <c r="I29" i="16"/>
  <c r="I30" i="16"/>
  <c r="I31" i="16"/>
  <c r="I34" i="16"/>
  <c r="I35" i="16"/>
  <c r="I37" i="16"/>
  <c r="I38" i="16"/>
  <c r="I2" i="16"/>
  <c r="H3" i="16" a="1"/>
  <c r="H3" i="16" s="1"/>
  <c r="H4" i="16" a="1"/>
  <c r="H4" i="16" s="1"/>
  <c r="H5" i="16" a="1"/>
  <c r="H5" i="16" s="1"/>
  <c r="H6" i="16" a="1"/>
  <c r="H6" i="16" s="1"/>
  <c r="H11" i="16" a="1"/>
  <c r="H11" i="16" s="1"/>
  <c r="H13" i="16" a="1"/>
  <c r="H13" i="16" s="1"/>
  <c r="H15" i="16" a="1"/>
  <c r="H15" i="16" s="1"/>
  <c r="H16" i="16" a="1"/>
  <c r="H16" i="16" s="1"/>
  <c r="H17" i="16" a="1"/>
  <c r="H17" i="16" s="1"/>
  <c r="H19" i="16" a="1"/>
  <c r="H19" i="16" s="1"/>
  <c r="H22" i="16" a="1"/>
  <c r="H22" i="16" s="1"/>
  <c r="H23" i="16" a="1"/>
  <c r="H23" i="16" s="1"/>
  <c r="H24" i="16" a="1"/>
  <c r="H24" i="16" s="1"/>
  <c r="H26" i="16" a="1"/>
  <c r="H26" i="16" s="1"/>
  <c r="H27" i="16" a="1"/>
  <c r="H27" i="16" s="1"/>
  <c r="H29" i="16" a="1"/>
  <c r="H29" i="16" s="1"/>
  <c r="H30" i="16" a="1"/>
  <c r="H30" i="16" s="1"/>
  <c r="H31" i="16" a="1"/>
  <c r="H31" i="16" s="1"/>
  <c r="H34" i="16" a="1"/>
  <c r="H34" i="16" s="1"/>
  <c r="H35" i="16" a="1"/>
  <c r="H35" i="16" s="1"/>
  <c r="H37" i="16" a="1"/>
  <c r="H37" i="16" s="1"/>
  <c r="H38" i="16" a="1"/>
  <c r="H38" i="16" s="1"/>
  <c r="H2" i="16" a="1"/>
  <c r="H2" i="16" s="1"/>
  <c r="G3" i="16"/>
  <c r="G4" i="16"/>
  <c r="G5" i="16"/>
  <c r="G6" i="16"/>
  <c r="G11" i="16"/>
  <c r="G13" i="16"/>
  <c r="G15" i="16"/>
  <c r="G16" i="16"/>
  <c r="G17" i="16"/>
  <c r="G19" i="16"/>
  <c r="G22" i="16"/>
  <c r="G23" i="16"/>
  <c r="G24" i="16"/>
  <c r="G26" i="16"/>
  <c r="G27" i="16"/>
  <c r="G29" i="16"/>
  <c r="G30" i="16"/>
  <c r="G31" i="16"/>
  <c r="G34" i="16"/>
  <c r="G35" i="16"/>
  <c r="G37" i="16"/>
  <c r="G38" i="16"/>
  <c r="G2" i="16"/>
  <c r="F3" i="16"/>
  <c r="F4" i="16"/>
  <c r="F5" i="16"/>
  <c r="F6" i="16"/>
  <c r="F11" i="16"/>
  <c r="F13" i="16"/>
  <c r="F15" i="16"/>
  <c r="F16" i="16"/>
  <c r="F17" i="16"/>
  <c r="F19" i="16"/>
  <c r="F22" i="16"/>
  <c r="F23" i="16"/>
  <c r="F24" i="16"/>
  <c r="F26" i="16"/>
  <c r="F27" i="16"/>
  <c r="F29" i="16"/>
  <c r="F30" i="16"/>
  <c r="F31" i="16"/>
  <c r="F34" i="16"/>
  <c r="F35" i="16"/>
  <c r="F37" i="16"/>
  <c r="F38" i="16"/>
  <c r="F2" i="16"/>
  <c r="K11" i="16"/>
  <c r="Q11" i="16"/>
  <c r="N11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7" i="13"/>
  <c r="AG17" i="13"/>
  <c r="AH17" i="13"/>
  <c r="AI17" i="13"/>
  <c r="AF18" i="13"/>
  <c r="AG18" i="13"/>
  <c r="AH18" i="13"/>
  <c r="AI18" i="13"/>
  <c r="AF19" i="13"/>
  <c r="AG19" i="13"/>
  <c r="AH19" i="13"/>
  <c r="AI19" i="13"/>
  <c r="AF25" i="13"/>
  <c r="AG25" i="13"/>
  <c r="AH25" i="13"/>
  <c r="AI25" i="13"/>
  <c r="AF26" i="13"/>
  <c r="AG26" i="13"/>
  <c r="AH26" i="13"/>
  <c r="AI26" i="13"/>
  <c r="AF27" i="13"/>
  <c r="AG27" i="13"/>
  <c r="AH27" i="13"/>
  <c r="AI27" i="13"/>
  <c r="AF28" i="13"/>
  <c r="AG28" i="13"/>
  <c r="AH28" i="13"/>
  <c r="AI28" i="13"/>
  <c r="AF30" i="13"/>
  <c r="AG30" i="13"/>
  <c r="AH30" i="13"/>
  <c r="AI30" i="13"/>
  <c r="AF35" i="13"/>
  <c r="AG35" i="13"/>
  <c r="AH35" i="13"/>
  <c r="AI35" i="13"/>
  <c r="AF36" i="13"/>
  <c r="AG36" i="13"/>
  <c r="AH36" i="13"/>
  <c r="AI36" i="13"/>
  <c r="AF37" i="13"/>
  <c r="AG37" i="13"/>
  <c r="AH37" i="13"/>
  <c r="AI37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T44" i="13"/>
  <c r="T42" i="13"/>
  <c r="T41" i="13"/>
  <c r="T40" i="13"/>
  <c r="T39" i="13"/>
  <c r="T9" i="13"/>
  <c r="T7" i="13"/>
  <c r="T6" i="13"/>
  <c r="T5" i="13"/>
  <c r="S9" i="13"/>
  <c r="S39" i="13"/>
  <c r="S41" i="13"/>
  <c r="S42" i="13"/>
  <c r="Q5" i="13"/>
  <c r="R5" i="13" s="1"/>
  <c r="Q6" i="13"/>
  <c r="R6" i="13" s="1"/>
  <c r="Q7" i="13"/>
  <c r="R7" i="13" s="1"/>
  <c r="Q9" i="13"/>
  <c r="R9" i="13" s="1"/>
  <c r="Q39" i="13"/>
  <c r="R39" i="13" s="1"/>
  <c r="Q40" i="13"/>
  <c r="R40" i="13" s="1"/>
  <c r="Q41" i="13"/>
  <c r="R41" i="13" s="1"/>
  <c r="Q42" i="13"/>
  <c r="R42" i="13" s="1"/>
  <c r="Q44" i="13"/>
  <c r="R44" i="13" s="1"/>
  <c r="Q46" i="13"/>
  <c r="R46" i="13" s="1"/>
  <c r="N5" i="13"/>
  <c r="O5" i="13" s="1"/>
  <c r="N6" i="13"/>
  <c r="O6" i="13" s="1"/>
  <c r="N7" i="13"/>
  <c r="O7" i="13" s="1"/>
  <c r="N9" i="13"/>
  <c r="O9" i="13" s="1"/>
  <c r="N39" i="13"/>
  <c r="O39" i="13" s="1"/>
  <c r="N40" i="13"/>
  <c r="O40" i="13" s="1"/>
  <c r="N41" i="13"/>
  <c r="O41" i="13" s="1"/>
  <c r="N42" i="13"/>
  <c r="O42" i="13" s="1"/>
  <c r="N44" i="13"/>
  <c r="O44" i="13" s="1"/>
  <c r="N46" i="13"/>
  <c r="O46" i="13" s="1"/>
  <c r="M46" i="13"/>
  <c r="L5" i="13"/>
  <c r="L6" i="13"/>
  <c r="L7" i="13"/>
  <c r="L9" i="13"/>
  <c r="L39" i="13"/>
  <c r="L40" i="13"/>
  <c r="L41" i="13"/>
  <c r="L42" i="13"/>
  <c r="L44" i="13"/>
  <c r="L46" i="13"/>
  <c r="K5" i="13"/>
  <c r="K6" i="13"/>
  <c r="K7" i="13"/>
  <c r="K9" i="13"/>
  <c r="K39" i="13"/>
  <c r="K40" i="13"/>
  <c r="K41" i="13"/>
  <c r="K42" i="13"/>
  <c r="K44" i="13"/>
  <c r="K46" i="13"/>
  <c r="J5" i="13" a="1"/>
  <c r="J5" i="13" s="1"/>
  <c r="J6" i="13" a="1"/>
  <c r="J6" i="13" s="1"/>
  <c r="J7" i="13" a="1"/>
  <c r="J7" i="13" s="1"/>
  <c r="J9" i="13" a="1"/>
  <c r="J9" i="13" s="1"/>
  <c r="J39" i="13" a="1"/>
  <c r="J39" i="13" s="1"/>
  <c r="J40" i="13" a="1"/>
  <c r="J40" i="13" s="1"/>
  <c r="J41" i="13" a="1"/>
  <c r="J41" i="13" s="1"/>
  <c r="J42" i="13" a="1"/>
  <c r="J42" i="13" s="1"/>
  <c r="J44" i="13" a="1"/>
  <c r="J44" i="13" s="1"/>
  <c r="J46" i="13" a="1"/>
  <c r="J46" i="13" s="1"/>
  <c r="I5" i="13"/>
  <c r="I6" i="13"/>
  <c r="I7" i="13"/>
  <c r="I9" i="13"/>
  <c r="I39" i="13"/>
  <c r="I40" i="13"/>
  <c r="I41" i="13"/>
  <c r="I42" i="13"/>
  <c r="I44" i="13"/>
  <c r="I46" i="13"/>
  <c r="H5" i="13"/>
  <c r="H6" i="13"/>
  <c r="H7" i="13"/>
  <c r="H9" i="13"/>
  <c r="H39" i="13"/>
  <c r="H40" i="13"/>
  <c r="H41" i="13"/>
  <c r="H42" i="13"/>
  <c r="H44" i="13"/>
  <c r="H46" i="13"/>
  <c r="S6" i="13"/>
  <c r="P42" i="13"/>
  <c r="M42" i="13"/>
  <c r="P41" i="13"/>
  <c r="M41" i="13"/>
  <c r="P7" i="13"/>
  <c r="S7" i="13"/>
  <c r="M7" i="13"/>
  <c r="P44" i="13"/>
  <c r="S44" i="13"/>
  <c r="M44" i="13"/>
  <c r="P40" i="13"/>
  <c r="S40" i="13"/>
  <c r="M40" i="13"/>
  <c r="P9" i="13"/>
  <c r="P46" i="13"/>
  <c r="S46" i="13"/>
  <c r="P5" i="13"/>
  <c r="S5" i="13"/>
  <c r="M5" i="13"/>
  <c r="P39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Q43" i="12" s="1"/>
  <c r="AJ705" i="9"/>
  <c r="Q9" i="12"/>
  <c r="Q21" i="12"/>
  <c r="Q23" i="12"/>
  <c r="Q38" i="12"/>
  <c r="Q39" i="12"/>
  <c r="Q44" i="12"/>
  <c r="Q46" i="12"/>
  <c r="Q47" i="12"/>
  <c r="Q51" i="12"/>
  <c r="Q54" i="12"/>
  <c r="Q55" i="12"/>
  <c r="Q57" i="12"/>
  <c r="Q58" i="12"/>
  <c r="N7" i="12"/>
  <c r="N9" i="12"/>
  <c r="N19" i="12"/>
  <c r="N21" i="12"/>
  <c r="N23" i="12"/>
  <c r="N38" i="12"/>
  <c r="N39" i="12"/>
  <c r="N43" i="12"/>
  <c r="N44" i="12"/>
  <c r="N46" i="12"/>
  <c r="N47" i="12"/>
  <c r="N51" i="12"/>
  <c r="N54" i="12"/>
  <c r="N55" i="12"/>
  <c r="N57" i="12"/>
  <c r="N58" i="12"/>
  <c r="K7" i="12"/>
  <c r="K9" i="12"/>
  <c r="K19" i="12"/>
  <c r="K21" i="12"/>
  <c r="K23" i="12"/>
  <c r="K38" i="12"/>
  <c r="K39" i="12"/>
  <c r="K43" i="12"/>
  <c r="K44" i="12"/>
  <c r="K46" i="12"/>
  <c r="K47" i="12"/>
  <c r="K51" i="12"/>
  <c r="K54" i="12"/>
  <c r="K55" i="12"/>
  <c r="K57" i="12"/>
  <c r="K58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5" i="12" s="1"/>
  <c r="AI39" i="9"/>
  <c r="Q15" i="12" s="1"/>
  <c r="AJ39" i="9"/>
  <c r="K15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7" i="12" s="1"/>
  <c r="AI51" i="9"/>
  <c r="Q17" i="12" s="1"/>
  <c r="AJ51" i="9"/>
  <c r="K17" i="12" s="1"/>
  <c r="AG52" i="9"/>
  <c r="AH52" i="9"/>
  <c r="N60" i="12" s="1"/>
  <c r="AI52" i="9"/>
  <c r="Q60" i="12" s="1"/>
  <c r="AJ52" i="9"/>
  <c r="K60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6" i="12" s="1"/>
  <c r="AI58" i="9"/>
  <c r="Q36" i="12" s="1"/>
  <c r="AJ58" i="9"/>
  <c r="K36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9" i="12" s="1"/>
  <c r="AI81" i="9"/>
  <c r="Q29" i="12" s="1"/>
  <c r="AJ81" i="9"/>
  <c r="K29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9" i="12" s="1"/>
  <c r="AI102" i="9"/>
  <c r="Q59" i="12" s="1"/>
  <c r="AJ102" i="9"/>
  <c r="K59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8" i="12" s="1"/>
  <c r="AI183" i="9"/>
  <c r="Q48" i="12" s="1"/>
  <c r="AJ183" i="9"/>
  <c r="K48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1" i="12" s="1"/>
  <c r="AI266" i="9"/>
  <c r="Q31" i="12" s="1"/>
  <c r="AJ266" i="9"/>
  <c r="K31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4" i="12" s="1"/>
  <c r="AI325" i="9"/>
  <c r="Q34" i="12" s="1"/>
  <c r="AJ325" i="9"/>
  <c r="K34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2" i="12" s="1"/>
  <c r="AI364" i="9"/>
  <c r="Q12" i="12" s="1"/>
  <c r="AJ364" i="9"/>
  <c r="K12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2" i="12" s="1"/>
  <c r="AI381" i="9"/>
  <c r="Q22" i="12" s="1"/>
  <c r="AJ381" i="9"/>
  <c r="K22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50" i="12" s="1"/>
  <c r="AI436" i="9"/>
  <c r="Q50" i="12" s="1"/>
  <c r="AJ436" i="9"/>
  <c r="K50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5" i="12" s="1"/>
  <c r="AI467" i="9"/>
  <c r="Q35" i="12" s="1"/>
  <c r="AJ467" i="9"/>
  <c r="K35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9" i="12" s="1"/>
  <c r="AI476" i="9"/>
  <c r="Q49" i="12" s="1"/>
  <c r="AJ476" i="9"/>
  <c r="K49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8" i="12" s="1"/>
  <c r="AI497" i="9"/>
  <c r="Q28" i="12" s="1"/>
  <c r="AJ497" i="9"/>
  <c r="K28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1" i="12" s="1"/>
  <c r="AI515" i="9"/>
  <c r="Q11" i="12" s="1"/>
  <c r="AJ515" i="9"/>
  <c r="K11" i="12" s="1"/>
  <c r="AG516" i="9"/>
  <c r="AH516" i="9"/>
  <c r="N18" i="12" s="1"/>
  <c r="AI516" i="9"/>
  <c r="Q18" i="12" s="1"/>
  <c r="AJ516" i="9"/>
  <c r="K18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1" i="12" s="1"/>
  <c r="AI527" i="9"/>
  <c r="Q41" i="12" s="1"/>
  <c r="AJ527" i="9"/>
  <c r="K41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6" i="12" s="1"/>
  <c r="AI564" i="9"/>
  <c r="Q56" i="12" s="1"/>
  <c r="AJ564" i="9"/>
  <c r="K56" i="12" s="1"/>
  <c r="AG565" i="9"/>
  <c r="AH565" i="9"/>
  <c r="N13" i="12" s="1"/>
  <c r="AI565" i="9"/>
  <c r="Q13" i="12" s="1"/>
  <c r="AJ565" i="9"/>
  <c r="K13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4" i="12" s="1"/>
  <c r="AI571" i="9"/>
  <c r="Q24" i="12" s="1"/>
  <c r="AJ571" i="9"/>
  <c r="K24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6" i="12" s="1"/>
  <c r="AI575" i="9"/>
  <c r="Q16" i="12" s="1"/>
  <c r="AJ575" i="9"/>
  <c r="K16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4" i="12" s="1"/>
  <c r="AI593" i="9"/>
  <c r="Q14" i="12" s="1"/>
  <c r="AJ593" i="9"/>
  <c r="K14" i="12" s="1"/>
  <c r="AG594" i="9"/>
  <c r="AH594" i="9"/>
  <c r="N40" i="12" s="1"/>
  <c r="AI594" i="9"/>
  <c r="Q40" i="12" s="1"/>
  <c r="AJ594" i="9"/>
  <c r="K40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20" i="12" s="1"/>
  <c r="AI621" i="9"/>
  <c r="Q20" i="12" s="1"/>
  <c r="AJ621" i="9"/>
  <c r="K20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7" i="12" s="1"/>
  <c r="AI648" i="9"/>
  <c r="Q27" i="12" s="1"/>
  <c r="AJ648" i="9"/>
  <c r="K27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5" i="12" s="1"/>
  <c r="AI652" i="9"/>
  <c r="Q25" i="12" s="1"/>
  <c r="AJ652" i="9"/>
  <c r="K25" i="12" s="1"/>
  <c r="AG653" i="9"/>
  <c r="AH653" i="9"/>
  <c r="AI653" i="9"/>
  <c r="AJ653" i="9"/>
  <c r="AG654" i="9"/>
  <c r="AH654" i="9"/>
  <c r="N30" i="12" s="1"/>
  <c r="AI654" i="9"/>
  <c r="Q30" i="12" s="1"/>
  <c r="AJ654" i="9"/>
  <c r="K30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6" i="12" s="1"/>
  <c r="AI668" i="9"/>
  <c r="Q26" i="12" s="1"/>
  <c r="AJ668" i="9"/>
  <c r="K26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2" i="12" s="1"/>
  <c r="AI678" i="9"/>
  <c r="Q52" i="12" s="1"/>
  <c r="AJ678" i="9"/>
  <c r="K52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2" i="12" s="1"/>
  <c r="AI688" i="9"/>
  <c r="Q42" i="12" s="1"/>
  <c r="AJ688" i="9"/>
  <c r="K42" i="12" s="1"/>
  <c r="AG689" i="9"/>
  <c r="AH689" i="9"/>
  <c r="N37" i="12" s="1"/>
  <c r="AI689" i="9"/>
  <c r="Q37" i="12" s="1"/>
  <c r="AJ689" i="9"/>
  <c r="K37" i="12" s="1"/>
  <c r="AI2" i="9"/>
  <c r="AH2" i="9"/>
  <c r="AA475" i="10"/>
  <c r="AB475" i="10"/>
  <c r="P36" i="11" s="1"/>
  <c r="AC475" i="10"/>
  <c r="S36" i="11" s="1"/>
  <c r="AD475" i="10"/>
  <c r="M36" i="11" s="1"/>
  <c r="AA476" i="10"/>
  <c r="AB476" i="10"/>
  <c r="P4" i="11" s="1"/>
  <c r="AC476" i="10"/>
  <c r="S4" i="11" s="1"/>
  <c r="AD476" i="10"/>
  <c r="M4" i="11" s="1"/>
  <c r="AA477" i="10"/>
  <c r="AB477" i="10"/>
  <c r="P29" i="11" s="1"/>
  <c r="AC477" i="10"/>
  <c r="AD477" i="10"/>
  <c r="M29" i="11" s="1"/>
  <c r="AA478" i="10"/>
  <c r="AB478" i="10"/>
  <c r="P14" i="11" s="1"/>
  <c r="AC478" i="10"/>
  <c r="S14" i="11" s="1"/>
  <c r="AD478" i="10"/>
  <c r="M14" i="11" s="1"/>
  <c r="AA479" i="10"/>
  <c r="AB479" i="10"/>
  <c r="P23" i="11" s="1"/>
  <c r="AC479" i="10"/>
  <c r="S23" i="11" s="1"/>
  <c r="AD479" i="10"/>
  <c r="M23" i="11" s="1"/>
  <c r="AA480" i="10"/>
  <c r="AB480" i="10"/>
  <c r="P47" i="11" s="1"/>
  <c r="AC480" i="10"/>
  <c r="S47" i="11" s="1"/>
  <c r="AD480" i="10"/>
  <c r="M47" i="11" s="1"/>
  <c r="AA481" i="10"/>
  <c r="AB481" i="10"/>
  <c r="P33" i="11" s="1"/>
  <c r="AC481" i="10"/>
  <c r="AD481" i="10"/>
  <c r="M33" i="11" s="1"/>
  <c r="AA482" i="10"/>
  <c r="AB482" i="10"/>
  <c r="P45" i="11" s="1"/>
  <c r="AC482" i="10"/>
  <c r="S45" i="11" s="1"/>
  <c r="AD482" i="10"/>
  <c r="M45" i="11" s="1"/>
  <c r="AA483" i="10"/>
  <c r="AB483" i="10"/>
  <c r="P11" i="11" s="1"/>
  <c r="AC483" i="10"/>
  <c r="S11" i="11" s="1"/>
  <c r="AD483" i="10"/>
  <c r="M11" i="11" s="1"/>
  <c r="AA484" i="10"/>
  <c r="AB484" i="10"/>
  <c r="P12" i="11" s="1"/>
  <c r="AC484" i="10"/>
  <c r="S12" i="11" s="1"/>
  <c r="AD484" i="10"/>
  <c r="M12" i="11" s="1"/>
  <c r="AA485" i="10"/>
  <c r="AB485" i="10"/>
  <c r="P32" i="11" s="1"/>
  <c r="AC485" i="10"/>
  <c r="AD485" i="10"/>
  <c r="M32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T47" i="11"/>
  <c r="H47" i="11"/>
  <c r="I47" i="11"/>
  <c r="J47" i="11" a="1"/>
  <c r="J47" i="11" s="1"/>
  <c r="K47" i="11"/>
  <c r="L47" i="11"/>
  <c r="N47" i="11"/>
  <c r="O47" i="11" s="1"/>
  <c r="Q47" i="11"/>
  <c r="R47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18" i="11" s="1"/>
  <c r="AC471" i="10"/>
  <c r="S18" i="11" s="1"/>
  <c r="AD471" i="10"/>
  <c r="M18" i="11" s="1"/>
  <c r="AA472" i="10"/>
  <c r="AB472" i="10"/>
  <c r="AC472" i="10"/>
  <c r="AD472" i="10"/>
  <c r="AA473" i="10"/>
  <c r="AB473" i="10"/>
  <c r="AC473" i="10"/>
  <c r="AD473" i="10"/>
  <c r="AA474" i="10"/>
  <c r="AB474" i="10"/>
  <c r="P55" i="11" s="1"/>
  <c r="AC474" i="10"/>
  <c r="S55" i="11" s="1"/>
  <c r="AD474" i="10"/>
  <c r="M55" i="11" s="1"/>
  <c r="AA451" i="10"/>
  <c r="AB451" i="10"/>
  <c r="P52" i="11" s="1"/>
  <c r="AC451" i="10"/>
  <c r="S52" i="11" s="1"/>
  <c r="AD451" i="10"/>
  <c r="M52" i="11" s="1"/>
  <c r="AA452" i="10"/>
  <c r="AB452" i="10"/>
  <c r="P21" i="11" s="1"/>
  <c r="AC452" i="10"/>
  <c r="S21" i="11" s="1"/>
  <c r="AD452" i="10"/>
  <c r="M21" i="11" s="1"/>
  <c r="AA453" i="10"/>
  <c r="AB453" i="10"/>
  <c r="P48" i="11" s="1"/>
  <c r="AC453" i="10"/>
  <c r="S48" i="11" s="1"/>
  <c r="AD453" i="10"/>
  <c r="M48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4" i="11" s="1"/>
  <c r="AC457" i="10"/>
  <c r="S54" i="11" s="1"/>
  <c r="AD457" i="10"/>
  <c r="M54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3" i="11" s="1"/>
  <c r="AC461" i="10"/>
  <c r="S13" i="11" s="1"/>
  <c r="AD461" i="10"/>
  <c r="M13" i="11" s="1"/>
  <c r="AA462" i="10"/>
  <c r="AB462" i="10"/>
  <c r="P30" i="11" s="1"/>
  <c r="AC462" i="10"/>
  <c r="S30" i="11" s="1"/>
  <c r="AD462" i="10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F43" i="12"/>
  <c r="G43" i="12"/>
  <c r="H43" i="12" a="1"/>
  <c r="H43" i="12" s="1"/>
  <c r="I43" i="12"/>
  <c r="J43" i="12"/>
  <c r="L43" i="12"/>
  <c r="M43" i="12" s="1"/>
  <c r="O43" i="12"/>
  <c r="P43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6" i="11" s="1"/>
  <c r="AC445" i="10"/>
  <c r="S26" i="11" s="1"/>
  <c r="AD445" i="10"/>
  <c r="M26" i="11" s="1"/>
  <c r="AA446" i="10"/>
  <c r="AB446" i="10"/>
  <c r="AC446" i="10"/>
  <c r="AD446" i="10"/>
  <c r="AA447" i="10"/>
  <c r="AB447" i="10"/>
  <c r="P17" i="11" s="1"/>
  <c r="AC447" i="10"/>
  <c r="S17" i="11" s="1"/>
  <c r="AD447" i="10"/>
  <c r="M17" i="11" s="1"/>
  <c r="AA448" i="10"/>
  <c r="AB448" i="10"/>
  <c r="AC448" i="10"/>
  <c r="AD448" i="10"/>
  <c r="AA449" i="10"/>
  <c r="AB449" i="10"/>
  <c r="AC449" i="10"/>
  <c r="AD449" i="10"/>
  <c r="AA450" i="10"/>
  <c r="AB450" i="10"/>
  <c r="P25" i="11" s="1"/>
  <c r="AC450" i="10"/>
  <c r="S25" i="11" s="1"/>
  <c r="AD450" i="10"/>
  <c r="M25" i="11" s="1"/>
  <c r="H53" i="11"/>
  <c r="I53" i="11"/>
  <c r="J53" i="11" a="1"/>
  <c r="J53" i="11" s="1"/>
  <c r="K53" i="11"/>
  <c r="L53" i="11"/>
  <c r="N53" i="11"/>
  <c r="O53" i="11" s="1"/>
  <c r="Q53" i="11"/>
  <c r="R53" i="11" s="1"/>
  <c r="H42" i="11"/>
  <c r="I42" i="11"/>
  <c r="J42" i="11" a="1"/>
  <c r="J42" i="11" s="1"/>
  <c r="K42" i="11"/>
  <c r="L42" i="11"/>
  <c r="N42" i="11"/>
  <c r="O42" i="11" s="1"/>
  <c r="Q42" i="11"/>
  <c r="R42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T42" i="11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F24" i="12"/>
  <c r="G24" i="12"/>
  <c r="H24" i="12" a="1"/>
  <c r="H24" i="12" s="1"/>
  <c r="I24" i="12"/>
  <c r="J24" i="12"/>
  <c r="L24" i="12"/>
  <c r="M24" i="12" s="1"/>
  <c r="O24" i="12"/>
  <c r="P24" i="12" s="1"/>
  <c r="O2" i="12"/>
  <c r="R7" i="12"/>
  <c r="R6" i="12"/>
  <c r="S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AJ60" i="12"/>
  <c r="AK60" i="12"/>
  <c r="AL60" i="12"/>
  <c r="AM60" i="12"/>
  <c r="R60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R59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AM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6" i="12"/>
  <c r="G16" i="12"/>
  <c r="H16" i="12" a="1"/>
  <c r="H16" i="12" s="1"/>
  <c r="I16" i="12"/>
  <c r="J16" i="12"/>
  <c r="L16" i="12"/>
  <c r="M16" i="12" s="1"/>
  <c r="O16" i="12"/>
  <c r="P16" i="12" s="1"/>
  <c r="AA415" i="10"/>
  <c r="AB415" i="10"/>
  <c r="P43" i="11" s="1"/>
  <c r="AC415" i="10"/>
  <c r="S43" i="11" s="1"/>
  <c r="AD415" i="10"/>
  <c r="M43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7" i="11" s="1"/>
  <c r="AC435" i="10"/>
  <c r="S37" i="11" s="1"/>
  <c r="AD435" i="10"/>
  <c r="M37" i="11" s="1"/>
  <c r="AA436" i="10"/>
  <c r="AB436" i="10"/>
  <c r="P49" i="11" s="1"/>
  <c r="AC436" i="10"/>
  <c r="S49" i="11" s="1"/>
  <c r="AD436" i="10"/>
  <c r="M49" i="11" s="1"/>
  <c r="AA437" i="10"/>
  <c r="AB437" i="10"/>
  <c r="AC437" i="10"/>
  <c r="AD437" i="10"/>
  <c r="AA438" i="10"/>
  <c r="AB438" i="10"/>
  <c r="P53" i="11" s="1"/>
  <c r="AC438" i="10"/>
  <c r="S53" i="11" s="1"/>
  <c r="AD438" i="10"/>
  <c r="M53" i="11" s="1"/>
  <c r="AA439" i="10"/>
  <c r="AB439" i="10"/>
  <c r="AC439" i="10"/>
  <c r="AD439" i="10"/>
  <c r="AA440" i="10"/>
  <c r="AB440" i="10"/>
  <c r="AC440" i="10"/>
  <c r="AD440" i="10"/>
  <c r="T40" i="11"/>
  <c r="F25" i="12"/>
  <c r="G25" i="12"/>
  <c r="H25" i="12" a="1"/>
  <c r="H25" i="12" s="1"/>
  <c r="I25" i="12"/>
  <c r="J25" i="12"/>
  <c r="L25" i="12"/>
  <c r="M25" i="12" s="1"/>
  <c r="O25" i="12"/>
  <c r="P25" i="12" s="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T44" i="11"/>
  <c r="H44" i="11"/>
  <c r="I44" i="11"/>
  <c r="J44" i="11" a="1"/>
  <c r="J44" i="11" s="1"/>
  <c r="K44" i="11"/>
  <c r="L44" i="11"/>
  <c r="N44" i="11"/>
  <c r="O44" i="11" s="1"/>
  <c r="Q44" i="11"/>
  <c r="R44" i="11" s="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T32" i="11"/>
  <c r="H32" i="11"/>
  <c r="I32" i="11"/>
  <c r="J32" i="11" a="1"/>
  <c r="J32" i="11" s="1"/>
  <c r="K32" i="11"/>
  <c r="L32" i="11"/>
  <c r="N32" i="11"/>
  <c r="O32" i="11" s="1"/>
  <c r="Q32" i="11"/>
  <c r="R32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2" i="11" s="1"/>
  <c r="AC414" i="10"/>
  <c r="S42" i="11" s="1"/>
  <c r="AD414" i="10"/>
  <c r="M42" i="11" s="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T50" i="11"/>
  <c r="H50" i="11"/>
  <c r="I50" i="11"/>
  <c r="J50" i="11" a="1"/>
  <c r="J50" i="11" s="1"/>
  <c r="K50" i="11"/>
  <c r="L50" i="11"/>
  <c r="N50" i="11"/>
  <c r="O50" i="11" s="1"/>
  <c r="Q50" i="11"/>
  <c r="R50" i="11" s="1"/>
  <c r="AA390" i="10"/>
  <c r="AB390" i="10"/>
  <c r="AC390" i="10"/>
  <c r="AD390" i="10"/>
  <c r="AA391" i="10"/>
  <c r="AB391" i="10"/>
  <c r="AC391" i="10"/>
  <c r="AD391" i="10"/>
  <c r="AA392" i="10"/>
  <c r="AB392" i="10"/>
  <c r="P39" i="11" s="1"/>
  <c r="AC392" i="10"/>
  <c r="S39" i="11" s="1"/>
  <c r="AD392" i="10"/>
  <c r="M39" i="11" s="1"/>
  <c r="AA393" i="10"/>
  <c r="AB393" i="10"/>
  <c r="P20" i="11" s="1"/>
  <c r="AC393" i="10"/>
  <c r="S20" i="11" s="1"/>
  <c r="AD393" i="10"/>
  <c r="M20" i="11" s="1"/>
  <c r="AA394" i="10"/>
  <c r="AB394" i="10"/>
  <c r="AC394" i="10"/>
  <c r="AD394" i="10"/>
  <c r="AA395" i="10"/>
  <c r="AB395" i="10"/>
  <c r="AC395" i="10"/>
  <c r="AD395" i="10"/>
  <c r="AA396" i="10"/>
  <c r="AB396" i="10"/>
  <c r="P50" i="11" s="1"/>
  <c r="AC396" i="10"/>
  <c r="S50" i="11" s="1"/>
  <c r="AD396" i="10"/>
  <c r="M50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T12" i="11"/>
  <c r="H12" i="11"/>
  <c r="I12" i="11"/>
  <c r="J12" i="11" a="1"/>
  <c r="J12" i="11" s="1"/>
  <c r="K12" i="11"/>
  <c r="L12" i="11"/>
  <c r="N12" i="11"/>
  <c r="O12" i="11" s="1"/>
  <c r="Q12" i="11"/>
  <c r="R12" i="11" s="1"/>
  <c r="F13" i="12"/>
  <c r="G13" i="12"/>
  <c r="H13" i="12" a="1"/>
  <c r="H13" i="12" s="1"/>
  <c r="I13" i="12"/>
  <c r="J13" i="12"/>
  <c r="L13" i="12"/>
  <c r="M13" i="12" s="1"/>
  <c r="O13" i="12"/>
  <c r="P13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1" i="11"/>
  <c r="AC13" i="11"/>
  <c r="AC14" i="11"/>
  <c r="AC17" i="11"/>
  <c r="AC18" i="11"/>
  <c r="AC19" i="11"/>
  <c r="AC20" i="11"/>
  <c r="AC21" i="11"/>
  <c r="AC23" i="11"/>
  <c r="AC24" i="11"/>
  <c r="AC25" i="11"/>
  <c r="AC26" i="11"/>
  <c r="AC27" i="11"/>
  <c r="AC28" i="11"/>
  <c r="AC29" i="11"/>
  <c r="AC30" i="11"/>
  <c r="AC31" i="11"/>
  <c r="AC33" i="11"/>
  <c r="AC35" i="11"/>
  <c r="AC36" i="11"/>
  <c r="AC37" i="11"/>
  <c r="AC38" i="11"/>
  <c r="AC39" i="11"/>
  <c r="AC40" i="11"/>
  <c r="AC43" i="11"/>
  <c r="AC45" i="11"/>
  <c r="AC48" i="11"/>
  <c r="AC49" i="11"/>
  <c r="AC52" i="11"/>
  <c r="AC53" i="11"/>
  <c r="AC54" i="11"/>
  <c r="AC55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9" i="12"/>
  <c r="M49" i="12" s="1"/>
  <c r="O49" i="12"/>
  <c r="P49" i="12" s="1"/>
  <c r="I49" i="12"/>
  <c r="J49" i="12"/>
  <c r="F49" i="12"/>
  <c r="G49" i="12"/>
  <c r="H49" i="12" a="1"/>
  <c r="H49" i="12" s="1"/>
  <c r="AA377" i="10"/>
  <c r="AB377" i="10"/>
  <c r="AC377" i="10"/>
  <c r="AD377" i="10"/>
  <c r="AA361" i="10"/>
  <c r="AB361" i="10"/>
  <c r="P40" i="11" s="1"/>
  <c r="AC361" i="10"/>
  <c r="S40" i="11" s="1"/>
  <c r="AD361" i="10"/>
  <c r="M40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F35" i="12"/>
  <c r="G35" i="12"/>
  <c r="H35" i="12" a="1"/>
  <c r="H35" i="12" s="1"/>
  <c r="I35" i="12"/>
  <c r="J35" i="12"/>
  <c r="L35" i="12"/>
  <c r="O35" i="12"/>
  <c r="P35" i="12" s="1"/>
  <c r="F36" i="12"/>
  <c r="G36" i="12"/>
  <c r="H36" i="12" a="1"/>
  <c r="H36" i="12" s="1"/>
  <c r="I36" i="12"/>
  <c r="J36" i="12"/>
  <c r="L36" i="12"/>
  <c r="M36" i="12" s="1"/>
  <c r="O36" i="12"/>
  <c r="P36" i="12" s="1"/>
  <c r="M30" i="11" l="1"/>
  <c r="M44" i="11"/>
  <c r="P44" i="11"/>
  <c r="S44" i="11"/>
  <c r="S32" i="11"/>
  <c r="S33" i="11"/>
  <c r="S29" i="11"/>
  <c r="P2" i="12"/>
  <c r="M35" i="12"/>
  <c r="L22" i="12"/>
  <c r="M22" i="12" s="1"/>
  <c r="O22" i="12"/>
  <c r="P22" i="12" s="1"/>
  <c r="I22" i="12"/>
  <c r="J22" i="12"/>
  <c r="F22" i="12"/>
  <c r="G22" i="12"/>
  <c r="H22" i="12" a="1"/>
  <c r="H22" i="12" s="1"/>
  <c r="I42" i="12"/>
  <c r="J42" i="12"/>
  <c r="L42" i="12"/>
  <c r="M42" i="12" s="1"/>
  <c r="O42" i="12"/>
  <c r="P42" i="12" s="1"/>
  <c r="F42" i="12"/>
  <c r="G42" i="12"/>
  <c r="H42" i="12" a="1"/>
  <c r="H42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Q25" i="11"/>
  <c r="R25" i="11" s="1"/>
  <c r="N25" i="11"/>
  <c r="L25" i="11"/>
  <c r="K25" i="11"/>
  <c r="I25" i="11"/>
  <c r="H25" i="11"/>
  <c r="J25" i="11" a="1"/>
  <c r="J25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7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1" i="12"/>
  <c r="P11" i="12" s="1"/>
  <c r="O12" i="12"/>
  <c r="P12" i="12" s="1"/>
  <c r="O14" i="12"/>
  <c r="P14" i="12" s="1"/>
  <c r="O46" i="12"/>
  <c r="P46" i="12" s="1"/>
  <c r="O15" i="12"/>
  <c r="P15" i="12" s="1"/>
  <c r="O17" i="12"/>
  <c r="P17" i="12" s="1"/>
  <c r="O18" i="12"/>
  <c r="P18" i="12" s="1"/>
  <c r="O19" i="12"/>
  <c r="P19" i="12" s="1"/>
  <c r="O20" i="12"/>
  <c r="P20" i="12" s="1"/>
  <c r="O21" i="12"/>
  <c r="P21" i="12" s="1"/>
  <c r="O23" i="12"/>
  <c r="P23" i="12" s="1"/>
  <c r="O26" i="12"/>
  <c r="P26" i="12" s="1"/>
  <c r="O27" i="12"/>
  <c r="P27" i="12" s="1"/>
  <c r="O28" i="12"/>
  <c r="P28" i="12" s="1"/>
  <c r="O29" i="12"/>
  <c r="P29" i="12" s="1"/>
  <c r="O30" i="12"/>
  <c r="P30" i="12" s="1"/>
  <c r="P31" i="12"/>
  <c r="O34" i="12"/>
  <c r="P34" i="12" s="1"/>
  <c r="O37" i="12"/>
  <c r="P37" i="12" s="1"/>
  <c r="O38" i="12"/>
  <c r="P38" i="12" s="1"/>
  <c r="O39" i="12"/>
  <c r="P39" i="12" s="1"/>
  <c r="O40" i="12"/>
  <c r="P40" i="12" s="1"/>
  <c r="O41" i="12"/>
  <c r="P41" i="12" s="1"/>
  <c r="O44" i="12"/>
  <c r="P44" i="12" s="1"/>
  <c r="O47" i="12"/>
  <c r="P47" i="12" s="1"/>
  <c r="O48" i="12"/>
  <c r="P48" i="12" s="1"/>
  <c r="O50" i="12"/>
  <c r="P50" i="12" s="1"/>
  <c r="O51" i="12"/>
  <c r="P51" i="12" s="1"/>
  <c r="O52" i="12"/>
  <c r="P52" i="12" s="1"/>
  <c r="O54" i="12"/>
  <c r="P54" i="12" s="1"/>
  <c r="O55" i="12"/>
  <c r="P55" i="12" s="1"/>
  <c r="O56" i="12"/>
  <c r="P56" i="12" s="1"/>
  <c r="O57" i="12"/>
  <c r="P57" i="12" s="1"/>
  <c r="O58" i="12"/>
  <c r="P58" i="12" s="1"/>
  <c r="O59" i="12"/>
  <c r="P59" i="12" s="1"/>
  <c r="O60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1" i="12"/>
  <c r="M11" i="12" s="1"/>
  <c r="L12" i="12"/>
  <c r="M12" i="12" s="1"/>
  <c r="L14" i="12"/>
  <c r="M14" i="12" s="1"/>
  <c r="L46" i="12"/>
  <c r="L15" i="12"/>
  <c r="M15" i="12" s="1"/>
  <c r="L17" i="12"/>
  <c r="M17" i="12" s="1"/>
  <c r="L18" i="12"/>
  <c r="M18" i="12" s="1"/>
  <c r="L19" i="12"/>
  <c r="M19" i="12" s="1"/>
  <c r="L20" i="12"/>
  <c r="M20" i="12" s="1"/>
  <c r="L21" i="12"/>
  <c r="M21" i="12" s="1"/>
  <c r="L23" i="12"/>
  <c r="M23" i="12" s="1"/>
  <c r="L26" i="12"/>
  <c r="M26" i="12" s="1"/>
  <c r="L27" i="12"/>
  <c r="M27" i="12" s="1"/>
  <c r="L28" i="12"/>
  <c r="M28" i="12" s="1"/>
  <c r="L29" i="12"/>
  <c r="M29" i="12" s="1"/>
  <c r="L30" i="12"/>
  <c r="M30" i="12" s="1"/>
  <c r="L31" i="12"/>
  <c r="M31" i="12" s="1"/>
  <c r="L34" i="12"/>
  <c r="M34" i="12" s="1"/>
  <c r="L37" i="12"/>
  <c r="M37" i="12" s="1"/>
  <c r="L38" i="12"/>
  <c r="M38" i="12" s="1"/>
  <c r="L39" i="12"/>
  <c r="M39" i="12" s="1"/>
  <c r="L40" i="12"/>
  <c r="M40" i="12" s="1"/>
  <c r="L41" i="12"/>
  <c r="M41" i="12" s="1"/>
  <c r="L44" i="12"/>
  <c r="M44" i="12" s="1"/>
  <c r="L47" i="12"/>
  <c r="M47" i="12" s="1"/>
  <c r="L48" i="12"/>
  <c r="M48" i="12" s="1"/>
  <c r="L50" i="12"/>
  <c r="M50" i="12" s="1"/>
  <c r="L51" i="12"/>
  <c r="M51" i="12" s="1"/>
  <c r="L52" i="12"/>
  <c r="M52" i="12" s="1"/>
  <c r="L54" i="12"/>
  <c r="M54" i="12" s="1"/>
  <c r="L55" i="12"/>
  <c r="M55" i="12" s="1"/>
  <c r="L56" i="12"/>
  <c r="M56" i="12" s="1"/>
  <c r="L57" i="12"/>
  <c r="M57" i="12" s="1"/>
  <c r="L58" i="12"/>
  <c r="M58" i="12" s="1"/>
  <c r="L59" i="12"/>
  <c r="M59" i="12" s="1"/>
  <c r="L60" i="12"/>
  <c r="M60" i="12" s="1"/>
  <c r="L3" i="12"/>
  <c r="M3" i="12" s="1"/>
  <c r="J4" i="12"/>
  <c r="J5" i="12"/>
  <c r="J6" i="12"/>
  <c r="J7" i="12"/>
  <c r="J8" i="12"/>
  <c r="J9" i="12"/>
  <c r="J11" i="12"/>
  <c r="J12" i="12"/>
  <c r="J14" i="12"/>
  <c r="J46" i="12"/>
  <c r="J15" i="12"/>
  <c r="J17" i="12"/>
  <c r="J18" i="12"/>
  <c r="J19" i="12"/>
  <c r="J20" i="12"/>
  <c r="J21" i="12"/>
  <c r="J23" i="12"/>
  <c r="J26" i="12"/>
  <c r="J27" i="12"/>
  <c r="J28" i="12"/>
  <c r="J29" i="12"/>
  <c r="J30" i="12"/>
  <c r="J31" i="12"/>
  <c r="J34" i="12"/>
  <c r="J37" i="12"/>
  <c r="J38" i="12"/>
  <c r="J39" i="12"/>
  <c r="J40" i="12"/>
  <c r="J41" i="12"/>
  <c r="J44" i="12"/>
  <c r="J47" i="12"/>
  <c r="J48" i="12"/>
  <c r="J50" i="12"/>
  <c r="J51" i="12"/>
  <c r="J52" i="12"/>
  <c r="J54" i="12"/>
  <c r="J55" i="12"/>
  <c r="J56" i="12"/>
  <c r="J57" i="12"/>
  <c r="J58" i="12"/>
  <c r="J59" i="12"/>
  <c r="J60" i="12"/>
  <c r="J3" i="12"/>
  <c r="I46" i="12"/>
  <c r="I15" i="12"/>
  <c r="I17" i="12"/>
  <c r="I18" i="12"/>
  <c r="I19" i="12"/>
  <c r="I20" i="12"/>
  <c r="I21" i="12"/>
  <c r="I23" i="12"/>
  <c r="I26" i="12"/>
  <c r="I27" i="12"/>
  <c r="I28" i="12"/>
  <c r="I29" i="12"/>
  <c r="I30" i="12"/>
  <c r="I31" i="12"/>
  <c r="I34" i="12"/>
  <c r="I37" i="12"/>
  <c r="I38" i="12"/>
  <c r="I39" i="12"/>
  <c r="I40" i="12"/>
  <c r="I41" i="12"/>
  <c r="I44" i="12"/>
  <c r="I47" i="12"/>
  <c r="I48" i="12"/>
  <c r="I50" i="12"/>
  <c r="I51" i="12"/>
  <c r="I52" i="12"/>
  <c r="I54" i="12"/>
  <c r="I55" i="12"/>
  <c r="I56" i="12"/>
  <c r="I57" i="12"/>
  <c r="I58" i="12"/>
  <c r="I59" i="12"/>
  <c r="I60" i="12"/>
  <c r="I4" i="12"/>
  <c r="I5" i="12"/>
  <c r="I6" i="12"/>
  <c r="I7" i="12"/>
  <c r="I8" i="12"/>
  <c r="I9" i="12"/>
  <c r="I11" i="12"/>
  <c r="I12" i="12"/>
  <c r="I14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1" i="12" a="1"/>
  <c r="H11" i="12" s="1"/>
  <c r="H12" i="12" a="1"/>
  <c r="H12" i="12" s="1"/>
  <c r="H14" i="12" a="1"/>
  <c r="H14" i="12" s="1"/>
  <c r="H46" i="12" a="1"/>
  <c r="H46" i="12" s="1"/>
  <c r="H15" i="12" a="1"/>
  <c r="H15" i="12" s="1"/>
  <c r="H17" i="12" a="1"/>
  <c r="H17" i="12" s="1"/>
  <c r="H18" i="12" a="1"/>
  <c r="H18" i="12" s="1"/>
  <c r="H19" i="12" a="1"/>
  <c r="H19" i="12" s="1"/>
  <c r="H20" i="12" a="1"/>
  <c r="H20" i="12" s="1"/>
  <c r="H21" i="12" a="1"/>
  <c r="H21" i="12" s="1"/>
  <c r="H23" i="12" a="1"/>
  <c r="H23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1" i="12" a="1"/>
  <c r="H31" i="12" s="1"/>
  <c r="H34" i="12" a="1"/>
  <c r="H34" i="12" s="1"/>
  <c r="H37" i="12" a="1"/>
  <c r="H37" i="12" s="1"/>
  <c r="H38" i="12" a="1"/>
  <c r="H38" i="12" s="1"/>
  <c r="H39" i="12" a="1"/>
  <c r="H39" i="12" s="1"/>
  <c r="H40" i="12" a="1"/>
  <c r="H40" i="12" s="1"/>
  <c r="H41" i="12" a="1"/>
  <c r="H41" i="12" s="1"/>
  <c r="H44" i="12" a="1"/>
  <c r="H44" i="12" s="1"/>
  <c r="H47" i="12" a="1"/>
  <c r="H47" i="12" s="1"/>
  <c r="H48" i="12" a="1"/>
  <c r="H48" i="12" s="1"/>
  <c r="H50" i="12" a="1"/>
  <c r="H50" i="12" s="1"/>
  <c r="H51" i="12" a="1"/>
  <c r="H51" i="12" s="1"/>
  <c r="H52" i="12" a="1"/>
  <c r="H52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60" i="12" a="1"/>
  <c r="H60" i="12" s="1"/>
  <c r="H3" i="12" a="1"/>
  <c r="H3" i="12" s="1"/>
  <c r="G46" i="12"/>
  <c r="G15" i="12"/>
  <c r="G17" i="12"/>
  <c r="G18" i="12"/>
  <c r="G19" i="12"/>
  <c r="G20" i="12"/>
  <c r="G21" i="12"/>
  <c r="G23" i="12"/>
  <c r="G26" i="12"/>
  <c r="G27" i="12"/>
  <c r="G28" i="12"/>
  <c r="G29" i="12"/>
  <c r="G30" i="12"/>
  <c r="G31" i="12"/>
  <c r="G34" i="12"/>
  <c r="G37" i="12"/>
  <c r="G38" i="12"/>
  <c r="G39" i="12"/>
  <c r="G40" i="12"/>
  <c r="G41" i="12"/>
  <c r="G44" i="12"/>
  <c r="G47" i="12"/>
  <c r="G48" i="12"/>
  <c r="G50" i="12"/>
  <c r="G51" i="12"/>
  <c r="G52" i="12"/>
  <c r="G54" i="12"/>
  <c r="G55" i="12"/>
  <c r="G56" i="12"/>
  <c r="G57" i="12"/>
  <c r="G58" i="12"/>
  <c r="G59" i="12"/>
  <c r="G60" i="12"/>
  <c r="G4" i="12"/>
  <c r="G5" i="12"/>
  <c r="G6" i="12"/>
  <c r="G7" i="12"/>
  <c r="G8" i="12"/>
  <c r="G9" i="12"/>
  <c r="G11" i="12"/>
  <c r="G12" i="12"/>
  <c r="G14" i="12"/>
  <c r="G3" i="12"/>
  <c r="F4" i="12"/>
  <c r="F5" i="12"/>
  <c r="F6" i="12"/>
  <c r="F7" i="12"/>
  <c r="F8" i="12"/>
  <c r="F9" i="12"/>
  <c r="F11" i="12"/>
  <c r="F12" i="12"/>
  <c r="F14" i="12"/>
  <c r="F46" i="12"/>
  <c r="F15" i="12"/>
  <c r="F17" i="12"/>
  <c r="F18" i="12"/>
  <c r="F19" i="12"/>
  <c r="F20" i="12"/>
  <c r="F21" i="12"/>
  <c r="F23" i="12"/>
  <c r="F26" i="12"/>
  <c r="F27" i="12"/>
  <c r="F28" i="12"/>
  <c r="F29" i="12"/>
  <c r="F30" i="12"/>
  <c r="F31" i="12"/>
  <c r="F34" i="12"/>
  <c r="F37" i="12"/>
  <c r="F38" i="12"/>
  <c r="F39" i="12"/>
  <c r="F40" i="12"/>
  <c r="F41" i="12"/>
  <c r="F44" i="12"/>
  <c r="F47" i="12"/>
  <c r="F48" i="12"/>
  <c r="F50" i="12"/>
  <c r="F51" i="12"/>
  <c r="F52" i="12"/>
  <c r="F54" i="12"/>
  <c r="F55" i="12"/>
  <c r="F56" i="12"/>
  <c r="F57" i="12"/>
  <c r="F58" i="12"/>
  <c r="F59" i="12"/>
  <c r="F60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5" i="11"/>
  <c r="V55" i="11"/>
  <c r="W55" i="11"/>
  <c r="X55" i="11"/>
  <c r="Y55" i="11"/>
  <c r="Z55" i="11"/>
  <c r="AA55" i="11"/>
  <c r="AB55" i="11"/>
  <c r="AD55" i="11"/>
  <c r="AE55" i="11"/>
  <c r="AF55" i="11"/>
  <c r="AG55" i="11"/>
  <c r="AH55" i="11"/>
  <c r="AI55" i="11"/>
  <c r="T55" i="11"/>
  <c r="U54" i="11"/>
  <c r="V54" i="11"/>
  <c r="W54" i="11"/>
  <c r="X54" i="11"/>
  <c r="Y54" i="11"/>
  <c r="Z54" i="11"/>
  <c r="AA54" i="11"/>
  <c r="AB54" i="11"/>
  <c r="AD54" i="11"/>
  <c r="AE54" i="11"/>
  <c r="AF54" i="11"/>
  <c r="AG54" i="11"/>
  <c r="AH54" i="11"/>
  <c r="AI54" i="11"/>
  <c r="T54" i="11"/>
  <c r="U52" i="11"/>
  <c r="V52" i="11"/>
  <c r="W52" i="11"/>
  <c r="X52" i="11"/>
  <c r="Y52" i="11"/>
  <c r="Z52" i="11"/>
  <c r="AA52" i="11"/>
  <c r="AB52" i="11"/>
  <c r="AD52" i="11"/>
  <c r="AE52" i="11"/>
  <c r="AF52" i="11"/>
  <c r="AG52" i="11"/>
  <c r="AH52" i="11"/>
  <c r="AI52" i="11"/>
  <c r="T52" i="11"/>
  <c r="U49" i="11"/>
  <c r="V49" i="11"/>
  <c r="W49" i="11"/>
  <c r="X49" i="11"/>
  <c r="Y49" i="11"/>
  <c r="Z49" i="11"/>
  <c r="AA49" i="11"/>
  <c r="AB49" i="11"/>
  <c r="AD49" i="11"/>
  <c r="AE49" i="11"/>
  <c r="AF49" i="11"/>
  <c r="AG49" i="11"/>
  <c r="AH49" i="11"/>
  <c r="AI49" i="11"/>
  <c r="T49" i="11"/>
  <c r="U48" i="11"/>
  <c r="V48" i="11"/>
  <c r="W48" i="11"/>
  <c r="X48" i="11"/>
  <c r="Y48" i="11"/>
  <c r="Z48" i="11"/>
  <c r="AA48" i="11"/>
  <c r="AB48" i="11"/>
  <c r="AD48" i="11"/>
  <c r="AE48" i="11"/>
  <c r="AF48" i="11"/>
  <c r="AG48" i="11"/>
  <c r="AH48" i="11"/>
  <c r="AI48" i="11"/>
  <c r="T48" i="11"/>
  <c r="U45" i="11"/>
  <c r="V45" i="11"/>
  <c r="W45" i="11"/>
  <c r="X45" i="11"/>
  <c r="Y45" i="11"/>
  <c r="Z45" i="11"/>
  <c r="AA45" i="11"/>
  <c r="AB45" i="11"/>
  <c r="AD45" i="11"/>
  <c r="AE45" i="11"/>
  <c r="AF45" i="11"/>
  <c r="AG45" i="11"/>
  <c r="AH45" i="11"/>
  <c r="AI45" i="11"/>
  <c r="T45" i="11"/>
  <c r="U43" i="11"/>
  <c r="V43" i="11"/>
  <c r="W43" i="11"/>
  <c r="X43" i="11"/>
  <c r="Y43" i="11"/>
  <c r="Z43" i="11"/>
  <c r="AA43" i="11"/>
  <c r="AB43" i="11"/>
  <c r="AD43" i="11"/>
  <c r="AE43" i="11"/>
  <c r="AF43" i="11"/>
  <c r="AG43" i="11"/>
  <c r="AH43" i="11"/>
  <c r="AI43" i="11"/>
  <c r="T43" i="11"/>
  <c r="U40" i="11"/>
  <c r="V40" i="11"/>
  <c r="W40" i="11"/>
  <c r="X40" i="11"/>
  <c r="Y40" i="11"/>
  <c r="Z40" i="11"/>
  <c r="AA40" i="11"/>
  <c r="AB40" i="11"/>
  <c r="AD40" i="11"/>
  <c r="AE40" i="11"/>
  <c r="AF40" i="11"/>
  <c r="AG40" i="11"/>
  <c r="AH40" i="11"/>
  <c r="AI40" i="11"/>
  <c r="U39" i="11"/>
  <c r="V39" i="11"/>
  <c r="W39" i="11"/>
  <c r="X39" i="11"/>
  <c r="Y39" i="11"/>
  <c r="Z39" i="11"/>
  <c r="AA39" i="11"/>
  <c r="AB39" i="11"/>
  <c r="AD39" i="11"/>
  <c r="AE39" i="11"/>
  <c r="AF39" i="11"/>
  <c r="AG39" i="11"/>
  <c r="AH39" i="11"/>
  <c r="AI39" i="11"/>
  <c r="T39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T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6" i="11"/>
  <c r="V36" i="11"/>
  <c r="W36" i="11"/>
  <c r="X36" i="11"/>
  <c r="Y36" i="11"/>
  <c r="Z36" i="11"/>
  <c r="AA36" i="11"/>
  <c r="AB36" i="11"/>
  <c r="AD36" i="11"/>
  <c r="AE36" i="11"/>
  <c r="AF36" i="11"/>
  <c r="AG36" i="11"/>
  <c r="AH36" i="11"/>
  <c r="AI36" i="11"/>
  <c r="T36" i="11"/>
  <c r="U35" i="11"/>
  <c r="V35" i="11"/>
  <c r="W35" i="11"/>
  <c r="X35" i="11"/>
  <c r="Y35" i="11"/>
  <c r="Z35" i="11"/>
  <c r="AA35" i="11"/>
  <c r="AB35" i="11"/>
  <c r="AD35" i="11"/>
  <c r="AE35" i="11"/>
  <c r="AF35" i="11"/>
  <c r="AG35" i="11"/>
  <c r="AH35" i="11"/>
  <c r="AI35" i="11"/>
  <c r="T35" i="11"/>
  <c r="U33" i="11"/>
  <c r="V33" i="11"/>
  <c r="W33" i="11"/>
  <c r="X33" i="11"/>
  <c r="Y33" i="11"/>
  <c r="Z33" i="11"/>
  <c r="AA33" i="11"/>
  <c r="AB33" i="11"/>
  <c r="AD33" i="11"/>
  <c r="AE33" i="11"/>
  <c r="AF33" i="11"/>
  <c r="AG33" i="11"/>
  <c r="AH33" i="11"/>
  <c r="AI33" i="11"/>
  <c r="T33" i="11"/>
  <c r="U31" i="11"/>
  <c r="V31" i="11"/>
  <c r="W31" i="11"/>
  <c r="X31" i="11"/>
  <c r="Y31" i="11"/>
  <c r="Z31" i="11"/>
  <c r="AA31" i="11"/>
  <c r="AB31" i="11"/>
  <c r="AD31" i="11"/>
  <c r="AE31" i="11"/>
  <c r="AF31" i="11"/>
  <c r="AG31" i="11"/>
  <c r="AH31" i="11"/>
  <c r="AI31" i="11"/>
  <c r="T31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4" i="11"/>
  <c r="V24" i="11"/>
  <c r="W24" i="11"/>
  <c r="X24" i="11"/>
  <c r="Y24" i="11"/>
  <c r="Z24" i="11"/>
  <c r="AA24" i="11"/>
  <c r="AB24" i="11"/>
  <c r="AD24" i="11"/>
  <c r="AE24" i="11"/>
  <c r="AF24" i="11"/>
  <c r="AG24" i="11"/>
  <c r="AH24" i="11"/>
  <c r="AI24" i="11"/>
  <c r="T24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1" i="11"/>
  <c r="V21" i="11"/>
  <c r="W21" i="11"/>
  <c r="X21" i="11"/>
  <c r="Y21" i="11"/>
  <c r="Z21" i="11"/>
  <c r="AA21" i="11"/>
  <c r="AB21" i="11"/>
  <c r="AD21" i="11"/>
  <c r="AE21" i="11"/>
  <c r="AF21" i="11"/>
  <c r="AG21" i="11"/>
  <c r="AH21" i="11"/>
  <c r="AI21" i="11"/>
  <c r="T21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U18" i="11"/>
  <c r="V18" i="11"/>
  <c r="W18" i="11"/>
  <c r="X18" i="11"/>
  <c r="Y18" i="11"/>
  <c r="Z18" i="11"/>
  <c r="AA18" i="11"/>
  <c r="AB18" i="11"/>
  <c r="AD18" i="11"/>
  <c r="AE18" i="11"/>
  <c r="AF18" i="11"/>
  <c r="AG18" i="11"/>
  <c r="AH18" i="11"/>
  <c r="AI18" i="11"/>
  <c r="T18" i="11"/>
  <c r="U14" i="11"/>
  <c r="V14" i="11"/>
  <c r="W14" i="11"/>
  <c r="X14" i="11"/>
  <c r="Y14" i="11"/>
  <c r="Z14" i="11"/>
  <c r="AA14" i="11"/>
  <c r="AB14" i="11"/>
  <c r="AD14" i="11"/>
  <c r="AE14" i="11"/>
  <c r="AF14" i="11"/>
  <c r="AG14" i="11"/>
  <c r="AH14" i="11"/>
  <c r="AI14" i="11"/>
  <c r="T14" i="11"/>
  <c r="U13" i="11"/>
  <c r="V13" i="11"/>
  <c r="W13" i="11"/>
  <c r="X13" i="11"/>
  <c r="Y13" i="11"/>
  <c r="Z13" i="11"/>
  <c r="AA13" i="11"/>
  <c r="AB13" i="11"/>
  <c r="AD13" i="11"/>
  <c r="AE13" i="11"/>
  <c r="AF13" i="11"/>
  <c r="AG13" i="11"/>
  <c r="AH13" i="11"/>
  <c r="AI13" i="11"/>
  <c r="T13" i="11"/>
  <c r="U11" i="11"/>
  <c r="V11" i="11"/>
  <c r="W11" i="11"/>
  <c r="X11" i="11"/>
  <c r="Y11" i="11"/>
  <c r="Z11" i="11"/>
  <c r="AA11" i="11"/>
  <c r="AB11" i="11"/>
  <c r="AD11" i="11"/>
  <c r="AE11" i="11"/>
  <c r="AF11" i="11"/>
  <c r="AG11" i="11"/>
  <c r="AH11" i="11"/>
  <c r="AI11" i="11"/>
  <c r="T11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7" i="11"/>
  <c r="V17" i="11"/>
  <c r="W17" i="11"/>
  <c r="X17" i="11"/>
  <c r="Y17" i="11"/>
  <c r="Z17" i="11"/>
  <c r="AA17" i="11"/>
  <c r="AB17" i="11"/>
  <c r="AD17" i="11"/>
  <c r="AE17" i="11"/>
  <c r="AF17" i="11"/>
  <c r="AG17" i="11"/>
  <c r="AH17" i="11"/>
  <c r="AI17" i="11"/>
  <c r="T17" i="11"/>
  <c r="Q5" i="11"/>
  <c r="R5" i="11" s="1"/>
  <c r="N6" i="11"/>
  <c r="O6" i="11" s="1"/>
  <c r="N7" i="11"/>
  <c r="O7" i="11" s="1"/>
  <c r="N8" i="11"/>
  <c r="O8" i="11" s="1"/>
  <c r="N9" i="11"/>
  <c r="O9" i="11" s="1"/>
  <c r="N11" i="11"/>
  <c r="O11" i="11" s="1"/>
  <c r="N13" i="11"/>
  <c r="O13" i="11" s="1"/>
  <c r="N14" i="11"/>
  <c r="O14" i="11" s="1"/>
  <c r="N17" i="11"/>
  <c r="O17" i="11" s="1"/>
  <c r="N18" i="11"/>
  <c r="O18" i="11" s="1"/>
  <c r="N19" i="11"/>
  <c r="O19" i="11" s="1"/>
  <c r="N20" i="11"/>
  <c r="O20" i="11" s="1"/>
  <c r="N21" i="11"/>
  <c r="O21" i="11" s="1"/>
  <c r="N23" i="11"/>
  <c r="O23" i="11" s="1"/>
  <c r="N24" i="11"/>
  <c r="O24" i="11" s="1"/>
  <c r="N26" i="11"/>
  <c r="O26" i="11" s="1"/>
  <c r="N27" i="11"/>
  <c r="O27" i="11" s="1"/>
  <c r="N28" i="11"/>
  <c r="O28" i="11" s="1"/>
  <c r="N29" i="11"/>
  <c r="O29" i="11" s="1"/>
  <c r="N30" i="11"/>
  <c r="O30" i="11" s="1"/>
  <c r="N31" i="11"/>
  <c r="O31" i="11" s="1"/>
  <c r="N33" i="11"/>
  <c r="O33" i="11" s="1"/>
  <c r="N35" i="11"/>
  <c r="O35" i="11" s="1"/>
  <c r="N36" i="11"/>
  <c r="O36" i="11" s="1"/>
  <c r="N37" i="11"/>
  <c r="O37" i="11" s="1"/>
  <c r="N38" i="11"/>
  <c r="O38" i="11" s="1"/>
  <c r="N39" i="11"/>
  <c r="O39" i="11" s="1"/>
  <c r="N40" i="11"/>
  <c r="O40" i="11" s="1"/>
  <c r="N43" i="11"/>
  <c r="O43" i="11" s="1"/>
  <c r="N45" i="11"/>
  <c r="O45" i="11" s="1"/>
  <c r="N48" i="11"/>
  <c r="O48" i="11" s="1"/>
  <c r="N49" i="11"/>
  <c r="O49" i="11" s="1"/>
  <c r="N52" i="11"/>
  <c r="O52" i="11" s="1"/>
  <c r="N54" i="11"/>
  <c r="O54" i="11" s="1"/>
  <c r="N55" i="11"/>
  <c r="O55" i="11" s="1"/>
  <c r="N5" i="11"/>
  <c r="O5" i="11" s="1"/>
  <c r="L6" i="11"/>
  <c r="L7" i="11"/>
  <c r="L8" i="11"/>
  <c r="L9" i="11"/>
  <c r="L11" i="11"/>
  <c r="L13" i="11"/>
  <c r="L14" i="11"/>
  <c r="L17" i="11"/>
  <c r="L18" i="11"/>
  <c r="L19" i="11"/>
  <c r="L20" i="11"/>
  <c r="L21" i="11"/>
  <c r="L23" i="11"/>
  <c r="L24" i="11"/>
  <c r="L26" i="11"/>
  <c r="L27" i="11"/>
  <c r="L28" i="11"/>
  <c r="L29" i="11"/>
  <c r="L30" i="11"/>
  <c r="L31" i="11"/>
  <c r="L33" i="11"/>
  <c r="L35" i="11"/>
  <c r="L36" i="11"/>
  <c r="L37" i="11"/>
  <c r="L38" i="11"/>
  <c r="L39" i="11"/>
  <c r="L40" i="11"/>
  <c r="L43" i="11"/>
  <c r="L45" i="11"/>
  <c r="L48" i="11"/>
  <c r="L49" i="11"/>
  <c r="L52" i="11"/>
  <c r="L54" i="11"/>
  <c r="L55" i="11"/>
  <c r="L5" i="11"/>
  <c r="K6" i="11"/>
  <c r="K7" i="11"/>
  <c r="K8" i="11"/>
  <c r="K9" i="11"/>
  <c r="K11" i="11"/>
  <c r="K13" i="11"/>
  <c r="K14" i="11"/>
  <c r="K17" i="11"/>
  <c r="K18" i="11"/>
  <c r="K19" i="11"/>
  <c r="K20" i="11"/>
  <c r="K21" i="11"/>
  <c r="K23" i="11"/>
  <c r="K24" i="11"/>
  <c r="K26" i="11"/>
  <c r="K27" i="11"/>
  <c r="K28" i="11"/>
  <c r="K29" i="11"/>
  <c r="K30" i="11"/>
  <c r="K31" i="11"/>
  <c r="K33" i="11"/>
  <c r="K35" i="11"/>
  <c r="K36" i="11"/>
  <c r="K37" i="11"/>
  <c r="K38" i="11"/>
  <c r="K39" i="11"/>
  <c r="K40" i="11"/>
  <c r="K43" i="11"/>
  <c r="K45" i="11"/>
  <c r="K48" i="11"/>
  <c r="K49" i="11"/>
  <c r="K52" i="11"/>
  <c r="K54" i="11"/>
  <c r="K55" i="11"/>
  <c r="K5" i="11"/>
  <c r="Q6" i="11"/>
  <c r="R6" i="11" s="1"/>
  <c r="Q7" i="11"/>
  <c r="R7" i="11" s="1"/>
  <c r="Q8" i="11"/>
  <c r="R8" i="11" s="1"/>
  <c r="Q9" i="11"/>
  <c r="R9" i="11" s="1"/>
  <c r="Q11" i="11"/>
  <c r="R11" i="11" s="1"/>
  <c r="Q14" i="11"/>
  <c r="R14" i="11" s="1"/>
  <c r="Q17" i="11"/>
  <c r="R17" i="11" s="1"/>
  <c r="Q18" i="11"/>
  <c r="R18" i="11" s="1"/>
  <c r="Q19" i="11"/>
  <c r="R19" i="11" s="1"/>
  <c r="Q20" i="11"/>
  <c r="R20" i="11" s="1"/>
  <c r="Q21" i="11"/>
  <c r="R21" i="11" s="1"/>
  <c r="Q23" i="11"/>
  <c r="R23" i="11" s="1"/>
  <c r="Q24" i="11"/>
  <c r="R24" i="11" s="1"/>
  <c r="Q26" i="11"/>
  <c r="R26" i="11" s="1"/>
  <c r="Q27" i="11"/>
  <c r="R27" i="11" s="1"/>
  <c r="Q28" i="11"/>
  <c r="R28" i="11" s="1"/>
  <c r="Q29" i="11"/>
  <c r="R29" i="11" s="1"/>
  <c r="Q30" i="11"/>
  <c r="Q31" i="11"/>
  <c r="R31" i="11" s="1"/>
  <c r="Q33" i="11"/>
  <c r="R33" i="11" s="1"/>
  <c r="Q35" i="11"/>
  <c r="R35" i="11" s="1"/>
  <c r="Q36" i="11"/>
  <c r="R36" i="11" s="1"/>
  <c r="Q37" i="11"/>
  <c r="R37" i="11" s="1"/>
  <c r="Q38" i="11"/>
  <c r="R38" i="11" s="1"/>
  <c r="Q39" i="11"/>
  <c r="R39" i="11" s="1"/>
  <c r="Q40" i="11"/>
  <c r="R40" i="11" s="1"/>
  <c r="Q43" i="11"/>
  <c r="R43" i="11" s="1"/>
  <c r="Q45" i="11"/>
  <c r="R45" i="11" s="1"/>
  <c r="Q48" i="11"/>
  <c r="R48" i="11" s="1"/>
  <c r="Q49" i="11"/>
  <c r="R49" i="11" s="1"/>
  <c r="Q52" i="11"/>
  <c r="R52" i="11" s="1"/>
  <c r="Q54" i="11"/>
  <c r="R54" i="11" s="1"/>
  <c r="Q55" i="11"/>
  <c r="R55" i="11" s="1"/>
  <c r="J14" i="11" a="1"/>
  <c r="J14" i="11" s="1"/>
  <c r="J17" i="11" a="1"/>
  <c r="J17" i="11" s="1"/>
  <c r="J18" i="11" a="1"/>
  <c r="J18" i="11" s="1"/>
  <c r="J19" i="11" a="1"/>
  <c r="J19" i="11" s="1"/>
  <c r="J20" i="11" a="1"/>
  <c r="J20" i="11" s="1"/>
  <c r="J21" i="11" a="1"/>
  <c r="J21" i="11" s="1"/>
  <c r="J23" i="11" a="1"/>
  <c r="J23" i="11" s="1"/>
  <c r="J24" i="11" a="1"/>
  <c r="J24" i="11" s="1"/>
  <c r="J26" i="11" a="1"/>
  <c r="J26" i="11" s="1"/>
  <c r="J27" i="11" a="1"/>
  <c r="J27" i="11" s="1"/>
  <c r="J28" i="11" a="1"/>
  <c r="J28" i="11" s="1"/>
  <c r="J29" i="11" a="1"/>
  <c r="J29" i="11" s="1"/>
  <c r="J30" i="11" a="1"/>
  <c r="J30" i="11" s="1"/>
  <c r="J31" i="11" a="1"/>
  <c r="J31" i="11" s="1"/>
  <c r="J33" i="11" a="1"/>
  <c r="J33" i="11" s="1"/>
  <c r="J35" i="11" a="1"/>
  <c r="J35" i="11" s="1"/>
  <c r="J36" i="11" a="1"/>
  <c r="J36" i="11" s="1"/>
  <c r="J37" i="11" a="1"/>
  <c r="J37" i="11" s="1"/>
  <c r="J38" i="11" a="1"/>
  <c r="J38" i="11" s="1"/>
  <c r="J39" i="11" a="1"/>
  <c r="J39" i="11" s="1"/>
  <c r="J40" i="11" a="1"/>
  <c r="J40" i="11" s="1"/>
  <c r="J43" i="11" a="1"/>
  <c r="J43" i="11" s="1"/>
  <c r="J45" i="11" a="1"/>
  <c r="J45" i="11" s="1"/>
  <c r="J48" i="11" a="1"/>
  <c r="J48" i="11" s="1"/>
  <c r="J49" i="11" a="1"/>
  <c r="J49" i="11" s="1"/>
  <c r="J52" i="11" a="1"/>
  <c r="J52" i="11" s="1"/>
  <c r="J54" i="11" a="1"/>
  <c r="J54" i="11" s="1"/>
  <c r="J55" i="11" a="1"/>
  <c r="J55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1" i="11" a="1"/>
  <c r="J11" i="11" s="1"/>
  <c r="J13" i="11" a="1"/>
  <c r="J13" i="11" s="1"/>
  <c r="I5" i="11"/>
  <c r="I6" i="11"/>
  <c r="I7" i="11"/>
  <c r="I8" i="11"/>
  <c r="I9" i="11"/>
  <c r="I11" i="11"/>
  <c r="I14" i="11"/>
  <c r="I17" i="11"/>
  <c r="I18" i="11"/>
  <c r="I19" i="11"/>
  <c r="I20" i="11"/>
  <c r="I21" i="11"/>
  <c r="I23" i="11"/>
  <c r="I24" i="11"/>
  <c r="I26" i="11"/>
  <c r="I27" i="11"/>
  <c r="I28" i="11"/>
  <c r="I29" i="11"/>
  <c r="I30" i="11"/>
  <c r="I31" i="11"/>
  <c r="I33" i="11"/>
  <c r="I35" i="11"/>
  <c r="I36" i="11"/>
  <c r="I37" i="11"/>
  <c r="I38" i="11"/>
  <c r="I39" i="11"/>
  <c r="I40" i="11"/>
  <c r="I43" i="11"/>
  <c r="I45" i="11"/>
  <c r="I48" i="11"/>
  <c r="I49" i="11"/>
  <c r="I52" i="11"/>
  <c r="I54" i="11"/>
  <c r="I55" i="11"/>
  <c r="H13" i="11"/>
  <c r="H14" i="11"/>
  <c r="H17" i="11"/>
  <c r="H18" i="11"/>
  <c r="H19" i="11"/>
  <c r="H20" i="11"/>
  <c r="H21" i="11"/>
  <c r="H23" i="11"/>
  <c r="H24" i="11"/>
  <c r="H26" i="11"/>
  <c r="H27" i="11"/>
  <c r="H28" i="11"/>
  <c r="H29" i="11"/>
  <c r="H30" i="11"/>
  <c r="H31" i="11"/>
  <c r="H33" i="11"/>
  <c r="H35" i="11"/>
  <c r="H36" i="11"/>
  <c r="H37" i="11"/>
  <c r="H38" i="11"/>
  <c r="H39" i="11"/>
  <c r="H40" i="11"/>
  <c r="H43" i="11"/>
  <c r="H45" i="11"/>
  <c r="H48" i="11"/>
  <c r="H49" i="11"/>
  <c r="H52" i="11"/>
  <c r="H54" i="11"/>
  <c r="H55" i="11"/>
  <c r="H5" i="11"/>
  <c r="H6" i="11"/>
  <c r="H7" i="11"/>
  <c r="H8" i="11"/>
  <c r="H9" i="11"/>
  <c r="H11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3" i="11"/>
  <c r="R13" i="11" s="1"/>
  <c r="I13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38" i="11" l="1"/>
  <c r="S38" i="11"/>
  <c r="P38" i="11"/>
  <c r="M19" i="11"/>
  <c r="S19" i="11"/>
  <c r="P19" i="11"/>
  <c r="M27" i="11"/>
  <c r="S27" i="11"/>
  <c r="P27" i="11"/>
  <c r="M35" i="11"/>
  <c r="S35" i="11"/>
  <c r="P35" i="11"/>
  <c r="M31" i="11"/>
  <c r="S31" i="11"/>
  <c r="P31" i="11"/>
  <c r="M24" i="11"/>
  <c r="S24" i="11"/>
  <c r="P24" i="11"/>
  <c r="M6" i="11"/>
  <c r="S6" i="11"/>
  <c r="P6" i="11"/>
  <c r="M28" i="11"/>
  <c r="S28" i="11"/>
  <c r="P28" i="11"/>
  <c r="O25" i="11"/>
  <c r="M46" i="12"/>
  <c r="R30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<sst xmlns="http://schemas.openxmlformats.org/spreadsheetml/2006/main" count="4328" uniqueCount="212">
  <si>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</si>
  <si>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</si>
  <si>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</si>
  <si>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</si>
  <si>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</si>
  <si>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</si>
  <si>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</si>
  <si>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</si>
  <si>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</si>
  <si>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</si>
  <si>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</si>
  <si>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</si>
  <si>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</si>
  <si>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</si>
  <si>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</si>
  <si>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</si>
  <si>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</si>
  <si>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</si>
  <si>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</si>
  <si>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</si>
  <si>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</si>
  <si>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</si>
  <si>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</si>
  <si>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</si>
  <si>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</si>
  <si>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</si>
  <si>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</si>
  <si>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</si>
  <si>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</si>
  <si>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</si>
  <si>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</si>
  <si>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</si>
  <si>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</si>
  <si>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</si>
  <si>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</si>
  <si>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</si>
  <si>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</si>
  <si>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</si>
  <si>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</si>
  <si>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</si>
  <si>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</si>
  <si>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</si>
  <si>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</si>
  <si>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</si>
  <si>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</si>
  <si>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</si>
  <si>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</si>
  <si>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</si>
  <si>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</si>
  <si>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</si>
  <si>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</si>
  <si>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</si>
  <si>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</si>
  <si>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</si>
  <si>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</si>
  <si>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</si>
  <si>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</si>
  <si>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</si>
  <si>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</si>
  <si>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</si>
  <si>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</si>
  <si>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</si>
  <si>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</si>
  <si>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</si>
  <si>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</si>
  <si>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</si>
  <si>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</si>
  <si>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</si>
  <si>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</si>
  <si>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</si>
  <si>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</si>
  <si>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</si>
  <si>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</si>
  <si>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</si>
  <si>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</si>
  <si>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</si>
  <si>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</si>
  <si>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</si>
  <si>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</si>
  <si>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</si>
  <si>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</si>
  <si>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</si>
  <si>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</si>
  <si>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</si>
  <si>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</si>
  <si>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</si>
  <si>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</si>
  <si>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</si>
  <si>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</si>
  <si>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</si>
  <si>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</si>
  <si>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</si>
  <si>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</si>
  <si>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</si>
  <si>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</si>
  <si>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</si>
  <si>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</si>
  <si>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</si>
  <si>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</si>
  <si>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</si>
  <si>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</si>
  <si>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</si>
  <si>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</si>
  <si>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</si>
  <si>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</si>
  <si>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</si>
  <si>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</si>
  <si>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</si>
  <si>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</si>
  <si>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</si>
  <si>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</si>
  <si>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</si>
  <si>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</si>
  <si>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</si>
  <si>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</si>
  <si>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</si>
  <si>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</si>
  <si>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</si>
  <si>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</si>
  <si>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</si>
  <si>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</si>
  <si>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</si>
  <si>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</si>
  <si>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</si>
  <si>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</si>
  <si>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</si>
  <si>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</si>
  <si>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</si>
  <si>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</si>
  <si>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</si>
  <si>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</si>
  <si>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</si>
  <si>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</si>
  <si>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</si>
  <si>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</si>
  <si>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</si>
  <si>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</si>
  <si>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</si>
  <si>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</si>
  <si>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</si>
  <si>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</si>
  <si>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</si>
  <si>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</si>
  <si>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</si>
  <si>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</si>
  <si>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</si>
  <si>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</si>
  <si>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</si>
  <si>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</si>
  <si>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</si>
  <si>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</si>
  <si>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</si>
  <si>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</si>
  <si>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</si>
  <si>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</si>
  <si>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</si>
  <si>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</si>
  <si>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</si>
  <si>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</si>
  <si>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</si>
  <si>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</si>
  <si>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</si>
  <si>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</si>
  <si>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</si>
  <si>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</si>
  <si>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</si>
  <si>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</si>
  <si>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Sketch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</si>
  <si>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</si>
  <si>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</si>
  <si>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</si>
  <si>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</si>
  <si>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</si>
  <si>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</si>
  <si>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</si>
  <si>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</si>
  <si>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</si>
  <si>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</si>
  <si>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</si>
  <si>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</si>
  <si>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</si>
  <si>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</si>
  <si>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</si>
  <si>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</si>
  <si>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</si>
  <si>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</si>
  <si>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</si>
  <si>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2026-05-23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</si>
  <si>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</si>
  <si>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</si>
  <si>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</si>
  <si>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</si>
  <si>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</si>
  <si>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</si>
  <si>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</si>
  <si>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</si>
  <si>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</si>
  <si>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</si>
  <si>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2026-05-30</t>
  </si>
  <si>
    <t>Cash Tourney #6 2nd Round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</si>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</sst>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5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F46" sqref="F4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113</v>
      </c>
      <c r="I3" s="4">
        <f>AVERAGEIFS('OB History'!C:C,'OB History'!B:B,A3)</f>
        <v>11.3</v>
      </c>
      <c r="J3" s="35">
        <f t="array" ref="J3">MAX(IF('OB History'!B:B=A3, 'OB History'!C:C))</f>
        <v>22</v>
      </c>
      <c r="K3" s="34">
        <f>COUNTIFS('OB History'!B:B,A3,'OB History'!D:D, 1)</f>
        <v>6</v>
      </c>
      <c r="L3" s="2">
        <f>COUNTIFS('OB History'!B:B,A3,'OB History'!D:D, 0)</f>
        <v>4</v>
      </c>
      <c r="M3" s="88">
        <f>LOOKUP(2, 1/('OB History'!$B:$B=A3), 'OB History'!$AD:$AD)</f>
        <v>0.6</v>
      </c>
      <c r="N3" s="34">
        <f>SUMIFS('OB History'!F:F,'OB History'!B:B,A3)</f>
        <v>21</v>
      </c>
      <c r="O3" s="2">
        <f>SUMIFS('OB History'!E:E,'OB History'!B:B,A3)-N3</f>
        <v>18</v>
      </c>
      <c r="P3" s="88">
        <f>LOOKUP(2, 1/('OB History'!$B:$B=A3), 'OB History'!$AB:$AB)</f>
        <v>0.53500000000000003</v>
      </c>
      <c r="Q3" s="34">
        <f>SUMIFS('OB History'!H:H,'OB History'!B:B,A3)</f>
        <v>83</v>
      </c>
      <c r="R3" s="2">
        <f>SUMIFS('OB History'!G:G,'OB History'!B:B,A3)-Q3</f>
        <v>79</v>
      </c>
      <c r="S3" s="88">
        <f>LOOKUP(2, 1/('OB History'!$B:$B=A3), 'OB History'!$AC:$AC)</f>
        <v>0.52499999999999991</v>
      </c>
      <c r="T3" s="2">
        <f>COUNTIFS('OB History'!$B:$B,$A$3,'OB History'!K:K, 1)</f>
        <v>1</v>
      </c>
      <c r="U3" s="2">
        <f>COUNTIFS('OB History'!$B:$B,$A$3,'OB History'!L:L, 1)</f>
        <v>2</v>
      </c>
      <c r="V3" s="2">
        <f>COUNTIFS('OB History'!$B:$B,$A$3,'OB History'!M:M, 1)</f>
        <v>0</v>
      </c>
      <c r="W3" s="2">
        <f>COUNTIFS('OB History'!$B:$B,$A$3,'OB History'!N:N, 1)</f>
        <v>3</v>
      </c>
      <c r="X3" s="2">
        <f>COUNTIFS('OB History'!$B:$B,$A$3,'OB History'!O:O, 1)</f>
        <v>0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124</v>
      </c>
      <c r="I4" s="4">
        <f>AVERAGEIFS('OB History'!C:C,'OB History'!B:B,A4)</f>
        <v>8.8571428571428577</v>
      </c>
      <c r="J4" s="35">
        <f t="array" ref="J4">MAX(IF('OB History'!B:B=A4, 'OB History'!C:C))</f>
        <v>19</v>
      </c>
      <c r="K4" s="34">
        <f>COUNTIFS('OB History'!B:B,A4,'OB History'!D:D, 1)</f>
        <v>8</v>
      </c>
      <c r="L4" s="2">
        <f>COUNTIFS('OB History'!B:B,A4,'OB History'!D:D, 0)</f>
        <v>6</v>
      </c>
      <c r="M4" s="88">
        <f>LOOKUP(2, 1/('OB History'!$B:$B=A4), 'OB History'!$AD:$AD)</f>
        <v>0.5714285714285714</v>
      </c>
      <c r="N4" s="34">
        <f>SUMIFS('OB History'!F:F,'OB History'!B:B,A4)</f>
        <v>27</v>
      </c>
      <c r="O4" s="2">
        <f>SUMIFS('OB History'!E:E,'OB History'!B:B,A4)-N4</f>
        <v>26</v>
      </c>
      <c r="P4" s="88">
        <f>LOOKUP(2, 1/('OB History'!$B:$B=A4), 'OB History'!$AB:$AB)</f>
        <v>0.49642857142857144</v>
      </c>
      <c r="Q4" s="34">
        <f>SUMIFS('OB History'!H:H,'OB History'!B:B,A4)</f>
        <v>115</v>
      </c>
      <c r="R4" s="2">
        <f>SUMIFS('OB History'!G:G,'OB History'!B:B,A4)-Q4</f>
        <v>110</v>
      </c>
      <c r="S4" s="88">
        <f>LOOKUP(2, 1/('OB History'!$B:$B=A4), 'OB History'!$AC:$AC)</f>
        <v>0.50785714285714278</v>
      </c>
      <c r="T4" s="2">
        <f>COUNTIFS('OB History'!$B:$B,$A$4,'OB History'!K:K, 1)</f>
        <v>1</v>
      </c>
      <c r="U4" s="2">
        <f>COUNTIFS('OB History'!$B:$B,$A$4,'OB History'!L:L, 1)</f>
        <v>1</v>
      </c>
      <c r="V4" s="2">
        <f>COUNTIFS('OB History'!$B:$B,$A$4,'OB History'!M:M, 1)</f>
        <v>1</v>
      </c>
      <c r="W4" s="2">
        <f>COUNTIFS('OB History'!$B:$B,$A$4,'OB History'!N:N, 1)</f>
        <v>4</v>
      </c>
      <c r="X4" s="2">
        <f>COUNTIFS('OB History'!$B:$B,$A$4,'OB History'!O:O, 1)</f>
        <v>0</v>
      </c>
      <c r="Y4" s="2">
        <f>COUNTIFS('OB History'!$B:$B,$A$4,'OB History'!P:P, 1)</f>
        <v>4</v>
      </c>
      <c r="Z4" s="2">
        <f>COUNTIFS('OB History'!$B:$B,$A$4,'OB History'!Q:Q, 1)</f>
        <v>1</v>
      </c>
      <c r="AA4" s="2">
        <f>COUNTIFS('OB History'!$B:$B,$A$4,'OB History'!R:R, 1)</f>
        <v>0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2</v>
      </c>
      <c r="AG4" s="2">
        <f>COUNTIFS('OB History'!$B:$B,$A$4,'OB History'!X:X, 1)</f>
        <v>3</v>
      </c>
      <c r="AH4" s="2">
        <f>COUNTIFS('OB History'!$B:$B,$A$4,'OB History'!Y:Y, 1)</f>
        <v>5</v>
      </c>
      <c r="AI4" s="2">
        <f>COUNTIFS('OB History'!$B:$B,$A$4,'OB History'!Z:Z, 1)</f>
        <v>2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588</v>
      </c>
      <c r="I5" s="4">
        <f>AVERAGEIFS('OB History'!C:C,'OB History'!B:B,A5)</f>
        <v>19.600000000000001</v>
      </c>
      <c r="J5" s="35">
        <f t="array" ref="J5">MAX(IF('OB History'!B:B=A5, 'OB History'!C:C))</f>
        <v>36</v>
      </c>
      <c r="K5" s="34">
        <f>COUNTIFS('OB History'!B:B,A5,'OB History'!D:D, 1)</f>
        <v>13</v>
      </c>
      <c r="L5" s="2">
        <f>COUNTIFS('OB History'!B:B,A5,'OB History'!D:D, 0)</f>
        <v>17</v>
      </c>
      <c r="M5" s="88">
        <f>LOOKUP(2, 1/('OB History'!$B:$B=A5), 'OB History'!$AD:$AD)</f>
        <v>0.43333333333333335</v>
      </c>
      <c r="N5" s="34">
        <f>SUMIFS('OB History'!F:F,'OB History'!B:B,A5)</f>
        <v>53</v>
      </c>
      <c r="O5" s="2">
        <f>SUMIFS('OB History'!E:E,'OB History'!B:B,A5)-N5</f>
        <v>67</v>
      </c>
      <c r="P5" s="88">
        <f>LOOKUP(2, 1/('OB History'!$B:$B=A5), 'OB History'!$AB:$AB)</f>
        <v>0.42666666666666664</v>
      </c>
      <c r="Q5" s="34">
        <f>SUMIFS('OB History'!H:H,'OB History'!B:B,A5)</f>
        <v>228</v>
      </c>
      <c r="R5" s="2">
        <f>SUMIFS('OB History'!G:G,'OB History'!B:B,A5)-Q5</f>
        <v>264</v>
      </c>
      <c r="S5" s="88">
        <f>LOOKUP(2, 1/('OB History'!$B:$B=A5), 'OB History'!$AC:$AC)</f>
        <v>0.45533333333333331</v>
      </c>
      <c r="T5" s="2">
        <f>COUNTIFS('OB History'!$B:$B,$A$5,'OB History'!K:K, 1)</f>
        <v>4</v>
      </c>
      <c r="U5" s="2">
        <f>COUNTIFS('OB History'!$B:$B,$A$5,'OB History'!L:L, 1)</f>
        <v>2</v>
      </c>
      <c r="V5" s="2">
        <f>COUNTIFS('OB History'!$B:$B,$A$5,'OB History'!M:M, 1)</f>
        <v>2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1</v>
      </c>
      <c r="AC5" s="2">
        <f>COUNTIFS('OB History'!$B:$B,$A$5,'OB History'!T:T, 1)</f>
        <v>2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6</v>
      </c>
      <c r="AI5" s="2">
        <f>COUNTIFS('OB History'!$B:$B,$A$5,'OB History'!Z:Z, 1)</f>
        <v>12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3"/>
      <c r="E7" s="3"/>
      <c r="F7" s="3"/>
      <c r="G7" s="3"/>
      <c r="H7" s="34">
        <f>SUMIFS('OB History'!C:C,'OB History'!B:B,A7)</f>
        <v>369</v>
      </c>
      <c r="I7" s="4">
        <f>AVERAGEIFS('OB History'!C:C,'OB History'!B:B,A7)</f>
        <v>12.3</v>
      </c>
      <c r="J7" s="35">
        <f t="array" ref="J7">MAX(IF('OB History'!B:B=A7, 'OB History'!C:C))</f>
        <v>32</v>
      </c>
      <c r="K7" s="34">
        <f>COUNTIFS('OB History'!B:B,A7,'OB History'!D:D, 1)</f>
        <v>17</v>
      </c>
      <c r="L7" s="2">
        <f>COUNTIFS('OB History'!B:B,A7,'OB History'!D:D, 0)</f>
        <v>13</v>
      </c>
      <c r="M7" s="88">
        <f>LOOKUP(2, 1/('OB History'!$B:$B=A7), 'OB History'!$AD:$AD)</f>
        <v>0.56666666666666665</v>
      </c>
      <c r="N7" s="34">
        <f>SUMIFS('OB History'!F:F,'OB History'!B:B,A7)</f>
        <v>59</v>
      </c>
      <c r="O7" s="2">
        <f>SUMIFS('OB History'!E:E,'OB History'!B:B,A7)-N7</f>
        <v>61</v>
      </c>
      <c r="P7" s="88">
        <f>LOOKUP(2, 1/('OB History'!$B:$B=A7), 'OB History'!$AB:$AB)</f>
        <v>0.47333333333333333</v>
      </c>
      <c r="Q7" s="34">
        <f>SUMIFS('OB History'!H:H,'OB History'!B:B,'Old Bow v2'!A7)</f>
        <v>241</v>
      </c>
      <c r="R7" s="2">
        <f>SUMIFS('OB History'!G:G,'OB History'!B:B,'Old Bow v2'!A7)-Q7</f>
        <v>252</v>
      </c>
      <c r="S7" s="88">
        <f>LOOKUP(2, 1/('OB History'!$B:$B=A7), 'OB History'!$AC:$AC)</f>
        <v>0.47966666666666674</v>
      </c>
      <c r="T7" s="2">
        <f>COUNTIFS('OB History'!$B:$B,$A$7,'OB History'!K:K, 1)</f>
        <v>5</v>
      </c>
      <c r="U7" s="2">
        <f>COUNTIFS('OB History'!$B:$B,$A$7,'OB History'!L:L, 1)</f>
        <v>5</v>
      </c>
      <c r="V7" s="2">
        <f>COUNTIFS('OB History'!$B:$B,$A$7,'OB History'!M:M, 1)</f>
        <v>1</v>
      </c>
      <c r="W7" s="2">
        <f>COUNTIFS('OB History'!$B:$B,$A$7,'OB History'!N:N, 1)</f>
        <v>7</v>
      </c>
      <c r="X7" s="2">
        <f>COUNTIFS('OB History'!$B:$B,$A$7,'OB History'!O:O, 1)</f>
        <v>2</v>
      </c>
      <c r="Y7" s="2">
        <f>COUNTIFS('OB History'!$B:$B,$A$7,'OB History'!P:P, 1)</f>
        <v>8</v>
      </c>
      <c r="Z7" s="2">
        <f>COUNTIFS('OB History'!$B:$B,$A$7,'OB History'!Q:Q, 1)</f>
        <v>0</v>
      </c>
      <c r="AA7" s="2">
        <f>COUNTIFS('OB History'!$B:$B,$A$7,'OB History'!R:R, 1)</f>
        <v>2</v>
      </c>
      <c r="AB7" s="2">
        <f>COUNTIFS('OB History'!$B:$B,$A$7,'OB History'!S:S, 1)</f>
        <v>0</v>
      </c>
      <c r="AC7" s="2">
        <f>COUNTIFS('OB History'!$B:$B,$A$7,'OB History'!T:T, 1)</f>
        <v>1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6</v>
      </c>
      <c r="AG7" s="2">
        <f>COUNTIFS('OB History'!$B:$B,$A$7,'OB History'!X:X, 1)</f>
        <v>9</v>
      </c>
      <c r="AH7" s="2">
        <f>COUNTIFS('OB History'!$B:$B,$A$7,'OB History'!Y:Y, 1)</f>
        <v>4</v>
      </c>
      <c r="AI7" s="2">
        <f>COUNTIFS('OB History'!$B:$B,$A$7,'OB History'!Z:Z, 1)</f>
        <v>9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400</v>
      </c>
      <c r="I8" s="4">
        <f>AVERAGEIFS('OB History'!C:C,'OB History'!B:B,A8)</f>
        <v>12.121212121212121</v>
      </c>
      <c r="J8" s="35">
        <f t="array" ref="J8">MAX(IF('OB History'!B:B=A8, 'OB History'!C:C))</f>
        <v>26</v>
      </c>
      <c r="K8" s="34">
        <f>COUNTIFS('OB History'!B:B,A8,'OB History'!D:D, 1)</f>
        <v>13</v>
      </c>
      <c r="L8" s="2">
        <f>COUNTIFS('OB History'!B:B,A8,'OB History'!D:D, 0)</f>
        <v>20</v>
      </c>
      <c r="M8" s="88">
        <f>LOOKUP(2, 1/('OB History'!$B:$B=A8), 'OB History'!$AD:$AD)</f>
        <v>0.39393939393939392</v>
      </c>
      <c r="N8" s="34">
        <f>SUMIFS('OB History'!F:F,'OB History'!B:B,A8)</f>
        <v>60</v>
      </c>
      <c r="O8" s="2">
        <f>SUMIFS('OB History'!E:E,'OB History'!B:B,A8)-N8</f>
        <v>77</v>
      </c>
      <c r="P8" s="88">
        <f>LOOKUP(2, 1/('OB History'!$B:$B=A8), 'OB History'!$AB:$AB)</f>
        <v>0.4212121212121212</v>
      </c>
      <c r="Q8" s="34">
        <f>SUMIFS('OB History'!H:H,'OB History'!B:B,'Old Bow v2'!A8)</f>
        <v>264</v>
      </c>
      <c r="R8" s="2">
        <f>SUMIFS('OB History'!G:G,'OB History'!B:B,'Old Bow v2'!A8)-Q8</f>
        <v>299</v>
      </c>
      <c r="S8" s="88">
        <f>LOOKUP(2, 1/('OB History'!$B:$B=A8), 'OB History'!$AC:$AC)</f>
        <v>0.4554545454545455</v>
      </c>
      <c r="T8" s="2">
        <f>COUNTIFS('OB History'!$B:$B,$A$8,'OB History'!K:K, 1)</f>
        <v>5</v>
      </c>
      <c r="U8" s="2">
        <f>COUNTIFS('OB History'!$B:$B,$A$8,'OB History'!L:L, 1)</f>
        <v>2</v>
      </c>
      <c r="V8" s="2">
        <f>COUNTIFS('OB History'!$B:$B,$A$8,'OB History'!M:M, 1)</f>
        <v>1</v>
      </c>
      <c r="W8" s="2">
        <f>COUNTIFS('OB History'!$B:$B,$A$8,'OB History'!N:N, 1)</f>
        <v>6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3</v>
      </c>
      <c r="AI8" s="2">
        <f>COUNTIFS('OB History'!$B:$B,$A$8,'OB History'!Z:Z, 1)</f>
        <v>12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74</v>
      </c>
      <c r="I9" s="4">
        <f>AVERAGEIFS('OB History'!C:C,'OB History'!B:B,A9)</f>
        <v>10.571428571428571</v>
      </c>
      <c r="J9" s="35">
        <f t="array" ref="J9">MAX(IF('OB History'!B:B=A9, 'OB History'!C:C))</f>
        <v>29</v>
      </c>
      <c r="K9" s="34">
        <f>COUNTIFS('OB History'!B:B,A9,'OB History'!D:D, 1)</f>
        <v>2</v>
      </c>
      <c r="L9" s="2">
        <f>COUNTIFS('OB History'!B:B,A9,'OB History'!D:D, 0)</f>
        <v>5</v>
      </c>
      <c r="M9" s="88">
        <f>LOOKUP(2, 1/('OB History'!$B:$B=A9), 'OB History'!$AD:$AD)</f>
        <v>0.2857142857142857</v>
      </c>
      <c r="N9" s="34">
        <f>SUMIFS('OB History'!F:F,'OB History'!B:B,A9)</f>
        <v>10</v>
      </c>
      <c r="O9" s="2">
        <f>SUMIFS('OB History'!E:E,'OB History'!B:B,A9)-N9</f>
        <v>17</v>
      </c>
      <c r="P9" s="88">
        <f>LOOKUP(2, 1/('OB History'!$B:$B=A9), 'OB History'!$AB:$AB)</f>
        <v>0.34285714285714286</v>
      </c>
      <c r="Q9" s="34">
        <f>SUMIFS('OB History'!H:H,'OB History'!B:B,'Old Bow v2'!A9)</f>
        <v>45</v>
      </c>
      <c r="R9" s="2">
        <f>SUMIFS('OB History'!G:G,'OB History'!B:B,'Old Bow v2'!A9)-Q9</f>
        <v>62</v>
      </c>
      <c r="S9" s="88">
        <f>LOOKUP(2, 1/('OB History'!$B:$B=A9), 'OB History'!$AC:$AC)</f>
        <v>0.40857142857142864</v>
      </c>
      <c r="T9" s="2">
        <f>COUNTIFS('OB History'!$B:$B,$A$9,'OB History'!K:K, 1)</f>
        <v>1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2</v>
      </c>
      <c r="AG9" s="2">
        <f>COUNTIFS('OB History'!$B:$B,$A$9,'OB History'!X:X, 1)</f>
        <v>0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1" t="s">
        <v>180</v>
      </c>
      <c r="B10" s="6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42</v>
      </c>
      <c r="I10" s="4">
        <f>AVERAGEIFS('OB History'!C:C,'OB History'!B:B,A10)</f>
        <v>14</v>
      </c>
      <c r="J10" s="35">
        <f t="array" ref="J10">MAX(IF('OB History'!B:B=A10, 'OB History'!C:C))</f>
        <v>19</v>
      </c>
      <c r="K10" s="34">
        <f>COUNTIFS('OB History'!B:B,A10,'OB History'!D:D, 1)</f>
        <v>2</v>
      </c>
      <c r="L10" s="2">
        <f>COUNTIFS('OB History'!B:B,A10,'OB History'!D:D, 0)</f>
        <v>1</v>
      </c>
      <c r="M10" s="88">
        <f>LOOKUP(2, 1/('OB History'!$B:$B=A10), 'OB History'!$AD:$AD)</f>
        <v>0.66666666666666663</v>
      </c>
      <c r="N10" s="34">
        <f>SUMIFS('OB History'!F:F,'OB History'!B:B,A10)</f>
        <v>7</v>
      </c>
      <c r="O10" s="2">
        <f>SUMIFS('OB History'!E:E,'OB History'!B:B,A10)-N10</f>
        <v>3</v>
      </c>
      <c r="P10" s="88">
        <f>LOOKUP(2, 1/('OB History'!$B:$B=A10), 'OB History'!$AB:$AB)</f>
        <v>0.75</v>
      </c>
      <c r="Q10" s="34">
        <f>SUMIFS('OB History'!H:H,'OB History'!B:B,'Old Bow v2'!A10)</f>
        <v>23</v>
      </c>
      <c r="R10" s="2">
        <f>SUMIFS('OB History'!G:G,'OB History'!B:B,'Old Bow v2'!A10)-Q10</f>
        <v>20</v>
      </c>
      <c r="S10" s="88">
        <f>LOOKUP(2, 1/('OB History'!$B:$B=A10), 'OB History'!$AC:$AC)</f>
        <v>0.54666666666666663</v>
      </c>
      <c r="T10" s="2">
        <f>COUNTIFS('OB History'!$B:$B,$A$10,'OB History'!K:K, 1)</f>
        <v>0</v>
      </c>
      <c r="U10" s="2">
        <f>COUNTIFS('OB History'!$B:$B,$A$10,'OB History'!L:L, 1)</f>
        <v>1</v>
      </c>
      <c r="V10" s="2">
        <f>COUNTIFS('OB History'!$B:$B,$A$10,'OB History'!M:M, 1)</f>
        <v>0</v>
      </c>
      <c r="W10" s="2">
        <f>COUNTIFS('OB History'!$B:$B,$A$10,'OB History'!N:N, 1)</f>
        <v>1</v>
      </c>
      <c r="X10" s="2">
        <f>COUNTIFS('OB History'!$B:$B,$A$10,'OB History'!O:O, 1)</f>
        <v>0</v>
      </c>
      <c r="Y10" s="2">
        <f>COUNTIFS('OB History'!$B:$B,$A$10,'OB History'!P:P, 1)</f>
        <v>0</v>
      </c>
      <c r="Z10" s="2">
        <f>COUNTIFS('OB History'!$B:$B,$A$10,'OB History'!Q:Q, 1)</f>
        <v>0</v>
      </c>
      <c r="AA10" s="2">
        <f>COUNTIFS('OB History'!$B:$B,$A$10,'OB History'!R:R, 1)</f>
        <v>0</v>
      </c>
      <c r="AB10" s="2">
        <f>COUNTIFS('OB History'!$B:$B,$A$10,'OB History'!S:S, 1)</f>
        <v>0</v>
      </c>
      <c r="AC10" s="2">
        <f>COUNTIFS('OB History'!$B:$B,$A$10,'OB History'!T:T, 1)</f>
        <v>2</v>
      </c>
      <c r="AD10" s="2">
        <f>COUNTIFS('OB History'!$B:$B,$A$10,'OB History'!U:U, 1)</f>
        <v>0</v>
      </c>
      <c r="AE10" s="2">
        <f>COUNTIFS('OB History'!$B:$B,$A$10,'OB History'!V:V, 1)</f>
        <v>0</v>
      </c>
      <c r="AF10" s="2">
        <f>COUNTIFS('OB History'!$B:$B,$A$10,'OB History'!W:W, 1)</f>
        <v>0</v>
      </c>
      <c r="AG10" s="2">
        <f>COUNTIFS('OB History'!$B:$B,$A$10,'OB History'!X:X, 1)</f>
        <v>1</v>
      </c>
      <c r="AH10" s="2">
        <f>COUNTIFS('OB History'!$B:$B,$A$10,'OB History'!Y:Y, 1)</f>
        <v>0</v>
      </c>
      <c r="AI10" s="2">
        <f>COUNTIFS('OB History'!$B:$B,$A$10,'OB History'!Z:Z, 1)</f>
        <v>2</v>
      </c>
    </row>
    <row r="11" spans="1:35" x14ac:dyDescent="0.25">
      <c r="A11" s="2" t="s">
        <v>25</v>
      </c>
      <c r="B11" s="2" t="s">
        <v>79</v>
      </c>
      <c r="C11" s="2" t="s">
        <v>79</v>
      </c>
      <c r="D11" s="3">
        <v>1</v>
      </c>
      <c r="E11" s="3"/>
      <c r="F11" s="3"/>
      <c r="G11" s="3"/>
      <c r="H11" s="34">
        <f>SUMIFS('OB History'!C:C,'OB History'!B:B,A11)</f>
        <v>507</v>
      </c>
      <c r="I11" s="4">
        <f>AVERAGEIFS('OB History'!C:C,'OB History'!B:B,A11)</f>
        <v>17.482758620689655</v>
      </c>
      <c r="J11" s="35">
        <f t="array" ref="J11">MAX(IF('OB History'!B:B=A11, 'OB History'!C:C))</f>
        <v>35</v>
      </c>
      <c r="K11" s="34">
        <f>COUNTIFS('OB History'!B:B,A11,'OB History'!D:D, 1)</f>
        <v>17</v>
      </c>
      <c r="L11" s="2">
        <f>COUNTIFS('OB History'!B:B,A11,'OB History'!D:D, 0)</f>
        <v>12</v>
      </c>
      <c r="M11" s="88">
        <f>LOOKUP(2, 1/('OB History'!$B:$B=A11), 'OB History'!$AD:$AD)</f>
        <v>0.58620689655172409</v>
      </c>
      <c r="N11" s="34">
        <f>SUMIFS('OB History'!F:F,'OB History'!B:B,A11)</f>
        <v>67</v>
      </c>
      <c r="O11" s="2">
        <f>SUMIFS('OB History'!E:E,'OB History'!B:B,A11)-N11</f>
        <v>54</v>
      </c>
      <c r="P11" s="88">
        <f>LOOKUP(2, 1/('OB History'!$B:$B=A11), 'OB History'!$AB:$AB)</f>
        <v>0.56896551724137934</v>
      </c>
      <c r="Q11" s="34">
        <f>SUMIFS('OB History'!H:H,'OB History'!B:B,'Old Bow v2'!A11)</f>
        <v>259</v>
      </c>
      <c r="R11" s="2">
        <f>SUMIFS('OB History'!G:G,'OB History'!B:B,'Old Bow v2'!A11)-Q11</f>
        <v>245</v>
      </c>
      <c r="S11" s="88">
        <f>LOOKUP(2, 1/('OB History'!$B:$B=A11), 'OB History'!$AC:$AC)</f>
        <v>0.52482758620689662</v>
      </c>
      <c r="T11" s="2">
        <f>COUNTIFS('OB History'!$B:$B,$A$11,'OB History'!K:K, 1)</f>
        <v>4</v>
      </c>
      <c r="U11" s="2">
        <f>COUNTIFS('OB History'!$B:$B,$A$11,'OB History'!L:L, 1)</f>
        <v>2</v>
      </c>
      <c r="V11" s="2">
        <f>COUNTIFS('OB History'!$B:$B,$A$11,'OB History'!M:M, 1)</f>
        <v>1</v>
      </c>
      <c r="W11" s="2">
        <f>COUNTIFS('OB History'!$B:$B,$A$11,'OB History'!N:N, 1)</f>
        <v>7</v>
      </c>
      <c r="X11" s="2">
        <f>COUNTIFS('OB History'!$B:$B,$A$11,'OB History'!O:O, 1)</f>
        <v>1</v>
      </c>
      <c r="Y11" s="2">
        <f>COUNTIFS('OB History'!$B:$B,$A$11,'OB History'!P:P, 1)</f>
        <v>5</v>
      </c>
      <c r="Z11" s="2">
        <f>COUNTIFS('OB History'!$B:$B,$A$11,'OB History'!Q:Q, 1)</f>
        <v>6</v>
      </c>
      <c r="AA11" s="2">
        <f>COUNTIFS('OB History'!$B:$B,$A$11,'OB History'!R:R, 1)</f>
        <v>4</v>
      </c>
      <c r="AB11" s="2">
        <f>COUNTIFS('OB History'!$B:$B,$A$11,'OB History'!S:S, 1)</f>
        <v>2</v>
      </c>
      <c r="AC11" s="2">
        <f>COUNTIFS('OB History'!$B:$B,$A$11,'OB History'!T:T, 1)</f>
        <v>1</v>
      </c>
      <c r="AD11" s="2">
        <f>COUNTIFS('OB History'!$B:$B,$A$11,'OB History'!U:U, 1)</f>
        <v>0</v>
      </c>
      <c r="AE11" s="2">
        <f>COUNTIFS('OB History'!$B:$B,$A$11,'OB History'!V:V, 1)</f>
        <v>2</v>
      </c>
      <c r="AF11" s="2">
        <f>COUNTIFS('OB History'!$B:$B,$A$11,'OB History'!W:W, 1)</f>
        <v>5</v>
      </c>
      <c r="AG11" s="2">
        <f>COUNTIFS('OB History'!$B:$B,$A$11,'OB History'!X:X, 1)</f>
        <v>10</v>
      </c>
      <c r="AH11" s="2">
        <f>COUNTIFS('OB History'!$B:$B,$A$11,'OB History'!Y:Y, 1)</f>
        <v>6</v>
      </c>
      <c r="AI11" s="2">
        <f>COUNTIFS('OB History'!$B:$B,$A$11,'OB History'!Z:Z, 1)</f>
        <v>11</v>
      </c>
    </row>
    <row r="12" spans="1:35" x14ac:dyDescent="0.25">
      <c r="A12" s="2" t="s">
        <v>146</v>
      </c>
      <c r="B12" s="2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174</v>
      </c>
      <c r="I12" s="4">
        <f>AVERAGEIFS('OB History'!C:C,'OB History'!B:B,A12)</f>
        <v>13.384615384615385</v>
      </c>
      <c r="J12" s="35">
        <f t="array" ref="J12">MAX(IF('OB History'!B:B=A12, 'OB History'!C:C))</f>
        <v>27</v>
      </c>
      <c r="K12" s="34">
        <f>COUNTIFS('OB History'!B:B,A12,'OB History'!D:D, 1)</f>
        <v>3</v>
      </c>
      <c r="L12" s="2">
        <f>COUNTIFS('OB History'!B:B,A12,'OB History'!D:D, 0)</f>
        <v>10</v>
      </c>
      <c r="M12" s="88">
        <f>LOOKUP(2, 1/('OB History'!$B:$B=A12), 'OB History'!$AD:$AD)</f>
        <v>0.23076923076923078</v>
      </c>
      <c r="N12" s="34">
        <f>SUMIFS('OB History'!F:F,'OB History'!B:B,A12)</f>
        <v>20</v>
      </c>
      <c r="O12" s="2">
        <f>SUMIFS('OB History'!E:E,'OB History'!B:B,A12)-N12</f>
        <v>34</v>
      </c>
      <c r="P12" s="88">
        <f>LOOKUP(2, 1/('OB History'!$B:$B=A12), 'OB History'!$AB:$AB)</f>
        <v>0.35</v>
      </c>
      <c r="Q12" s="34">
        <f>SUMIFS('OB History'!H:H,'OB History'!B:B,'Old Bow v2'!A12)</f>
        <v>103</v>
      </c>
      <c r="R12" s="2">
        <f>SUMIFS('OB History'!G:G,'OB History'!B:B,'Old Bow v2'!A12)-Q12</f>
        <v>127</v>
      </c>
      <c r="S12" s="88">
        <f>LOOKUP(2, 1/('OB History'!$B:$B=A12), 'OB History'!$AC:$AC)</f>
        <v>0.44153846153846149</v>
      </c>
      <c r="T12" s="2">
        <f>COUNTIFS('OB History'!$B:$B,$A$12,'OB History'!K:K, 1)</f>
        <v>1</v>
      </c>
      <c r="U12" s="2">
        <f>COUNTIFS('OB History'!$B:$B,$A$12,'OB History'!L:L, 1)</f>
        <v>1</v>
      </c>
      <c r="V12" s="2">
        <f>COUNTIFS('OB History'!$B:$B,$A$12,'OB History'!M:M, 1)</f>
        <v>2</v>
      </c>
      <c r="W12" s="2">
        <f>COUNTIFS('OB History'!$B:$B,$A$12,'OB History'!N:N, 1)</f>
        <v>3</v>
      </c>
      <c r="X12" s="2">
        <f>COUNTIFS('OB History'!$B:$B,$A$12,'OB History'!O:O, 1)</f>
        <v>0</v>
      </c>
      <c r="Y12" s="2">
        <f>COUNTIFS('OB History'!$B:$B,$A$12,'OB History'!P:P, 1)</f>
        <v>1</v>
      </c>
      <c r="Z12" s="2">
        <f>COUNTIFS('OB History'!$B:$B,$A$12,'OB History'!Q:Q, 1)</f>
        <v>1</v>
      </c>
      <c r="AA12" s="2">
        <f>COUNTIFS('OB History'!$B:$B,$A$12,'OB History'!R:R, 1)</f>
        <v>1</v>
      </c>
      <c r="AB12" s="2">
        <f>COUNTIFS('OB History'!$B:$B,$A$12,'OB History'!S:S, 1)</f>
        <v>0</v>
      </c>
      <c r="AC12" s="2">
        <f>COUNTIFS('OB History'!$B:$B,$A$12,'OB History'!T:T, 1)</f>
        <v>0</v>
      </c>
      <c r="AD12" s="2">
        <f>COUNTIFS('OB History'!$B:$B,$A$12,'OB History'!U:U, 1)</f>
        <v>0</v>
      </c>
      <c r="AE12" s="2">
        <f>COUNTIFS('OB History'!$B:$B,$A$12,'OB History'!V:V, 1)</f>
        <v>1</v>
      </c>
      <c r="AF12" s="2">
        <f>COUNTIFS('OB History'!$B:$B,$A$12,'OB History'!W:W, 1)</f>
        <v>2</v>
      </c>
      <c r="AG12" s="2">
        <f>COUNTIFS('OB History'!$B:$B,$A$12,'OB History'!X:X, 1)</f>
        <v>5</v>
      </c>
      <c r="AH12" s="2">
        <f>COUNTIFS('OB History'!$B:$B,$A$12,'OB History'!Y:Y, 1)</f>
        <v>2</v>
      </c>
      <c r="AI12" s="2">
        <f>COUNTIFS('OB History'!$B:$B,$A$12,'OB History'!Z:Z, 1)</f>
        <v>0</v>
      </c>
    </row>
    <row r="13" spans="1:35" x14ac:dyDescent="0.25">
      <c r="A13" s="2" t="s">
        <v>27</v>
      </c>
      <c r="B13" s="6" t="s">
        <v>76</v>
      </c>
      <c r="C13" s="6" t="s">
        <v>79</v>
      </c>
      <c r="D13" s="3">
        <v>2</v>
      </c>
      <c r="E13" s="3"/>
      <c r="F13" s="3"/>
      <c r="G13" s="3"/>
      <c r="H13" s="34">
        <f>SUMIFS('OB History'!C:C,'OB History'!B:B,A13)</f>
        <v>394</v>
      </c>
      <c r="I13" s="4">
        <f>AVERAGEIFS('OB History'!C:C,'OB History'!B:B,A13)</f>
        <v>15.153846153846153</v>
      </c>
      <c r="J13" s="35">
        <f t="array" ref="J13">MAX(IF('OB History'!B:B=A13, 'OB History'!C:C))</f>
        <v>44</v>
      </c>
      <c r="K13" s="34">
        <f>COUNTIFS('OB History'!B:B,A13,'OB History'!D:D, 1)</f>
        <v>15</v>
      </c>
      <c r="L13" s="2">
        <f>COUNTIFS('OB History'!B:B,A13,'OB History'!D:D, 0)</f>
        <v>11</v>
      </c>
      <c r="M13" s="88">
        <f>LOOKUP(2, 1/('OB History'!$B:$B=A13), 'OB History'!$AD:$AD)</f>
        <v>0.57692307692307687</v>
      </c>
      <c r="N13" s="34">
        <f>SUMIFS('OB History'!F:F,'OB History'!B:B,A13)</f>
        <v>56</v>
      </c>
      <c r="O13" s="2">
        <f>SUMIFS('OB History'!E:E,'OB History'!B:B,A13)-N13</f>
        <v>50</v>
      </c>
      <c r="P13" s="88">
        <f>LOOKUP(2, 1/('OB History'!$B:$B=A13), 'OB History'!$AB:$AB)</f>
        <v>0.52692307692307694</v>
      </c>
      <c r="Q13" s="34">
        <f>SUMIFS('OB History'!H:H,'OB History'!B:B,'Old Bow v2'!A13)</f>
        <v>222</v>
      </c>
      <c r="R13" s="2">
        <f>SUMIFS('OB History'!G:G,'OB History'!B:B,'Old Bow v2'!A13)-Q13</f>
        <v>211</v>
      </c>
      <c r="S13" s="88">
        <f>LOOKUP(2, 1/('OB History'!$B:$B=A13), 'OB History'!$AC:$AC)</f>
        <v>0.5146153846153847</v>
      </c>
      <c r="T13" s="2">
        <f>COUNTIFS('OB History'!$B:$B,$A$13,'OB History'!K:K, 1)</f>
        <v>0</v>
      </c>
      <c r="U13" s="2">
        <f>COUNTIFS('OB History'!$B:$B,$A$13,'OB History'!L:L, 1)</f>
        <v>3</v>
      </c>
      <c r="V13" s="2">
        <f>COUNTIFS('OB History'!$B:$B,$A$13,'OB History'!M:M, 1)</f>
        <v>2</v>
      </c>
      <c r="W13" s="2">
        <f>COUNTIFS('OB History'!$B:$B,$A$13,'OB History'!N:N, 1)</f>
        <v>4</v>
      </c>
      <c r="X13" s="2">
        <f>COUNTIFS('OB History'!$B:$B,$A$13,'OB History'!O:O, 1)</f>
        <v>3</v>
      </c>
      <c r="Y13" s="2">
        <f>COUNTIFS('OB History'!$B:$B,$A$13,'OB History'!P:P, 1)</f>
        <v>7</v>
      </c>
      <c r="Z13" s="2">
        <f>COUNTIFS('OB History'!$B:$B,$A$13,'OB History'!Q:Q, 1)</f>
        <v>4</v>
      </c>
      <c r="AA13" s="2">
        <f>COUNTIFS('OB History'!$B:$B,$A$13,'OB History'!R:R, 1)</f>
        <v>3</v>
      </c>
      <c r="AB13" s="2">
        <f>COUNTIFS('OB History'!$B:$B,$A$13,'OB History'!S:S, 1)</f>
        <v>0</v>
      </c>
      <c r="AC13" s="2">
        <f>COUNTIFS('OB History'!$B:$B,$A$13,'OB History'!T:T, 1)</f>
        <v>1</v>
      </c>
      <c r="AD13" s="2">
        <f>COUNTIFS('OB History'!$B:$B,$A$13,'OB History'!U:U, 1)</f>
        <v>1</v>
      </c>
      <c r="AE13" s="2">
        <f>COUNTIFS('OB History'!$B:$B,$A$13,'OB History'!V:V, 1)</f>
        <v>1</v>
      </c>
      <c r="AF13" s="2">
        <f>COUNTIFS('OB History'!$B:$B,$A$13,'OB History'!W:W, 1)</f>
        <v>6</v>
      </c>
      <c r="AG13" s="2">
        <f>COUNTIFS('OB History'!$B:$B,$A$13,'OB History'!X:X, 1)</f>
        <v>9</v>
      </c>
      <c r="AH13" s="2">
        <f>COUNTIFS('OB History'!$B:$B,$A$13,'OB History'!Y:Y, 1)</f>
        <v>5</v>
      </c>
      <c r="AI13" s="2">
        <f>COUNTIFS('OB History'!$B:$B,$A$13,'OB History'!Z:Z, 1)</f>
        <v>7</v>
      </c>
    </row>
    <row r="14" spans="1:35" x14ac:dyDescent="0.25">
      <c r="A14" s="2" t="s">
        <v>26</v>
      </c>
      <c r="B14" s="6" t="s">
        <v>124</v>
      </c>
      <c r="C14" s="6" t="s">
        <v>79</v>
      </c>
      <c r="D14" s="3"/>
      <c r="E14" s="3"/>
      <c r="F14" s="3"/>
      <c r="G14" s="3"/>
      <c r="H14" s="34">
        <f>SUMIFS('OB History'!C:C,'OB History'!B:B,A14)</f>
        <v>463</v>
      </c>
      <c r="I14" s="4">
        <f>AVERAGEIFS('OB History'!C:C,'OB History'!B:B,A14)</f>
        <v>13.617647058823529</v>
      </c>
      <c r="J14" s="35">
        <f t="array" ref="J14">MAX(IF('OB History'!B:B=A14, 'OB History'!C:C))</f>
        <v>41</v>
      </c>
      <c r="K14" s="34">
        <f>COUNTIFS('OB History'!B:B,A14,'OB History'!D:D, 1)</f>
        <v>23</v>
      </c>
      <c r="L14" s="2">
        <f>COUNTIFS('OB History'!B:B,A14,'OB History'!D:D, 0)</f>
        <v>11</v>
      </c>
      <c r="M14" s="88">
        <f>LOOKUP(2, 1/('OB History'!$B:$B=A14), 'OB History'!$AD:$AD)</f>
        <v>0.67647058823529416</v>
      </c>
      <c r="N14" s="34">
        <f>SUMIFS('OB History'!F:F,'OB History'!B:B,A14)</f>
        <v>84</v>
      </c>
      <c r="O14" s="2">
        <f>SUMIFS('OB History'!E:E,'OB History'!B:B,A14)-N14</f>
        <v>55</v>
      </c>
      <c r="P14" s="88">
        <f>LOOKUP(2, 1/('OB History'!$B:$B=A14), 'OB History'!$AB:$AB)</f>
        <v>0.62794117647058822</v>
      </c>
      <c r="Q14" s="34">
        <f>SUMIFS('OB History'!H:H,'OB History'!B:B,'Old Bow v2'!A14)</f>
        <v>316</v>
      </c>
      <c r="R14" s="2">
        <f>SUMIFS('OB History'!G:G,'OB History'!B:B,'Old Bow v2'!A14)-Q14</f>
        <v>260</v>
      </c>
      <c r="S14" s="88">
        <f>LOOKUP(2, 1/('OB History'!$B:$B=A14), 'OB History'!$AC:$AC)</f>
        <v>0.55823529411764705</v>
      </c>
      <c r="T14" s="2">
        <f>COUNTIFS('OB History'!$B:$B,$A$14,'OB History'!K:K, 1)</f>
        <v>2</v>
      </c>
      <c r="U14" s="2">
        <f>COUNTIFS('OB History'!$B:$B,$A$14,'OB History'!L:L, 1)</f>
        <v>6</v>
      </c>
      <c r="V14" s="2">
        <f>COUNTIFS('OB History'!$B:$B,$A$14,'OB History'!M:M, 1)</f>
        <v>3</v>
      </c>
      <c r="W14" s="2">
        <f>COUNTIFS('OB History'!$B:$B,$A$14,'OB History'!N:N, 1)</f>
        <v>10</v>
      </c>
      <c r="X14" s="2">
        <f>COUNTIFS('OB History'!$B:$B,$A$14,'OB History'!O:O, 1)</f>
        <v>4</v>
      </c>
      <c r="Y14" s="2">
        <f>COUNTIFS('OB History'!$B:$B,$A$14,'OB History'!P:P, 1)</f>
        <v>13</v>
      </c>
      <c r="Z14" s="2">
        <f>COUNTIFS('OB History'!$B:$B,$A$14,'OB History'!Q:Q, 1)</f>
        <v>5</v>
      </c>
      <c r="AA14" s="2">
        <f>COUNTIFS('OB History'!$B:$B,$A$14,'OB History'!R:R, 1)</f>
        <v>4</v>
      </c>
      <c r="AB14" s="2">
        <f>COUNTIFS('OB History'!$B:$B,$A$14,'OB History'!S:S, 1)</f>
        <v>2</v>
      </c>
      <c r="AC14" s="2">
        <f>COUNTIFS('OB History'!$B:$B,$A$14,'OB History'!T:T, 1)</f>
        <v>2</v>
      </c>
      <c r="AD14" s="2">
        <f>COUNTIFS('OB History'!$B:$B,$A$14,'OB History'!U:U, 1)</f>
        <v>1</v>
      </c>
      <c r="AE14" s="2">
        <f>COUNTIFS('OB History'!$B:$B,$A$14,'OB History'!V:V, 1)</f>
        <v>3</v>
      </c>
      <c r="AF14" s="2">
        <f>COUNTIFS('OB History'!$B:$B,$A$14,'OB History'!W:W, 1)</f>
        <v>6</v>
      </c>
      <c r="AG14" s="2">
        <f>COUNTIFS('OB History'!$B:$B,$A$14,'OB History'!X:X, 1)</f>
        <v>8</v>
      </c>
      <c r="AH14" s="2">
        <f>COUNTIFS('OB History'!$B:$B,$A$14,'OB History'!Y:Y, 1)</f>
        <v>6</v>
      </c>
      <c r="AI14" s="2">
        <f>COUNTIFS('OB History'!$B:$B,$A$14,'OB History'!Z:Z, 1)</f>
        <v>9</v>
      </c>
    </row>
    <row r="15" spans="1:35" x14ac:dyDescent="0.25">
      <c r="A15" s="2" t="s">
        <v>74</v>
      </c>
      <c r="B15" s="6" t="s">
        <v>79</v>
      </c>
      <c r="C15" s="6" t="s">
        <v>79</v>
      </c>
      <c r="D15" s="3"/>
      <c r="E15" s="3"/>
      <c r="F15" s="3"/>
      <c r="G15" s="3"/>
      <c r="H15" s="34">
        <f>SUMIFS('OB History'!C:C,'OB History'!B:B,A15)</f>
        <v>10</v>
      </c>
      <c r="I15" s="4">
        <f>AVERAGEIFS('OB History'!C:C,'OB History'!B:B,A15)</f>
        <v>10</v>
      </c>
      <c r="J15" s="35">
        <f t="array" ref="J15">MAX(IF('OB History'!B:B=A15, 'OB History'!C:C))</f>
        <v>10</v>
      </c>
      <c r="K15" s="34">
        <f>COUNTIFS('OB History'!B:B,A15,'OB History'!D:D, 1)</f>
        <v>0</v>
      </c>
      <c r="L15" s="2">
        <f>COUNTIFS('OB History'!B:B,A15,'OB History'!D:D, 0)</f>
        <v>1</v>
      </c>
      <c r="M15" s="88">
        <f>LOOKUP(2, 1/('OB History'!$B:$B=A15), 'OB History'!$AD:$AD)</f>
        <v>0</v>
      </c>
      <c r="N15" s="34">
        <f>SUMIFS('OB History'!F:F,'OB History'!B:B,A15)</f>
        <v>2</v>
      </c>
      <c r="O15" s="2">
        <f>SUMIFS('OB History'!E:E,'OB History'!B:B,A15)-N15</f>
        <v>3</v>
      </c>
      <c r="P15" s="88">
        <f>LOOKUP(2, 1/('OB History'!$B:$B=A15), 'OB History'!$AB:$AB)</f>
        <v>0.4</v>
      </c>
      <c r="Q15" s="34">
        <f>SUMIFS('OB History'!H:H,'OB History'!B:B,'Old Bow v2'!A15)</f>
        <v>6</v>
      </c>
      <c r="R15" s="2">
        <f>SUMIFS('OB History'!G:G,'OB History'!B:B,'Old Bow v2'!A15)-Q15</f>
        <v>14</v>
      </c>
      <c r="S15" s="88">
        <f>LOOKUP(2, 1/('OB History'!$B:$B=A15), 'OB History'!$AC:$AC)</f>
        <v>0.3</v>
      </c>
      <c r="T15" s="2">
        <f>COUNTIFS('OB History'!$B:$B,$A$15,'OB History'!K:K, 1)</f>
        <v>0</v>
      </c>
      <c r="U15" s="2">
        <f>COUNTIFS('OB History'!$B:$B,$A$15,'OB History'!L:L, 1)</f>
        <v>0</v>
      </c>
      <c r="V15" s="2">
        <f>COUNTIFS('OB History'!$B:$B,$A$15,'OB History'!M:M, 1)</f>
        <v>0</v>
      </c>
      <c r="W15" s="2">
        <f>COUNTIFS('OB History'!$B:$B,$A$15,'OB History'!N:N, 1)</f>
        <v>0</v>
      </c>
      <c r="X15" s="2">
        <f>COUNTIFS('OB History'!$B:$B,$A$15,'OB History'!O:O, 1)</f>
        <v>0</v>
      </c>
      <c r="Y15" s="2">
        <f>COUNTIFS('OB History'!$B:$B,$A$15,'OB History'!P:P, 1)</f>
        <v>0</v>
      </c>
      <c r="Z15" s="2">
        <f>COUNTIFS('OB History'!$B:$B,$A$15,'OB History'!Q:Q, 1)</f>
        <v>0</v>
      </c>
      <c r="AA15" s="2">
        <f>COUNTIFS('OB History'!$B:$B,$A$15,'OB History'!R:R, 1)</f>
        <v>0</v>
      </c>
      <c r="AB15" s="2">
        <f>COUNTIFS('OB History'!$B:$B,$A$15,'OB History'!S:S, 1)</f>
        <v>0</v>
      </c>
      <c r="AC15" s="2">
        <f>COUNTIFS('OB History'!$B:$B,$A$15,'OB History'!T:T, 1)</f>
        <v>0</v>
      </c>
      <c r="AD15" s="2">
        <f>COUNTIFS('OB History'!$B:$B,$A$15,'OB History'!U:U, 1)</f>
        <v>0</v>
      </c>
      <c r="AE15" s="2">
        <f>COUNTIFS('OB History'!$B:$B,$A$15,'OB History'!V:V, 1)</f>
        <v>0</v>
      </c>
      <c r="AF15" s="2">
        <f>COUNTIFS('OB History'!$B:$B,$A$15,'OB History'!W:W, 1)</f>
        <v>1</v>
      </c>
      <c r="AG15" s="2">
        <f>COUNTIFS('OB History'!$B:$B,$A$15,'OB History'!X:X, 1)</f>
        <v>0</v>
      </c>
      <c r="AH15" s="2">
        <f>COUNTIFS('OB History'!$B:$B,$A$15,'OB History'!Y:Y, 1)</f>
        <v>1</v>
      </c>
      <c r="AI15" s="2">
        <f>COUNTIFS('OB History'!$B:$B,$A$15,'OB History'!Z:Z, 1)</f>
        <v>0</v>
      </c>
    </row>
    <row r="16" spans="1:35" x14ac:dyDescent="0.25">
      <c r="A16" s="2" t="s">
        <v>152</v>
      </c>
      <c r="B16" s="6" t="s">
        <v>79</v>
      </c>
      <c r="C16" s="6" t="s">
        <v>79</v>
      </c>
      <c r="D16" s="3"/>
      <c r="E16" s="3"/>
      <c r="F16" s="3"/>
      <c r="G16" s="3"/>
      <c r="H16" s="34">
        <f>SUMIFS('OB History'!C:C,'OB History'!B:B,A16)</f>
        <v>63</v>
      </c>
      <c r="I16" s="4">
        <f>AVERAGEIFS('OB History'!C:C,'OB History'!B:B,A16)</f>
        <v>15.75</v>
      </c>
      <c r="J16" s="35">
        <f t="array" ref="J16">MAX(IF('OB History'!B:B=A16, 'OB History'!C:C))</f>
        <v>19</v>
      </c>
      <c r="K16" s="34">
        <f>COUNTIFS('OB History'!B:B,A16,'OB History'!D:D, 1)</f>
        <v>1</v>
      </c>
      <c r="L16" s="2">
        <f>COUNTIFS('OB History'!B:B,A16,'OB History'!D:D, 0)</f>
        <v>3</v>
      </c>
      <c r="M16" s="88">
        <f>LOOKUP(2, 1/('OB History'!$B:$B=A16), 'OB History'!$AD:$AD)</f>
        <v>0.25</v>
      </c>
      <c r="N16" s="34">
        <f>SUMIFS('OB History'!F:F,'OB History'!B:B,A16)</f>
        <v>7</v>
      </c>
      <c r="O16" s="2">
        <f>SUMIFS('OB History'!E:E,'OB History'!B:B,A16)-N16</f>
        <v>10</v>
      </c>
      <c r="P16" s="88">
        <f>LOOKUP(2, 1/('OB History'!$B:$B=A16), 'OB History'!$AB:$AB)</f>
        <v>0.38750000000000001</v>
      </c>
      <c r="Q16" s="34">
        <f>SUMIFS('OB History'!H:H,'OB History'!B:B,'Old Bow v2'!A16)</f>
        <v>33</v>
      </c>
      <c r="R16" s="2">
        <f>SUMIFS('OB History'!G:G,'OB History'!B:B,'Old Bow v2'!A16)-Q16</f>
        <v>41</v>
      </c>
      <c r="S16" s="88">
        <f>LOOKUP(2, 1/('OB History'!$B:$B=A16), 'OB History'!$AC:$AC)</f>
        <v>0.42749999999999999</v>
      </c>
      <c r="T16" s="2">
        <f>COUNTIFS('OB History'!$B:$B,$A$16,'OB History'!K:K, 1)</f>
        <v>0</v>
      </c>
      <c r="U16" s="2">
        <f>COUNTIFS('OB History'!$B:$B,$A$16,'OB History'!L:L, 1)</f>
        <v>0</v>
      </c>
      <c r="V16" s="2">
        <f>COUNTIFS('OB History'!$B:$B,$A$16,'OB History'!M:M, 1)</f>
        <v>1</v>
      </c>
      <c r="W16" s="2">
        <f>COUNTIFS('OB History'!$B:$B,$A$16,'OB History'!N:N, 1)</f>
        <v>0</v>
      </c>
      <c r="X16" s="2">
        <f>COUNTIFS('OB History'!$B:$B,$A$16,'OB History'!O:O, 1)</f>
        <v>0</v>
      </c>
      <c r="Y16" s="2">
        <f>COUNTIFS('OB History'!$B:$B,$A$16,'OB History'!P:P, 1)</f>
        <v>1</v>
      </c>
      <c r="Z16" s="2">
        <f>COUNTIFS('OB History'!$B:$B,$A$16,'OB History'!Q:Q, 1)</f>
        <v>2</v>
      </c>
      <c r="AA16" s="2">
        <f>COUNTIFS('OB History'!$B:$B,$A$16,'OB History'!R:R, 1)</f>
        <v>1</v>
      </c>
      <c r="AB16" s="2">
        <f>COUNTIFS('OB History'!$B:$B,$A$16,'OB History'!S:S, 1)</f>
        <v>0</v>
      </c>
      <c r="AC16" s="2">
        <f>COUNTIFS('OB History'!$B:$B,$A$16,'OB History'!T:T, 1)</f>
        <v>0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0</v>
      </c>
      <c r="AG16" s="2">
        <f>COUNTIFS('OB History'!$B:$B,$A$16,'OB History'!X:X, 1)</f>
        <v>1</v>
      </c>
      <c r="AH16" s="2">
        <f>COUNTIFS('OB History'!$B:$B,$A$16,'OB History'!Y:Y, 1)</f>
        <v>0</v>
      </c>
      <c r="AI16" s="2">
        <f>COUNTIFS('OB History'!$B:$B,$A$16,'OB History'!Z:Z, 1)</f>
        <v>1</v>
      </c>
    </row>
    <row r="17" spans="1:35" ht="15.75" x14ac:dyDescent="0.25">
      <c r="A17" s="1" t="s">
        <v>45</v>
      </c>
      <c r="B17" s="80" t="s">
        <v>60</v>
      </c>
      <c r="C17" s="2" t="s">
        <v>79</v>
      </c>
      <c r="D17" s="3"/>
      <c r="E17" s="3"/>
      <c r="F17" s="3"/>
      <c r="G17" s="3"/>
      <c r="H17" s="34">
        <f>SUMIFS('OB History'!C:C,'OB History'!B:B,A17)</f>
        <v>280</v>
      </c>
      <c r="I17" s="4">
        <f>AVERAGEIFS('OB History'!C:C,'OB History'!B:B,A17)</f>
        <v>12.727272727272727</v>
      </c>
      <c r="J17" s="35">
        <f t="array" ref="J17">MAX(IF('OB History'!B:B=A17, 'OB History'!C:C))</f>
        <v>26</v>
      </c>
      <c r="K17" s="34">
        <f>COUNTIFS('OB History'!B:B,A17,'OB History'!D:D, 1)</f>
        <v>9</v>
      </c>
      <c r="L17" s="2">
        <f>COUNTIFS('OB History'!B:B,A17,'OB History'!D:D, 0)</f>
        <v>13</v>
      </c>
      <c r="M17" s="88">
        <f>LOOKUP(2, 1/('OB History'!$B:$B=A17), 'OB History'!$AD:$AD)</f>
        <v>0.40909090909090912</v>
      </c>
      <c r="N17" s="34">
        <f>SUMIFS('OB History'!F:F,'OB History'!B:B,A17)</f>
        <v>44</v>
      </c>
      <c r="O17" s="2">
        <f>SUMIFS('OB History'!E:E,'OB History'!B:B,A17)-N17</f>
        <v>50</v>
      </c>
      <c r="P17" s="88">
        <f>LOOKUP(2, 1/('OB History'!$B:$B=A17), 'OB History'!$AB:$AB)</f>
        <v>0.46363636363636368</v>
      </c>
      <c r="Q17" s="34">
        <f>SUMIFS('OB History'!H:H,'OB History'!B:B,'Old Bow v2'!A17)</f>
        <v>182</v>
      </c>
      <c r="R17" s="2">
        <f>SUMIFS('OB History'!G:G,'OB History'!B:B,'Old Bow v2'!A17)-Q17</f>
        <v>196</v>
      </c>
      <c r="S17" s="88">
        <f>LOOKUP(2, 1/('OB History'!$B:$B=A17), 'OB History'!$AC:$AC)</f>
        <v>0.48136363636363644</v>
      </c>
      <c r="T17" s="2">
        <f>COUNTIFS('OB History'!$B:$B,$A$17,'OB History'!K:K, 1)</f>
        <v>1</v>
      </c>
      <c r="U17" s="2">
        <f>COUNTIFS('OB History'!$B:$B,$A$17,'OB History'!L:L, 1)</f>
        <v>3</v>
      </c>
      <c r="V17" s="2">
        <f>COUNTIFS('OB History'!$B:$B,$A$17,'OB History'!M:M, 1)</f>
        <v>2</v>
      </c>
      <c r="W17" s="2">
        <f>COUNTIFS('OB History'!$B:$B,$A$17,'OB History'!N:N, 1)</f>
        <v>7</v>
      </c>
      <c r="X17" s="2">
        <f>COUNTIFS('OB History'!$B:$B,$A$17,'OB History'!O:O, 1)</f>
        <v>0</v>
      </c>
      <c r="Y17" s="2">
        <f>COUNTIFS('OB History'!$B:$B,$A$17,'OB History'!P:P, 1)</f>
        <v>5</v>
      </c>
      <c r="Z17" s="2">
        <f>COUNTIFS('OB History'!$B:$B,$A$17,'OB History'!Q:Q, 1)</f>
        <v>0</v>
      </c>
      <c r="AA17" s="2">
        <f>COUNTIFS('OB History'!$B:$B,$A$17,'OB History'!R:R, 1)</f>
        <v>0</v>
      </c>
      <c r="AB17" s="2">
        <f>COUNTIFS('OB History'!$B:$B,$A$17,'OB History'!S:S, 1)</f>
        <v>1</v>
      </c>
      <c r="AC17" s="2">
        <f>COUNTIFS('OB History'!$B:$B,$A$17,'OB History'!T:T, 1)</f>
        <v>1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3</v>
      </c>
      <c r="AG17" s="2">
        <f>COUNTIFS('OB History'!$B:$B,$A$17,'OB History'!X:X, 1)</f>
        <v>7</v>
      </c>
      <c r="AH17" s="2">
        <f>COUNTIFS('OB History'!$B:$B,$A$17,'OB History'!Y:Y, 1)</f>
        <v>6</v>
      </c>
      <c r="AI17" s="2">
        <f>COUNTIFS('OB History'!$B:$B,$A$17,'OB History'!Z:Z, 1)</f>
        <v>8</v>
      </c>
    </row>
    <row r="18" spans="1:35" x14ac:dyDescent="0.25">
      <c r="A18" s="2" t="s">
        <v>50</v>
      </c>
      <c r="B18" s="2" t="s">
        <v>79</v>
      </c>
      <c r="C18" s="2" t="s">
        <v>79</v>
      </c>
      <c r="D18" s="3"/>
      <c r="E18" s="3"/>
      <c r="F18" s="3"/>
      <c r="G18" s="3"/>
      <c r="H18" s="34">
        <f>SUMIFS('OB History'!C:C,'OB History'!B:B,A18)</f>
        <v>43</v>
      </c>
      <c r="I18" s="4">
        <f>AVERAGEIFS('OB History'!C:C,'OB History'!B:B,A18)</f>
        <v>14.333333333333334</v>
      </c>
      <c r="J18" s="35">
        <f t="array" ref="J18">MAX(IF('OB History'!B:B=A18, 'OB History'!C:C))</f>
        <v>17</v>
      </c>
      <c r="K18" s="34">
        <f>COUNTIFS('OB History'!B:B,A18,'OB History'!D:D, 1)</f>
        <v>0</v>
      </c>
      <c r="L18" s="2">
        <f>COUNTIFS('OB History'!B:B,A18,'OB History'!D:D, 0)</f>
        <v>3</v>
      </c>
      <c r="M18" s="88">
        <f>LOOKUP(2, 1/('OB History'!$B:$B=A18), 'OB History'!$AD:$AD)</f>
        <v>0</v>
      </c>
      <c r="N18" s="34">
        <f>SUMIFS('OB History'!F:F,'OB History'!B:B,A18)</f>
        <v>4</v>
      </c>
      <c r="O18" s="2">
        <f>SUMIFS('OB History'!E:E,'OB History'!B:B,A18)-N18</f>
        <v>9</v>
      </c>
      <c r="P18" s="88">
        <f>LOOKUP(2, 1/('OB History'!$B:$B=A18), 'OB History'!$AB:$AB)</f>
        <v>0.3</v>
      </c>
      <c r="Q18" s="34">
        <f>SUMIFS('OB History'!H:H,'OB History'!B:B,'Old Bow v2'!A18)</f>
        <v>24</v>
      </c>
      <c r="R18" s="2">
        <f>SUMIFS('OB History'!G:G,'OB History'!B:B,'Old Bow v2'!A18)-Q18</f>
        <v>32</v>
      </c>
      <c r="S18" s="88">
        <f>LOOKUP(2, 1/('OB History'!$B:$B=A18), 'OB History'!$AC:$AC)</f>
        <v>0.41666666666666669</v>
      </c>
      <c r="T18" s="2">
        <f>COUNTIFS('OB History'!$B:$B,$A$18,'OB History'!K:K, 1)</f>
        <v>1</v>
      </c>
      <c r="U18" s="2">
        <f>COUNTIFS('OB History'!$B:$B,$A$18,'OB History'!L:L, 1)</f>
        <v>0</v>
      </c>
      <c r="V18" s="2">
        <f>COUNTIFS('OB History'!$B:$B,$A$18,'OB History'!M:M, 1)</f>
        <v>0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2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1</v>
      </c>
      <c r="AG18" s="2">
        <f>COUNTIFS('OB History'!$B:$B,$A$18,'OB History'!X:X, 1)</f>
        <v>0</v>
      </c>
      <c r="AH18" s="2">
        <f>COUNTIFS('OB History'!$B:$B,$A$18,'OB History'!Y:Y, 1)</f>
        <v>0</v>
      </c>
      <c r="AI18" s="2">
        <f>COUNTIFS('OB History'!$B:$B,$A$18,'OB History'!Z:Z, 1)</f>
        <v>0</v>
      </c>
    </row>
    <row r="19" spans="1:35" x14ac:dyDescent="0.25">
      <c r="A19" s="2" t="s">
        <v>52</v>
      </c>
      <c r="B19" s="2" t="s">
        <v>79</v>
      </c>
      <c r="C19" s="2" t="s">
        <v>79</v>
      </c>
      <c r="D19" s="3"/>
      <c r="E19" s="3"/>
      <c r="F19" s="3"/>
      <c r="G19" s="3"/>
      <c r="H19" s="34">
        <f>SUMIFS('OB History'!C:C,'OB History'!B:B,A19)</f>
        <v>39</v>
      </c>
      <c r="I19" s="4">
        <f>AVERAGEIFS('OB History'!C:C,'OB History'!B:B,A19)</f>
        <v>19.5</v>
      </c>
      <c r="J19" s="35">
        <f t="array" ref="J19">MAX(IF('OB History'!B:B=A19, 'OB History'!C:C))</f>
        <v>34</v>
      </c>
      <c r="K19" s="34">
        <f>COUNTIFS('OB History'!B:B,A19,'OB History'!D:D, 1)</f>
        <v>0</v>
      </c>
      <c r="L19" s="2">
        <f>COUNTIFS('OB History'!B:B,A19,'OB History'!D:D, 0)</f>
        <v>2</v>
      </c>
      <c r="M19" s="88">
        <f>LOOKUP(2, 1/('OB History'!$B:$B=A19), 'OB History'!$AD:$AD)</f>
        <v>0</v>
      </c>
      <c r="N19" s="34">
        <f>SUMIFS('OB History'!F:F,'OB History'!B:B,A19)</f>
        <v>2</v>
      </c>
      <c r="O19" s="2">
        <f>SUMIFS('OB History'!E:E,'OB History'!B:B,A19)-N19</f>
        <v>6</v>
      </c>
      <c r="P19" s="88">
        <f>LOOKUP(2, 1/('OB History'!$B:$B=A19), 'OB History'!$AB:$AB)</f>
        <v>0.2</v>
      </c>
      <c r="Q19" s="34">
        <f>SUMIFS('OB History'!H:H,'OB History'!B:B,'Old Bow v2'!A19)</f>
        <v>12</v>
      </c>
      <c r="R19" s="2">
        <f>SUMIFS('OB History'!G:G,'OB History'!B:B,'Old Bow v2'!A19)-Q19</f>
        <v>22</v>
      </c>
      <c r="S19" s="88">
        <f>LOOKUP(2, 1/('OB History'!$B:$B=A19), 'OB History'!$AC:$AC)</f>
        <v>0.34499999999999997</v>
      </c>
      <c r="T19" s="2">
        <f>COUNTIFS('OB History'!$B:$B,$A$19,'OB History'!K:K, 1)</f>
        <v>0</v>
      </c>
      <c r="U19" s="2">
        <f>COUNTIFS('OB History'!$B:$B,$A$19,'OB History'!L:L, 1)</f>
        <v>0</v>
      </c>
      <c r="V19" s="2">
        <f>COUNTIFS('OB History'!$B:$B,$A$19,'OB History'!M:M, 1)</f>
        <v>0</v>
      </c>
      <c r="W19" s="2">
        <f>COUNTIFS('OB History'!$B:$B,$A$19,'OB History'!N:N, 1)</f>
        <v>0</v>
      </c>
      <c r="X19" s="2">
        <f>COUNTIFS('OB History'!$B:$B,$A$19,'OB History'!O:O, 1)</f>
        <v>0</v>
      </c>
      <c r="Y19" s="2">
        <f>COUNTIFS('OB History'!$B:$B,$A$19,'OB History'!P:P, 1)</f>
        <v>1</v>
      </c>
      <c r="Z19" s="2">
        <f>COUNTIFS('OB History'!$B:$B,$A$19,'OB History'!Q:Q, 1)</f>
        <v>0</v>
      </c>
      <c r="AA19" s="2">
        <f>COUNTIFS('OB History'!$B:$B,$A$19,'OB History'!R:R, 1)</f>
        <v>0</v>
      </c>
      <c r="AB19" s="2">
        <f>COUNTIFS('OB History'!$B:$B,$A$19,'OB History'!S:S, 1)</f>
        <v>0</v>
      </c>
      <c r="AC19" s="2">
        <f>COUNTIFS('OB History'!$B:$B,$A$19,'OB History'!T:T, 1)</f>
        <v>0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0</v>
      </c>
      <c r="AG19" s="2">
        <f>COUNTIFS('OB History'!$B:$B,$A$19,'OB History'!X:X, 1)</f>
        <v>1</v>
      </c>
      <c r="AH19" s="2">
        <f>COUNTIFS('OB History'!$B:$B,$A$19,'OB History'!Y:Y, 1)</f>
        <v>0</v>
      </c>
      <c r="AI19" s="2">
        <f>COUNTIFS('OB History'!$B:$B,$A$19,'OB History'!Z:Z, 1)</f>
        <v>0</v>
      </c>
    </row>
    <row r="20" spans="1:35" x14ac:dyDescent="0.25">
      <c r="A20" s="1" t="s">
        <v>44</v>
      </c>
      <c r="B20" s="2" t="s">
        <v>79</v>
      </c>
      <c r="C20" s="2" t="s">
        <v>79</v>
      </c>
      <c r="D20" s="3"/>
      <c r="E20" s="3"/>
      <c r="F20" s="3"/>
      <c r="G20" s="3"/>
      <c r="H20" s="34">
        <f>SUMIFS('OB History'!C:C,'OB History'!B:B,A20)</f>
        <v>96</v>
      </c>
      <c r="I20" s="4">
        <f>AVERAGEIFS('OB History'!C:C,'OB History'!B:B,A20)</f>
        <v>16</v>
      </c>
      <c r="J20" s="35">
        <f t="array" ref="J20">MAX(IF('OB History'!B:B=A20, 'OB History'!C:C))</f>
        <v>28</v>
      </c>
      <c r="K20" s="34">
        <f>COUNTIFS('OB History'!B:B,A20,'OB History'!D:D, 1)</f>
        <v>6</v>
      </c>
      <c r="L20" s="2">
        <f>COUNTIFS('OB History'!B:B,A20,'OB History'!D:D, 0)</f>
        <v>0</v>
      </c>
      <c r="M20" s="88">
        <f>LOOKUP(2, 1/('OB History'!$B:$B=A20), 'OB History'!$AD:$AD)</f>
        <v>1</v>
      </c>
      <c r="N20" s="34">
        <f>SUMIFS('OB History'!F:F,'OB History'!B:B,A20)</f>
        <v>18</v>
      </c>
      <c r="O20" s="2">
        <f>SUMIFS('OB History'!E:E,'OB History'!B:B,A20)-N20</f>
        <v>5</v>
      </c>
      <c r="P20" s="88">
        <f>LOOKUP(2, 1/('OB History'!$B:$B=A20), 'OB History'!$AB:$AB)</f>
        <v>0.82500000000000007</v>
      </c>
      <c r="Q20" s="34">
        <f>SUMIFS('OB History'!H:H,'OB History'!B:B,'Old Bow v2'!A20)</f>
        <v>61</v>
      </c>
      <c r="R20" s="2">
        <f>SUMIFS('OB History'!G:G,'OB History'!B:B,'Old Bow v2'!A20)-Q20</f>
        <v>36</v>
      </c>
      <c r="S20" s="88">
        <f>LOOKUP(2, 1/('OB History'!$B:$B=A20), 'OB History'!$AC:$AC)</f>
        <v>0.64333333333333331</v>
      </c>
      <c r="T20" s="2">
        <f>COUNTIFS('OB History'!$B:$B,$A$20,'OB History'!K:K, 1)</f>
        <v>0</v>
      </c>
      <c r="U20" s="2">
        <f>COUNTIFS('OB History'!$B:$B,$A$20,'OB History'!L:L, 1)</f>
        <v>2</v>
      </c>
      <c r="V20" s="2">
        <f>COUNTIFS('OB History'!$B:$B,$A$20,'OB History'!M:M, 1)</f>
        <v>2</v>
      </c>
      <c r="W20" s="2">
        <f>COUNTIFS('OB History'!$B:$B,$A$20,'OB History'!N:N, 1)</f>
        <v>0</v>
      </c>
      <c r="X20" s="2">
        <f>COUNTIFS('OB History'!$B:$B,$A$20,'OB History'!O:O, 1)</f>
        <v>0</v>
      </c>
      <c r="Y20" s="2">
        <f>COUNTIFS('OB History'!$B:$B,$A$20,'OB History'!P:P, 1)</f>
        <v>2</v>
      </c>
      <c r="Z20" s="2">
        <f>COUNTIFS('OB History'!$B:$B,$A$20,'OB History'!Q:Q, 1)</f>
        <v>1</v>
      </c>
      <c r="AA20" s="2">
        <f>COUNTIFS('OB History'!$B:$B,$A$20,'OB History'!R:R, 1)</f>
        <v>1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1</v>
      </c>
      <c r="AG20" s="2">
        <f>COUNTIFS('OB History'!$B:$B,$A$20,'OB History'!X:X, 1)</f>
        <v>4</v>
      </c>
      <c r="AH20" s="2">
        <f>COUNTIFS('OB History'!$B:$B,$A$20,'OB History'!Y:Y, 1)</f>
        <v>3</v>
      </c>
      <c r="AI20" s="2">
        <f>COUNTIFS('OB History'!$B:$B,$A$20,'OB History'!Z:Z, 1)</f>
        <v>2</v>
      </c>
    </row>
    <row r="21" spans="1:35" x14ac:dyDescent="0.25">
      <c r="A21" s="2" t="s">
        <v>1</v>
      </c>
      <c r="B21" s="6" t="s">
        <v>124</v>
      </c>
      <c r="C21" s="2" t="s">
        <v>79</v>
      </c>
      <c r="D21" s="3"/>
      <c r="E21" s="3"/>
      <c r="F21" s="3"/>
      <c r="G21" s="3"/>
      <c r="H21" s="34">
        <f>SUMIFS('OB History'!C:C,'OB History'!B:B,A21)</f>
        <v>309</v>
      </c>
      <c r="I21" s="4">
        <f>AVERAGEIFS('OB History'!C:C,'OB History'!B:B,A21)</f>
        <v>23.76923076923077</v>
      </c>
      <c r="J21" s="35">
        <f t="array" ref="J21">MAX(IF('OB History'!B:B=A21, 'OB History'!C:C))</f>
        <v>37</v>
      </c>
      <c r="K21" s="34">
        <f>COUNTIFS('OB History'!B:B,A21,'OB History'!D:D, 1)</f>
        <v>8</v>
      </c>
      <c r="L21" s="2">
        <f>COUNTIFS('OB History'!B:B,A21,'OB History'!D:D, 0)</f>
        <v>5</v>
      </c>
      <c r="M21" s="88">
        <f>LOOKUP(2, 1/('OB History'!$B:$B=A21), 'OB History'!$AD:$AD)</f>
        <v>0.61538461538461542</v>
      </c>
      <c r="N21" s="34">
        <f>SUMIFS('OB History'!F:F,'OB History'!B:B,A21)</f>
        <v>30</v>
      </c>
      <c r="O21" s="2">
        <f>SUMIFS('OB History'!E:E,'OB History'!B:B,A21)-N21</f>
        <v>26</v>
      </c>
      <c r="P21" s="88">
        <f>LOOKUP(2, 1/('OB History'!$B:$B=A21), 'OB History'!$AB:$AB)</f>
        <v>0.5346153846153846</v>
      </c>
      <c r="Q21" s="34">
        <f>SUMIFS('OB History'!H:H,'OB History'!B:B,'Old Bow v2'!A21)</f>
        <v>116</v>
      </c>
      <c r="R21" s="2">
        <f>SUMIFS('OB History'!G:G,'OB History'!B:B,'Old Bow v2'!A21)-Q21</f>
        <v>117</v>
      </c>
      <c r="S21" s="88">
        <f>LOOKUP(2, 1/('OB History'!$B:$B=A21), 'OB History'!$AC:$AC)</f>
        <v>0.49230769230769234</v>
      </c>
      <c r="T21" s="2">
        <f>COUNTIFS('OB History'!$B:$B,$A$21,'OB History'!K:K, 1)</f>
        <v>0</v>
      </c>
      <c r="U21" s="2">
        <f>COUNTIFS('OB History'!$B:$B,$A$21,'OB History'!L:L, 1)</f>
        <v>3</v>
      </c>
      <c r="V21" s="2">
        <f>COUNTIFS('OB History'!$B:$B,$A$21,'OB History'!M:M, 1)</f>
        <v>4</v>
      </c>
      <c r="W21" s="2">
        <f>COUNTIFS('OB History'!$B:$B,$A$21,'OB History'!N:N, 1)</f>
        <v>1</v>
      </c>
      <c r="X21" s="2">
        <f>COUNTIFS('OB History'!$B:$B,$A$21,'OB History'!O:O, 1)</f>
        <v>2</v>
      </c>
      <c r="Y21" s="2">
        <f>COUNTIFS('OB History'!$B:$B,$A$21,'OB History'!P:P, 1)</f>
        <v>2</v>
      </c>
      <c r="Z21" s="2">
        <f>COUNTIFS('OB History'!$B:$B,$A$21,'OB History'!Q:Q, 1)</f>
        <v>0</v>
      </c>
      <c r="AA21" s="2">
        <f>COUNTIFS('OB History'!$B:$B,$A$21,'OB History'!R:R, 1)</f>
        <v>1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0</v>
      </c>
      <c r="AE21" s="2">
        <f>COUNTIFS('OB History'!$B:$B,$A$21,'OB History'!V:V, 1)</f>
        <v>0</v>
      </c>
      <c r="AF21" s="2">
        <f>COUNTIFS('OB History'!$B:$B,$A$21,'OB History'!W:W, 1)</f>
        <v>4</v>
      </c>
      <c r="AG21" s="2">
        <f>COUNTIFS('OB History'!$B:$B,$A$21,'OB History'!X:X, 1)</f>
        <v>4</v>
      </c>
      <c r="AH21" s="2">
        <f>COUNTIFS('OB History'!$B:$B,$A$21,'OB History'!Y:Y, 1)</f>
        <v>4</v>
      </c>
      <c r="AI21" s="2">
        <f>COUNTIFS('OB History'!$B:$B,$A$21,'OB History'!Z:Z, 1)</f>
        <v>5</v>
      </c>
    </row>
    <row r="22" spans="1:35" x14ac:dyDescent="0.25">
      <c r="A22" s="2" t="s">
        <v>150</v>
      </c>
      <c r="B22" s="6" t="s">
        <v>79</v>
      </c>
      <c r="C22" s="2" t="s">
        <v>79</v>
      </c>
      <c r="D22" s="3">
        <v>1</v>
      </c>
      <c r="E22" s="3"/>
      <c r="F22" s="3"/>
      <c r="G22" s="3"/>
      <c r="H22" s="34">
        <f>SUMIFS('OB History'!C:C,'OB History'!B:B,A22)</f>
        <v>179</v>
      </c>
      <c r="I22" s="4">
        <f>AVERAGEIFS('OB History'!C:C,'OB History'!B:B,A22)</f>
        <v>17.899999999999999</v>
      </c>
      <c r="J22" s="35">
        <f t="array" ref="J22">MAX(IF('OB History'!B:B=A22, 'OB History'!C:C))</f>
        <v>26</v>
      </c>
      <c r="K22" s="34">
        <f>COUNTIFS('OB History'!B:B,A22,'OB History'!D:D, 1)</f>
        <v>9</v>
      </c>
      <c r="L22" s="2">
        <f>COUNTIFS('OB History'!B:B,A22,'OB History'!D:D, 0)</f>
        <v>1</v>
      </c>
      <c r="M22" s="88">
        <f>LOOKUP(2, 1/('OB History'!$B:$B=A22), 'OB History'!$AD:$AD)</f>
        <v>0.9</v>
      </c>
      <c r="N22" s="34">
        <f>SUMIFS('OB History'!F:F,'OB History'!B:B,A22)</f>
        <v>29</v>
      </c>
      <c r="O22" s="2">
        <f>SUMIFS('OB History'!E:E,'OB History'!B:B,A22)-N22</f>
        <v>11</v>
      </c>
      <c r="P22" s="88">
        <f>LOOKUP(2, 1/('OB History'!$B:$B=A22), 'OB History'!$AB:$AB)</f>
        <v>0.76</v>
      </c>
      <c r="Q22" s="34">
        <f>SUMIFS('OB History'!H:H,'OB History'!B:B,'Old Bow v2'!A22)</f>
        <v>105</v>
      </c>
      <c r="R22" s="2">
        <f>SUMIFS('OB History'!G:G,'OB History'!B:B,'Old Bow v2'!A22)-Q22</f>
        <v>57</v>
      </c>
      <c r="S22" s="88">
        <f>LOOKUP(2, 1/('OB History'!$B:$B=A22), 'OB History'!$AC:$AC)</f>
        <v>0.65799999999999981</v>
      </c>
      <c r="T22" s="2">
        <f>COUNTIFS('OB History'!$B:$B,$A$22,'OB History'!K:K, 1)</f>
        <v>1</v>
      </c>
      <c r="U22" s="2">
        <f>COUNTIFS('OB History'!$B:$B,$A$22,'OB History'!L:L, 1)</f>
        <v>1</v>
      </c>
      <c r="V22" s="2">
        <f>COUNTIFS('OB History'!$B:$B,$A$22,'OB History'!M:M, 1)</f>
        <v>2</v>
      </c>
      <c r="W22" s="2">
        <f>COUNTIFS('OB History'!$B:$B,$A$22,'OB History'!N:N, 1)</f>
        <v>3</v>
      </c>
      <c r="X22" s="2">
        <f>COUNTIFS('OB History'!$B:$B,$A$22,'OB History'!O:O, 1)</f>
        <v>0</v>
      </c>
      <c r="Y22" s="2">
        <f>COUNTIFS('OB History'!$B:$B,$A$22,'OB History'!P:P, 1)</f>
        <v>3</v>
      </c>
      <c r="Z22" s="2">
        <f>COUNTIFS('OB History'!$B:$B,$A$22,'OB History'!Q:Q, 1)</f>
        <v>1</v>
      </c>
      <c r="AA22" s="2">
        <f>COUNTIFS('OB History'!$B:$B,$A$22,'OB History'!R:R, 1)</f>
        <v>1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1</v>
      </c>
      <c r="AE22" s="2">
        <f>COUNTIFS('OB History'!$B:$B,$A$22,'OB History'!V:V, 1)</f>
        <v>0</v>
      </c>
      <c r="AF22" s="2">
        <f>COUNTIFS('OB History'!$B:$B,$A$22,'OB History'!W:W, 1)</f>
        <v>3</v>
      </c>
      <c r="AG22" s="2">
        <f>COUNTIFS('OB History'!$B:$B,$A$22,'OB History'!X:X, 1)</f>
        <v>4</v>
      </c>
      <c r="AH22" s="2">
        <f>COUNTIFS('OB History'!$B:$B,$A$22,'OB History'!Y:Y, 1)</f>
        <v>6</v>
      </c>
      <c r="AI22" s="2">
        <f>COUNTIFS('OB History'!$B:$B,$A$22,'OB History'!Z:Z, 1)</f>
        <v>3</v>
      </c>
    </row>
    <row r="23" spans="1:35" x14ac:dyDescent="0.25">
      <c r="A23" s="2" t="s">
        <v>29</v>
      </c>
      <c r="B23" s="6" t="s">
        <v>172</v>
      </c>
      <c r="C23" s="2" t="s">
        <v>79</v>
      </c>
      <c r="D23" s="3">
        <v>1</v>
      </c>
      <c r="E23" s="3"/>
      <c r="F23" s="3"/>
      <c r="G23" s="3"/>
      <c r="H23" s="34">
        <f>SUMIFS('OB History'!C:C,'OB History'!B:B,A23)</f>
        <v>486</v>
      </c>
      <c r="I23" s="4">
        <f>AVERAGEIFS('OB History'!C:C,'OB History'!B:B,A23)</f>
        <v>10.8</v>
      </c>
      <c r="J23" s="35">
        <f t="array" ref="J23">MAX(IF('OB History'!B:B=A23, 'OB History'!C:C))</f>
        <v>21</v>
      </c>
      <c r="K23" s="34">
        <f>COUNTIFS('OB History'!B:B,A23,'OB History'!D:D, 1)</f>
        <v>19</v>
      </c>
      <c r="L23" s="2">
        <f>COUNTIFS('OB History'!B:B,A23,'OB History'!D:D, 0)</f>
        <v>26</v>
      </c>
      <c r="M23" s="88">
        <f>LOOKUP(2, 1/('OB History'!$B:$B=A23), 'OB History'!$AD:$AD)</f>
        <v>0.42222222222222222</v>
      </c>
      <c r="N23" s="34">
        <f>SUMIFS('OB History'!F:F,'OB History'!B:B,A23)</f>
        <v>84</v>
      </c>
      <c r="O23" s="2">
        <f>SUMIFS('OB History'!E:E,'OB History'!B:B,A23)-N23</f>
        <v>98</v>
      </c>
      <c r="P23" s="88">
        <f>LOOKUP(2, 1/('OB History'!$B:$B=A23), 'OB History'!$AB:$AB)</f>
        <v>0.45222222222222225</v>
      </c>
      <c r="Q23" s="34">
        <f>SUMIFS('OB History'!H:H,'OB History'!B:B,'Old Bow v2'!A23)</f>
        <v>370</v>
      </c>
      <c r="R23" s="2">
        <f>SUMIFS('OB History'!G:G,'OB History'!B:B,'Old Bow v2'!A23)-Q23</f>
        <v>388</v>
      </c>
      <c r="S23" s="88">
        <f>LOOKUP(2, 1/('OB History'!$B:$B=A23), 'OB History'!$AC:$AC)</f>
        <v>0.49088888888888887</v>
      </c>
      <c r="T23" s="2">
        <f>COUNTIFS('OB History'!$B:$B,$A$23,'OB History'!K:K, 1)</f>
        <v>5</v>
      </c>
      <c r="U23" s="2">
        <f>COUNTIFS('OB History'!$B:$B,$A$23,'OB History'!L:L, 1)</f>
        <v>7</v>
      </c>
      <c r="V23" s="2">
        <f>COUNTIFS('OB History'!$B:$B,$A$23,'OB History'!M:M, 1)</f>
        <v>2</v>
      </c>
      <c r="W23" s="2">
        <f>COUNTIFS('OB History'!$B:$B,$A$23,'OB History'!N:N, 1)</f>
        <v>10</v>
      </c>
      <c r="X23" s="2">
        <f>COUNTIFS('OB History'!$B:$B,$A$23,'OB History'!O:O, 1)</f>
        <v>4</v>
      </c>
      <c r="Y23" s="2">
        <f>COUNTIFS('OB History'!$B:$B,$A$23,'OB History'!P:P, 1)</f>
        <v>8</v>
      </c>
      <c r="Z23" s="2">
        <f>COUNTIFS('OB History'!$B:$B,$A$23,'OB History'!Q:Q, 1)</f>
        <v>1</v>
      </c>
      <c r="AA23" s="2">
        <f>COUNTIFS('OB History'!$B:$B,$A$23,'OB History'!R:R, 1)</f>
        <v>0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3</v>
      </c>
      <c r="AF23" s="2">
        <f>COUNTIFS('OB History'!$B:$B,$A$23,'OB History'!W:W, 1)</f>
        <v>12</v>
      </c>
      <c r="AG23" s="2">
        <f>COUNTIFS('OB History'!$B:$B,$A$23,'OB History'!X:X, 1)</f>
        <v>13</v>
      </c>
      <c r="AH23" s="2">
        <f>COUNTIFS('OB History'!$B:$B,$A$23,'OB History'!Y:Y, 1)</f>
        <v>9</v>
      </c>
      <c r="AI23" s="2">
        <f>COUNTIFS('OB History'!$B:$B,$A$23,'OB History'!Z:Z, 1)</f>
        <v>10</v>
      </c>
    </row>
    <row r="24" spans="1:35" x14ac:dyDescent="0.25">
      <c r="A24" s="2" t="s">
        <v>46</v>
      </c>
      <c r="B24" s="2" t="s">
        <v>79</v>
      </c>
      <c r="C24" s="2" t="s">
        <v>79</v>
      </c>
      <c r="D24" s="3"/>
      <c r="E24" s="3"/>
      <c r="F24" s="3"/>
      <c r="G24" s="3"/>
      <c r="H24" s="34">
        <f>SUMIFS('OB History'!C:C,'OB History'!B:B,A24)</f>
        <v>183</v>
      </c>
      <c r="I24" s="4">
        <f>AVERAGEIFS('OB History'!C:C,'OB History'!B:B,A24)</f>
        <v>20.333333333333332</v>
      </c>
      <c r="J24" s="35">
        <f t="array" ref="J24">MAX(IF('OB History'!B:B=A24, 'OB History'!C:C))</f>
        <v>36</v>
      </c>
      <c r="K24" s="34">
        <f>COUNTIFS('OB History'!B:B,A24,'OB History'!D:D, 1)</f>
        <v>4</v>
      </c>
      <c r="L24" s="2">
        <f>COUNTIFS('OB History'!B:B,A24,'OB History'!D:D, 0)</f>
        <v>5</v>
      </c>
      <c r="M24" s="88">
        <f>LOOKUP(2, 1/('OB History'!$B:$B=A24), 'OB History'!$AD:$AD)</f>
        <v>0.44444444444444442</v>
      </c>
      <c r="N24" s="34">
        <f>SUMIFS('OB History'!F:F,'OB History'!B:B,A24)</f>
        <v>16</v>
      </c>
      <c r="O24" s="2">
        <f>SUMIFS('OB History'!E:E,'OB History'!B:B,A24)-N24</f>
        <v>20</v>
      </c>
      <c r="P24" s="88">
        <f>LOOKUP(2, 1/('OB History'!$B:$B=A24), 'OB History'!$AB:$AB)</f>
        <v>0.41666666666666669</v>
      </c>
      <c r="Q24" s="34">
        <f>SUMIFS('OB History'!H:H,'OB History'!B:B,'Old Bow v2'!A24)</f>
        <v>70</v>
      </c>
      <c r="R24" s="2">
        <f>SUMIFS('OB History'!G:G,'OB History'!B:B,'Old Bow v2'!A24)-Q24</f>
        <v>83</v>
      </c>
      <c r="S24" s="88">
        <f>LOOKUP(2, 1/('OB History'!$B:$B=A24), 'OB History'!$AC:$AC)</f>
        <v>0.44999999999999996</v>
      </c>
      <c r="T24" s="2">
        <f>COUNTIFS('OB History'!$B:$B,$A$24,'OB History'!K:K, 1)</f>
        <v>0</v>
      </c>
      <c r="U24" s="2">
        <f>COUNTIFS('OB History'!$B:$B,$A$24,'OB History'!L:L, 1)</f>
        <v>1</v>
      </c>
      <c r="V24" s="2">
        <f>COUNTIFS('OB History'!$B:$B,$A$24,'OB History'!M:M, 1)</f>
        <v>1</v>
      </c>
      <c r="W24" s="2">
        <f>COUNTIFS('OB History'!$B:$B,$A$24,'OB History'!N:N, 1)</f>
        <v>1</v>
      </c>
      <c r="X24" s="2">
        <f>COUNTIFS('OB History'!$B:$B,$A$24,'OB History'!O:O, 1)</f>
        <v>0</v>
      </c>
      <c r="Y24" s="2">
        <f>COUNTIFS('OB History'!$B:$B,$A$24,'OB History'!P:P, 1)</f>
        <v>5</v>
      </c>
      <c r="Z24" s="2">
        <f>COUNTIFS('OB History'!$B:$B,$A$24,'OB History'!Q:Q, 1)</f>
        <v>0</v>
      </c>
      <c r="AA24" s="2">
        <f>COUNTIFS('OB History'!$B:$B,$A$24,'OB History'!R:R, 1)</f>
        <v>1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0</v>
      </c>
      <c r="AE24" s="2">
        <f>COUNTIFS('OB History'!$B:$B,$A$24,'OB History'!V:V, 1)</f>
        <v>0</v>
      </c>
      <c r="AF24" s="2">
        <f>COUNTIFS('OB History'!$B:$B,$A$24,'OB History'!W:W, 1)</f>
        <v>1</v>
      </c>
      <c r="AG24" s="2">
        <f>COUNTIFS('OB History'!$B:$B,$A$24,'OB History'!X:X, 1)</f>
        <v>3</v>
      </c>
      <c r="AH24" s="2">
        <f>COUNTIFS('OB History'!$B:$B,$A$24,'OB History'!Y:Y, 1)</f>
        <v>1</v>
      </c>
      <c r="AI24" s="2">
        <f>COUNTIFS('OB History'!$B:$B,$A$24,'OB History'!Z:Z, 1)</f>
        <v>2</v>
      </c>
    </row>
    <row r="25" spans="1:35" x14ac:dyDescent="0.25">
      <c r="A25" s="2" t="s">
        <v>139</v>
      </c>
      <c r="B25" s="2" t="s">
        <v>79</v>
      </c>
      <c r="C25" s="2" t="s">
        <v>79</v>
      </c>
      <c r="D25" s="3"/>
      <c r="E25" s="3"/>
      <c r="F25" s="3"/>
      <c r="G25" s="3"/>
      <c r="H25" s="34">
        <f>SUMIFS('OB History'!C:C,'OB History'!B:B,A25)</f>
        <v>190</v>
      </c>
      <c r="I25" s="4">
        <f>AVERAGEIFS('OB History'!C:C,'OB History'!B:B,A25)</f>
        <v>10.555555555555555</v>
      </c>
      <c r="J25" s="35">
        <f t="array" ref="J25">MAX(IF('OB History'!B:B=A25, 'OB History'!C:C))</f>
        <v>17</v>
      </c>
      <c r="K25" s="34">
        <f>COUNTIFS('OB History'!B:B,A25,'OB History'!D:D, 1)</f>
        <v>11</v>
      </c>
      <c r="L25" s="2">
        <f>COUNTIFS('OB History'!B:B,A25,'OB History'!D:D, 0)</f>
        <v>7</v>
      </c>
      <c r="M25" s="88">
        <f>LOOKUP(2, 1/('OB History'!$B:$B=A25), 'OB History'!$AD:$AD)</f>
        <v>0.61111111111111116</v>
      </c>
      <c r="N25" s="34">
        <f>SUMIFS('OB History'!F:F,'OB History'!B:B,A25)</f>
        <v>40</v>
      </c>
      <c r="O25" s="2">
        <f>SUMIFS('OB History'!E:E,'OB History'!B:B,A25)-N25</f>
        <v>36</v>
      </c>
      <c r="P25" s="88">
        <f>LOOKUP(2, 1/('OB History'!$B:$B=A25), 'OB History'!$AB:$AB)</f>
        <v>0.51666666666666661</v>
      </c>
      <c r="Q25" s="34">
        <f>SUMIFS('OB History'!H:H,'OB History'!B:B,'Old Bow v2'!A25)</f>
        <v>162</v>
      </c>
      <c r="R25" s="2">
        <f>SUMIFS('OB History'!G:G,'OB History'!B:B,'Old Bow v2'!A25)-Q25</f>
        <v>148</v>
      </c>
      <c r="S25" s="88">
        <f>LOOKUP(2, 1/('OB History'!$B:$B=A25), 'OB History'!$AC:$AC)</f>
        <v>0.52222222222222214</v>
      </c>
      <c r="T25" s="2">
        <f>COUNTIFS('OB History'!$B:$B,$A$25,'OB History'!K:K, 1)</f>
        <v>1</v>
      </c>
      <c r="U25" s="2">
        <f>COUNTIFS('OB History'!$B:$B,$A$25,'OB History'!L:L, 1)</f>
        <v>4</v>
      </c>
      <c r="V25" s="2">
        <f>COUNTIFS('OB History'!$B:$B,$A$25,'OB History'!M:M, 1)</f>
        <v>1</v>
      </c>
      <c r="W25" s="2">
        <f>COUNTIFS('OB History'!$B:$B,$A$25,'OB History'!N:N, 1)</f>
        <v>4</v>
      </c>
      <c r="X25" s="2">
        <f>COUNTIFS('OB History'!$B:$B,$A$25,'OB History'!O:O, 1)</f>
        <v>0</v>
      </c>
      <c r="Y25" s="2">
        <f>COUNTIFS('OB History'!$B:$B,$A$25,'OB History'!P:P, 1)</f>
        <v>3</v>
      </c>
      <c r="Z25" s="2">
        <f>COUNTIFS('OB History'!$B:$B,$A$25,'OB History'!Q:Q, 1)</f>
        <v>2</v>
      </c>
      <c r="AA25" s="2">
        <f>COUNTIFS('OB History'!$B:$B,$A$25,'OB History'!R:R, 1)</f>
        <v>3</v>
      </c>
      <c r="AB25" s="2">
        <f>COUNTIFS('OB History'!$B:$B,$A$25,'OB History'!S:S, 1)</f>
        <v>0</v>
      </c>
      <c r="AC25" s="2">
        <f>COUNTIFS('OB History'!$B:$B,$A$25,'OB History'!T:T, 1)</f>
        <v>0</v>
      </c>
      <c r="AD25" s="2">
        <f>COUNTIFS('OB History'!$B:$B,$A$25,'OB History'!U:U, 1)</f>
        <v>0</v>
      </c>
      <c r="AE25" s="2">
        <f>COUNTIFS('OB History'!$B:$B,$A$25,'OB History'!V:V, 1)</f>
        <v>2</v>
      </c>
      <c r="AF25" s="2">
        <f>COUNTIFS('OB History'!$B:$B,$A$25,'OB History'!W:W, 1)</f>
        <v>0</v>
      </c>
      <c r="AG25" s="2">
        <f>COUNTIFS('OB History'!$B:$B,$A$25,'OB History'!X:X, 1)</f>
        <v>10</v>
      </c>
      <c r="AH25" s="2">
        <f>COUNTIFS('OB History'!$B:$B,$A$25,'OB History'!Y:Y, 1)</f>
        <v>4</v>
      </c>
      <c r="AI25" s="2">
        <f>COUNTIFS('OB History'!$B:$B,$A$25,'OB History'!Z:Z, 1)</f>
        <v>6</v>
      </c>
    </row>
    <row r="26" spans="1:35" x14ac:dyDescent="0.25">
      <c r="A26" s="2" t="s">
        <v>28</v>
      </c>
      <c r="B26" s="6" t="s">
        <v>60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355</v>
      </c>
      <c r="I26" s="4">
        <f>AVERAGEIFS('OB History'!C:C,'OB History'!B:B,A26)</f>
        <v>15.434782608695652</v>
      </c>
      <c r="J26" s="35">
        <f t="array" ref="J26">MAX(IF('OB History'!B:B=A26, 'OB History'!C:C))</f>
        <v>43</v>
      </c>
      <c r="K26" s="34">
        <f>COUNTIFS('OB History'!B:B,A26,'OB History'!D:D, 1)</f>
        <v>9</v>
      </c>
      <c r="L26" s="2">
        <f>COUNTIFS('OB History'!B:B,A26,'OB History'!D:D, 0)</f>
        <v>14</v>
      </c>
      <c r="M26" s="88">
        <f>LOOKUP(2, 1/('OB History'!$B:$B=A26), 'OB History'!$AD:$AD)</f>
        <v>0.39130434782608697</v>
      </c>
      <c r="N26" s="34">
        <f>SUMIFS('OB History'!F:F,'OB History'!B:B,A26)</f>
        <v>42</v>
      </c>
      <c r="O26" s="2">
        <f>SUMIFS('OB History'!E:E,'OB History'!B:B,A26)-N26</f>
        <v>56</v>
      </c>
      <c r="P26" s="88">
        <f>LOOKUP(2, 1/('OB History'!$B:$B=A26), 'OB History'!$AB:$AB)</f>
        <v>0.40217391304347827</v>
      </c>
      <c r="Q26" s="34">
        <f>SUMIFS('OB History'!H:H,'OB History'!B:B,'Old Bow v2'!A26)</f>
        <v>192</v>
      </c>
      <c r="R26" s="2">
        <f>SUMIFS('OB History'!G:G,'OB History'!B:B,'Old Bow v2'!A26)-Q26</f>
        <v>218</v>
      </c>
      <c r="S26" s="88">
        <f>LOOKUP(2, 1/('OB History'!$B:$B=A26), 'OB History'!$AC:$AC)</f>
        <v>0.45521739130434791</v>
      </c>
      <c r="T26" s="2">
        <f>COUNTIFS('OB History'!$B:$B,$A$26,'OB History'!K:K, 1)</f>
        <v>5</v>
      </c>
      <c r="U26" s="2">
        <f>COUNTIFS('OB History'!$B:$B,$A$26,'OB History'!L:L, 1)</f>
        <v>2</v>
      </c>
      <c r="V26" s="2">
        <f>COUNTIFS('OB History'!$B:$B,$A$26,'OB History'!M:M, 1)</f>
        <v>1</v>
      </c>
      <c r="W26" s="2">
        <f>COUNTIFS('OB History'!$B:$B,$A$26,'OB History'!N:N, 1)</f>
        <v>2</v>
      </c>
      <c r="X26" s="2">
        <f>COUNTIFS('OB History'!$B:$B,$A$26,'OB History'!O:O, 1)</f>
        <v>2</v>
      </c>
      <c r="Y26" s="2">
        <f>COUNTIFS('OB History'!$B:$B,$A$26,'OB History'!P:P, 1)</f>
        <v>4</v>
      </c>
      <c r="Z26" s="2">
        <f>COUNTIFS('OB History'!$B:$B,$A$26,'OB History'!Q:Q, 1)</f>
        <v>2</v>
      </c>
      <c r="AA26" s="2">
        <f>COUNTIFS('OB History'!$B:$B,$A$26,'OB History'!R:R, 1)</f>
        <v>1</v>
      </c>
      <c r="AB26" s="2">
        <f>COUNTIFS('OB History'!$B:$B,$A$26,'OB History'!S:S, 1)</f>
        <v>1</v>
      </c>
      <c r="AC26" s="2">
        <f>COUNTIFS('OB History'!$B:$B,$A$26,'OB History'!T:T, 1)</f>
        <v>0</v>
      </c>
      <c r="AD26" s="2">
        <f>COUNTIFS('OB History'!$B:$B,$A$26,'OB History'!U:U, 1)</f>
        <v>1</v>
      </c>
      <c r="AE26" s="2">
        <f>COUNTIFS('OB History'!$B:$B,$A$26,'OB History'!V:V, 1)</f>
        <v>1</v>
      </c>
      <c r="AF26" s="2">
        <f>COUNTIFS('OB History'!$B:$B,$A$26,'OB History'!W:W, 1)</f>
        <v>1</v>
      </c>
      <c r="AG26" s="2">
        <f>COUNTIFS('OB History'!$B:$B,$A$26,'OB History'!X:X, 1)</f>
        <v>8</v>
      </c>
      <c r="AH26" s="2">
        <f>COUNTIFS('OB History'!$B:$B,$A$26,'OB History'!Y:Y, 1)</f>
        <v>2</v>
      </c>
      <c r="AI26" s="2">
        <f>COUNTIFS('OB History'!$B:$B,$A$26,'OB History'!Z:Z, 1)</f>
        <v>9</v>
      </c>
    </row>
    <row r="27" spans="1:35" x14ac:dyDescent="0.25">
      <c r="A27" s="2" t="s">
        <v>53</v>
      </c>
      <c r="B27" s="6" t="s">
        <v>60</v>
      </c>
      <c r="C27" s="6" t="s">
        <v>79</v>
      </c>
      <c r="D27" s="3"/>
      <c r="E27" s="3"/>
      <c r="F27" s="3"/>
      <c r="G27" s="3"/>
      <c r="H27" s="34">
        <f>SUMIFS('OB History'!C:C,'OB History'!B:B,A27)</f>
        <v>43</v>
      </c>
      <c r="I27" s="4">
        <f>AVERAGEIFS('OB History'!C:C,'OB History'!B:B,A27)</f>
        <v>14.333333333333334</v>
      </c>
      <c r="J27" s="35">
        <f t="array" ref="J27">MAX(IF('OB History'!B:B=A27, 'OB History'!C:C))</f>
        <v>25</v>
      </c>
      <c r="K27" s="34">
        <f>COUNTIFS('OB History'!B:B,A27,'OB History'!D:D, 1)</f>
        <v>2</v>
      </c>
      <c r="L27" s="2">
        <f>COUNTIFS('OB History'!B:B,A27,'OB History'!D:D, 0)</f>
        <v>1</v>
      </c>
      <c r="M27" s="88">
        <f>LOOKUP(2, 1/('OB History'!$B:$B=A27), 'OB History'!$AD:$AD)</f>
        <v>0.66666666666666663</v>
      </c>
      <c r="N27" s="34">
        <f>SUMIFS('OB History'!F:F,'OB History'!B:B,A27)</f>
        <v>6</v>
      </c>
      <c r="O27" s="2">
        <f>SUMIFS('OB History'!E:E,'OB History'!B:B,A27)-N27</f>
        <v>7</v>
      </c>
      <c r="P27" s="88">
        <f>LOOKUP(2, 1/('OB History'!$B:$B=A27), 'OB History'!$AB:$AB)</f>
        <v>0.39999999999999997</v>
      </c>
      <c r="Q27" s="34">
        <f>SUMIFS('OB History'!H:H,'OB History'!B:B,'Old Bow v2'!A27)</f>
        <v>27</v>
      </c>
      <c r="R27" s="2">
        <f>SUMIFS('OB History'!G:G,'OB History'!B:B,'Old Bow v2'!A27)-Q27</f>
        <v>26</v>
      </c>
      <c r="S27" s="88">
        <f>LOOKUP(2, 1/('OB History'!$B:$B=A27), 'OB History'!$AC:$AC)</f>
        <v>0.48666666666666664</v>
      </c>
      <c r="T27" s="2">
        <f>COUNTIFS('OB History'!$B:$B,$A$27,'OB History'!K:K, 1)</f>
        <v>0</v>
      </c>
      <c r="U27" s="2">
        <f>COUNTIFS('OB History'!$B:$B,$A$27,'OB History'!L:L, 1)</f>
        <v>0</v>
      </c>
      <c r="V27" s="2">
        <f>COUNTIFS('OB History'!$B:$B,$A$27,'OB History'!M:M, 1)</f>
        <v>0</v>
      </c>
      <c r="W27" s="2">
        <f>COUNTIFS('OB History'!$B:$B,$A$27,'OB History'!N:N, 1)</f>
        <v>1</v>
      </c>
      <c r="X27" s="2">
        <f>COUNTIFS('OB History'!$B:$B,$A$27,'OB History'!O:O, 1)</f>
        <v>2</v>
      </c>
      <c r="Y27" s="2">
        <f>COUNTIFS('OB History'!$B:$B,$A$27,'OB History'!P:P, 1)</f>
        <v>1</v>
      </c>
      <c r="Z27" s="2">
        <f>COUNTIFS('OB History'!$B:$B,$A$27,'OB History'!Q:Q, 1)</f>
        <v>2</v>
      </c>
      <c r="AA27" s="2">
        <f>COUNTIFS('OB History'!$B:$B,$A$27,'OB History'!R:R, 1)</f>
        <v>0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0</v>
      </c>
      <c r="AF27" s="2">
        <f>COUNTIFS('OB History'!$B:$B,$A$27,'OB History'!W:W, 1)</f>
        <v>0</v>
      </c>
      <c r="AG27" s="2">
        <f>COUNTIFS('OB History'!$B:$B,$A$27,'OB History'!X:X, 1)</f>
        <v>0</v>
      </c>
      <c r="AH27" s="2">
        <f>COUNTIFS('OB History'!$B:$B,$A$27,'OB History'!Y:Y, 1)</f>
        <v>0</v>
      </c>
      <c r="AI27" s="2">
        <f>COUNTIFS('OB History'!$B:$B,$A$27,'OB History'!Z:Z, 1)</f>
        <v>0</v>
      </c>
    </row>
    <row r="28" spans="1:35" x14ac:dyDescent="0.25">
      <c r="A28" s="2" t="s">
        <v>51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180</v>
      </c>
      <c r="I28" s="4">
        <f>AVERAGEIFS('OB History'!C:C,'OB History'!B:B,A28)</f>
        <v>13.846153846153847</v>
      </c>
      <c r="J28" s="35">
        <f t="array" ref="J28">MAX(IF('OB History'!B:B=A28, 'OB History'!C:C))</f>
        <v>22</v>
      </c>
      <c r="K28" s="34">
        <f>COUNTIFS('OB History'!B:B,A28,'OB History'!D:D, 1)</f>
        <v>7</v>
      </c>
      <c r="L28" s="2">
        <f>COUNTIFS('OB History'!B:B,A28,'OB History'!D:D, 0)</f>
        <v>6</v>
      </c>
      <c r="M28" s="88">
        <f>LOOKUP(2, 1/('OB History'!$B:$B=A28), 'OB History'!$AD:$AD)</f>
        <v>0.53846153846153844</v>
      </c>
      <c r="N28" s="34">
        <f>SUMIFS('OB History'!F:F,'OB History'!B:B,A28)</f>
        <v>29</v>
      </c>
      <c r="O28" s="2">
        <f>SUMIFS('OB History'!E:E,'OB History'!B:B,A28)-N28</f>
        <v>26</v>
      </c>
      <c r="P28" s="88">
        <f>LOOKUP(2, 1/('OB History'!$B:$B=A28), 'OB History'!$AB:$AB)</f>
        <v>0.53846153846153855</v>
      </c>
      <c r="Q28" s="34">
        <f>SUMIFS('OB History'!H:H,'OB History'!B:B,'Old Bow v2'!A28)</f>
        <v>111</v>
      </c>
      <c r="R28" s="2">
        <f>SUMIFS('OB History'!G:G,'OB History'!B:B,'Old Bow v2'!A28)-Q28</f>
        <v>111</v>
      </c>
      <c r="S28" s="88">
        <f>LOOKUP(2, 1/('OB History'!$B:$B=A28), 'OB History'!$AC:$AC)</f>
        <v>0.50461538461538469</v>
      </c>
      <c r="T28" s="2">
        <f>COUNTIFS('OB History'!$B:$B,$A$28,'OB History'!K:K, 1)</f>
        <v>4</v>
      </c>
      <c r="U28" s="2">
        <f>COUNTIFS('OB History'!$B:$B,$A$28,'OB History'!L:L, 1)</f>
        <v>1</v>
      </c>
      <c r="V28" s="2">
        <f>COUNTIFS('OB History'!$B:$B,$A$28,'OB History'!M:M, 1)</f>
        <v>0</v>
      </c>
      <c r="W28" s="2">
        <f>COUNTIFS('OB History'!$B:$B,$A$28,'OB History'!N:N, 1)</f>
        <v>3</v>
      </c>
      <c r="X28" s="2">
        <f>COUNTIFS('OB History'!$B:$B,$A$28,'OB History'!O:O, 1)</f>
        <v>0</v>
      </c>
      <c r="Y28" s="2">
        <f>COUNTIFS('OB History'!$B:$B,$A$28,'OB History'!P:P, 1)</f>
        <v>3</v>
      </c>
      <c r="Z28" s="2">
        <f>COUNTIFS('OB History'!$B:$B,$A$28,'OB History'!Q:Q, 1)</f>
        <v>0</v>
      </c>
      <c r="AA28" s="2">
        <f>COUNTIFS('OB History'!$B:$B,$A$28,'OB History'!R:R, 1)</f>
        <v>1</v>
      </c>
      <c r="AB28" s="2">
        <f>COUNTIFS('OB History'!$B:$B,$A$28,'OB History'!S:S, 1)</f>
        <v>0</v>
      </c>
      <c r="AC28" s="2">
        <f>COUNTIFS('OB History'!$B:$B,$A$28,'OB History'!T:T, 1)</f>
        <v>0</v>
      </c>
      <c r="AD28" s="2">
        <f>COUNTIFS('OB History'!$B:$B,$A$28,'OB History'!U:U, 1)</f>
        <v>0</v>
      </c>
      <c r="AE28" s="2">
        <f>COUNTIFS('OB History'!$B:$B,$A$28,'OB History'!V:V, 1)</f>
        <v>2</v>
      </c>
      <c r="AF28" s="2">
        <f>COUNTIFS('OB History'!$B:$B,$A$28,'OB History'!W:W, 1)</f>
        <v>5</v>
      </c>
      <c r="AG28" s="2">
        <f>COUNTIFS('OB History'!$B:$B,$A$28,'OB History'!X:X, 1)</f>
        <v>4</v>
      </c>
      <c r="AH28" s="2">
        <f>COUNTIFS('OB History'!$B:$B,$A$28,'OB History'!Y:Y, 1)</f>
        <v>3</v>
      </c>
      <c r="AI28" s="2">
        <f>COUNTIFS('OB History'!$B:$B,$A$28,'OB History'!Z:Z, 1)</f>
        <v>3</v>
      </c>
    </row>
    <row r="29" spans="1:35" ht="15.75" x14ac:dyDescent="0.25">
      <c r="A29" s="2" t="s">
        <v>20</v>
      </c>
      <c r="B29" s="80" t="s">
        <v>60</v>
      </c>
      <c r="C29" s="2" t="s">
        <v>79</v>
      </c>
      <c r="D29" s="3"/>
      <c r="E29" s="3"/>
      <c r="F29" s="3"/>
      <c r="G29" s="3"/>
      <c r="H29" s="34">
        <f>SUMIFS('OB History'!C:C,'OB History'!B:B,A29)</f>
        <v>463</v>
      </c>
      <c r="I29" s="4">
        <f>AVERAGEIFS('OB History'!C:C,'OB History'!B:B,A29)</f>
        <v>14.46875</v>
      </c>
      <c r="J29" s="35">
        <f t="array" ref="J29">MAX(IF('OB History'!B:B=A29, 'OB History'!C:C))</f>
        <v>37</v>
      </c>
      <c r="K29" s="34">
        <f>COUNTIFS('OB History'!B:B,A29,'OB History'!D:D, 1)</f>
        <v>13</v>
      </c>
      <c r="L29" s="2">
        <f>COUNTIFS('OB History'!B:B,A29,'OB History'!D:D, 0)</f>
        <v>19</v>
      </c>
      <c r="M29" s="88">
        <f>LOOKUP(2, 1/('OB History'!$B:$B=A29), 'OB History'!$AD:$AD)</f>
        <v>0.40625</v>
      </c>
      <c r="N29" s="34">
        <f>SUMIFS('OB History'!F:F,'OB History'!B:B,A29)</f>
        <v>66</v>
      </c>
      <c r="O29" s="2">
        <f>SUMIFS('OB History'!E:E,'OB History'!B:B,A29)-N29</f>
        <v>70</v>
      </c>
      <c r="P29" s="88">
        <f>LOOKUP(2, 1/('OB History'!$B:$B=A29), 'OB History'!$AB:$AB)</f>
        <v>0.49062500000000003</v>
      </c>
      <c r="Q29" s="34">
        <f>SUMIFS('OB History'!H:H,'OB History'!B:B,'Old Bow v2'!A29)</f>
        <v>285</v>
      </c>
      <c r="R29" s="2">
        <f>SUMIFS('OB History'!G:G,'OB History'!B:B,'Old Bow v2'!A29)-Q29</f>
        <v>285</v>
      </c>
      <c r="S29" s="88">
        <f>LOOKUP(2, 1/('OB History'!$B:$B=A29), 'OB History'!$AC:$AC)</f>
        <v>0.50031250000000016</v>
      </c>
      <c r="T29" s="2">
        <f>COUNTIFS('OB History'!$B:$B,$A$29,'OB History'!K:K, 1)</f>
        <v>3</v>
      </c>
      <c r="U29" s="2">
        <f>COUNTIFS('OB History'!$B:$B,$A$29,'OB History'!L:L, 1)</f>
        <v>5</v>
      </c>
      <c r="V29" s="2">
        <f>COUNTIFS('OB History'!$B:$B,$A$29,'OB History'!M:M, 1)</f>
        <v>1</v>
      </c>
      <c r="W29" s="2">
        <f>COUNTIFS('OB History'!$B:$B,$A$29,'OB History'!N:N, 1)</f>
        <v>14</v>
      </c>
      <c r="X29" s="2">
        <f>COUNTIFS('OB History'!$B:$B,$A$29,'OB History'!O:O, 1)</f>
        <v>0</v>
      </c>
      <c r="Y29" s="2">
        <f>COUNTIFS('OB History'!$B:$B,$A$29,'OB History'!P:P, 1)</f>
        <v>7</v>
      </c>
      <c r="Z29" s="2">
        <f>COUNTIFS('OB History'!$B:$B,$A$29,'OB History'!Q:Q, 1)</f>
        <v>2</v>
      </c>
      <c r="AA29" s="2">
        <f>COUNTIFS('OB History'!$B:$B,$A$29,'OB History'!R:R, 1)</f>
        <v>3</v>
      </c>
      <c r="AB29" s="2">
        <f>COUNTIFS('OB History'!$B:$B,$A$29,'OB History'!S:S, 1)</f>
        <v>0</v>
      </c>
      <c r="AC29" s="2">
        <f>COUNTIFS('OB History'!$B:$B,$A$29,'OB History'!T:T, 1)</f>
        <v>1</v>
      </c>
      <c r="AD29" s="2">
        <f>COUNTIFS('OB History'!$B:$B,$A$29,'OB History'!U:U, 1)</f>
        <v>0</v>
      </c>
      <c r="AE29" s="2">
        <f>COUNTIFS('OB History'!$B:$B,$A$29,'OB History'!V:V, 1)</f>
        <v>2</v>
      </c>
      <c r="AF29" s="2">
        <f>COUNTIFS('OB History'!$B:$B,$A$29,'OB History'!W:W, 1)</f>
        <v>8</v>
      </c>
      <c r="AG29" s="2">
        <f>COUNTIFS('OB History'!$B:$B,$A$29,'OB History'!X:X, 1)</f>
        <v>8</v>
      </c>
      <c r="AH29" s="2">
        <f>COUNTIFS('OB History'!$B:$B,$A$29,'OB History'!Y:Y, 1)</f>
        <v>5</v>
      </c>
      <c r="AI29" s="2">
        <f>COUNTIFS('OB History'!$B:$B,$A$29,'OB History'!Z:Z, 1)</f>
        <v>7</v>
      </c>
    </row>
    <row r="30" spans="1:35" x14ac:dyDescent="0.25">
      <c r="A30" s="1" t="s">
        <v>47</v>
      </c>
      <c r="B30" s="2" t="s">
        <v>79</v>
      </c>
      <c r="C30" s="2" t="s">
        <v>79</v>
      </c>
      <c r="D30" s="3"/>
      <c r="E30" s="3"/>
      <c r="F30" s="3"/>
      <c r="G30" s="3"/>
      <c r="H30" s="34">
        <f>SUMIFS('OB History'!C:C,'OB History'!B:B,A30)</f>
        <v>78</v>
      </c>
      <c r="I30" s="4">
        <f>AVERAGEIFS('OB History'!C:C,'OB History'!B:B,A30)</f>
        <v>7.8</v>
      </c>
      <c r="J30" s="35">
        <f t="array" ref="J30">MAX(IF('OB History'!B:B=A30, 'OB History'!C:C))</f>
        <v>14</v>
      </c>
      <c r="K30" s="34">
        <f>COUNTIFS('OB History'!B:B,A30,'OB History'!D:D, 1)</f>
        <v>5</v>
      </c>
      <c r="L30" s="2">
        <f>COUNTIFS('OB History'!B:B,A30,'OB History'!D:D, 0)</f>
        <v>5</v>
      </c>
      <c r="M30" s="88">
        <f>LOOKUP(2, 1/('OB History'!$B:$B=A30), 'OB History'!$AD:$AD)</f>
        <v>0.5</v>
      </c>
      <c r="N30" s="34">
        <f>SUMIFS('OB History'!F:F,'OB History'!B:B,A30)</f>
        <v>22</v>
      </c>
      <c r="O30" s="2">
        <f>SUMIFS('OB History'!E:E,'OB History'!B:B,A30)-N30</f>
        <v>22</v>
      </c>
      <c r="P30" s="88">
        <f>LOOKUP(2, 1/('OB History'!$B:$B=A30), 'OB History'!$AB:$AB)</f>
        <v>0.5</v>
      </c>
      <c r="Q30" s="34">
        <f>SUMIFS('OB History'!H:H,'OB History'!B:B,'Old Bow v2'!A30)</f>
        <v>93</v>
      </c>
      <c r="R30" s="2">
        <f>SUMIFS('OB History'!G:G,'OB History'!B:B,'Old Bow v2'!A30)-Q30</f>
        <v>94</v>
      </c>
      <c r="S30" s="88">
        <f>LOOKUP(2, 1/('OB History'!$B:$B=A30), 'OB History'!$AC:$AC)</f>
        <v>0.49299999999999999</v>
      </c>
      <c r="T30" s="2">
        <f>COUNTIFS('OB History'!$B:$B,$A$30,'OB History'!K:K, 1)</f>
        <v>1</v>
      </c>
      <c r="U30" s="2">
        <f>COUNTIFS('OB History'!$B:$B,$A$30,'OB History'!L:L, 1)</f>
        <v>1</v>
      </c>
      <c r="V30" s="2">
        <f>COUNTIFS('OB History'!$B:$B,$A$30,'OB History'!M:M, 1)</f>
        <v>1</v>
      </c>
      <c r="W30" s="2">
        <f>COUNTIFS('OB History'!$B:$B,$A$30,'OB History'!N:N, 1)</f>
        <v>4</v>
      </c>
      <c r="X30" s="2">
        <f>COUNTIFS('OB History'!$B:$B,$A$30,'OB History'!O:O, 1)</f>
        <v>1</v>
      </c>
      <c r="Y30" s="2">
        <f>COUNTIFS('OB History'!$B:$B,$A$30,'OB History'!P:P, 1)</f>
        <v>2</v>
      </c>
      <c r="Z30" s="2">
        <f>COUNTIFS('OB History'!$B:$B,$A$30,'OB History'!Q:Q, 1)</f>
        <v>0</v>
      </c>
      <c r="AA30" s="2">
        <f>COUNTIFS('OB History'!$B:$B,$A$30,'OB History'!R:R, 1)</f>
        <v>0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1</v>
      </c>
      <c r="AF30" s="2">
        <f>COUNTIFS('OB History'!$B:$B,$A$30,'OB History'!W:W, 1)</f>
        <v>4</v>
      </c>
      <c r="AG30" s="2">
        <f>COUNTIFS('OB History'!$B:$B,$A$30,'OB History'!X:X, 1)</f>
        <v>2</v>
      </c>
      <c r="AH30" s="2">
        <f>COUNTIFS('OB History'!$B:$B,$A$30,'OB History'!Y:Y, 1)</f>
        <v>0</v>
      </c>
      <c r="AI30" s="2">
        <f>COUNTIFS('OB History'!$B:$B,$A$30,'OB History'!Z:Z, 1)</f>
        <v>5</v>
      </c>
    </row>
    <row r="31" spans="1:35" x14ac:dyDescent="0.25">
      <c r="A31" s="2" t="s">
        <v>3</v>
      </c>
      <c r="B31" s="6" t="s">
        <v>60</v>
      </c>
      <c r="C31" s="1" t="s">
        <v>159</v>
      </c>
      <c r="D31" s="3"/>
      <c r="E31" s="3"/>
      <c r="F31" s="3"/>
      <c r="G31" s="3"/>
      <c r="H31" s="34">
        <f>SUMIFS('OB History'!C:C,'OB History'!B:B,A31)</f>
        <v>230</v>
      </c>
      <c r="I31" s="4">
        <f>AVERAGEIFS('OB History'!C:C,'OB History'!B:B,A31)</f>
        <v>23</v>
      </c>
      <c r="J31" s="35">
        <f t="array" ref="J31">MAX(IF('OB History'!B:B=A31, 'OB History'!C:C))</f>
        <v>44</v>
      </c>
      <c r="K31" s="34">
        <f>COUNTIFS('OB History'!B:B,A31,'OB History'!D:D, 1)</f>
        <v>6</v>
      </c>
      <c r="L31" s="2">
        <f>COUNTIFS('OB History'!B:B,A31,'OB History'!D:D, 0)</f>
        <v>4</v>
      </c>
      <c r="M31" s="88">
        <f>LOOKUP(2, 1/('OB History'!$B:$B=A31), 'OB History'!$AD:$AD)</f>
        <v>0.6</v>
      </c>
      <c r="N31" s="34">
        <f>SUMIFS('OB History'!F:F,'OB History'!B:B,A31)</f>
        <v>22</v>
      </c>
      <c r="O31" s="2">
        <f>SUMIFS('OB History'!E:E,'OB History'!B:B,A31)-N31</f>
        <v>21</v>
      </c>
      <c r="P31" s="88">
        <f>LOOKUP(2, 1/('OB History'!$B:$B=A31), 'OB History'!$AB:$AB)</f>
        <v>0.495</v>
      </c>
      <c r="Q31" s="34">
        <f>SUMIFS('OB History'!H:H,'OB History'!B:B,'Old Bow v2'!A31)</f>
        <v>87</v>
      </c>
      <c r="R31" s="2">
        <f>SUMIFS('OB History'!G:G,'OB History'!B:B,'Old Bow v2'!A31)-Q31</f>
        <v>88</v>
      </c>
      <c r="S31" s="88">
        <f>LOOKUP(2, 1/('OB History'!$B:$B=A31), 'OB History'!$AC:$AC)</f>
        <v>0.48999999999999994</v>
      </c>
      <c r="T31" s="2">
        <f>COUNTIFS('OB History'!$B:$B,$A$31,'OB History'!K:K, 1)</f>
        <v>2</v>
      </c>
      <c r="U31" s="2">
        <f>COUNTIFS('OB History'!$B:$B,$A$31,'OB History'!L:L, 1)</f>
        <v>3</v>
      </c>
      <c r="V31" s="2">
        <f>COUNTIFS('OB History'!$B:$B,$A$31,'OB History'!M:M, 1)</f>
        <v>1</v>
      </c>
      <c r="W31" s="2">
        <f>COUNTIFS('OB History'!$B:$B,$A$31,'OB History'!N:N, 1)</f>
        <v>1</v>
      </c>
      <c r="X31" s="2">
        <f>COUNTIFS('OB History'!$B:$B,$A$31,'OB History'!O:O, 1)</f>
        <v>2</v>
      </c>
      <c r="Y31" s="2">
        <f>COUNTIFS('OB History'!$B:$B,$A$31,'OB History'!P:P, 1)</f>
        <v>2</v>
      </c>
      <c r="Z31" s="2">
        <f>COUNTIFS('OB History'!$B:$B,$A$31,'OB History'!Q:Q, 1)</f>
        <v>3</v>
      </c>
      <c r="AA31" s="2">
        <f>COUNTIFS('OB History'!$B:$B,$A$31,'OB History'!R:R, 1)</f>
        <v>0</v>
      </c>
      <c r="AB31" s="2">
        <f>COUNTIFS('OB History'!$B:$B,$A$31,'OB History'!S:S, 1)</f>
        <v>0</v>
      </c>
      <c r="AC31" s="2">
        <f>COUNTIFS('OB History'!$B:$B,$A$31,'OB History'!T:T, 1)</f>
        <v>0</v>
      </c>
      <c r="AD31" s="2">
        <f>COUNTIFS('OB History'!$B:$B,$A$31,'OB History'!U:U, 1)</f>
        <v>0</v>
      </c>
      <c r="AE31" s="2">
        <f>COUNTIFS('OB History'!$B:$B,$A$31,'OB History'!V:V, 1)</f>
        <v>1</v>
      </c>
      <c r="AF31" s="2">
        <f>COUNTIFS('OB History'!$B:$B,$A$31,'OB History'!W:W, 1)</f>
        <v>1</v>
      </c>
      <c r="AG31" s="2">
        <f>COUNTIFS('OB History'!$B:$B,$A$31,'OB History'!X:X, 1)</f>
        <v>3</v>
      </c>
      <c r="AH31" s="2">
        <f>COUNTIFS('OB History'!$B:$B,$A$31,'OB History'!Y:Y, 1)</f>
        <v>2</v>
      </c>
      <c r="AI31" s="2">
        <f>COUNTIFS('OB History'!$B:$B,$A$31,'OB History'!Z:Z, 1)</f>
        <v>1</v>
      </c>
    </row>
    <row r="32" spans="1:35" x14ac:dyDescent="0.25">
      <c r="A32" s="2" t="s">
        <v>148</v>
      </c>
      <c r="B32" s="6" t="s">
        <v>79</v>
      </c>
      <c r="C32" s="6" t="s">
        <v>79</v>
      </c>
      <c r="D32" s="3">
        <v>4</v>
      </c>
      <c r="E32" s="3">
        <v>1</v>
      </c>
      <c r="F32" s="3"/>
      <c r="G32" s="3"/>
      <c r="H32" s="34">
        <f>SUMIFS('OB History'!C:C,'OB History'!B:B,A32)</f>
        <v>398</v>
      </c>
      <c r="I32" s="4">
        <f>AVERAGEIFS('OB History'!C:C,'OB History'!B:B,A32)</f>
        <v>13.266666666666667</v>
      </c>
      <c r="J32" s="35">
        <f t="array" ref="J32">MAX(IF('OB History'!B:B=A32, 'OB History'!C:C))</f>
        <v>23</v>
      </c>
      <c r="K32" s="34">
        <f>COUNTIFS('OB History'!B:B,A32,'OB History'!D:D, 1)</f>
        <v>17</v>
      </c>
      <c r="L32" s="2">
        <f>COUNTIFS('OB History'!B:B,A32,'OB History'!D:D, 0)</f>
        <v>13</v>
      </c>
      <c r="M32" s="88">
        <f>LOOKUP(2, 1/('OB History'!$B:$B=A32), 'OB History'!$AD:$AD)</f>
        <v>0.56666666666666665</v>
      </c>
      <c r="N32" s="34">
        <f>SUMIFS('OB History'!F:F,'OB History'!B:B,A32)</f>
        <v>64</v>
      </c>
      <c r="O32" s="2">
        <f>SUMIFS('OB History'!E:E,'OB History'!B:B,A32)-N32</f>
        <v>57</v>
      </c>
      <c r="P32" s="88">
        <f>LOOKUP(2, 1/('OB History'!$B:$B=A32), 'OB History'!$AB:$AB)</f>
        <v>0.53833333333333333</v>
      </c>
      <c r="Q32" s="34">
        <f>SUMIFS('OB History'!H:H,'OB History'!B:B,'Old Bow v2'!A32)</f>
        <v>254</v>
      </c>
      <c r="R32" s="2">
        <f>SUMIFS('OB History'!G:G,'OB History'!B:B,'Old Bow v2'!A32)-Q32</f>
        <v>243</v>
      </c>
      <c r="S32" s="88">
        <f>LOOKUP(2, 1/('OB History'!$B:$B=A32), 'OB History'!$AC:$AC)</f>
        <v>0.51533333333333342</v>
      </c>
      <c r="T32" s="2">
        <f>COUNTIFS('OB History'!$B:$B,$A$32,'OB History'!K:K, 1)</f>
        <v>2</v>
      </c>
      <c r="U32" s="2">
        <f>COUNTIFS('OB History'!$B:$B,$A$32,'OB History'!L:L, 1)</f>
        <v>5</v>
      </c>
      <c r="V32" s="2">
        <f>COUNTIFS('OB History'!$B:$B,$A$32,'OB History'!M:M, 1)</f>
        <v>2</v>
      </c>
      <c r="W32" s="2">
        <f>COUNTIFS('OB History'!$B:$B,$A$32,'OB History'!N:N, 1)</f>
        <v>6</v>
      </c>
      <c r="X32" s="2">
        <f>COUNTIFS('OB History'!$B:$B,$A$32,'OB History'!O:O, 1)</f>
        <v>0</v>
      </c>
      <c r="Y32" s="2">
        <f>COUNTIFS('OB History'!$B:$B,$A$32,'OB History'!P:P, 1)</f>
        <v>4</v>
      </c>
      <c r="Z32" s="2">
        <f>COUNTIFS('OB History'!$B:$B,$A$32,'OB History'!Q:Q, 1)</f>
        <v>2</v>
      </c>
      <c r="AA32" s="2">
        <f>COUNTIFS('OB History'!$B:$B,$A$32,'OB History'!R:R, 1)</f>
        <v>3</v>
      </c>
      <c r="AB32" s="2">
        <f>COUNTIFS('OB History'!$B:$B,$A$32,'OB History'!S:S, 1)</f>
        <v>2</v>
      </c>
      <c r="AC32" s="2">
        <f>COUNTIFS('OB History'!$B:$B,$A$32,'OB History'!T:T, 1)</f>
        <v>2</v>
      </c>
      <c r="AD32" s="2">
        <f>COUNTIFS('OB History'!$B:$B,$A$32,'OB History'!U:U, 1)</f>
        <v>1</v>
      </c>
      <c r="AE32" s="2">
        <f>COUNTIFS('OB History'!$B:$B,$A$32,'OB History'!V:V, 1)</f>
        <v>1</v>
      </c>
      <c r="AF32" s="2">
        <f>COUNTIFS('OB History'!$B:$B,$A$32,'OB History'!W:W, 1)</f>
        <v>3</v>
      </c>
      <c r="AG32" s="2">
        <f>COUNTIFS('OB History'!$B:$B,$A$32,'OB History'!X:X, 1)</f>
        <v>13</v>
      </c>
      <c r="AH32" s="2">
        <f>COUNTIFS('OB History'!$B:$B,$A$32,'OB History'!Y:Y, 1)</f>
        <v>8</v>
      </c>
      <c r="AI32" s="2">
        <f>COUNTIFS('OB History'!$B:$B,$A$32,'OB History'!Z:Z, 1)</f>
        <v>10</v>
      </c>
    </row>
    <row r="33" spans="1:35" x14ac:dyDescent="0.25">
      <c r="A33" s="2" t="s">
        <v>15</v>
      </c>
      <c r="B33" s="2" t="s">
        <v>79</v>
      </c>
      <c r="C33" s="2" t="s">
        <v>79</v>
      </c>
      <c r="D33" s="3">
        <v>3</v>
      </c>
      <c r="E33" s="3"/>
      <c r="F33" s="3"/>
      <c r="G33" s="3"/>
      <c r="H33" s="34">
        <f>SUMIFS('OB History'!C:C,'OB History'!B:B,A33)</f>
        <v>911</v>
      </c>
      <c r="I33" s="4">
        <f>AVERAGEIFS('OB History'!C:C,'OB History'!B:B,A33)</f>
        <v>23.973684210526315</v>
      </c>
      <c r="J33" s="35">
        <f t="array" ref="J33">MAX(IF('OB History'!B:B=A33, 'OB History'!C:C))</f>
        <v>55</v>
      </c>
      <c r="K33" s="34">
        <f>COUNTIFS('OB History'!B:B,A33,'OB History'!D:D, 1)</f>
        <v>15</v>
      </c>
      <c r="L33" s="2">
        <f>COUNTIFS('OB History'!B:B,A33,'OB History'!D:D, 0)</f>
        <v>23</v>
      </c>
      <c r="M33" s="88">
        <f>LOOKUP(2, 1/('OB History'!$B:$B=A33), 'OB History'!$AD:$AD)</f>
        <v>0.39473684210526316</v>
      </c>
      <c r="N33" s="34">
        <f>SUMIFS('OB History'!F:F,'OB History'!B:B,A33)</f>
        <v>73</v>
      </c>
      <c r="O33" s="2">
        <f>SUMIFS('OB History'!E:E,'OB History'!B:B,A33)-N33</f>
        <v>83</v>
      </c>
      <c r="P33" s="88">
        <f>LOOKUP(2, 1/('OB History'!$B:$B=A33), 'OB History'!$AB:$AB)</f>
        <v>0.47631578947368425</v>
      </c>
      <c r="Q33" s="34">
        <f>SUMIFS('OB History'!H:H,'OB History'!B:B,'Old Bow v2'!A33)</f>
        <v>320</v>
      </c>
      <c r="R33" s="2">
        <f>SUMIFS('OB History'!G:G,'OB History'!B:B,'Old Bow v2'!A33)-Q33</f>
        <v>332</v>
      </c>
      <c r="S33" s="88">
        <f>LOOKUP(2, 1/('OB History'!$B:$B=A33), 'OB History'!$AC:$AC)</f>
        <v>0.4957894736842105</v>
      </c>
      <c r="T33" s="2">
        <f>COUNTIFS('OB History'!$B:$B,$A$33,'OB History'!K:K, 1)</f>
        <v>4</v>
      </c>
      <c r="U33" s="2">
        <f>COUNTIFS('OB History'!$B:$B,$A$33,'OB History'!L:L, 1)</f>
        <v>3</v>
      </c>
      <c r="V33" s="2">
        <f>COUNTIFS('OB History'!$B:$B,$A$33,'OB History'!M:M, 1)</f>
        <v>0</v>
      </c>
      <c r="W33" s="2">
        <f>COUNTIFS('OB History'!$B:$B,$A$33,'OB History'!N:N, 1)</f>
        <v>10</v>
      </c>
      <c r="X33" s="2">
        <f>COUNTIFS('OB History'!$B:$B,$A$33,'OB History'!O:O, 1)</f>
        <v>0</v>
      </c>
      <c r="Y33" s="2">
        <f>COUNTIFS('OB History'!$B:$B,$A$33,'OB History'!P:P, 1)</f>
        <v>7</v>
      </c>
      <c r="Z33" s="2">
        <f>COUNTIFS('OB History'!$B:$B,$A$33,'OB History'!Q:Q, 1)</f>
        <v>4</v>
      </c>
      <c r="AA33" s="2">
        <f>COUNTIFS('OB History'!$B:$B,$A$33,'OB History'!R:R, 1)</f>
        <v>1</v>
      </c>
      <c r="AB33" s="2">
        <f>COUNTIFS('OB History'!$B:$B,$A$33,'OB History'!S:S, 1)</f>
        <v>1</v>
      </c>
      <c r="AC33" s="2">
        <f>COUNTIFS('OB History'!$B:$B,$A$33,'OB History'!T:T, 1)</f>
        <v>1</v>
      </c>
      <c r="AD33" s="2">
        <f>COUNTIFS('OB History'!$B:$B,$A$33,'OB History'!U:U, 1)</f>
        <v>1</v>
      </c>
      <c r="AE33" s="2">
        <f>COUNTIFS('OB History'!$B:$B,$A$33,'OB History'!V:V, 1)</f>
        <v>1</v>
      </c>
      <c r="AF33" s="2">
        <f>COUNTIFS('OB History'!$B:$B,$A$33,'OB History'!W:W, 1)</f>
        <v>6</v>
      </c>
      <c r="AG33" s="2">
        <f>COUNTIFS('OB History'!$B:$B,$A$33,'OB History'!X:X, 1)</f>
        <v>17</v>
      </c>
      <c r="AH33" s="2">
        <f>COUNTIFS('OB History'!$B:$B,$A$33,'OB History'!Y:Y, 1)</f>
        <v>7</v>
      </c>
      <c r="AI33" s="2">
        <f>COUNTIFS('OB History'!$B:$B,$A$33,'OB History'!Z:Z, 1)</f>
        <v>10</v>
      </c>
    </row>
    <row r="34" spans="1:35" x14ac:dyDescent="0.25">
      <c r="A34" s="2" t="s">
        <v>161</v>
      </c>
      <c r="B34" s="2" t="s">
        <v>79</v>
      </c>
      <c r="C34" s="2" t="s">
        <v>79</v>
      </c>
      <c r="D34" s="3"/>
      <c r="E34" s="3"/>
      <c r="F34" s="3"/>
      <c r="G34" s="3"/>
      <c r="H34" s="34">
        <f>SUMIFS('OB History'!C:C,'OB History'!B:B,A34)</f>
        <v>31</v>
      </c>
      <c r="I34" s="4">
        <f>AVERAGEIFS('OB History'!C:C,'OB History'!B:B,A34)</f>
        <v>15.5</v>
      </c>
      <c r="J34" s="35">
        <f t="array" ref="J34">MAX(IF('OB History'!B:B=A34, 'OB History'!C:C))</f>
        <v>16</v>
      </c>
      <c r="K34" s="34">
        <f>COUNTIFS('OB History'!B:B,A34,'OB History'!D:D, 1)</f>
        <v>0</v>
      </c>
      <c r="L34" s="2">
        <f>COUNTIFS('OB History'!B:B,A34,'OB History'!D:D, 0)</f>
        <v>2</v>
      </c>
      <c r="M34" s="88">
        <f>LOOKUP(2, 1/('OB History'!$B:$B=A34), 'OB History'!$AD:$AD)</f>
        <v>0</v>
      </c>
      <c r="N34" s="34">
        <f>SUMIFS('OB History'!F:F,'OB History'!B:B,A34)</f>
        <v>2</v>
      </c>
      <c r="O34" s="2">
        <f>SUMIFS('OB History'!E:E,'OB History'!B:B,A34)-N34</f>
        <v>6</v>
      </c>
      <c r="P34" s="88">
        <f>LOOKUP(2, 1/('OB History'!$B:$B=A34), 'OB History'!$AB:$AB)</f>
        <v>0.25</v>
      </c>
      <c r="Q34" s="34">
        <f>SUMIFS('OB History'!H:H,'OB History'!B:B,'Old Bow v2'!A34)</f>
        <v>16</v>
      </c>
      <c r="R34" s="2">
        <f>SUMIFS('OB History'!G:G,'OB History'!B:B,'Old Bow v2'!A34)-Q34</f>
        <v>22</v>
      </c>
      <c r="S34" s="88">
        <f>LOOKUP(2, 1/('OB History'!$B:$B=A34), 'OB History'!$AC:$AC)</f>
        <v>0.42</v>
      </c>
      <c r="T34" s="2">
        <f>COUNTIFS('OB History'!$B:$B,$A$34,'OB History'!K:K, 1)</f>
        <v>0</v>
      </c>
      <c r="U34" s="2">
        <f>COUNTIFS('OB History'!$B:$B,$A$34,'OB History'!L:L, 1)</f>
        <v>0</v>
      </c>
      <c r="V34" s="2">
        <f>COUNTIFS('OB History'!$B:$B,$A$34,'OB History'!M:M, 1)</f>
        <v>0</v>
      </c>
      <c r="W34" s="2">
        <f>COUNTIFS('OB History'!$B:$B,$A$34,'OB History'!N:N, 1)</f>
        <v>0</v>
      </c>
      <c r="X34" s="2">
        <f>COUNTIFS('OB History'!$B:$B,$A$34,'OB History'!O:O, 1)</f>
        <v>0</v>
      </c>
      <c r="Y34" s="2">
        <f>COUNTIFS('OB History'!$B:$B,$A$34,'OB History'!P:P, 1)</f>
        <v>0</v>
      </c>
      <c r="Z34" s="2">
        <f>COUNTIFS('OB History'!$B:$B,$A$34,'OB History'!Q:Q, 1)</f>
        <v>0</v>
      </c>
      <c r="AA34" s="2">
        <f>COUNTIFS('OB History'!$B:$B,$A$34,'OB History'!R:R, 1)</f>
        <v>0</v>
      </c>
      <c r="AB34" s="2">
        <f>COUNTIFS('OB History'!$B:$B,$A$34,'OB History'!S:S, 1)</f>
        <v>0</v>
      </c>
      <c r="AC34" s="2">
        <f>COUNTIFS('OB History'!$B:$B,$A$34,'OB History'!T:T, 1)</f>
        <v>0</v>
      </c>
      <c r="AD34" s="2">
        <f>COUNTIFS('OB History'!$B:$B,$A$34,'OB History'!U:U, 1)</f>
        <v>0</v>
      </c>
      <c r="AE34" s="2">
        <f>COUNTIFS('OB History'!$B:$B,$A$34,'OB History'!V:V, 1)</f>
        <v>0</v>
      </c>
      <c r="AF34" s="2">
        <f>COUNTIFS('OB History'!$B:$B,$A$34,'OB History'!W:W, 1)</f>
        <v>1</v>
      </c>
      <c r="AG34" s="2">
        <f>COUNTIFS('OB History'!$B:$B,$A$34,'OB History'!X:X, 1)</f>
        <v>0</v>
      </c>
      <c r="AH34" s="2">
        <f>COUNTIFS('OB History'!$B:$B,$A$34,'OB History'!Y:Y, 1)</f>
        <v>1</v>
      </c>
      <c r="AI34" s="2">
        <f>COUNTIFS('OB History'!$B:$B,$A$34,'OB History'!Z:Z, 1)</f>
        <v>0</v>
      </c>
    </row>
    <row r="35" spans="1:35" x14ac:dyDescent="0.25">
      <c r="A35" s="1" t="s">
        <v>43</v>
      </c>
      <c r="B35" s="2" t="s">
        <v>79</v>
      </c>
      <c r="C35" s="2" t="s">
        <v>79</v>
      </c>
      <c r="D35" s="3"/>
      <c r="E35" s="3"/>
      <c r="F35" s="3"/>
      <c r="G35" s="3"/>
      <c r="H35" s="34">
        <f>SUMIFS('OB History'!C:C,'OB History'!B:B,A35)</f>
        <v>4</v>
      </c>
      <c r="I35" s="4">
        <f>AVERAGEIFS('OB History'!C:C,'OB History'!B:B,A35)</f>
        <v>4</v>
      </c>
      <c r="J35" s="35">
        <f t="array" ref="J35">MAX(IF('OB History'!B:B=A35, 'OB History'!C:C))</f>
        <v>4</v>
      </c>
      <c r="K35" s="34">
        <f>COUNTIFS('OB History'!B:B,A35,'OB History'!D:D, 1)</f>
        <v>1</v>
      </c>
      <c r="L35" s="2">
        <f>COUNTIFS('OB History'!B:B,A35,'OB History'!D:D, 0)</f>
        <v>0</v>
      </c>
      <c r="M35" s="88">
        <f>LOOKUP(2, 1/('OB History'!$B:$B=A35), 'OB History'!$AD:$AD)</f>
        <v>1</v>
      </c>
      <c r="N35" s="34">
        <f>SUMIFS('OB History'!F:F,'OB History'!B:B,A35)</f>
        <v>3</v>
      </c>
      <c r="O35" s="2">
        <f>SUMIFS('OB History'!E:E,'OB History'!B:B,A35)-N35</f>
        <v>0</v>
      </c>
      <c r="P35" s="88">
        <f>LOOKUP(2, 1/('OB History'!$B:$B=A35), 'OB History'!$AB:$AB)</f>
        <v>1</v>
      </c>
      <c r="Q35" s="34">
        <f>SUMIFS('OB History'!H:H,'OB History'!B:B,'Old Bow v2'!A35)</f>
        <v>9</v>
      </c>
      <c r="R35" s="2">
        <f>SUMIFS('OB History'!G:G,'OB History'!B:B,'Old Bow v2'!A35)-Q35</f>
        <v>4</v>
      </c>
      <c r="S35" s="88">
        <f>LOOKUP(2, 1/('OB History'!$B:$B=A35), 'OB History'!$AC:$AC)</f>
        <v>0.69</v>
      </c>
      <c r="T35" s="2">
        <f>COUNTIFS('OB History'!$B:$B,$A$35,'OB History'!K:K, 1)</f>
        <v>0</v>
      </c>
      <c r="U35" s="2">
        <f>COUNTIFS('OB History'!$B:$B,$A$35,'OB History'!L:L, 1)</f>
        <v>0</v>
      </c>
      <c r="V35" s="2">
        <f>COUNTIFS('OB History'!$B:$B,$A$35,'OB History'!M:M, 1)</f>
        <v>0</v>
      </c>
      <c r="W35" s="2">
        <f>COUNTIFS('OB History'!$B:$B,$A$35,'OB History'!N:N, 1)</f>
        <v>0</v>
      </c>
      <c r="X35" s="2">
        <f>COUNTIFS('OB History'!$B:$B,$A$35,'OB History'!O:O, 1)</f>
        <v>0</v>
      </c>
      <c r="Y35" s="2">
        <f>COUNTIFS('OB History'!$B:$B,$A$35,'OB History'!P:P, 1)</f>
        <v>1</v>
      </c>
      <c r="Z35" s="2">
        <f>COUNTIFS('OB History'!$B:$B,$A$35,'OB History'!Q:Q, 1)</f>
        <v>0</v>
      </c>
      <c r="AA35" s="2">
        <f>COUNTIFS('OB History'!$B:$B,$A$35,'OB History'!R:R, 1)</f>
        <v>0</v>
      </c>
      <c r="AB35" s="2">
        <f>COUNTIFS('OB History'!$B:$B,$A$35,'OB History'!S:S, 1)</f>
        <v>0</v>
      </c>
      <c r="AC35" s="2">
        <f>COUNTIFS('OB History'!$B:$B,$A$35,'OB History'!T:T, 1)</f>
        <v>0</v>
      </c>
      <c r="AD35" s="2">
        <f>COUNTIFS('OB History'!$B:$B,$A$35,'OB History'!U:U, 1)</f>
        <v>0</v>
      </c>
      <c r="AE35" s="2">
        <f>COUNTIFS('OB History'!$B:$B,$A$35,'OB History'!V:V, 1)</f>
        <v>0</v>
      </c>
      <c r="AF35" s="2">
        <f>COUNTIFS('OB History'!$B:$B,$A$35,'OB History'!W:W, 1)</f>
        <v>0</v>
      </c>
      <c r="AG35" s="2">
        <f>COUNTIFS('OB History'!$B:$B,$A$35,'OB History'!X:X, 1)</f>
        <v>1</v>
      </c>
      <c r="AH35" s="2">
        <f>COUNTIFS('OB History'!$B:$B,$A$35,'OB History'!Y:Y, 1)</f>
        <v>0</v>
      </c>
      <c r="AI35" s="2">
        <f>COUNTIFS('OB History'!$B:$B,$A$35,'OB History'!Z:Z, 1)</f>
        <v>1</v>
      </c>
    </row>
    <row r="36" spans="1:35" x14ac:dyDescent="0.25">
      <c r="A36" s="2" t="s">
        <v>13</v>
      </c>
      <c r="B36" s="6" t="s">
        <v>124</v>
      </c>
      <c r="C36" s="1" t="s">
        <v>159</v>
      </c>
      <c r="D36" s="3">
        <v>6</v>
      </c>
      <c r="E36" s="3">
        <v>1</v>
      </c>
      <c r="F36" s="3">
        <v>1</v>
      </c>
      <c r="G36" s="3"/>
      <c r="H36" s="34">
        <f>SUMIFS('OB History'!C:C,'OB History'!B:B,A36)</f>
        <v>1618</v>
      </c>
      <c r="I36" s="4">
        <f>AVERAGEIFS('OB History'!C:C,'OB History'!B:B,A36)</f>
        <v>26.524590163934427</v>
      </c>
      <c r="J36" s="35">
        <f t="array" ref="J36">MAX(IF('OB History'!B:B=A36, 'OB History'!C:C))</f>
        <v>58</v>
      </c>
      <c r="K36" s="34">
        <f>COUNTIFS('OB History'!B:B,A36,'OB History'!D:D, 1)</f>
        <v>37</v>
      </c>
      <c r="L36" s="2">
        <f>COUNTIFS('OB History'!B:B,A36,'OB History'!D:D, 0)</f>
        <v>24</v>
      </c>
      <c r="M36" s="88">
        <f>LOOKUP(2, 1/('OB History'!$B:$B=A36), 'OB History'!$AD:$AD)</f>
        <v>0.60655737704918034</v>
      </c>
      <c r="N36" s="34">
        <f>SUMIFS('OB History'!F:F,'OB History'!B:B,A36)</f>
        <v>137</v>
      </c>
      <c r="O36" s="2">
        <f>SUMIFS('OB History'!E:E,'OB History'!B:B,A36)-N36</f>
        <v>110</v>
      </c>
      <c r="P36" s="88">
        <f>LOOKUP(2, 1/('OB History'!$B:$B=A36), 'OB History'!$AB:$AB)</f>
        <v>0.55901639344262299</v>
      </c>
      <c r="Q36" s="34">
        <f>SUMIFS('OB History'!H:H,'OB History'!B:B,'Old Bow v2'!A36)</f>
        <v>544</v>
      </c>
      <c r="R36" s="2">
        <f>SUMIFS('OB History'!G:G,'OB History'!B:B,'Old Bow v2'!A36)-Q36</f>
        <v>468</v>
      </c>
      <c r="S36" s="88">
        <f>LOOKUP(2, 1/('OB History'!$B:$B=A36), 'OB History'!$AC:$AC)</f>
        <v>0.53950819672131145</v>
      </c>
      <c r="T36" s="2">
        <f>COUNTIFS('OB History'!$B:$B,$A$36,'OB History'!K:K, 1)</f>
        <v>7</v>
      </c>
      <c r="U36" s="2">
        <f>COUNTIFS('OB History'!$B:$B,$A$36,'OB History'!L:L, 1)</f>
        <v>11</v>
      </c>
      <c r="V36" s="2">
        <f>COUNTIFS('OB History'!$B:$B,$A$36,'OB History'!M:M, 1)</f>
        <v>3</v>
      </c>
      <c r="W36" s="2">
        <f>COUNTIFS('OB History'!$B:$B,$A$36,'OB History'!N:N, 1)</f>
        <v>15</v>
      </c>
      <c r="X36" s="2">
        <f>COUNTIFS('OB History'!$B:$B,$A$36,'OB History'!O:O, 1)</f>
        <v>3</v>
      </c>
      <c r="Y36" s="2">
        <f>COUNTIFS('OB History'!$B:$B,$A$36,'OB History'!P:P, 1)</f>
        <v>18</v>
      </c>
      <c r="Z36" s="2">
        <f>COUNTIFS('OB History'!$B:$B,$A$36,'OB History'!Q:Q, 1)</f>
        <v>5</v>
      </c>
      <c r="AA36" s="2">
        <f>COUNTIFS('OB History'!$B:$B,$A$36,'OB History'!R:R, 1)</f>
        <v>4</v>
      </c>
      <c r="AB36" s="2">
        <f>COUNTIFS('OB History'!$B:$B,$A$36,'OB History'!S:S, 1)</f>
        <v>2</v>
      </c>
      <c r="AC36" s="2">
        <f>COUNTIFS('OB History'!$B:$B,$A$36,'OB History'!T:T, 1)</f>
        <v>4</v>
      </c>
      <c r="AD36" s="2">
        <f>COUNTIFS('OB History'!$B:$B,$A$36,'OB History'!U:U, 1)</f>
        <v>2</v>
      </c>
      <c r="AE36" s="2">
        <f>COUNTIFS('OB History'!$B:$B,$A$36,'OB History'!V:V, 1)</f>
        <v>5</v>
      </c>
      <c r="AF36" s="2">
        <f>COUNTIFS('OB History'!$B:$B,$A$36,'OB History'!W:W, 1)</f>
        <v>12</v>
      </c>
      <c r="AG36" s="2">
        <f>COUNTIFS('OB History'!$B:$B,$A$36,'OB History'!X:X, 1)</f>
        <v>15</v>
      </c>
      <c r="AH36" s="2">
        <f>COUNTIFS('OB History'!$B:$B,$A$36,'OB History'!Y:Y, 1)</f>
        <v>13</v>
      </c>
      <c r="AI36" s="2">
        <f>COUNTIFS('OB History'!$B:$B,$A$36,'OB History'!Z:Z, 1)</f>
        <v>18</v>
      </c>
    </row>
    <row r="37" spans="1:35" x14ac:dyDescent="0.25">
      <c r="A37" s="2" t="s">
        <v>2</v>
      </c>
      <c r="B37" s="6" t="s">
        <v>60</v>
      </c>
      <c r="C37" s="2" t="s">
        <v>79</v>
      </c>
      <c r="D37" s="3"/>
      <c r="E37" s="3"/>
      <c r="F37" s="3"/>
      <c r="G37" s="3"/>
      <c r="H37" s="34">
        <f>SUMIFS('OB History'!C:C,'OB History'!B:B,A37)</f>
        <v>457</v>
      </c>
      <c r="I37" s="4">
        <f>AVERAGEIFS('OB History'!C:C,'OB History'!B:B,A37)</f>
        <v>26.882352941176471</v>
      </c>
      <c r="J37" s="35">
        <f t="array" ref="J37">MAX(IF('OB History'!B:B=A37, 'OB History'!C:C))</f>
        <v>52</v>
      </c>
      <c r="K37" s="34">
        <f>COUNTIFS('OB History'!B:B,A37,'OB History'!D:D, 1)</f>
        <v>10</v>
      </c>
      <c r="L37" s="2">
        <f>COUNTIFS('OB History'!B:B,A37,'OB History'!D:D, 0)</f>
        <v>7</v>
      </c>
      <c r="M37" s="88">
        <f>LOOKUP(2, 1/('OB History'!$B:$B=A37), 'OB History'!$AD:$AD)</f>
        <v>0.58823529411764708</v>
      </c>
      <c r="N37" s="34">
        <f>SUMIFS('OB History'!F:F,'OB History'!B:B,A37)</f>
        <v>41</v>
      </c>
      <c r="O37" s="2">
        <f>SUMIFS('OB History'!E:E,'OB History'!B:B,A37)-N37</f>
        <v>29</v>
      </c>
      <c r="P37" s="88">
        <f>LOOKUP(2, 1/('OB History'!$B:$B=A37), 'OB History'!$AB:$AB)</f>
        <v>0.61470588235294121</v>
      </c>
      <c r="Q37" s="34">
        <f>SUMIFS('OB History'!H:H,'OB History'!B:B,'Old Bow v2'!A37)</f>
        <v>161</v>
      </c>
      <c r="R37" s="2">
        <f>SUMIFS('OB History'!G:G,'OB History'!B:B,'Old Bow v2'!A37)-Q37</f>
        <v>135</v>
      </c>
      <c r="S37" s="88">
        <f>LOOKUP(2, 1/('OB History'!$B:$B=A37), 'OB History'!$AC:$AC)</f>
        <v>0.55647058823529405</v>
      </c>
      <c r="T37" s="2">
        <f>COUNTIFS('OB History'!$B:$B,$A$37,'OB History'!K:K, 1)</f>
        <v>3</v>
      </c>
      <c r="U37" s="2">
        <f>COUNTIFS('OB History'!$B:$B,$A$37,'OB History'!L:L, 1)</f>
        <v>4</v>
      </c>
      <c r="V37" s="2">
        <f>COUNTIFS('OB History'!$B:$B,$A$37,'OB History'!M:M, 1)</f>
        <v>2</v>
      </c>
      <c r="W37" s="2">
        <f>COUNTIFS('OB History'!$B:$B,$A$37,'OB History'!N:N, 1)</f>
        <v>8</v>
      </c>
      <c r="X37" s="2">
        <f>COUNTIFS('OB History'!$B:$B,$A$37,'OB History'!O:O, 1)</f>
        <v>0</v>
      </c>
      <c r="Y37" s="2">
        <f>COUNTIFS('OB History'!$B:$B,$A$37,'OB History'!P:P, 1)</f>
        <v>3</v>
      </c>
      <c r="Z37" s="2">
        <f>COUNTIFS('OB History'!$B:$B,$A$37,'OB History'!Q:Q, 1)</f>
        <v>0</v>
      </c>
      <c r="AA37" s="2">
        <f>COUNTIFS('OB History'!$B:$B,$A$37,'OB History'!R:R, 1)</f>
        <v>1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0</v>
      </c>
      <c r="AF37" s="2">
        <f>COUNTIFS('OB History'!$B:$B,$A$37,'OB History'!W:W, 1)</f>
        <v>5</v>
      </c>
      <c r="AG37" s="2">
        <f>COUNTIFS('OB History'!$B:$B,$A$37,'OB History'!X:X, 1)</f>
        <v>3</v>
      </c>
      <c r="AH37" s="2">
        <f>COUNTIFS('OB History'!$B:$B,$A$37,'OB History'!Y:Y, 1)</f>
        <v>5</v>
      </c>
      <c r="AI37" s="2">
        <f>COUNTIFS('OB History'!$B:$B,$A$37,'OB History'!Z:Z, 1)</f>
        <v>7</v>
      </c>
    </row>
    <row r="38" spans="1:35" x14ac:dyDescent="0.25">
      <c r="A38" s="2" t="s">
        <v>54</v>
      </c>
      <c r="B38" s="6" t="s">
        <v>60</v>
      </c>
      <c r="C38" s="6" t="s">
        <v>79</v>
      </c>
      <c r="D38" s="3"/>
      <c r="E38" s="3"/>
      <c r="F38" s="3"/>
      <c r="G38" s="3"/>
      <c r="H38" s="34">
        <f>SUMIFS('OB History'!C:C,'OB History'!B:B,A38)</f>
        <v>65</v>
      </c>
      <c r="I38" s="4">
        <f>AVERAGEIFS('OB History'!C:C,'OB History'!B:B,A38)</f>
        <v>21.666666666666668</v>
      </c>
      <c r="J38" s="35">
        <f t="array" ref="J38">MAX(IF('OB History'!B:B=A38, 'OB History'!C:C))</f>
        <v>29</v>
      </c>
      <c r="K38" s="34">
        <f>COUNTIFS('OB History'!B:B,A38,'OB History'!D:D, 1)</f>
        <v>3</v>
      </c>
      <c r="L38" s="2">
        <f>COUNTIFS('OB History'!B:B,A38,'OB History'!D:D, 0)</f>
        <v>0</v>
      </c>
      <c r="M38" s="88">
        <f>LOOKUP(2, 1/('OB History'!$B:$B=A38), 'OB History'!$AD:$AD)</f>
        <v>1</v>
      </c>
      <c r="N38" s="34">
        <f>SUMIFS('OB History'!F:F,'OB History'!B:B,A38)</f>
        <v>9</v>
      </c>
      <c r="O38" s="2">
        <f>SUMIFS('OB History'!E:E,'OB History'!B:B,A38)-N38</f>
        <v>6</v>
      </c>
      <c r="P38" s="88">
        <f>LOOKUP(2, 1/('OB History'!$B:$B=A38), 'OB History'!$AB:$AB)</f>
        <v>0.6</v>
      </c>
      <c r="Q38" s="34">
        <f>SUMIFS('OB History'!H:H,'OB History'!B:B,'Old Bow v2'!A38)</f>
        <v>36</v>
      </c>
      <c r="R38" s="2">
        <f>SUMIFS('OB History'!G:G,'OB History'!B:B,'Old Bow v2'!A38)-Q38</f>
        <v>26</v>
      </c>
      <c r="S38" s="88">
        <f>LOOKUP(2, 1/('OB History'!$B:$B=A38), 'OB History'!$AC:$AC)</f>
        <v>0.57999999999999996</v>
      </c>
      <c r="T38" s="2">
        <f>COUNTIFS('OB History'!$B:$B,$A$38,'OB History'!K:K, 1)</f>
        <v>0</v>
      </c>
      <c r="U38" s="2">
        <f>COUNTIFS('OB History'!$B:$B,$A$38,'OB History'!L:L, 1)</f>
        <v>1</v>
      </c>
      <c r="V38" s="2">
        <f>COUNTIFS('OB History'!$B:$B,$A$38,'OB History'!M:M, 1)</f>
        <v>0</v>
      </c>
      <c r="W38" s="2">
        <f>COUNTIFS('OB History'!$B:$B,$A$38,'OB History'!N:N, 1)</f>
        <v>1</v>
      </c>
      <c r="X38" s="2">
        <f>COUNTIFS('OB History'!$B:$B,$A$38,'OB History'!O:O, 1)</f>
        <v>2</v>
      </c>
      <c r="Y38" s="2">
        <f>COUNTIFS('OB History'!$B:$B,$A$38,'OB History'!P:P, 1)</f>
        <v>1</v>
      </c>
      <c r="Z38" s="2">
        <f>COUNTIFS('OB History'!$B:$B,$A$38,'OB History'!Q:Q, 1)</f>
        <v>2</v>
      </c>
      <c r="AA38" s="2">
        <f>COUNTIFS('OB History'!$B:$B,$A$38,'OB History'!R:R, 1)</f>
        <v>0</v>
      </c>
      <c r="AB38" s="2">
        <f>COUNTIFS('OB History'!$B:$B,$A$38,'OB History'!S:S, 1)</f>
        <v>0</v>
      </c>
      <c r="AC38" s="2">
        <f>COUNTIFS('OB History'!$B:$B,$A$38,'OB History'!T:T, 1)</f>
        <v>0</v>
      </c>
      <c r="AD38" s="2">
        <f>COUNTIFS('OB History'!$B:$B,$A$38,'OB History'!U:U, 1)</f>
        <v>0</v>
      </c>
      <c r="AE38" s="2">
        <f>COUNTIFS('OB History'!$B:$B,$A$38,'OB History'!V:V, 1)</f>
        <v>1</v>
      </c>
      <c r="AF38" s="2">
        <f>COUNTIFS('OB History'!$B:$B,$A$38,'OB History'!W:W, 1)</f>
        <v>1</v>
      </c>
      <c r="AG38" s="2">
        <f>COUNTIFS('OB History'!$B:$B,$A$38,'OB History'!X:X, 1)</f>
        <v>0</v>
      </c>
      <c r="AH38" s="2">
        <f>COUNTIFS('OB History'!$B:$B,$A$38,'OB History'!Y:Y, 1)</f>
        <v>0</v>
      </c>
      <c r="AI38" s="2">
        <f>COUNTIFS('OB History'!$B:$B,$A$38,'OB History'!Z:Z, 1)</f>
        <v>0</v>
      </c>
    </row>
    <row r="39" spans="1:35" x14ac:dyDescent="0.25">
      <c r="A39" s="2" t="s">
        <v>5</v>
      </c>
      <c r="B39" s="6" t="s">
        <v>124</v>
      </c>
      <c r="C39" s="1" t="s">
        <v>159</v>
      </c>
      <c r="D39" s="3">
        <v>3</v>
      </c>
      <c r="E39" s="3"/>
      <c r="F39" s="3"/>
      <c r="G39" s="3"/>
      <c r="H39" s="34">
        <f>SUMIFS('OB History'!C:C,'OB History'!B:B,A39)</f>
        <v>449</v>
      </c>
      <c r="I39" s="4">
        <f>AVERAGEIFS('OB History'!C:C,'OB History'!B:B,A39)</f>
        <v>24.944444444444443</v>
      </c>
      <c r="J39" s="35">
        <f t="array" ref="J39">MAX(IF('OB History'!B:B=A39, 'OB History'!C:C))</f>
        <v>51</v>
      </c>
      <c r="K39" s="34">
        <f>COUNTIFS('OB History'!B:B,A39,'OB History'!D:D, 1)</f>
        <v>10</v>
      </c>
      <c r="L39" s="2">
        <f>COUNTIFS('OB History'!B:B,A39,'OB History'!D:D, 0)</f>
        <v>8</v>
      </c>
      <c r="M39" s="88">
        <f>LOOKUP(2, 1/('OB History'!$B:$B=A39), 'OB History'!$AD:$AD)</f>
        <v>0.55555555555555558</v>
      </c>
      <c r="N39" s="34">
        <f>SUMIFS('OB History'!F:F,'OB History'!B:B,A39)</f>
        <v>39</v>
      </c>
      <c r="O39" s="2">
        <f>SUMIFS('OB History'!E:E,'OB History'!B:B,A39)-N39</f>
        <v>37</v>
      </c>
      <c r="P39" s="88">
        <f>LOOKUP(2, 1/('OB History'!$B:$B=A39), 'OB History'!$AB:$AB)</f>
        <v>0.51666666666666661</v>
      </c>
      <c r="Q39" s="34">
        <f>SUMIFS('OB History'!H:H,'OB History'!B:B,'Old Bow v2'!A39)</f>
        <v>161</v>
      </c>
      <c r="R39" s="2">
        <f>SUMIFS('OB History'!G:G,'OB History'!B:B,'Old Bow v2'!A39)-Q39</f>
        <v>156</v>
      </c>
      <c r="S39" s="88">
        <f>LOOKUP(2, 1/('OB History'!$B:$B=A39), 'OB History'!$AC:$AC)</f>
        <v>0.50277777777777777</v>
      </c>
      <c r="T39" s="2">
        <f>COUNTIFS('OB History'!$B:$B,$A$39,'OB History'!K:K, 1)</f>
        <v>3</v>
      </c>
      <c r="U39" s="2">
        <f>COUNTIFS('OB History'!$B:$B,$A$39,'OB History'!L:L, 1)</f>
        <v>4</v>
      </c>
      <c r="V39" s="2">
        <f>COUNTIFS('OB History'!$B:$B,$A$39,'OB History'!M:M, 1)</f>
        <v>4</v>
      </c>
      <c r="W39" s="2">
        <f>COUNTIFS('OB History'!$B:$B,$A$39,'OB History'!N:N, 1)</f>
        <v>4</v>
      </c>
      <c r="X39" s="2">
        <f>COUNTIFS('OB History'!$B:$B,$A$39,'OB History'!O:O, 1)</f>
        <v>3</v>
      </c>
      <c r="Y39" s="2">
        <f>COUNTIFS('OB History'!$B:$B,$A$39,'OB History'!P:P, 1)</f>
        <v>3</v>
      </c>
      <c r="Z39" s="2">
        <f>COUNTIFS('OB History'!$B:$B,$A$39,'OB History'!Q:Q, 1)</f>
        <v>0</v>
      </c>
      <c r="AA39" s="2">
        <f>COUNTIFS('OB History'!$B:$B,$A$39,'OB History'!R:R, 1)</f>
        <v>1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0</v>
      </c>
      <c r="AF39" s="2">
        <f>COUNTIFS('OB History'!$B:$B,$A$39,'OB History'!W:W, 1)</f>
        <v>2</v>
      </c>
      <c r="AG39" s="2">
        <f>COUNTIFS('OB History'!$B:$B,$A$39,'OB History'!X:X, 1)</f>
        <v>6</v>
      </c>
      <c r="AH39" s="2">
        <f>COUNTIFS('OB History'!$B:$B,$A$39,'OB History'!Y:Y, 1)</f>
        <v>5</v>
      </c>
      <c r="AI39" s="2">
        <f>COUNTIFS('OB History'!$B:$B,$A$39,'OB History'!Z:Z, 1)</f>
        <v>4</v>
      </c>
    </row>
    <row r="40" spans="1:35" x14ac:dyDescent="0.25">
      <c r="A40" s="2" t="s">
        <v>38</v>
      </c>
      <c r="B40" s="2" t="s">
        <v>79</v>
      </c>
      <c r="C40" s="2" t="s">
        <v>79</v>
      </c>
      <c r="D40" s="3">
        <v>1</v>
      </c>
      <c r="E40" s="3"/>
      <c r="F40" s="3"/>
      <c r="G40" s="3"/>
      <c r="H40" s="34">
        <f>SUMIFS('OB History'!C:C,'OB History'!B:B,A40)</f>
        <v>105</v>
      </c>
      <c r="I40" s="4">
        <f>AVERAGEIFS('OB History'!C:C,'OB History'!B:B,A40)</f>
        <v>8.0769230769230766</v>
      </c>
      <c r="J40" s="35">
        <f t="array" ref="J40">MAX(IF('OB History'!B:B=A40, 'OB History'!C:C))</f>
        <v>28</v>
      </c>
      <c r="K40" s="34">
        <f>COUNTIFS('OB History'!B:B,A40,'OB History'!D:D, 1)</f>
        <v>6</v>
      </c>
      <c r="L40" s="2">
        <f>COUNTIFS('OB History'!B:B,A40,'OB History'!D:D, 0)</f>
        <v>7</v>
      </c>
      <c r="M40" s="88">
        <f>LOOKUP(2, 1/('OB History'!$B:$B=A40), 'OB History'!$AD:$AD)</f>
        <v>0.46153846153846156</v>
      </c>
      <c r="N40" s="34">
        <f>SUMIFS('OB History'!F:F,'OB History'!B:B,A40)</f>
        <v>23</v>
      </c>
      <c r="O40" s="2">
        <f>SUMIFS('OB History'!E:E,'OB History'!B:B,A40)-N40</f>
        <v>28</v>
      </c>
      <c r="P40" s="88">
        <f>LOOKUP(2, 1/('OB History'!$B:$B=A40), 'OB History'!$AB:$AB)</f>
        <v>0.43076923076923079</v>
      </c>
      <c r="Q40" s="34">
        <f>SUMIFS('OB History'!H:H,'OB History'!B:B,'Old Bow v2'!A40)</f>
        <v>96</v>
      </c>
      <c r="R40" s="2">
        <f>SUMIFS('OB History'!G:G,'OB History'!B:B,'Old Bow v2'!A40)-Q40</f>
        <v>112</v>
      </c>
      <c r="S40" s="88">
        <f>LOOKUP(2, 1/('OB History'!$B:$B=A40), 'OB History'!$AC:$AC)</f>
        <v>0.4538461538461539</v>
      </c>
      <c r="T40" s="2">
        <f>COUNTIFS('OB History'!$B:$B,$A$40,'OB History'!K:K, 1)</f>
        <v>1</v>
      </c>
      <c r="U40" s="2">
        <f>COUNTIFS('OB History'!$B:$B,$A$40,'OB History'!L:L, 1)</f>
        <v>1</v>
      </c>
      <c r="V40" s="2">
        <f>COUNTIFS('OB History'!$B:$B,$A$40,'OB History'!M:M, 1)</f>
        <v>1</v>
      </c>
      <c r="W40" s="2">
        <f>COUNTIFS('OB History'!$B:$B,$A$40,'OB History'!N:N, 1)</f>
        <v>3</v>
      </c>
      <c r="X40" s="2">
        <f>COUNTIFS('OB History'!$B:$B,$A$40,'OB History'!O:O, 1)</f>
        <v>0</v>
      </c>
      <c r="Y40" s="2">
        <f>COUNTIFS('OB History'!$B:$B,$A$40,'OB History'!P:P, 1)</f>
        <v>3</v>
      </c>
      <c r="Z40" s="2">
        <f>COUNTIFS('OB History'!$B:$B,$A$40,'OB History'!Q:Q, 1)</f>
        <v>1</v>
      </c>
      <c r="AA40" s="2">
        <f>COUNTIFS('OB History'!$B:$B,$A$40,'OB History'!R:R, 1)</f>
        <v>3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0</v>
      </c>
      <c r="AF40" s="2">
        <f>COUNTIFS('OB History'!$B:$B,$A$40,'OB History'!W:W, 1)</f>
        <v>2</v>
      </c>
      <c r="AG40" s="2">
        <f>COUNTIFS('OB History'!$B:$B,$A$40,'OB History'!X:X, 1)</f>
        <v>3</v>
      </c>
      <c r="AH40" s="2">
        <f>COUNTIFS('OB History'!$B:$B,$A$40,'OB History'!Y:Y, 1)</f>
        <v>2</v>
      </c>
      <c r="AI40" s="2">
        <f>COUNTIFS('OB History'!$B:$B,$A$40,'OB History'!Z:Z, 1)</f>
        <v>3</v>
      </c>
    </row>
    <row r="41" spans="1:35" x14ac:dyDescent="0.25">
      <c r="A41" s="2" t="s">
        <v>141</v>
      </c>
      <c r="B41" s="2" t="s">
        <v>79</v>
      </c>
      <c r="C41" s="2" t="s">
        <v>79</v>
      </c>
      <c r="D41" s="3">
        <v>1</v>
      </c>
      <c r="E41" s="3"/>
      <c r="F41" s="3"/>
      <c r="G41" s="3"/>
      <c r="H41" s="34">
        <f>SUMIFS('OB History'!C:C,'OB History'!B:B,A41)</f>
        <v>101</v>
      </c>
      <c r="I41" s="4">
        <f>AVERAGEIFS('OB History'!C:C,'OB History'!B:B,A41)</f>
        <v>16.833333333333332</v>
      </c>
      <c r="J41" s="35">
        <f t="array" ref="J41">MAX(IF('OB History'!B:B=A41, 'OB History'!C:C))</f>
        <v>24</v>
      </c>
      <c r="K41" s="34">
        <f>COUNTIFS('OB History'!B:B,A41,'OB History'!D:D, 1)</f>
        <v>1</v>
      </c>
      <c r="L41" s="2">
        <f>COUNTIFS('OB History'!B:B,A41,'OB History'!D:D, 0)</f>
        <v>5</v>
      </c>
      <c r="M41" s="88">
        <f>LOOKUP(2, 1/('OB History'!$B:$B=A41), 'OB History'!$AD:$AD)</f>
        <v>0.16666666666666666</v>
      </c>
      <c r="N41" s="34">
        <f>SUMIFS('OB History'!F:F,'OB History'!B:B,A41)</f>
        <v>9</v>
      </c>
      <c r="O41" s="2">
        <f>SUMIFS('OB History'!E:E,'OB History'!B:B,A41)-N41</f>
        <v>15</v>
      </c>
      <c r="P41" s="88">
        <f>LOOKUP(2, 1/('OB History'!$B:$B=A41), 'OB History'!$AB:$AB)</f>
        <v>0.3833333333333333</v>
      </c>
      <c r="Q41" s="34">
        <f>SUMIFS('OB History'!H:H,'OB History'!B:B,'Old Bow v2'!A41)</f>
        <v>44</v>
      </c>
      <c r="R41" s="2">
        <f>SUMIFS('OB History'!G:G,'OB History'!B:B,'Old Bow v2'!A41)-Q41</f>
        <v>59</v>
      </c>
      <c r="S41" s="88">
        <f>LOOKUP(2, 1/('OB History'!$B:$B=A41), 'OB History'!$AC:$AC)</f>
        <v>0.43166666666666664</v>
      </c>
      <c r="T41" s="2">
        <f>COUNTIFS('OB History'!$B:$B,$A$41,'OB History'!K:K, 1)</f>
        <v>1</v>
      </c>
      <c r="U41" s="2">
        <f>COUNTIFS('OB History'!$B:$B,$A$41,'OB History'!L:L, 1)</f>
        <v>1</v>
      </c>
      <c r="V41" s="2">
        <f>COUNTIFS('OB History'!$B:$B,$A$41,'OB History'!M:M, 1)</f>
        <v>0</v>
      </c>
      <c r="W41" s="2">
        <f>COUNTIFS('OB History'!$B:$B,$A$41,'OB History'!N:N, 1)</f>
        <v>0</v>
      </c>
      <c r="X41" s="2">
        <f>COUNTIFS('OB History'!$B:$B,$A$41,'OB History'!O:O, 1)</f>
        <v>0</v>
      </c>
      <c r="Y41" s="2">
        <f>COUNTIFS('OB History'!$B:$B,$A$41,'OB History'!P:P, 1)</f>
        <v>1</v>
      </c>
      <c r="Z41" s="2">
        <f>COUNTIFS('OB History'!$B:$B,$A$41,'OB History'!Q:Q, 1)</f>
        <v>1</v>
      </c>
      <c r="AA41" s="2">
        <f>COUNTIFS('OB History'!$B:$B,$A$41,'OB History'!R:R, 1)</f>
        <v>0</v>
      </c>
      <c r="AB41" s="2">
        <f>COUNTIFS('OB History'!$B:$B,$A$41,'OB History'!S:S, 1)</f>
        <v>0</v>
      </c>
      <c r="AC41" s="2">
        <f>COUNTIFS('OB History'!$B:$B,$A$41,'OB History'!T:T, 1)</f>
        <v>1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1</v>
      </c>
      <c r="AG41" s="2">
        <f>COUNTIFS('OB History'!$B:$B,$A$41,'OB History'!X:X, 1)</f>
        <v>1</v>
      </c>
      <c r="AH41" s="2">
        <f>COUNTIFS('OB History'!$B:$B,$A$41,'OB History'!Y:Y, 1)</f>
        <v>1</v>
      </c>
      <c r="AI41" s="2">
        <f>COUNTIFS('OB History'!$B:$B,$A$41,'OB History'!Z:Z, 1)</f>
        <v>1</v>
      </c>
    </row>
    <row r="42" spans="1:35" x14ac:dyDescent="0.25">
      <c r="A42" s="2" t="s">
        <v>149</v>
      </c>
      <c r="B42" s="2" t="s">
        <v>79</v>
      </c>
      <c r="C42" s="2" t="s">
        <v>79</v>
      </c>
      <c r="D42" s="3"/>
      <c r="E42" s="3"/>
      <c r="F42" s="3"/>
      <c r="G42" s="3"/>
      <c r="H42" s="34">
        <f>SUMIFS('OB History'!C:C,'OB History'!B:B,A42)</f>
        <v>4</v>
      </c>
      <c r="I42" s="4">
        <f>AVERAGEIFS('OB History'!C:C,'OB History'!B:B,A42)</f>
        <v>4</v>
      </c>
      <c r="J42" s="35">
        <f t="array" ref="J42">MAX(IF('OB History'!B:B=A42, 'OB History'!C:C))</f>
        <v>4</v>
      </c>
      <c r="K42" s="34">
        <f>COUNTIFS('OB History'!B:B,A42,'OB History'!D:D, 1)</f>
        <v>0</v>
      </c>
      <c r="L42" s="2">
        <f>COUNTIFS('OB History'!B:B,A42,'OB History'!D:D, 0)</f>
        <v>1</v>
      </c>
      <c r="M42" s="88">
        <f>LOOKUP(2, 1/('OB History'!$B:$B=A42), 'OB History'!$AD:$AD)</f>
        <v>0</v>
      </c>
      <c r="N42" s="34">
        <f>SUMIFS('OB History'!F:F,'OB History'!B:B,A42)</f>
        <v>2</v>
      </c>
      <c r="O42" s="2">
        <f>SUMIFS('OB History'!E:E,'OB History'!B:B,A42)-N42</f>
        <v>3</v>
      </c>
      <c r="P42" s="88">
        <f>LOOKUP(2, 1/('OB History'!$B:$B=A42), 'OB History'!$AB:$AB)</f>
        <v>0.4</v>
      </c>
      <c r="Q42" s="34">
        <f>SUMIFS('OB History'!H:H,'OB History'!B:B,'Old Bow v2'!A42)</f>
        <v>8</v>
      </c>
      <c r="R42" s="2">
        <f>SUMIFS('OB History'!G:G,'OB History'!B:B,'Old Bow v2'!A42)-Q42</f>
        <v>10</v>
      </c>
      <c r="S42" s="88">
        <f>LOOKUP(2, 1/('OB History'!$B:$B=A42), 'OB History'!$AC:$AC)</f>
        <v>0.44</v>
      </c>
      <c r="T42" s="2">
        <f>COUNTIFS('OB History'!$B:$B,$A$42,'OB History'!K:K, 1)</f>
        <v>1</v>
      </c>
      <c r="U42" s="2">
        <f>COUNTIFS('OB History'!$B:$B,$A$42,'OB History'!L:L, 1)</f>
        <v>0</v>
      </c>
      <c r="V42" s="2">
        <f>COUNTIFS('OB History'!$B:$B,$A$42,'OB History'!M:M, 1)</f>
        <v>0</v>
      </c>
      <c r="W42" s="2">
        <f>COUNTIFS('OB History'!$B:$B,$A$42,'OB History'!N:N, 1)</f>
        <v>0</v>
      </c>
      <c r="X42" s="2">
        <f>COUNTIFS('OB History'!$B:$B,$A$42,'OB History'!O:O, 1)</f>
        <v>0</v>
      </c>
      <c r="Y42" s="2">
        <f>COUNTIFS('OB History'!$B:$B,$A$42,'OB History'!P:P, 1)</f>
        <v>1</v>
      </c>
      <c r="Z42" s="2">
        <f>COUNTIFS('OB History'!$B:$B,$A$42,'OB History'!Q:Q, 1)</f>
        <v>0</v>
      </c>
      <c r="AA42" s="2">
        <f>COUNTIFS('OB History'!$B:$B,$A$42,'OB History'!R:R, 1)</f>
        <v>0</v>
      </c>
      <c r="AB42" s="2">
        <f>COUNTIFS('OB History'!$B:$B,$A$42,'OB History'!S:S, 1)</f>
        <v>0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0</v>
      </c>
      <c r="AG42" s="2">
        <f>COUNTIFS('OB History'!$B:$B,$A$42,'OB History'!X:X, 1)</f>
        <v>0</v>
      </c>
      <c r="AH42" s="2">
        <f>COUNTIFS('OB History'!$B:$B,$A$42,'OB History'!Y:Y, 1)</f>
        <v>0</v>
      </c>
      <c r="AI42" s="2">
        <f>COUNTIFS('OB History'!$B:$B,$A$42,'OB History'!Z:Z, 1)</f>
        <v>0</v>
      </c>
    </row>
    <row r="43" spans="1:35" x14ac:dyDescent="0.25">
      <c r="A43" s="2" t="s">
        <v>40</v>
      </c>
      <c r="B43" s="2" t="s">
        <v>79</v>
      </c>
      <c r="C43" s="2" t="s">
        <v>79</v>
      </c>
      <c r="D43" s="3"/>
      <c r="E43" s="3"/>
      <c r="F43" s="3"/>
      <c r="G43" s="3"/>
      <c r="H43" s="34">
        <f>SUMIFS('OB History'!C:C,'OB History'!B:B,A43)</f>
        <v>270</v>
      </c>
      <c r="I43" s="4">
        <f>AVERAGEIFS('OB History'!C:C,'OB History'!B:B,A43)</f>
        <v>18</v>
      </c>
      <c r="J43" s="35">
        <f t="array" ref="J43">MAX(IF('OB History'!B:B=A43, 'OB History'!C:C))</f>
        <v>28</v>
      </c>
      <c r="K43" s="34">
        <f>COUNTIFS('OB History'!B:B,A43,'OB History'!D:D, 1)</f>
        <v>5</v>
      </c>
      <c r="L43" s="2">
        <f>COUNTIFS('OB History'!B:B,A43,'OB History'!D:D, 0)</f>
        <v>10</v>
      </c>
      <c r="M43" s="88">
        <f>LOOKUP(2, 1/('OB History'!$B:$B=A43), 'OB History'!$AD:$AD)</f>
        <v>0.33333333333333331</v>
      </c>
      <c r="N43" s="34">
        <f>SUMIFS('OB History'!F:F,'OB History'!B:B,A43)</f>
        <v>28</v>
      </c>
      <c r="O43" s="2">
        <f>SUMIFS('OB History'!E:E,'OB History'!B:B,A43)-N43</f>
        <v>35</v>
      </c>
      <c r="P43" s="88">
        <f>LOOKUP(2, 1/('OB History'!$B:$B=A43), 'OB History'!$AB:$AB)</f>
        <v>0.4466666666666666</v>
      </c>
      <c r="Q43" s="34">
        <f>SUMIFS('OB History'!H:H,'OB History'!B:B,'Old Bow v2'!A43)</f>
        <v>117</v>
      </c>
      <c r="R43" s="2">
        <f>SUMIFS('OB History'!G:G,'OB History'!B:B,'Old Bow v2'!A43)-Q43</f>
        <v>139</v>
      </c>
      <c r="S43" s="88">
        <f>LOOKUP(2, 1/('OB History'!$B:$B=A43), 'OB History'!$AC:$AC)</f>
        <v>0.45</v>
      </c>
      <c r="T43" s="2">
        <f>COUNTIFS('OB History'!$B:$B,$A$43,'OB History'!K:K, 1)</f>
        <v>3</v>
      </c>
      <c r="U43" s="2">
        <f>COUNTIFS('OB History'!$B:$B,$A$43,'OB History'!L:L, 1)</f>
        <v>2</v>
      </c>
      <c r="V43" s="2">
        <f>COUNTIFS('OB History'!$B:$B,$A$43,'OB History'!M:M, 1)</f>
        <v>2</v>
      </c>
      <c r="W43" s="2">
        <f>COUNTIFS('OB History'!$B:$B,$A$43,'OB History'!N:N, 1)</f>
        <v>1</v>
      </c>
      <c r="X43" s="2">
        <f>COUNTIFS('OB History'!$B:$B,$A$43,'OB History'!O:O, 1)</f>
        <v>1</v>
      </c>
      <c r="Y43" s="2">
        <f>COUNTIFS('OB History'!$B:$B,$A$43,'OB History'!P:P, 1)</f>
        <v>2</v>
      </c>
      <c r="Z43" s="2">
        <f>COUNTIFS('OB History'!$B:$B,$A$43,'OB History'!Q:Q, 1)</f>
        <v>2</v>
      </c>
      <c r="AA43" s="2">
        <f>COUNTIFS('OB History'!$B:$B,$A$43,'OB History'!R:R, 1)</f>
        <v>0</v>
      </c>
      <c r="AB43" s="2">
        <f>COUNTIFS('OB History'!$B:$B,$A$43,'OB History'!S:S, 1)</f>
        <v>1</v>
      </c>
      <c r="AC43" s="2">
        <f>COUNTIFS('OB History'!$B:$B,$A$43,'OB History'!T:T, 1)</f>
        <v>0</v>
      </c>
      <c r="AD43" s="2">
        <f>COUNTIFS('OB History'!$B:$B,$A$43,'OB History'!U:U, 1)</f>
        <v>0</v>
      </c>
      <c r="AE43" s="2">
        <f>COUNTIFS('OB History'!$B:$B,$A$43,'OB History'!V:V, 1)</f>
        <v>0</v>
      </c>
      <c r="AF43" s="2">
        <f>COUNTIFS('OB History'!$B:$B,$A$43,'OB History'!W:W, 1)</f>
        <v>1</v>
      </c>
      <c r="AG43" s="2">
        <f>COUNTIFS('OB History'!$B:$B,$A$43,'OB History'!X:X, 1)</f>
        <v>5</v>
      </c>
      <c r="AH43" s="2">
        <f>COUNTIFS('OB History'!$B:$B,$A$43,'OB History'!Y:Y, 1)</f>
        <v>4</v>
      </c>
      <c r="AI43" s="2">
        <f>COUNTIFS('OB History'!$B:$B,$A$43,'OB History'!Z:Z, 1)</f>
        <v>4</v>
      </c>
    </row>
    <row r="44" spans="1:35" x14ac:dyDescent="0.25">
      <c r="A44" s="2" t="s">
        <v>147</v>
      </c>
      <c r="B44" s="2" t="s">
        <v>79</v>
      </c>
      <c r="C44" s="2" t="s">
        <v>79</v>
      </c>
      <c r="D44" s="3"/>
      <c r="E44" s="3"/>
      <c r="F44" s="3"/>
      <c r="G44" s="3"/>
      <c r="H44" s="34">
        <f>SUMIFS('OB History'!C:C,'OB History'!B:B,A44)</f>
        <v>171</v>
      </c>
      <c r="I44" s="4">
        <f>AVERAGEIFS('OB History'!C:C,'OB History'!B:B,A44)</f>
        <v>17.100000000000001</v>
      </c>
      <c r="J44" s="35">
        <f t="array" ref="J44">MAX(IF('OB History'!B:B=A44, 'OB History'!C:C))</f>
        <v>34</v>
      </c>
      <c r="K44" s="34">
        <f>COUNTIFS('OB History'!B:B,A44,'OB History'!D:D, 1)</f>
        <v>2</v>
      </c>
      <c r="L44" s="2">
        <f>COUNTIFS('OB History'!B:B,A44,'OB History'!D:D, 0)</f>
        <v>8</v>
      </c>
      <c r="M44" s="88">
        <f>LOOKUP(2, 1/('OB History'!$B:$B=A44), 'OB History'!$AD:$AD)</f>
        <v>0.2</v>
      </c>
      <c r="N44" s="34">
        <f>SUMIFS('OB History'!F:F,'OB History'!B:B,A44)</f>
        <v>14</v>
      </c>
      <c r="O44" s="2">
        <f>SUMIFS('OB History'!E:E,'OB History'!B:B,A44)-N44</f>
        <v>25</v>
      </c>
      <c r="P44" s="88">
        <f>LOOKUP(2, 1/('OB History'!$B:$B=A44), 'OB History'!$AB:$AB)</f>
        <v>0.33500000000000002</v>
      </c>
      <c r="Q44" s="34">
        <f>SUMIFS('OB History'!H:H,'OB History'!B:B,'Old Bow v2'!A44)</f>
        <v>70</v>
      </c>
      <c r="R44" s="2">
        <f>SUMIFS('OB History'!G:G,'OB History'!B:B,'Old Bow v2'!A44)-Q44</f>
        <v>89</v>
      </c>
      <c r="S44" s="88">
        <f>LOOKUP(2, 1/('OB History'!$B:$B=A44), 'OB History'!$AC:$AC)</f>
        <v>0.42800000000000005</v>
      </c>
      <c r="T44" s="2">
        <f>COUNTIFS('OB History'!$B:$B,$A$44,'OB History'!K:K, 1)</f>
        <v>3</v>
      </c>
      <c r="U44" s="2">
        <f>COUNTIFS('OB History'!$B:$B,$A$44,'OB History'!L:L, 1)</f>
        <v>1</v>
      </c>
      <c r="V44" s="2">
        <f>COUNTIFS('OB History'!$B:$B,$A$44,'OB History'!M:M, 1)</f>
        <v>1</v>
      </c>
      <c r="W44" s="2">
        <f>COUNTIFS('OB History'!$B:$B,$A$44,'OB History'!N:N, 1)</f>
        <v>1</v>
      </c>
      <c r="X44" s="2">
        <f>COUNTIFS('OB History'!$B:$B,$A$44,'OB History'!O:O, 1)</f>
        <v>0</v>
      </c>
      <c r="Y44" s="2">
        <f>COUNTIFS('OB History'!$B:$B,$A$44,'OB History'!P:P, 1)</f>
        <v>3</v>
      </c>
      <c r="Z44" s="2">
        <f>COUNTIFS('OB History'!$B:$B,$A$44,'OB History'!Q:Q, 1)</f>
        <v>0</v>
      </c>
      <c r="AA44" s="2">
        <f>COUNTIFS('OB History'!$B:$B,$A$44,'OB History'!R:R, 1)</f>
        <v>0</v>
      </c>
      <c r="AB44" s="2">
        <f>COUNTIFS('OB History'!$B:$B,$A$44,'OB History'!S:S, 1)</f>
        <v>1</v>
      </c>
      <c r="AC44" s="2">
        <f>COUNTIFS('OB History'!$B:$B,$A$44,'OB History'!T:T, 1)</f>
        <v>0</v>
      </c>
      <c r="AD44" s="2">
        <f>COUNTIFS('OB History'!$B:$B,$A$44,'OB History'!U:U, 1)</f>
        <v>0</v>
      </c>
      <c r="AE44" s="2">
        <f>COUNTIFS('OB History'!$B:$B,$A$44,'OB History'!V:V, 1)</f>
        <v>0</v>
      </c>
      <c r="AF44" s="2">
        <f>COUNTIFS('OB History'!$B:$B,$A$44,'OB History'!W:W, 1)</f>
        <v>0</v>
      </c>
      <c r="AG44" s="2">
        <f>COUNTIFS('OB History'!$B:$B,$A$44,'OB History'!X:X, 1)</f>
        <v>1</v>
      </c>
      <c r="AH44" s="2">
        <f>COUNTIFS('OB History'!$B:$B,$A$44,'OB History'!Y:Y, 1)</f>
        <v>2</v>
      </c>
      <c r="AI44" s="2">
        <f>COUNTIFS('OB History'!$B:$B,$A$44,'OB History'!Z:Z, 1)</f>
        <v>1</v>
      </c>
    </row>
    <row r="45" spans="1:35" x14ac:dyDescent="0.25">
      <c r="A45" s="2" t="s">
        <v>17</v>
      </c>
      <c r="B45" s="2" t="s">
        <v>79</v>
      </c>
      <c r="C45" s="2" t="s">
        <v>79</v>
      </c>
      <c r="D45" s="3">
        <v>11</v>
      </c>
      <c r="E45" s="3">
        <v>3</v>
      </c>
      <c r="F45" s="3"/>
      <c r="G45" s="3"/>
      <c r="H45" s="34">
        <f>SUMIFS('OB History'!C:C,'OB History'!B:B,A45)</f>
        <v>1353</v>
      </c>
      <c r="I45" s="4">
        <f>AVERAGEIFS('OB History'!C:C,'OB History'!B:B,A45)</f>
        <v>25.055555555555557</v>
      </c>
      <c r="J45" s="35">
        <f t="array" ref="J45">MAX(IF('OB History'!B:B=A45, 'OB History'!C:C))</f>
        <v>58</v>
      </c>
      <c r="K45" s="34">
        <f>COUNTIFS('OB History'!B:B,A45,'OB History'!D:D, 1)</f>
        <v>23</v>
      </c>
      <c r="L45" s="2">
        <f>COUNTIFS('OB History'!B:B,A45,'OB History'!D:D, 0)</f>
        <v>31</v>
      </c>
      <c r="M45" s="88">
        <f>LOOKUP(2, 1/('OB History'!$B:$B=A45), 'OB History'!$AD:$AD)</f>
        <v>0.42592592592592593</v>
      </c>
      <c r="N45" s="34">
        <f>SUMIFS('OB History'!F:F,'OB History'!B:B,A45)</f>
        <v>105</v>
      </c>
      <c r="O45" s="2">
        <f>SUMIFS('OB History'!E:E,'OB History'!B:B,A45)-N45</f>
        <v>115</v>
      </c>
      <c r="P45" s="88">
        <f>LOOKUP(2, 1/('OB History'!$B:$B=A45), 'OB History'!$AB:$AB)</f>
        <v>0.48148148148148162</v>
      </c>
      <c r="Q45" s="34">
        <f>SUMIFS('OB History'!H:H,'OB History'!B:B,'Old Bow v2'!A45)</f>
        <v>452</v>
      </c>
      <c r="R45" s="2">
        <f>SUMIFS('OB History'!G:G,'OB History'!B:B,'Old Bow v2'!A45)-Q45</f>
        <v>458</v>
      </c>
      <c r="S45" s="88">
        <f>LOOKUP(2, 1/('OB History'!$B:$B=A45), 'OB History'!$AC:$AC)</f>
        <v>0.50277777777777755</v>
      </c>
      <c r="T45" s="2">
        <f>COUNTIFS('OB History'!$B:$B,$A$45,'OB History'!K:K, 1)</f>
        <v>7</v>
      </c>
      <c r="U45" s="2">
        <f>COUNTIFS('OB History'!$B:$B,$A$45,'OB History'!L:L, 1)</f>
        <v>6</v>
      </c>
      <c r="V45" s="2">
        <f>COUNTIFS('OB History'!$B:$B,$A$45,'OB History'!M:M, 1)</f>
        <v>3</v>
      </c>
      <c r="W45" s="2">
        <f>COUNTIFS('OB History'!$B:$B,$A$45,'OB History'!N:N, 1)</f>
        <v>10</v>
      </c>
      <c r="X45" s="2">
        <f>COUNTIFS('OB History'!$B:$B,$A$45,'OB History'!O:O, 1)</f>
        <v>1</v>
      </c>
      <c r="Y45" s="2">
        <f>COUNTIFS('OB History'!$B:$B,$A$45,'OB History'!P:P, 1)</f>
        <v>10</v>
      </c>
      <c r="Z45" s="2">
        <f>COUNTIFS('OB History'!$B:$B,$A$45,'OB History'!Q:Q, 1)</f>
        <v>5</v>
      </c>
      <c r="AA45" s="2">
        <f>COUNTIFS('OB History'!$B:$B,$A$45,'OB History'!R:R, 1)</f>
        <v>4</v>
      </c>
      <c r="AB45" s="2">
        <f>COUNTIFS('OB History'!$B:$B,$A$45,'OB History'!S:S, 1)</f>
        <v>1</v>
      </c>
      <c r="AC45" s="2">
        <f>COUNTIFS('OB History'!$B:$B,$A$45,'OB History'!T:T, 1)</f>
        <v>2</v>
      </c>
      <c r="AD45" s="2">
        <f>COUNTIFS('OB History'!$B:$B,$A$45,'OB History'!U:U, 1)</f>
        <v>1</v>
      </c>
      <c r="AE45" s="2">
        <f>COUNTIFS('OB History'!$B:$B,$A$45,'OB History'!V:V, 1)</f>
        <v>3</v>
      </c>
      <c r="AF45" s="2">
        <f>COUNTIFS('OB History'!$B:$B,$A$45,'OB History'!W:W, 1)</f>
        <v>7</v>
      </c>
      <c r="AG45" s="2">
        <f>COUNTIFS('OB History'!$B:$B,$A$45,'OB History'!X:X, 1)</f>
        <v>20</v>
      </c>
      <c r="AH45" s="2">
        <f>COUNTIFS('OB History'!$B:$B,$A$45,'OB History'!Y:Y, 1)</f>
        <v>8</v>
      </c>
      <c r="AI45" s="2">
        <f>COUNTIFS('OB History'!$B:$B,$A$45,'OB History'!Z:Z, 1)</f>
        <v>17</v>
      </c>
    </row>
    <row r="46" spans="1:35" x14ac:dyDescent="0.25">
      <c r="A46" s="2" t="s">
        <v>167</v>
      </c>
      <c r="B46" s="2" t="s">
        <v>79</v>
      </c>
      <c r="C46" s="2" t="s">
        <v>79</v>
      </c>
      <c r="D46" s="3"/>
      <c r="E46" s="3"/>
      <c r="F46" s="3"/>
      <c r="G46" s="3"/>
      <c r="H46" s="34">
        <f>SUMIFS('OB History'!C:C,'OB History'!B:B,A46)</f>
        <v>29</v>
      </c>
      <c r="I46" s="4">
        <f>AVERAGEIFS('OB History'!C:C,'OB History'!B:B,A46)</f>
        <v>14.5</v>
      </c>
      <c r="J46" s="35">
        <f t="array" ref="J46">MAX(IF('OB History'!B:B=A46, 'OB History'!C:C))</f>
        <v>18</v>
      </c>
      <c r="K46" s="34">
        <f>COUNTIFS('OB History'!B:B,A46,'OB History'!D:D, 1)</f>
        <v>0</v>
      </c>
      <c r="L46" s="2">
        <f>COUNTIFS('OB History'!B:B,A46,'OB History'!D:D, 0)</f>
        <v>2</v>
      </c>
      <c r="M46" s="88">
        <f>LOOKUP(2, 1/('OB History'!$B:$B=A46), 'OB History'!$AD:$AD)</f>
        <v>0</v>
      </c>
      <c r="N46" s="34">
        <f>SUMIFS('OB History'!F:F,'OB History'!B:B,A46)</f>
        <v>0</v>
      </c>
      <c r="O46" s="2">
        <f>SUMIFS('OB History'!E:E,'OB History'!B:B,A46)-N46</f>
        <v>6</v>
      </c>
      <c r="P46" s="88">
        <f>LOOKUP(2, 1/('OB History'!$B:$B=A46), 'OB History'!$AB:$AB)</f>
        <v>0</v>
      </c>
      <c r="Q46" s="34">
        <f>SUMIFS('OB History'!H:H,'OB History'!B:B,'Old Bow v2'!A46)</f>
        <v>7</v>
      </c>
      <c r="R46" s="2">
        <f>SUMIFS('OB History'!G:G,'OB History'!B:B,'Old Bow v2'!A46)-Q46</f>
        <v>18</v>
      </c>
      <c r="S46" s="88">
        <f>LOOKUP(2, 1/('OB History'!$B:$B=A46), 'OB History'!$AC:$AC)</f>
        <v>0.28000000000000003</v>
      </c>
      <c r="T46" s="2">
        <f>COUNTIFS('OB History'!$B:$B,$A$46,'OB History'!K:K, 1)</f>
        <v>0</v>
      </c>
      <c r="U46" s="2">
        <f>COUNTIFS('OB History'!$B:$B,$A$46,'OB History'!L:L, 1)</f>
        <v>0</v>
      </c>
      <c r="V46" s="2">
        <f>COUNTIFS('OB History'!$B:$B,$A$46,'OB History'!M:M, 1)</f>
        <v>0</v>
      </c>
      <c r="W46" s="2">
        <f>COUNTIFS('OB History'!$B:$B,$A$46,'OB History'!N:N, 1)</f>
        <v>0</v>
      </c>
      <c r="X46" s="2">
        <f>COUNTIFS('OB History'!$B:$B,$A$46,'OB History'!O:O, 1)</f>
        <v>0</v>
      </c>
      <c r="Y46" s="2">
        <f>COUNTIFS('OB History'!$B:$B,$A$46,'OB History'!P:P, 1)</f>
        <v>0</v>
      </c>
      <c r="Z46" s="2">
        <f>COUNTIFS('OB History'!$B:$B,$A$46,'OB History'!Q:Q, 1)</f>
        <v>0</v>
      </c>
      <c r="AA46" s="2">
        <f>COUNTIFS('OB History'!$B:$B,$A$46,'OB History'!R:R, 1)</f>
        <v>0</v>
      </c>
      <c r="AB46" s="2">
        <f>COUNTIFS('OB History'!$B:$B,$A$46,'OB History'!S:S, 1)</f>
        <v>0</v>
      </c>
      <c r="AC46" s="2">
        <f>COUNTIFS('OB History'!$B:$B,$A$46,'OB History'!T:T, 1)</f>
        <v>0</v>
      </c>
      <c r="AD46" s="2">
        <f>COUNTIFS('OB History'!$B:$B,$A$46,'OB History'!U:U, 1)</f>
        <v>0</v>
      </c>
      <c r="AE46" s="2">
        <f>COUNTIFS('OB History'!$B:$B,$A$46,'OB History'!V:V, 1)</f>
        <v>0</v>
      </c>
      <c r="AF46" s="2">
        <f>COUNTIFS('OB History'!$B:$B,$A$46,'OB History'!W:W, 1)</f>
        <v>0</v>
      </c>
      <c r="AG46" s="2">
        <f>COUNTIFS('OB History'!$B:$B,$A$46,'OB History'!X:X, 1)</f>
        <v>0</v>
      </c>
      <c r="AH46" s="2">
        <f>COUNTIFS('OB History'!$B:$B,$A$46,'OB History'!Y:Y, 1)</f>
        <v>0</v>
      </c>
      <c r="AI46" s="2">
        <f>COUNTIFS('OB History'!$B:$B,$A$46,'OB History'!Z:Z, 1)</f>
        <v>0</v>
      </c>
    </row>
    <row r="47" spans="1:35" x14ac:dyDescent="0.25">
      <c r="A47" s="2" t="s">
        <v>155</v>
      </c>
      <c r="B47" s="6" t="s">
        <v>60</v>
      </c>
      <c r="C47" s="2" t="s">
        <v>79</v>
      </c>
      <c r="D47" s="3">
        <v>7</v>
      </c>
      <c r="E47" s="3">
        <v>1</v>
      </c>
      <c r="F47" s="3"/>
      <c r="G47" s="3"/>
      <c r="H47" s="34">
        <f>SUMIFS('OB History'!C:C,'OB History'!B:B,A47)</f>
        <v>403</v>
      </c>
      <c r="I47" s="4">
        <f>AVERAGEIFS('OB History'!C:C,'OB History'!B:B,A47)</f>
        <v>16.791666666666668</v>
      </c>
      <c r="J47" s="35">
        <f t="array" ref="J47">MAX(IF('OB History'!B:B=A47, 'OB History'!C:C))</f>
        <v>43</v>
      </c>
      <c r="K47" s="34">
        <f>COUNTIFS('OB History'!B:B,A47,'OB History'!D:D, 1)</f>
        <v>7</v>
      </c>
      <c r="L47" s="2">
        <f>COUNTIFS('OB History'!B:B,A47,'OB History'!D:D, 0)</f>
        <v>17</v>
      </c>
      <c r="M47" s="88">
        <f>LOOKUP(2, 1/('OB History'!$B:$B=A47), 'OB History'!$AD:$AD)</f>
        <v>0.29166666666666669</v>
      </c>
      <c r="N47" s="34">
        <f>SUMIFS('OB History'!F:F,'OB History'!B:B,A47)</f>
        <v>39</v>
      </c>
      <c r="O47" s="2">
        <f>SUMIFS('OB History'!E:E,'OB History'!B:B,A47)-N47</f>
        <v>62</v>
      </c>
      <c r="P47" s="88">
        <f>LOOKUP(2, 1/('OB History'!$B:$B=A47), 'OB History'!$AB:$AB)</f>
        <v>0.36458333333333331</v>
      </c>
      <c r="Q47" s="34">
        <f>SUMIFS('OB History'!H:H,'OB History'!B:B,'Old Bow v2'!A47)</f>
        <v>191</v>
      </c>
      <c r="R47" s="2">
        <f>SUMIFS('OB History'!G:G,'OB History'!B:B,'Old Bow v2'!A47)-Q47</f>
        <v>221</v>
      </c>
      <c r="S47" s="88">
        <f>LOOKUP(2, 1/('OB History'!$B:$B=A47), 'OB History'!$AC:$AC)</f>
        <v>0.44874999999999998</v>
      </c>
      <c r="T47" s="2">
        <f>COUNTIFS('OB History'!$B:$B,$A$47,'OB History'!K:K, 1)</f>
        <v>3</v>
      </c>
      <c r="U47" s="2">
        <f>COUNTIFS('OB History'!$B:$B,$A$47,'OB History'!L:L, 1)</f>
        <v>2</v>
      </c>
      <c r="V47" s="2">
        <f>COUNTIFS('OB History'!$B:$B,$A$47,'OB History'!M:M, 1)</f>
        <v>2</v>
      </c>
      <c r="W47" s="2">
        <f>COUNTIFS('OB History'!$B:$B,$A$47,'OB History'!N:N, 1)</f>
        <v>6</v>
      </c>
      <c r="X47" s="2">
        <f>COUNTIFS('OB History'!$B:$B,$A$47,'OB History'!O:O, 1)</f>
        <v>2</v>
      </c>
      <c r="Y47" s="2">
        <f>COUNTIFS('OB History'!$B:$B,$A$47,'OB History'!P:P, 1)</f>
        <v>5</v>
      </c>
      <c r="Z47" s="2">
        <f>COUNTIFS('OB History'!$B:$B,$A$47,'OB History'!Q:Q, 1)</f>
        <v>1</v>
      </c>
      <c r="AA47" s="2">
        <f>COUNTIFS('OB History'!$B:$B,$A$47,'OB History'!R:R, 1)</f>
        <v>0</v>
      </c>
      <c r="AB47" s="2">
        <f>COUNTIFS('OB History'!$B:$B,$A$47,'OB History'!S:S, 1)</f>
        <v>1</v>
      </c>
      <c r="AC47" s="2">
        <f>COUNTIFS('OB History'!$B:$B,$A$47,'OB History'!T:T, 1)</f>
        <v>3</v>
      </c>
      <c r="AD47" s="2">
        <f>COUNTIFS('OB History'!$B:$B,$A$47,'OB History'!U:U, 1)</f>
        <v>0</v>
      </c>
      <c r="AE47" s="2">
        <f>COUNTIFS('OB History'!$B:$B,$A$47,'OB History'!V:V, 1)</f>
        <v>1</v>
      </c>
      <c r="AF47" s="2">
        <f>COUNTIFS('OB History'!$B:$B,$A$47,'OB History'!W:W, 1)</f>
        <v>2</v>
      </c>
      <c r="AG47" s="2">
        <f>COUNTIFS('OB History'!$B:$B,$A$47,'OB History'!X:X, 1)</f>
        <v>4</v>
      </c>
      <c r="AH47" s="2">
        <f>COUNTIFS('OB History'!$B:$B,$A$47,'OB History'!Y:Y, 1)</f>
        <v>4</v>
      </c>
      <c r="AI47" s="2">
        <f>COUNTIFS('OB History'!$B:$B,$A$47,'OB History'!Z:Z, 1)</f>
        <v>3</v>
      </c>
    </row>
    <row r="48" spans="1:35" x14ac:dyDescent="0.25">
      <c r="A48" s="2" t="s">
        <v>6</v>
      </c>
      <c r="B48" s="2" t="s">
        <v>60</v>
      </c>
      <c r="C48" s="2" t="s">
        <v>79</v>
      </c>
      <c r="D48" s="3"/>
      <c r="E48" s="3"/>
      <c r="F48" s="3"/>
      <c r="G48" s="3"/>
      <c r="H48" s="34">
        <f>SUMIFS('OB History'!C:C,'OB History'!B:B,A48)</f>
        <v>643</v>
      </c>
      <c r="I48" s="4">
        <f>AVERAGEIFS('OB History'!C:C,'OB History'!B:B,A48)</f>
        <v>22.964285714285715</v>
      </c>
      <c r="J48" s="35">
        <f t="array" ref="J48">MAX(IF('OB History'!B:B=A48, 'OB History'!C:C))</f>
        <v>51</v>
      </c>
      <c r="K48" s="34">
        <f>COUNTIFS('OB History'!B:B,A48,'OB History'!D:D, 1)</f>
        <v>20</v>
      </c>
      <c r="L48" s="2">
        <f>COUNTIFS('OB History'!B:B,A48,'OB History'!D:D, 0)</f>
        <v>8</v>
      </c>
      <c r="M48" s="88">
        <f>LOOKUP(2, 1/('OB History'!$B:$B=A48), 'OB History'!$AD:$AD)</f>
        <v>0.7142857142857143</v>
      </c>
      <c r="N48" s="34">
        <f>SUMIFS('OB History'!F:F,'OB History'!B:B,A48)</f>
        <v>70</v>
      </c>
      <c r="O48" s="2">
        <f>SUMIFS('OB History'!E:E,'OB History'!B:B,A48)-N48</f>
        <v>42</v>
      </c>
      <c r="P48" s="88">
        <f>LOOKUP(2, 1/('OB History'!$B:$B=A48), 'OB History'!$AB:$AB)</f>
        <v>0.65</v>
      </c>
      <c r="Q48" s="34">
        <f>SUMIFS('OB History'!H:H,'OB History'!B:B,'Old Bow v2'!A48)</f>
        <v>264</v>
      </c>
      <c r="R48" s="2">
        <f>SUMIFS('OB History'!G:G,'OB History'!B:B,'Old Bow v2'!A48)-Q48</f>
        <v>210</v>
      </c>
      <c r="S48" s="88">
        <f>LOOKUP(2, 1/('OB History'!$B:$B=A48), 'OB History'!$AC:$AC)</f>
        <v>0.56821428571428567</v>
      </c>
      <c r="T48" s="2">
        <f>COUNTIFS('OB History'!$B:$B,$A$48,'OB History'!K:K, 1)</f>
        <v>2</v>
      </c>
      <c r="U48" s="2">
        <f>COUNTIFS('OB History'!$B:$B,$A$48,'OB History'!L:L, 1)</f>
        <v>6</v>
      </c>
      <c r="V48" s="2">
        <f>COUNTIFS('OB History'!$B:$B,$A$48,'OB History'!M:M, 1)</f>
        <v>7</v>
      </c>
      <c r="W48" s="2">
        <f>COUNTIFS('OB History'!$B:$B,$A$48,'OB History'!N:N, 1)</f>
        <v>4</v>
      </c>
      <c r="X48" s="2">
        <f>COUNTIFS('OB History'!$B:$B,$A$48,'OB History'!O:O, 1)</f>
        <v>1</v>
      </c>
      <c r="Y48" s="2">
        <f>COUNTIFS('OB History'!$B:$B,$A$48,'OB History'!P:P, 1)</f>
        <v>9</v>
      </c>
      <c r="Z48" s="2">
        <f>COUNTIFS('OB History'!$B:$B,$A$48,'OB History'!Q:Q, 1)</f>
        <v>3</v>
      </c>
      <c r="AA48" s="2">
        <f>COUNTIFS('OB History'!$B:$B,$A$48,'OB History'!R:R, 1)</f>
        <v>2</v>
      </c>
      <c r="AB48" s="2">
        <f>COUNTIFS('OB History'!$B:$B,$A$48,'OB History'!S:S, 1)</f>
        <v>1</v>
      </c>
      <c r="AC48" s="2">
        <f>COUNTIFS('OB History'!$B:$B,$A$48,'OB History'!T:T, 1)</f>
        <v>3</v>
      </c>
      <c r="AD48" s="2">
        <f>COUNTIFS('OB History'!$B:$B,$A$48,'OB History'!U:U, 1)</f>
        <v>0</v>
      </c>
      <c r="AE48" s="2">
        <f>COUNTIFS('OB History'!$B:$B,$A$48,'OB History'!V:V, 1)</f>
        <v>1</v>
      </c>
      <c r="AF48" s="2">
        <f>COUNTIFS('OB History'!$B:$B,$A$48,'OB History'!W:W, 1)</f>
        <v>7</v>
      </c>
      <c r="AG48" s="2">
        <f>COUNTIFS('OB History'!$B:$B,$A$48,'OB History'!X:X, 1)</f>
        <v>8</v>
      </c>
      <c r="AH48" s="2">
        <f>COUNTIFS('OB History'!$B:$B,$A$48,'OB History'!Y:Y, 1)</f>
        <v>6</v>
      </c>
      <c r="AI48" s="2">
        <f>COUNTIFS('OB History'!$B:$B,$A$48,'OB History'!Z:Z, 1)</f>
        <v>10</v>
      </c>
    </row>
    <row r="49" spans="1:35" x14ac:dyDescent="0.25">
      <c r="A49" s="2" t="s">
        <v>18</v>
      </c>
      <c r="B49" s="6" t="s">
        <v>60</v>
      </c>
      <c r="C49" s="2" t="s">
        <v>79</v>
      </c>
      <c r="D49" s="3">
        <v>4</v>
      </c>
      <c r="E49" s="3">
        <v>3</v>
      </c>
      <c r="F49" s="3"/>
      <c r="G49" s="3">
        <v>1</v>
      </c>
      <c r="H49" s="34">
        <f>SUMIFS('OB History'!C:C,'OB History'!B:B,A49)</f>
        <v>816</v>
      </c>
      <c r="I49" s="4">
        <f>AVERAGEIFS('OB History'!C:C,'OB History'!B:B,A49)</f>
        <v>26.322580645161292</v>
      </c>
      <c r="J49" s="35">
        <f t="array" ref="J49">MAX(IF('OB History'!B:B=A49, 'OB History'!C:C))</f>
        <v>55</v>
      </c>
      <c r="K49" s="34">
        <f>COUNTIFS('OB History'!B:B,A49,'OB History'!D:D, 1)</f>
        <v>15</v>
      </c>
      <c r="L49" s="2">
        <f>COUNTIFS('OB History'!B:B,A49,'OB History'!D:D, 0)</f>
        <v>16</v>
      </c>
      <c r="M49" s="88">
        <f>LOOKUP(2, 1/('OB History'!$B:$B=A49), 'OB History'!$AD:$AD)</f>
        <v>0.4838709677419355</v>
      </c>
      <c r="N49" s="34">
        <f>SUMIFS('OB History'!F:F,'OB History'!B:B,A49)</f>
        <v>62</v>
      </c>
      <c r="O49" s="2">
        <f>SUMIFS('OB History'!E:E,'OB History'!B:B,A49)-N49</f>
        <v>65</v>
      </c>
      <c r="P49" s="88">
        <f>LOOKUP(2, 1/('OB History'!$B:$B=A49), 'OB History'!$AB:$AB)</f>
        <v>0.48064516129032259</v>
      </c>
      <c r="Q49" s="34">
        <f>SUMIFS('OB History'!H:H,'OB History'!B:B,'Old Bow v2'!A49)</f>
        <v>259</v>
      </c>
      <c r="R49" s="2">
        <f>SUMIFS('OB History'!G:G,'OB History'!B:B,'Old Bow v2'!A49)-Q49</f>
        <v>269</v>
      </c>
      <c r="S49" s="88">
        <f>LOOKUP(2, 1/('OB History'!$B:$B=A49), 'OB History'!$AC:$AC)</f>
        <v>0.48806451612903234</v>
      </c>
      <c r="T49" s="2">
        <f>COUNTIFS('OB History'!$B:$B,$A$49,'OB History'!K:K, 1)</f>
        <v>4</v>
      </c>
      <c r="U49" s="2">
        <f>COUNTIFS('OB History'!$B:$B,$A$49,'OB History'!L:L, 1)</f>
        <v>3</v>
      </c>
      <c r="V49" s="2">
        <f>COUNTIFS('OB History'!$B:$B,$A$49,'OB History'!M:M, 1)</f>
        <v>1</v>
      </c>
      <c r="W49" s="2">
        <f>COUNTIFS('OB History'!$B:$B,$A$49,'OB History'!N:N, 1)</f>
        <v>10</v>
      </c>
      <c r="X49" s="2">
        <f>COUNTIFS('OB History'!$B:$B,$A$49,'OB History'!O:O, 1)</f>
        <v>3</v>
      </c>
      <c r="Y49" s="2">
        <f>COUNTIFS('OB History'!$B:$B,$A$49,'OB History'!P:P, 1)</f>
        <v>7</v>
      </c>
      <c r="Z49" s="2">
        <f>COUNTIFS('OB History'!$B:$B,$A$49,'OB History'!Q:Q, 1)</f>
        <v>4</v>
      </c>
      <c r="AA49" s="2">
        <f>COUNTIFS('OB History'!$B:$B,$A$49,'OB History'!R:R, 1)</f>
        <v>3</v>
      </c>
      <c r="AB49" s="2">
        <f>COUNTIFS('OB History'!$B:$B,$A$49,'OB History'!S:S, 1)</f>
        <v>0</v>
      </c>
      <c r="AC49" s="2">
        <f>COUNTIFS('OB History'!$B:$B,$A$49,'OB History'!T:T, 1)</f>
        <v>1</v>
      </c>
      <c r="AD49" s="2">
        <f>COUNTIFS('OB History'!$B:$B,$A$49,'OB History'!U:U, 1)</f>
        <v>1</v>
      </c>
      <c r="AE49" s="2">
        <f>COUNTIFS('OB History'!$B:$B,$A$49,'OB History'!V:V, 1)</f>
        <v>0</v>
      </c>
      <c r="AF49" s="2">
        <f>COUNTIFS('OB History'!$B:$B,$A$49,'OB History'!W:W, 1)</f>
        <v>6</v>
      </c>
      <c r="AG49" s="2">
        <f>COUNTIFS('OB History'!$B:$B,$A$49,'OB History'!X:X, 1)</f>
        <v>7</v>
      </c>
      <c r="AH49" s="2">
        <f>COUNTIFS('OB History'!$B:$B,$A$49,'OB History'!Y:Y, 1)</f>
        <v>4</v>
      </c>
      <c r="AI49" s="2">
        <f>COUNTIFS('OB History'!$B:$B,$A$49,'OB History'!Z:Z, 1)</f>
        <v>8</v>
      </c>
    </row>
    <row r="50" spans="1:35" x14ac:dyDescent="0.25">
      <c r="A50" s="2" t="s">
        <v>113</v>
      </c>
      <c r="B50" s="2" t="s">
        <v>79</v>
      </c>
      <c r="C50" s="2" t="s">
        <v>79</v>
      </c>
      <c r="D50" s="3">
        <v>1</v>
      </c>
      <c r="E50" s="3"/>
      <c r="F50" s="3"/>
      <c r="G50" s="3"/>
      <c r="H50" s="34">
        <f>SUMIFS('OB History'!C:C,'OB History'!B:B,A50)</f>
        <v>239</v>
      </c>
      <c r="I50" s="4">
        <f>AVERAGEIFS('OB History'!C:C,'OB History'!B:B,A50)</f>
        <v>18.384615384615383</v>
      </c>
      <c r="J50" s="35">
        <f t="array" ref="J50">MAX(IF('OB History'!B:B=A50, 'OB History'!C:C))</f>
        <v>49</v>
      </c>
      <c r="K50" s="34">
        <f>COUNTIFS('OB History'!B:B,A50,'OB History'!D:D, 1)</f>
        <v>9</v>
      </c>
      <c r="L50" s="2">
        <f>COUNTIFS('OB History'!B:B,A50,'OB History'!D:D, 0)</f>
        <v>4</v>
      </c>
      <c r="M50" s="88">
        <f>LOOKUP(2, 1/('OB History'!$B:$B=A50), 'OB History'!$AD:$AD)</f>
        <v>0.69230769230769229</v>
      </c>
      <c r="N50" s="34">
        <f>SUMIFS('OB History'!F:F,'OB History'!B:B,A50)</f>
        <v>29</v>
      </c>
      <c r="O50" s="2">
        <f>SUMIFS('OB History'!E:E,'OB History'!B:B,A50)-N50</f>
        <v>19</v>
      </c>
      <c r="P50" s="88">
        <f>LOOKUP(2, 1/('OB History'!$B:$B=A50), 'OB History'!$AB:$AB)</f>
        <v>0.60384615384615392</v>
      </c>
      <c r="Q50" s="34">
        <f>SUMIFS('OB History'!H:H,'OB History'!B:B,'Old Bow v2'!A50)</f>
        <v>109</v>
      </c>
      <c r="R50" s="2">
        <f>SUMIFS('OB History'!G:G,'OB History'!B:B,'Old Bow v2'!A50)-Q50</f>
        <v>92</v>
      </c>
      <c r="S50" s="88">
        <f>LOOKUP(2, 1/('OB History'!$B:$B=A50), 'OB History'!$AC:$AC)</f>
        <v>0.53615384615384598</v>
      </c>
      <c r="T50" s="2">
        <f>COUNTIFS('OB History'!$B:$B,$A$50,'OB History'!K:K, 1)</f>
        <v>0</v>
      </c>
      <c r="U50" s="2">
        <f>COUNTIFS('OB History'!$B:$B,$A$50,'OB History'!L:L, 1)</f>
        <v>5</v>
      </c>
      <c r="V50" s="2">
        <f>COUNTIFS('OB History'!$B:$B,$A$50,'OB History'!M:M, 1)</f>
        <v>2</v>
      </c>
      <c r="W50" s="2">
        <f>COUNTIFS('OB History'!$B:$B,$A$50,'OB History'!N:N, 1)</f>
        <v>2</v>
      </c>
      <c r="X50" s="2">
        <f>COUNTIFS('OB History'!$B:$B,$A$50,'OB History'!O:O, 1)</f>
        <v>0</v>
      </c>
      <c r="Y50" s="2">
        <f>COUNTIFS('OB History'!$B:$B,$A$50,'OB History'!P:P, 1)</f>
        <v>2</v>
      </c>
      <c r="Z50" s="2">
        <f>COUNTIFS('OB History'!$B:$B,$A$50,'OB History'!Q:Q, 1)</f>
        <v>2</v>
      </c>
      <c r="AA50" s="2">
        <f>COUNTIFS('OB History'!$B:$B,$A$50,'OB History'!R:R, 1)</f>
        <v>1</v>
      </c>
      <c r="AB50" s="2">
        <f>COUNTIFS('OB History'!$B:$B,$A$50,'OB History'!S:S, 1)</f>
        <v>0</v>
      </c>
      <c r="AC50" s="2">
        <f>COUNTIFS('OB History'!$B:$B,$A$50,'OB History'!T:T, 1)</f>
        <v>0</v>
      </c>
      <c r="AD50" s="2">
        <f>COUNTIFS('OB History'!$B:$B,$A$50,'OB History'!U:U, 1)</f>
        <v>0</v>
      </c>
      <c r="AE50" s="2">
        <f>COUNTIFS('OB History'!$B:$B,$A$50,'OB History'!V:V, 1)</f>
        <v>1</v>
      </c>
      <c r="AF50" s="2">
        <f>COUNTIFS('OB History'!$B:$B,$A$50,'OB History'!W:W, 1)</f>
        <v>2</v>
      </c>
      <c r="AG50" s="2">
        <f>COUNTIFS('OB History'!$B:$B,$A$50,'OB History'!X:X, 1)</f>
        <v>5</v>
      </c>
      <c r="AH50" s="2">
        <f>COUNTIFS('OB History'!$B:$B,$A$50,'OB History'!Y:Y, 1)</f>
        <v>3</v>
      </c>
      <c r="AI50" s="2">
        <f>COUNTIFS('OB History'!$B:$B,$A$50,'OB History'!Z:Z, 1)</f>
        <v>4</v>
      </c>
    </row>
    <row r="51" spans="1:35" x14ac:dyDescent="0.25">
      <c r="A51" s="2" t="s">
        <v>170</v>
      </c>
      <c r="B51" s="2" t="s">
        <v>79</v>
      </c>
      <c r="C51" s="2" t="s">
        <v>79</v>
      </c>
      <c r="D51" s="3"/>
      <c r="E51" s="3"/>
      <c r="F51" s="3"/>
      <c r="G51" s="3"/>
      <c r="H51" s="34">
        <f>SUMIFS('OB History'!C:C,'OB History'!B:B,A51)</f>
        <v>2</v>
      </c>
      <c r="I51" s="4">
        <f>AVERAGEIFS('OB History'!C:C,'OB History'!B:B,A51)</f>
        <v>2</v>
      </c>
      <c r="J51" s="35">
        <f t="array" ref="J51">MAX(IF('OB History'!B:B=A51, 'OB History'!C:C))</f>
        <v>2</v>
      </c>
      <c r="K51" s="34">
        <f>COUNTIFS('OB History'!B:B,A51,'OB History'!D:D, 1)</f>
        <v>0</v>
      </c>
      <c r="L51" s="2">
        <f>COUNTIFS('OB History'!B:B,A51,'OB History'!D:D, 0)</f>
        <v>1</v>
      </c>
      <c r="M51" s="88">
        <f>LOOKUP(2, 1/('OB History'!$B:$B=A51), 'OB History'!$AD:$AD)</f>
        <v>0</v>
      </c>
      <c r="N51" s="34">
        <f>SUMIFS('OB History'!F:F,'OB History'!B:B,A51)</f>
        <v>2</v>
      </c>
      <c r="O51" s="2">
        <f>SUMIFS('OB History'!E:E,'OB History'!B:B,A51)-N51</f>
        <v>3</v>
      </c>
      <c r="P51" s="88">
        <f>LOOKUP(2, 1/('OB History'!$B:$B=A51), 'OB History'!$AB:$AB)</f>
        <v>0.4</v>
      </c>
      <c r="Q51" s="34">
        <f>SUMIFS('OB History'!H:H,'OB History'!B:B,'Old Bow v2'!A51)</f>
        <v>6</v>
      </c>
      <c r="R51" s="2">
        <f>SUMIFS('OB History'!G:G,'OB History'!B:B,'Old Bow v2'!A51)-Q51</f>
        <v>14</v>
      </c>
      <c r="S51" s="88">
        <f>LOOKUP(2, 1/('OB History'!$B:$B=A51), 'OB History'!$AC:$AC)</f>
        <v>0.3</v>
      </c>
      <c r="T51" s="2">
        <f>COUNTIFS('OB History'!$B:$B,$A$51,'OB History'!K:K, 1)</f>
        <v>0</v>
      </c>
      <c r="U51" s="2">
        <f>COUNTIFS('OB History'!$B:$B,$A$51,'OB History'!L:L, 1)</f>
        <v>0</v>
      </c>
      <c r="V51" s="2">
        <f>COUNTIFS('OB History'!$B:$B,$A$51,'OB History'!M:M, 1)</f>
        <v>0</v>
      </c>
      <c r="W51" s="2">
        <f>COUNTIFS('OB History'!$B:$B,$A$51,'OB History'!N:N, 1)</f>
        <v>0</v>
      </c>
      <c r="X51" s="2">
        <f>COUNTIFS('OB History'!$B:$B,$A$51,'OB History'!O:O, 1)</f>
        <v>0</v>
      </c>
      <c r="Y51" s="2">
        <f>COUNTIFS('OB History'!$B:$B,$A$51,'OB History'!P:P, 1)</f>
        <v>0</v>
      </c>
      <c r="Z51" s="2">
        <f>COUNTIFS('OB History'!$B:$B,$A$51,'OB History'!Q:Q, 1)</f>
        <v>0</v>
      </c>
      <c r="AA51" s="2">
        <f>COUNTIFS('OB History'!$B:$B,$A$51,'OB History'!R:R, 1)</f>
        <v>0</v>
      </c>
      <c r="AB51" s="2">
        <f>COUNTIFS('OB History'!$B:$B,$A$51,'OB History'!S:S, 1)</f>
        <v>0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0</v>
      </c>
      <c r="AF51" s="2">
        <f>COUNTIFS('OB History'!$B:$B,$A$51,'OB History'!W:W, 1)</f>
        <v>1</v>
      </c>
      <c r="AG51" s="2">
        <f>COUNTIFS('OB History'!$B:$B,$A$51,'OB History'!X:X, 1)</f>
        <v>0</v>
      </c>
      <c r="AH51" s="2">
        <f>COUNTIFS('OB History'!$B:$B,$A$51,'OB History'!Y:Y, 1)</f>
        <v>1</v>
      </c>
      <c r="AI51" s="2">
        <f>COUNTIFS('OB History'!$B:$B,$A$51,'OB History'!Z:Z, 1)</f>
        <v>0</v>
      </c>
    </row>
    <row r="52" spans="1:35" x14ac:dyDescent="0.25">
      <c r="A52" s="2" t="s">
        <v>14</v>
      </c>
      <c r="B52" s="6" t="s">
        <v>124</v>
      </c>
      <c r="C52" s="1" t="s">
        <v>160</v>
      </c>
      <c r="D52" s="3">
        <v>4</v>
      </c>
      <c r="E52" s="3">
        <v>1</v>
      </c>
      <c r="F52" s="3"/>
      <c r="G52" s="3"/>
      <c r="H52" s="34">
        <f>SUMIFS('OB History'!C:C,'OB History'!B:B,A52)</f>
        <v>1118</v>
      </c>
      <c r="I52" s="4">
        <f>AVERAGEIFS('OB History'!C:C,'OB History'!B:B,A52)</f>
        <v>24.844444444444445</v>
      </c>
      <c r="J52" s="35">
        <f t="array" ref="J52">MAX(IF('OB History'!B:B=A52, 'OB History'!C:C))</f>
        <v>56</v>
      </c>
      <c r="K52" s="34">
        <f>COUNTIFS('OB History'!B:B,A52,'OB History'!D:D, 1)</f>
        <v>21</v>
      </c>
      <c r="L52" s="2">
        <f>COUNTIFS('OB History'!B:B,A52,'OB History'!D:D, 0)</f>
        <v>24</v>
      </c>
      <c r="M52" s="88">
        <f>LOOKUP(2, 1/('OB History'!$B:$B=A52), 'OB History'!$AD:$AD)</f>
        <v>0.46666666666666667</v>
      </c>
      <c r="N52" s="34">
        <f>SUMIFS('OB History'!F:F,'OB History'!B:B,A52)</f>
        <v>87</v>
      </c>
      <c r="O52" s="2">
        <f>SUMIFS('OB History'!E:E,'OB History'!B:B,A52)-N52</f>
        <v>96</v>
      </c>
      <c r="P52" s="88">
        <f>LOOKUP(2, 1/('OB History'!$B:$B=A52), 'OB History'!$AB:$AB)</f>
        <v>0.47555555555555551</v>
      </c>
      <c r="Q52" s="34">
        <f>SUMIFS('OB History'!H:H,'OB History'!B:B,'Old Bow v2'!A52)</f>
        <v>366</v>
      </c>
      <c r="R52" s="2">
        <f>SUMIFS('OB History'!G:G,'OB History'!B:B,'Old Bow v2'!A52)-Q52</f>
        <v>395</v>
      </c>
      <c r="S52" s="88">
        <f>LOOKUP(2, 1/('OB History'!$B:$B=A52), 'OB History'!$AC:$AC)</f>
        <v>0.48688888888888898</v>
      </c>
      <c r="T52" s="2">
        <f>COUNTIFS('OB History'!$B:$B,$A$52,'OB History'!K:K, 1)</f>
        <v>5</v>
      </c>
      <c r="U52" s="2">
        <f>COUNTIFS('OB History'!$B:$B,$A$52,'OB History'!L:L, 1)</f>
        <v>9</v>
      </c>
      <c r="V52" s="2">
        <f>COUNTIFS('OB History'!$B:$B,$A$52,'OB History'!M:M, 1)</f>
        <v>4</v>
      </c>
      <c r="W52" s="2">
        <f>COUNTIFS('OB History'!$B:$B,$A$52,'OB History'!N:N, 1)</f>
        <v>8</v>
      </c>
      <c r="X52" s="2">
        <f>COUNTIFS('OB History'!$B:$B,$A$52,'OB History'!O:O, 1)</f>
        <v>3</v>
      </c>
      <c r="Y52" s="2">
        <f>COUNTIFS('OB History'!$B:$B,$A$52,'OB History'!P:P, 1)</f>
        <v>6</v>
      </c>
      <c r="Z52" s="2">
        <f>COUNTIFS('OB History'!$B:$B,$A$52,'OB History'!Q:Q, 1)</f>
        <v>1</v>
      </c>
      <c r="AA52" s="2">
        <f>COUNTIFS('OB History'!$B:$B,$A$52,'OB History'!R:R, 1)</f>
        <v>1</v>
      </c>
      <c r="AB52" s="2">
        <f>COUNTIFS('OB History'!$B:$B,$A$52,'OB History'!S:S, 1)</f>
        <v>1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3</v>
      </c>
      <c r="AF52" s="2">
        <f>COUNTIFS('OB History'!$B:$B,$A$52,'OB History'!W:W, 1)</f>
        <v>9</v>
      </c>
      <c r="AG52" s="2">
        <f>COUNTIFS('OB History'!$B:$B,$A$52,'OB History'!X:X, 1)</f>
        <v>21</v>
      </c>
      <c r="AH52" s="2">
        <f>COUNTIFS('OB History'!$B:$B,$A$52,'OB History'!Y:Y, 1)</f>
        <v>5</v>
      </c>
      <c r="AI52" s="2">
        <f>COUNTIFS('OB History'!$B:$B,$A$52,'OB History'!Z:Z, 1)</f>
        <v>11</v>
      </c>
    </row>
    <row r="53" spans="1:35" x14ac:dyDescent="0.25">
      <c r="A53" s="2" t="s">
        <v>70</v>
      </c>
      <c r="B53" s="6" t="s">
        <v>79</v>
      </c>
      <c r="C53" s="6" t="s">
        <v>79</v>
      </c>
      <c r="D53" s="3"/>
      <c r="E53" s="3"/>
      <c r="F53" s="3"/>
      <c r="G53" s="3"/>
      <c r="H53" s="34">
        <f>SUMIFS('OB History'!C:C,'OB History'!B:B,A53)</f>
        <v>99</v>
      </c>
      <c r="I53" s="4">
        <f>AVERAGEIFS('OB History'!C:C,'OB History'!B:B,A53)</f>
        <v>19.8</v>
      </c>
      <c r="J53" s="35">
        <f t="array" ref="J53">MAX(IF('OB History'!B:B=A53, 'OB History'!C:C))</f>
        <v>27</v>
      </c>
      <c r="K53" s="34">
        <f>COUNTIFS('OB History'!B:B,A53,'OB History'!D:D, 1)</f>
        <v>3</v>
      </c>
      <c r="L53" s="2">
        <f>COUNTIFS('OB History'!B:B,A53,'OB History'!D:D, 0)</f>
        <v>2</v>
      </c>
      <c r="M53" s="88">
        <f>LOOKUP(2, 1/('OB History'!$B:$B=A53), 'OB History'!$AD:$AD)</f>
        <v>0.6</v>
      </c>
      <c r="N53" s="34">
        <f>SUMIFS('OB History'!F:F,'OB History'!B:B,A53)</f>
        <v>13</v>
      </c>
      <c r="O53" s="2">
        <f>SUMIFS('OB History'!E:E,'OB History'!B:B,A53)-N53</f>
        <v>10</v>
      </c>
      <c r="P53" s="88">
        <f>LOOKUP(2, 1/('OB History'!$B:$B=A53), 'OB History'!$AB:$AB)</f>
        <v>0.6</v>
      </c>
      <c r="Q53" s="34">
        <f>SUMIFS('OB History'!H:H,'OB History'!B:B,'Old Bow v2'!A53)</f>
        <v>51</v>
      </c>
      <c r="R53" s="2">
        <f>SUMIFS('OB History'!G:G,'OB History'!B:B,'Old Bow v2'!A53)-Q53</f>
        <v>46</v>
      </c>
      <c r="S53" s="88">
        <f>LOOKUP(2, 1/('OB History'!$B:$B=A53), 'OB History'!$AC:$AC)</f>
        <v>0.53600000000000003</v>
      </c>
      <c r="T53" s="2">
        <f>COUNTIFS('OB History'!$B:$B,$A$53,'OB History'!K:K, 1)</f>
        <v>1</v>
      </c>
      <c r="U53" s="2">
        <f>COUNTIFS('OB History'!$B:$B,$A$53,'OB History'!L:L, 1)</f>
        <v>0</v>
      </c>
      <c r="V53" s="2">
        <f>COUNTIFS('OB History'!$B:$B,$A$53,'OB History'!M:M, 1)</f>
        <v>0</v>
      </c>
      <c r="W53" s="2">
        <f>COUNTIFS('OB History'!$B:$B,$A$53,'OB History'!N:N, 1)</f>
        <v>2</v>
      </c>
      <c r="X53" s="2">
        <f>COUNTIFS('OB History'!$B:$B,$A$53,'OB History'!O:O, 1)</f>
        <v>1</v>
      </c>
      <c r="Y53" s="2">
        <f>COUNTIFS('OB History'!$B:$B,$A$53,'OB History'!P:P, 1)</f>
        <v>0</v>
      </c>
      <c r="Z53" s="2">
        <f>COUNTIFS('OB History'!$B:$B,$A$53,'OB History'!Q:Q, 1)</f>
        <v>0</v>
      </c>
      <c r="AA53" s="2">
        <f>COUNTIFS('OB History'!$B:$B,$A$53,'OB History'!R:R, 1)</f>
        <v>2</v>
      </c>
      <c r="AB53" s="2">
        <f>COUNTIFS('OB History'!$B:$B,$A$53,'OB History'!S:S, 1)</f>
        <v>0</v>
      </c>
      <c r="AC53" s="2">
        <f>COUNTIFS('OB History'!$B:$B,$A$53,'OB History'!T:T, 1)</f>
        <v>0</v>
      </c>
      <c r="AD53" s="2">
        <f>COUNTIFS('OB History'!$B:$B,$A$53,'OB History'!U:U, 1)</f>
        <v>0</v>
      </c>
      <c r="AE53" s="2">
        <f>COUNTIFS('OB History'!$B:$B,$A$53,'OB History'!V:V, 1)</f>
        <v>1</v>
      </c>
      <c r="AF53" s="2">
        <f>COUNTIFS('OB History'!$B:$B,$A$53,'OB History'!W:W, 1)</f>
        <v>0</v>
      </c>
      <c r="AG53" s="2">
        <f>COUNTIFS('OB History'!$B:$B,$A$53,'OB History'!X:X, 1)</f>
        <v>4</v>
      </c>
      <c r="AH53" s="2">
        <f>COUNTIFS('OB History'!$B:$B,$A$53,'OB History'!Y:Y, 1)</f>
        <v>0</v>
      </c>
      <c r="AI53" s="2">
        <f>COUNTIFS('OB History'!$B:$B,$A$53,'OB History'!Z:Z, 1)</f>
        <v>2</v>
      </c>
    </row>
    <row r="54" spans="1:35" x14ac:dyDescent="0.25">
      <c r="A54" s="2" t="s">
        <v>4</v>
      </c>
      <c r="B54" s="6" t="s">
        <v>60</v>
      </c>
      <c r="C54" s="2" t="s">
        <v>79</v>
      </c>
      <c r="D54" s="3">
        <v>2</v>
      </c>
      <c r="E54" s="3"/>
      <c r="F54" s="3"/>
      <c r="G54" s="3"/>
      <c r="H54" s="34">
        <f>SUMIFS('OB History'!C:C,'OB History'!B:B,A54)</f>
        <v>271</v>
      </c>
      <c r="I54" s="4">
        <f>AVERAGEIFS('OB History'!C:C,'OB History'!B:B,A54)</f>
        <v>22.583333333333332</v>
      </c>
      <c r="J54" s="35">
        <f t="array" ref="J54">MAX(IF('OB History'!B:B=A54, 'OB History'!C:C))</f>
        <v>46</v>
      </c>
      <c r="K54" s="34">
        <f>COUNTIFS('OB History'!B:B,A54,'OB History'!D:D, 1)</f>
        <v>7</v>
      </c>
      <c r="L54" s="2">
        <f>COUNTIFS('OB History'!B:B,A54,'OB History'!D:D, 0)</f>
        <v>5</v>
      </c>
      <c r="M54" s="88">
        <f>LOOKUP(2, 1/('OB History'!$B:$B=A54), 'OB History'!$AD:$AD)</f>
        <v>0.58333333333333337</v>
      </c>
      <c r="N54" s="34">
        <f>SUMIFS('OB History'!F:F,'OB History'!B:B,A54)</f>
        <v>24</v>
      </c>
      <c r="O54" s="2">
        <f>SUMIFS('OB History'!E:E,'OB History'!B:B,A54)-N54</f>
        <v>24</v>
      </c>
      <c r="P54" s="88">
        <f>LOOKUP(2, 1/('OB History'!$B:$B=A54), 'OB History'!$AB:$AB)</f>
        <v>0.48333333333333334</v>
      </c>
      <c r="Q54" s="34">
        <f>SUMIFS('OB History'!H:H,'OB History'!B:B,'Old Bow v2'!A54)</f>
        <v>99</v>
      </c>
      <c r="R54" s="2">
        <f>SUMIFS('OB History'!G:G,'OB History'!B:B,'Old Bow v2'!A54)-Q54</f>
        <v>99</v>
      </c>
      <c r="S54" s="88">
        <f>LOOKUP(2, 1/('OB History'!$B:$B=A54), 'OB History'!$AC:$AC)</f>
        <v>0.48249999999999998</v>
      </c>
      <c r="T54" s="2">
        <f>COUNTIFS('OB History'!$B:$B,$A$54,'OB History'!K:K, 1)</f>
        <v>1</v>
      </c>
      <c r="U54" s="2">
        <f>COUNTIFS('OB History'!$B:$B,$A$54,'OB History'!L:L, 1)</f>
        <v>6</v>
      </c>
      <c r="V54" s="2">
        <f>COUNTIFS('OB History'!$B:$B,$A$54,'OB History'!M:M, 1)</f>
        <v>3</v>
      </c>
      <c r="W54" s="2">
        <f>COUNTIFS('OB History'!$B:$B,$A$54,'OB History'!N:N, 1)</f>
        <v>1</v>
      </c>
      <c r="X54" s="2">
        <f>COUNTIFS('OB History'!$B:$B,$A$54,'OB History'!O:O, 1)</f>
        <v>3</v>
      </c>
      <c r="Y54" s="2">
        <f>COUNTIFS('OB History'!$B:$B,$A$54,'OB History'!P:P, 1)</f>
        <v>3</v>
      </c>
      <c r="Z54" s="2">
        <f>COUNTIFS('OB History'!$B:$B,$A$54,'OB History'!Q:Q, 1)</f>
        <v>1</v>
      </c>
      <c r="AA54" s="2">
        <f>COUNTIFS('OB History'!$B:$B,$A$54,'OB History'!R:R, 1)</f>
        <v>0</v>
      </c>
      <c r="AB54" s="2">
        <f>COUNTIFS('OB History'!$B:$B,$A$54,'OB History'!S:S, 1)</f>
        <v>0</v>
      </c>
      <c r="AC54" s="2">
        <f>COUNTIFS('OB History'!$B:$B,$A$54,'OB History'!T:T, 1)</f>
        <v>0</v>
      </c>
      <c r="AD54" s="2">
        <f>COUNTIFS('OB History'!$B:$B,$A$54,'OB History'!U:U, 1)</f>
        <v>0</v>
      </c>
      <c r="AE54" s="2">
        <f>COUNTIFS('OB History'!$B:$B,$A$54,'OB History'!V:V, 1)</f>
        <v>0</v>
      </c>
      <c r="AF54" s="2">
        <f>COUNTIFS('OB History'!$B:$B,$A$54,'OB History'!W:W, 1)</f>
        <v>0</v>
      </c>
      <c r="AG54" s="2">
        <f>COUNTIFS('OB History'!$B:$B,$A$54,'OB History'!X:X, 1)</f>
        <v>2</v>
      </c>
      <c r="AH54" s="2">
        <f>COUNTIFS('OB History'!$B:$B,$A$54,'OB History'!Y:Y, 1)</f>
        <v>2</v>
      </c>
      <c r="AI54" s="2">
        <f>COUNTIFS('OB History'!$B:$B,$A$54,'OB History'!Z:Z, 1)</f>
        <v>2</v>
      </c>
    </row>
    <row r="55" spans="1:35" x14ac:dyDescent="0.25">
      <c r="A55" s="2" t="s">
        <v>55</v>
      </c>
      <c r="B55" s="2" t="s">
        <v>79</v>
      </c>
      <c r="C55" s="2" t="s">
        <v>79</v>
      </c>
      <c r="D55" s="3"/>
      <c r="E55" s="3"/>
      <c r="F55" s="3"/>
      <c r="G55" s="3"/>
      <c r="H55" s="34">
        <f>SUMIFS('OB History'!C:C,'OB History'!B:B,A55)</f>
        <v>156</v>
      </c>
      <c r="I55" s="4">
        <f>AVERAGEIFS('OB History'!C:C,'OB History'!B:B,A55)</f>
        <v>10.4</v>
      </c>
      <c r="J55" s="35">
        <f t="array" ref="J55">MAX(IF('OB History'!B:B=A55, 'OB History'!C:C))</f>
        <v>20</v>
      </c>
      <c r="K55" s="34">
        <f>COUNTIFS('OB History'!B:B,A55,'OB History'!D:D, 1)</f>
        <v>9</v>
      </c>
      <c r="L55" s="2">
        <f>COUNTIFS('OB History'!B:B,A55,'OB History'!D:D, 0)</f>
        <v>6</v>
      </c>
      <c r="M55" s="88">
        <f>LOOKUP(2, 1/('OB History'!$B:$B=A55), 'OB History'!$AD:$AD)</f>
        <v>0.6</v>
      </c>
      <c r="N55" s="34">
        <f>SUMIFS('OB History'!F:F,'OB History'!B:B,A55)</f>
        <v>35</v>
      </c>
      <c r="O55" s="2">
        <f>SUMIFS('OB History'!E:E,'OB History'!B:B,A55)-N55</f>
        <v>27</v>
      </c>
      <c r="P55" s="88">
        <f>LOOKUP(2, 1/('OB History'!$B:$B=A55), 'OB History'!$AB:$AB)</f>
        <v>0.58333333333333337</v>
      </c>
      <c r="Q55" s="34">
        <f>SUMIFS('OB History'!H:H,'OB History'!B:B,'Old Bow v2'!A55)</f>
        <v>137</v>
      </c>
      <c r="R55" s="2">
        <f>SUMIFS('OB History'!G:G,'OB History'!B:B,'Old Bow v2'!A55)-Q55</f>
        <v>116</v>
      </c>
      <c r="S55" s="88">
        <f>LOOKUP(2, 1/('OB History'!$B:$B=A55), 'OB History'!$AC:$AC)</f>
        <v>0.54600000000000004</v>
      </c>
      <c r="T55" s="2">
        <f>COUNTIFS('OB History'!$B:$B,$A$55,'OB History'!K:K, 1)</f>
        <v>3</v>
      </c>
      <c r="U55" s="2">
        <f>COUNTIFS('OB History'!$B:$B,$A$55,'OB History'!L:L, 1)</f>
        <v>1</v>
      </c>
      <c r="V55" s="2">
        <f>COUNTIFS('OB History'!$B:$B,$A$55,'OB History'!M:M, 1)</f>
        <v>1</v>
      </c>
      <c r="W55" s="2">
        <f>COUNTIFS('OB History'!$B:$B,$A$55,'OB History'!N:N, 1)</f>
        <v>6</v>
      </c>
      <c r="X55" s="2">
        <f>COUNTIFS('OB History'!$B:$B,$A$55,'OB History'!O:O, 1)</f>
        <v>1</v>
      </c>
      <c r="Y55" s="2">
        <f>COUNTIFS('OB History'!$B:$B,$A$55,'OB History'!P:P, 1)</f>
        <v>1</v>
      </c>
      <c r="Z55" s="2">
        <f>COUNTIFS('OB History'!$B:$B,$A$55,'OB History'!Q:Q, 1)</f>
        <v>2</v>
      </c>
      <c r="AA55" s="2">
        <f>COUNTIFS('OB History'!$B:$B,$A$55,'OB History'!R:R, 1)</f>
        <v>1</v>
      </c>
      <c r="AB55" s="2">
        <f>COUNTIFS('OB History'!$B:$B,$A$55,'OB History'!S:S, 1)</f>
        <v>0</v>
      </c>
      <c r="AC55" s="2">
        <f>COUNTIFS('OB History'!$B:$B,$A$55,'OB History'!T:T, 1)</f>
        <v>0</v>
      </c>
      <c r="AD55" s="2">
        <f>COUNTIFS('OB History'!$B:$B,$A$55,'OB History'!U:U, 1)</f>
        <v>1</v>
      </c>
      <c r="AE55" s="2">
        <f>COUNTIFS('OB History'!$B:$B,$A$55,'OB History'!V:V, 1)</f>
        <v>0</v>
      </c>
      <c r="AF55" s="2">
        <f>COUNTIFS('OB History'!$B:$B,$A$55,'OB History'!W:W, 1)</f>
        <v>3</v>
      </c>
      <c r="AG55" s="2">
        <f>COUNTIFS('OB History'!$B:$B,$A$55,'OB History'!X:X, 1)</f>
        <v>8</v>
      </c>
      <c r="AH55" s="2">
        <f>COUNTIFS('OB History'!$B:$B,$A$55,'OB History'!Y:Y, 1)</f>
        <v>3</v>
      </c>
      <c r="AI55" s="2">
        <f>COUNTIFS('OB History'!$B:$B,$A$55,'OB History'!Z:Z, 1)</f>
        <v>4</v>
      </c>
    </row>
  </sheetData>
  <autoFilter ref="A1:AI55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904"/>
  <sheetViews>
    <sheetView workbookViewId="0">
      <pane ySplit="1" topLeftCell="A874" activePane="bottomLeft" state="frozen"/>
      <selection pane="bottomLeft" activeCell="A889" sqref="A889:Z90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167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18</v>
      </c>
      <c r="AB736" s="86">
        <f>AVERAGEIFS($I$2:I736, $B$2:B736, B736)</f>
        <v>0</v>
      </c>
      <c r="AC736" s="86">
        <f>AVERAGEIFS($J$2:J736, $B$2:B736, B736)</f>
        <v>0.31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167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14.5</v>
      </c>
      <c r="AB751" s="86">
        <f>AVERAGEIFS($I$2:I751, $B$2:B751, B751)</f>
        <v>0</v>
      </c>
      <c r="AC751" s="86">
        <f>AVERAGEIFS($J$2:J751, $B$2:B751, B751)</f>
        <v>0.28000000000000003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169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170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180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180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15.75</v>
      </c>
      <c r="AB870" s="86">
        <f>AVERAGEIFS($I$2:I870, $B$2:B870, B870)</f>
        <v>0.38750000000000001</v>
      </c>
      <c r="AC870" s="86">
        <f>AVERAGEIFS($J$2:J870, $B$2:B870, B870)</f>
        <v>0.42749999999999999</v>
      </c>
      <c r="AD870" s="86">
        <f>AVERAGEIFS($D$2:D870, $B$2:B870, B870)</f>
        <v>0.25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180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9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10.555555555555555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</sheetData>
  <autoFilter ref="A1:AD77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4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8" sqref="D28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84</v>
      </c>
      <c r="I3" s="4">
        <f>AVERAGEIFS('OB History S2'!C:C,'OB History S2'!B:B,A3)</f>
        <v>10.5</v>
      </c>
      <c r="J3" s="35">
        <f t="array" ref="J3">MAX(IF('OB History S2'!B:B=A3, 'OB History S2'!C:C))</f>
        <v>22</v>
      </c>
      <c r="K3" s="34">
        <f>COUNTIFS('OB History S2'!B:B,A3,'OB History S2'!D:D, 1)</f>
        <v>5</v>
      </c>
      <c r="L3" s="2">
        <f>COUNTIFS('OB History S2'!B:B,A3,'OB History S2'!D:D, 0)</f>
        <v>3</v>
      </c>
      <c r="M3" s="88">
        <f>LOOKUP(2, 1/('OB History S2'!$B:$B=A3), 'OB History S2'!$AD:$AD)</f>
        <v>0.625</v>
      </c>
      <c r="N3" s="34">
        <f>SUMIFS('OB History S2'!F:F,'OB History S2'!B:B,A3)</f>
        <v>17</v>
      </c>
      <c r="O3" s="2">
        <f>SUMIFS('OB History S2'!E:E,'OB History S2'!B:B,A3)-N3</f>
        <v>13</v>
      </c>
      <c r="P3" s="88">
        <f>LOOKUP(2, 1/('OB History S2'!$B:$B=A3), 'OB History S2'!$AB:$AB)</f>
        <v>0.5625</v>
      </c>
      <c r="Q3" s="34">
        <f>SUMIFS('OB History S2'!H:H,'OB History S2'!B:B,A3)</f>
        <v>67</v>
      </c>
      <c r="R3" s="2">
        <f>SUMIFS('OB History S2'!G:G,'OB History S2'!B:B,A3)-Q3</f>
        <v>57</v>
      </c>
      <c r="S3" s="88">
        <f>LOOKUP(2, 1/('OB History S2'!$B:$B=A3), 'OB History S2'!$AC:$AC)</f>
        <v>0.55249999999999999</v>
      </c>
      <c r="T3" s="2">
        <f>COUNTIFS('OB History S2'!$B:$B,$A$3,'OB History S2'!K:K, 1)</f>
        <v>1</v>
      </c>
      <c r="U3" s="2">
        <f>COUNTIFS('OB History S2'!$B:$B,$A$3,'OB History S2'!L:L, 1)</f>
        <v>2</v>
      </c>
      <c r="V3" s="2">
        <f>COUNTIFS('OB History S2'!$B:$B,$A$3,'OB History S2'!M:M, 1)</f>
        <v>0</v>
      </c>
      <c r="W3" s="2">
        <f>COUNTIFS('OB History S2'!$B:$B,$A$3,'OB History S2'!N:N, 1)</f>
        <v>2</v>
      </c>
      <c r="X3" s="2">
        <f>COUNTIFS('OB History S2'!$B:$B,$A$3,'OB History S2'!O:O, 1)</f>
        <v>0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84</v>
      </c>
      <c r="I4" s="4">
        <f>AVERAGEIFS('OB History S2'!C:C,'OB History S2'!B:B,A4)</f>
        <v>7.6363636363636367</v>
      </c>
      <c r="J4" s="35">
        <f t="array" ref="J4">MAX(IF('OB History S2'!B:B=A4, 'OB History S2'!C:C))</f>
        <v>17</v>
      </c>
      <c r="K4" s="34">
        <f>COUNTIFS('OB History S2'!B:B,A4,'OB History S2'!D:D, 1)</f>
        <v>5</v>
      </c>
      <c r="L4" s="2">
        <f>COUNTIFS('OB History S2'!B:B,A4,'OB History S2'!D:D, 0)</f>
        <v>6</v>
      </c>
      <c r="M4" s="88">
        <f>LOOKUP(2, 1/('OB History S2'!$B:$B=A4), 'OB History S2'!$AD:$AD)</f>
        <v>0.45454545454545453</v>
      </c>
      <c r="N4" s="34">
        <f>SUMIFS('OB History S2'!F:F,'OB History S2'!B:B,A4)</f>
        <v>18</v>
      </c>
      <c r="O4" s="2">
        <f>SUMIFS('OB History S2'!E:E,'OB History S2'!B:B,A4)-N4</f>
        <v>21</v>
      </c>
      <c r="P4" s="88">
        <f>LOOKUP(2, 1/('OB History S2'!$B:$B=A4), 'OB History S2'!$AB:$AB)</f>
        <v>0.45454545454545453</v>
      </c>
      <c r="Q4" s="34">
        <f>SUMIFS('OB History S2'!H:H,'OB History S2'!B:B,A4)</f>
        <v>82</v>
      </c>
      <c r="R4" s="2">
        <f>SUMIFS('OB History S2'!G:G,'OB History S2'!B:B,A4)-Q4</f>
        <v>84</v>
      </c>
      <c r="S4" s="88">
        <f>LOOKUP(2, 1/('OB History S2'!$B:$B=A4), 'OB History S2'!$AC:$AC)</f>
        <v>0.49181818181818182</v>
      </c>
      <c r="T4" s="2">
        <f>COUNTIFS('OB History S2'!$B:$B,$A$4,'OB History S2'!K:K, 1)</f>
        <v>1</v>
      </c>
      <c r="U4" s="2">
        <f>COUNTIFS('OB History S2'!$B:$B,$A$4,'OB History S2'!L:L, 1)</f>
        <v>0</v>
      </c>
      <c r="V4" s="2">
        <f>COUNTIFS('OB History S2'!$B:$B,$A$4,'OB History S2'!M:M, 1)</f>
        <v>1</v>
      </c>
      <c r="W4" s="2">
        <f>COUNTIFS('OB History S2'!$B:$B,$A$4,'OB History S2'!N:N, 1)</f>
        <v>2</v>
      </c>
      <c r="X4" s="2">
        <f>COUNTIFS('OB History S2'!$B:$B,$A$4,'OB History S2'!O:O, 1)</f>
        <v>0</v>
      </c>
      <c r="Y4" s="2">
        <f>COUNTIFS('OB History S2'!$B:$B,$A$4,'OB History S2'!P:P, 1)</f>
        <v>2</v>
      </c>
      <c r="Z4" s="2">
        <f>COUNTIFS('OB History S2'!$B:$B,$A$4,'OB History S2'!Q:Q, 1)</f>
        <v>1</v>
      </c>
      <c r="AA4" s="2">
        <f>COUNTIFS('OB History S2'!$B:$B,$A$4,'OB History S2'!R:R, 1)</f>
        <v>0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2</v>
      </c>
      <c r="AG4" s="2">
        <f>COUNTIFS('OB History S2'!$B:$B,$A$4,'OB History S2'!X:X, 1)</f>
        <v>1</v>
      </c>
      <c r="AH4" s="2">
        <f>COUNTIFS('OB History S2'!$B:$B,$A$4,'OB History S2'!Y:Y, 1)</f>
        <v>4</v>
      </c>
      <c r="AI4" s="2">
        <f>COUNTIFS('OB History S2'!$B:$B,$A$4,'OB History S2'!Z:Z, 1)</f>
        <v>2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282</v>
      </c>
      <c r="I5" s="4">
        <f>AVERAGEIFS('OB History S2'!C:C,'OB History S2'!B:B,A5)</f>
        <v>20.142857142857142</v>
      </c>
      <c r="J5" s="35">
        <f t="array" ref="J5">MAX(IF('OB History S2'!B:B=A5, 'OB History S2'!C:C))</f>
        <v>36</v>
      </c>
      <c r="K5" s="34">
        <f>COUNTIFS('OB History S2'!B:B,A5,'OB History S2'!D:D, 1)</f>
        <v>7</v>
      </c>
      <c r="L5" s="2">
        <f>COUNTIFS('OB History S2'!B:B,A5,'OB History S2'!D:D, 0)</f>
        <v>7</v>
      </c>
      <c r="M5" s="88">
        <f>LOOKUP(2, 1/('OB History S2'!$B:$B=A5), 'OB History S2'!$AD:$AD)</f>
        <v>0.5</v>
      </c>
      <c r="N5" s="34">
        <f>SUMIFS('OB History S2'!F:F,'OB History S2'!B:B,A5)</f>
        <v>25</v>
      </c>
      <c r="O5" s="2">
        <f>SUMIFS('OB History S2'!E:E,'OB History S2'!B:B,A5)-N5</f>
        <v>30</v>
      </c>
      <c r="P5" s="88">
        <f>LOOKUP(2, 1/('OB History S2'!$B:$B=A5), 'OB History S2'!$AB:$AB)</f>
        <v>0.43214285714285711</v>
      </c>
      <c r="Q5" s="34">
        <f>SUMIFS('OB History S2'!H:H,'OB History S2'!B:B,A5)</f>
        <v>107</v>
      </c>
      <c r="R5" s="2">
        <f>SUMIFS('OB History S2'!G:G,'OB History S2'!B:B,A5)-Q5</f>
        <v>124</v>
      </c>
      <c r="S5" s="88">
        <f>LOOKUP(2, 1/('OB History S2'!$B:$B=A5), 'OB History S2'!$AC:$AC)</f>
        <v>0.45785714285714274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5</v>
      </c>
      <c r="AI5" s="2">
        <f>COUNTIFS('OB History S2'!$B:$B,$A$5,'OB History S2'!Z:Z, 1)</f>
        <v>5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2"/>
      <c r="E7" s="2"/>
      <c r="F7" s="2"/>
      <c r="G7" s="2"/>
      <c r="H7" s="34">
        <f>SUMIFS('OB History S2'!C:C,'OB History S2'!B:B,A7)</f>
        <v>224</v>
      </c>
      <c r="I7" s="4">
        <f>AVERAGEIFS('OB History S2'!C:C,'OB History S2'!B:B,A7)</f>
        <v>13.176470588235293</v>
      </c>
      <c r="J7" s="35">
        <f t="array" ref="J7">MAX(IF('OB History S2'!B:B=A7, 'OB History S2'!C:C))</f>
        <v>32</v>
      </c>
      <c r="K7" s="34">
        <f>COUNTIFS('OB History S2'!B:B,A7,'OB History S2'!D:D, 1)</f>
        <v>8</v>
      </c>
      <c r="L7" s="2">
        <f>COUNTIFS('OB History S2'!B:B,A7,'OB History S2'!D:D, 0)</f>
        <v>9</v>
      </c>
      <c r="M7" s="88">
        <f>LOOKUP(2, 1/('OB History S2'!$B:$B=A7), 'OB History S2'!$AD:$AD)</f>
        <v>0.47058823529411764</v>
      </c>
      <c r="N7" s="34">
        <f>SUMIFS('OB History S2'!F:F,'OB History S2'!B:B,A7)</f>
        <v>30</v>
      </c>
      <c r="O7" s="2">
        <f>SUMIFS('OB History S2'!E:E,'OB History S2'!B:B,A7)-N7</f>
        <v>37</v>
      </c>
      <c r="P7" s="88">
        <f>LOOKUP(2, 1/('OB History S2'!$B:$B=A7), 'OB History S2'!$AB:$AB)</f>
        <v>0.42941176470588227</v>
      </c>
      <c r="Q7" s="34">
        <f>SUMIFS('OB History S2'!H:H,'OB History S2'!B:B,A7)</f>
        <v>124</v>
      </c>
      <c r="R7" s="2">
        <f>SUMIFS('OB History S2'!G:G,'OB History S2'!B:B,A7)-Q7</f>
        <v>150</v>
      </c>
      <c r="S7" s="88">
        <f>LOOKUP(2, 1/('OB History S2'!$B:$B=A7), 'OB History S2'!$AC:$AC)</f>
        <v>0.43705882352941172</v>
      </c>
      <c r="T7" s="2">
        <f>COUNTIFS('OB History S2'!$B:$B,$A$7,'OB History S2'!K:K, 1)</f>
        <v>3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3</v>
      </c>
      <c r="X7" s="2">
        <f>COUNTIFS('OB History S2'!$B:$B,$A$7,'OB History S2'!O:O, 1)</f>
        <v>2</v>
      </c>
      <c r="Y7" s="2">
        <f>COUNTIFS('OB History S2'!$B:$B,$A$7,'OB History S2'!P:P, 1)</f>
        <v>3</v>
      </c>
      <c r="Z7" s="2">
        <f>COUNTIFS('OB History S2'!$B:$B,$A$7,'OB History S2'!Q:Q, 1)</f>
        <v>0</v>
      </c>
      <c r="AA7" s="2">
        <f>COUNTIFS('OB History S2'!$B:$B,$A$7,'OB History S2'!R:R, 1)</f>
        <v>1</v>
      </c>
      <c r="AB7" s="2">
        <f>COUNTIFS('OB History S2'!$B:$B,$A$7,'OB History S2'!S:S, 1)</f>
        <v>0</v>
      </c>
      <c r="AC7" s="2">
        <f>COUNTIFS('OB History S2'!$B:$B,$A$7,'OB History S2'!T:T, 1)</f>
        <v>1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2</v>
      </c>
      <c r="AG7" s="2">
        <f>COUNTIFS('OB History S2'!$B:$B,$A$7,'OB History S2'!X:X, 1)</f>
        <v>5</v>
      </c>
      <c r="AH7" s="2">
        <f>COUNTIFS('OB History S2'!$B:$B,$A$7,'OB History S2'!Y:Y, 1)</f>
        <v>3</v>
      </c>
      <c r="AI7" s="2">
        <f>COUNTIFS('OB History S2'!$B:$B,$A$7,'OB History S2'!Z:Z, 1)</f>
        <v>5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77</v>
      </c>
      <c r="I8" s="4">
        <f>AVERAGEIFS('OB History S2'!C:C,'OB History S2'!B:B,A8)</f>
        <v>12.833333333333334</v>
      </c>
      <c r="J8" s="35">
        <f t="array" ref="J8">MAX(IF('OB History S2'!B:B=A8, 'OB History S2'!C:C))</f>
        <v>24</v>
      </c>
      <c r="K8" s="34">
        <f>COUNTIFS('OB History S2'!B:B,A8,'OB History S2'!D:D, 1)</f>
        <v>3</v>
      </c>
      <c r="L8" s="2">
        <f>COUNTIFS('OB History S2'!B:B,A8,'OB History S2'!D:D, 0)</f>
        <v>3</v>
      </c>
      <c r="M8" s="88">
        <f>LOOKUP(2, 1/('OB History S2'!$B:$B=A8), 'OB History S2'!$AD:$AD)</f>
        <v>0.5</v>
      </c>
      <c r="N8" s="34">
        <f>SUMIFS('OB History S2'!F:F,'OB History S2'!B:B,A8)</f>
        <v>14</v>
      </c>
      <c r="O8" s="2">
        <f>SUMIFS('OB History S2'!E:E,'OB History S2'!B:B,A8)-N8</f>
        <v>11</v>
      </c>
      <c r="P8" s="88">
        <f>LOOKUP(2, 1/('OB History S2'!$B:$B=A8), 'OB History S2'!$AB:$AB)</f>
        <v>0.59166666666666667</v>
      </c>
      <c r="Q8" s="34">
        <f>SUMIFS('OB History S2'!H:H,'OB History S2'!B:B,A8)</f>
        <v>53</v>
      </c>
      <c r="R8" s="2">
        <f>SUMIFS('OB History S2'!G:G,'OB History S2'!B:B,A8)-Q8</f>
        <v>49</v>
      </c>
      <c r="S8" s="88">
        <f>LOOKUP(2, 1/('OB History S2'!$B:$B=A8), 'OB History S2'!$AC:$AC)</f>
        <v>0.52500000000000002</v>
      </c>
      <c r="T8" s="2">
        <f>COUNTIFS('OB History S2'!$B:$B,$A$8,'OB History S2'!K:K, 1)</f>
        <v>2</v>
      </c>
      <c r="U8" s="2">
        <f>COUNTIFS('OB History S2'!$B:$B,$A$8,'OB History S2'!L:L, 1)</f>
        <v>1</v>
      </c>
      <c r="V8" s="2">
        <f>COUNTIFS('OB History S2'!$B:$B,$A$8,'OB History S2'!M:M, 1)</f>
        <v>0</v>
      </c>
      <c r="W8" s="2">
        <f>COUNTIFS('OB History S2'!$B:$B,$A$8,'OB History S2'!N:N, 1)</f>
        <v>1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3</v>
      </c>
      <c r="AI8" s="2">
        <f>COUNTIFS('OB History S2'!$B:$B,$A$8,'OB History S2'!Z:Z, 1)</f>
        <v>3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41</v>
      </c>
      <c r="I9" s="4">
        <f>AVERAGEIFS('OB History S2'!C:C,'OB History S2'!B:B,A9)</f>
        <v>13.666666666666666</v>
      </c>
      <c r="J9" s="35">
        <f t="array" ref="J9">MAX(IF('OB History S2'!B:B=A9, 'OB History S2'!C:C))</f>
        <v>29</v>
      </c>
      <c r="K9" s="34">
        <f>COUNTIFS('OB History S2'!B:B,A9,'OB History S2'!D:D, 1)</f>
        <v>0</v>
      </c>
      <c r="L9" s="2">
        <f>COUNTIFS('OB History S2'!B:B,A9,'OB History S2'!D:D, 0)</f>
        <v>3</v>
      </c>
      <c r="M9" s="88">
        <f>LOOKUP(2, 1/('OB History S2'!$B:$B=A9), 'OB History S2'!$AD:$AD)</f>
        <v>0</v>
      </c>
      <c r="N9" s="34">
        <f>SUMIFS('OB History S2'!F:F,'OB History S2'!B:B,A9)</f>
        <v>2</v>
      </c>
      <c r="O9" s="2">
        <f>SUMIFS('OB History S2'!E:E,'OB History S2'!B:B,A9)-N9</f>
        <v>9</v>
      </c>
      <c r="P9" s="88">
        <f>LOOKUP(2, 1/('OB History S2'!$B:$B=A9), 'OB History S2'!$AB:$AB)</f>
        <v>0.13333333333333333</v>
      </c>
      <c r="Q9" s="34">
        <f>SUMIFS('OB History S2'!H:H,'OB History S2'!B:B,A9)</f>
        <v>16</v>
      </c>
      <c r="R9" s="2">
        <f>SUMIFS('OB History S2'!G:G,'OB History S2'!B:B,A9)-Q9</f>
        <v>29</v>
      </c>
      <c r="S9" s="88">
        <f>LOOKUP(2, 1/('OB History S2'!$B:$B=A9), 'OB History S2'!$AC:$AC)</f>
        <v>0.32333333333333331</v>
      </c>
      <c r="T9" s="2">
        <f>COUNTIFS('OB History S2'!$B:$B,$A$9,'OB History S2'!K:K, 1)</f>
        <v>1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1</v>
      </c>
      <c r="AG9" s="2">
        <f>COUNTIFS('OB History S2'!$B:$B,$A$9,'OB History S2'!X:X, 1)</f>
        <v>0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180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42</v>
      </c>
      <c r="I10" s="4">
        <f>AVERAGEIFS('OB History S2'!C:C,'OB History S2'!B:B,A10)</f>
        <v>14</v>
      </c>
      <c r="J10" s="35">
        <f t="array" ref="J10">MAX(IF('OB History S2'!B:B=A10, 'OB History S2'!C:C))</f>
        <v>19</v>
      </c>
      <c r="K10" s="34">
        <f>COUNTIFS('OB History S2'!B:B,A10,'OB History S2'!D:D, 1)</f>
        <v>2</v>
      </c>
      <c r="L10" s="2">
        <f>COUNTIFS('OB History S2'!B:B,A10,'OB History S2'!D:D, 0)</f>
        <v>1</v>
      </c>
      <c r="M10" s="88">
        <f>LOOKUP(2, 1/('OB History S2'!$B:$B=A10), 'OB History S2'!$AD:$AD)</f>
        <v>0.66666666666666663</v>
      </c>
      <c r="N10" s="34">
        <f>SUMIFS('OB History S2'!F:F,'OB History S2'!B:B,A10)</f>
        <v>7</v>
      </c>
      <c r="O10" s="2">
        <f>SUMIFS('OB History S2'!E:E,'OB History S2'!B:B,A10)-N10</f>
        <v>3</v>
      </c>
      <c r="P10" s="88">
        <f>LOOKUP(2, 1/('OB History S2'!$B:$B=A10), 'OB History S2'!$AB:$AB)</f>
        <v>0.75</v>
      </c>
      <c r="Q10" s="34">
        <f>SUMIFS('OB History S2'!H:H,'OB History S2'!B:B,A10)</f>
        <v>23</v>
      </c>
      <c r="R10" s="2">
        <f>SUMIFS('OB History S2'!G:G,'OB History S2'!B:B,A10)-Q10</f>
        <v>20</v>
      </c>
      <c r="S10" s="88">
        <f>LOOKUP(2, 1/('OB History S2'!$B:$B=A10), 'OB History S2'!$AC:$AC)</f>
        <v>0.54666666666666663</v>
      </c>
      <c r="T10" s="2">
        <f>COUNTIFS('OB History S2'!$B:$B,$A$10,'OB History S2'!K:K, 1)</f>
        <v>0</v>
      </c>
      <c r="U10" s="2">
        <f>COUNTIFS('OB History S2'!$B:$B,$A$10,'OB History S2'!L:L, 1)</f>
        <v>1</v>
      </c>
      <c r="V10" s="2">
        <f>COUNTIFS('OB History S2'!$B:$B,$A$10,'OB History S2'!M:M, 1)</f>
        <v>0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2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0</v>
      </c>
      <c r="AG10" s="2">
        <f>COUNTIFS('OB History S2'!$B:$B,$A$10,'OB History S2'!X:X, 1)</f>
        <v>1</v>
      </c>
      <c r="AH10" s="2">
        <f>COUNTIFS('OB History S2'!$B:$B,$A$10,'OB History S2'!Y:Y, 1)</f>
        <v>0</v>
      </c>
      <c r="AI10" s="2">
        <f>COUNTIFS('OB History S2'!$B:$B,$A$10,'OB History S2'!Z:Z, 1)</f>
        <v>2</v>
      </c>
    </row>
    <row r="11" spans="1:35" x14ac:dyDescent="0.25">
      <c r="A11" s="1" t="s">
        <v>25</v>
      </c>
      <c r="B11" s="6" t="s">
        <v>79</v>
      </c>
      <c r="C11" s="2" t="s">
        <v>79</v>
      </c>
      <c r="D11" s="2">
        <v>1</v>
      </c>
      <c r="E11" s="2"/>
      <c r="F11" s="2"/>
      <c r="G11" s="2"/>
      <c r="H11" s="34">
        <f>SUMIFS('OB History S2'!C:C,'OB History S2'!B:B,A11)</f>
        <v>284</v>
      </c>
      <c r="I11" s="4">
        <f>AVERAGEIFS('OB History S2'!C:C,'OB History S2'!B:B,A11)</f>
        <v>18.933333333333334</v>
      </c>
      <c r="J11" s="35">
        <f t="array" ref="J11">MAX(IF('OB History S2'!B:B=A11, 'OB History S2'!C:C))</f>
        <v>35</v>
      </c>
      <c r="K11" s="34">
        <f>COUNTIFS('OB History S2'!B:B,A11,'OB History S2'!D:D, 1)</f>
        <v>9</v>
      </c>
      <c r="L11" s="2">
        <f>COUNTIFS('OB History S2'!B:B,A11,'OB History S2'!D:D, 0)</f>
        <v>6</v>
      </c>
      <c r="M11" s="88">
        <f>LOOKUP(2, 1/('OB History S2'!$B:$B=A11), 'OB History S2'!$AD:$AD)</f>
        <v>0.6</v>
      </c>
      <c r="N11" s="34">
        <f>SUMIFS('OB History S2'!F:F,'OB History S2'!B:B,A11)</f>
        <v>33</v>
      </c>
      <c r="O11" s="2">
        <f>SUMIFS('OB History S2'!E:E,'OB History S2'!B:B,A11)-N11</f>
        <v>30</v>
      </c>
      <c r="P11" s="88">
        <f>LOOKUP(2, 1/('OB History S2'!$B:$B=A11), 'OB History S2'!$AB:$AB)</f>
        <v>0.51333333333333331</v>
      </c>
      <c r="Q11" s="34">
        <f>SUMIFS('OB History S2'!H:H,'OB History S2'!B:B,A11)</f>
        <v>128</v>
      </c>
      <c r="R11" s="2">
        <f>SUMIFS('OB History S2'!G:G,'OB History S2'!B:B,A11)-Q11</f>
        <v>133</v>
      </c>
      <c r="S11" s="88">
        <f>LOOKUP(2, 1/('OB History S2'!$B:$B=A11), 'OB History S2'!$AC:$AC)</f>
        <v>0.49266666666666664</v>
      </c>
      <c r="T11" s="2">
        <f>COUNTIFS('OB History S2'!$B:$B,$A$11,'OB History S2'!K:K, 1)</f>
        <v>2</v>
      </c>
      <c r="U11" s="2">
        <f>COUNTIFS('OB History S2'!$B:$B,$A$11,'OB History S2'!L:L, 1)</f>
        <v>2</v>
      </c>
      <c r="V11" s="2">
        <f>COUNTIFS('OB History S2'!$B:$B,$A$11,'OB History S2'!M:M, 1)</f>
        <v>1</v>
      </c>
      <c r="W11" s="2">
        <f>COUNTIFS('OB History S2'!$B:$B,$A$11,'OB History S2'!N:N, 1)</f>
        <v>2</v>
      </c>
      <c r="X11" s="2">
        <f>COUNTIFS('OB History S2'!$B:$B,$A$11,'OB History S2'!O:O, 1)</f>
        <v>1</v>
      </c>
      <c r="Y11" s="2">
        <f>COUNTIFS('OB History S2'!$B:$B,$A$11,'OB History S2'!P:P, 1)</f>
        <v>2</v>
      </c>
      <c r="Z11" s="2">
        <f>COUNTIFS('OB History S2'!$B:$B,$A$11,'OB History S2'!Q:Q, 1)</f>
        <v>3</v>
      </c>
      <c r="AA11" s="2">
        <f>COUNTIFS('OB History S2'!$B:$B,$A$11,'OB History S2'!R:R, 1)</f>
        <v>2</v>
      </c>
      <c r="AB11" s="2">
        <f>COUNTIFS('OB History S2'!$B:$B,$A$11,'OB History S2'!S:S, 1)</f>
        <v>2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1</v>
      </c>
      <c r="AF11" s="2">
        <f>COUNTIFS('OB History S2'!$B:$B,$A$11,'OB History S2'!W:W, 1)</f>
        <v>2</v>
      </c>
      <c r="AG11" s="2">
        <f>COUNTIFS('OB History S2'!$B:$B,$A$11,'OB History S2'!X:X, 1)</f>
        <v>4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146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92</v>
      </c>
      <c r="I12" s="4">
        <f>AVERAGEIFS('OB History S2'!C:C,'OB History S2'!B:B,A12)</f>
        <v>13.142857142857142</v>
      </c>
      <c r="J12" s="35">
        <f t="array" ref="J12">MAX(IF('OB History S2'!B:B=A12, 'OB History S2'!C:C))</f>
        <v>27</v>
      </c>
      <c r="K12" s="34">
        <f>COUNTIFS('OB History S2'!B:B,A12,'OB History S2'!D:D, 1)</f>
        <v>1</v>
      </c>
      <c r="L12" s="2">
        <f>COUNTIFS('OB History S2'!B:B,A12,'OB History S2'!D:D, 0)</f>
        <v>6</v>
      </c>
      <c r="M12" s="88">
        <f>LOOKUP(2, 1/('OB History S2'!$B:$B=A12), 'OB History S2'!$AD:$AD)</f>
        <v>0.14285714285714285</v>
      </c>
      <c r="N12" s="34">
        <f>SUMIFS('OB History S2'!F:F,'OB History S2'!B:B,A12)</f>
        <v>8</v>
      </c>
      <c r="O12" s="2">
        <f>SUMIFS('OB History S2'!E:E,'OB History S2'!B:B,A12)-N12</f>
        <v>18</v>
      </c>
      <c r="P12" s="88">
        <f>LOOKUP(2, 1/('OB History S2'!$B:$B=A12), 'OB History S2'!$AB:$AB)</f>
        <v>0.29285714285714282</v>
      </c>
      <c r="Q12" s="34">
        <f>SUMIFS('OB History S2'!H:H,'OB History S2'!B:B,A12)</f>
        <v>49</v>
      </c>
      <c r="R12" s="2">
        <f>SUMIFS('OB History S2'!G:G,'OB History S2'!B:B,A12)-Q12</f>
        <v>66</v>
      </c>
      <c r="S12" s="88">
        <f>LOOKUP(2, 1/('OB History S2'!$B:$B=A12), 'OB History S2'!$AC:$AC)</f>
        <v>0.42142857142857143</v>
      </c>
      <c r="T12" s="2">
        <f>COUNTIFS('OB History S2'!$B:$B,$A$12,'OB History S2'!K:K, 1)</f>
        <v>0</v>
      </c>
      <c r="U12" s="2">
        <f>COUNTIFS('OB History S2'!$B:$B,$A$12,'OB History S2'!L:L, 1)</f>
        <v>1</v>
      </c>
      <c r="V12" s="2">
        <f>COUNTIFS('OB History S2'!$B:$B,$A$12,'OB History S2'!M:M, 1)</f>
        <v>1</v>
      </c>
      <c r="W12" s="2">
        <f>COUNTIFS('OB History S2'!$B:$B,$A$12,'OB History S2'!N:N, 1)</f>
        <v>2</v>
      </c>
      <c r="X12" s="2">
        <f>COUNTIFS('OB History S2'!$B:$B,$A$12,'OB History S2'!O:O, 1)</f>
        <v>0</v>
      </c>
      <c r="Y12" s="2">
        <f>COUNTIFS('OB History S2'!$B:$B,$A$12,'OB History S2'!P:P, 1)</f>
        <v>0</v>
      </c>
      <c r="Z12" s="2">
        <f>COUNTIFS('OB History S2'!$B:$B,$A$12,'OB History S2'!Q:Q, 1)</f>
        <v>1</v>
      </c>
      <c r="AA12" s="2">
        <f>COUNTIFS('OB History S2'!$B:$B,$A$12,'OB History S2'!R:R, 1)</f>
        <v>0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0</v>
      </c>
      <c r="AH12" s="2">
        <f>COUNTIFS('OB History S2'!$B:$B,$A$12,'OB History S2'!Y:Y, 1)</f>
        <v>1</v>
      </c>
      <c r="AI12" s="2">
        <f>COUNTIFS('OB History S2'!$B:$B,$A$12,'OB History S2'!Z:Z, 1)</f>
        <v>0</v>
      </c>
    </row>
    <row r="13" spans="1:35" x14ac:dyDescent="0.25">
      <c r="A13" s="1" t="s">
        <v>27</v>
      </c>
      <c r="B13" s="6" t="s">
        <v>76</v>
      </c>
      <c r="C13" s="6" t="s">
        <v>79</v>
      </c>
      <c r="D13" s="6">
        <v>2</v>
      </c>
      <c r="E13" s="6"/>
      <c r="F13" s="6"/>
      <c r="G13" s="6"/>
      <c r="H13" s="34">
        <f>SUMIFS('OB History S2'!C:C,'OB History S2'!B:B,A13)</f>
        <v>158</v>
      </c>
      <c r="I13" s="4">
        <f>AVERAGEIFS('OB History S2'!C:C,'OB History S2'!B:B,A13)</f>
        <v>17.555555555555557</v>
      </c>
      <c r="J13" s="35">
        <f t="array" ref="J13">MAX(IF('OB History S2'!B:B=A13, 'OB History S2'!C:C))</f>
        <v>44</v>
      </c>
      <c r="K13" s="34">
        <f>COUNTIFS('OB History S2'!B:B,A13,'OB History S2'!D:D, 1)</f>
        <v>7</v>
      </c>
      <c r="L13" s="2">
        <f>COUNTIFS('OB History S2'!B:B,A13,'OB History S2'!D:D, 0)</f>
        <v>2</v>
      </c>
      <c r="M13" s="88">
        <f>LOOKUP(2, 1/('OB History S2'!$B:$B=A13), 'OB History S2'!$AD:$AD)</f>
        <v>0.77777777777777779</v>
      </c>
      <c r="N13" s="34">
        <f>SUMIFS('OB History S2'!F:F,'OB History S2'!B:B,A13)</f>
        <v>24</v>
      </c>
      <c r="O13" s="2">
        <f>SUMIFS('OB History S2'!E:E,'OB History S2'!B:B,A13)-N13</f>
        <v>13</v>
      </c>
      <c r="P13" s="88">
        <f>LOOKUP(2, 1/('OB History S2'!$B:$B=A13), 'OB History S2'!$AB:$AB)</f>
        <v>0.66666666666666663</v>
      </c>
      <c r="Q13" s="34">
        <f>SUMIFS('OB History S2'!H:H,'OB History S2'!B:B,A13)</f>
        <v>85</v>
      </c>
      <c r="R13" s="2">
        <f>SUMIFS('OB History S2'!G:G,'OB History S2'!B:B,A13)-Q13</f>
        <v>60</v>
      </c>
      <c r="S13" s="88">
        <f>LOOKUP(2, 1/('OB History S2'!$B:$B=A13), 'OB History S2'!$AC:$AC)</f>
        <v>0.59666666666666679</v>
      </c>
      <c r="T13" s="2">
        <f>COUNTIFS('OB History S2'!$B:$B,$A$13,'OB History S2'!K:K, 1)</f>
        <v>0</v>
      </c>
      <c r="U13" s="2">
        <f>COUNTIFS('OB History S2'!$B:$B,$A$13,'OB History S2'!L:L, 1)</f>
        <v>2</v>
      </c>
      <c r="V13" s="2">
        <f>COUNTIFS('OB History S2'!$B:$B,$A$13,'OB History S2'!M:M, 1)</f>
        <v>0</v>
      </c>
      <c r="W13" s="2">
        <f>COUNTIFS('OB History S2'!$B:$B,$A$13,'OB History S2'!N:N, 1)</f>
        <v>2</v>
      </c>
      <c r="X13" s="2">
        <f>COUNTIFS('OB History S2'!$B:$B,$A$13,'OB History S2'!O:O, 1)</f>
        <v>0</v>
      </c>
      <c r="Y13" s="2">
        <f>COUNTIFS('OB History S2'!$B:$B,$A$13,'OB History S2'!P:P, 1)</f>
        <v>2</v>
      </c>
      <c r="Z13" s="2">
        <f>COUNTIFS('OB History S2'!$B:$B,$A$13,'OB History S2'!Q:Q, 1)</f>
        <v>3</v>
      </c>
      <c r="AA13" s="2">
        <f>COUNTIFS('OB History S2'!$B:$B,$A$13,'OB History S2'!R:R, 1)</f>
        <v>3</v>
      </c>
      <c r="AB13" s="2">
        <f>COUNTIFS('OB History S2'!$B:$B,$A$13,'OB History S2'!S:S, 1)</f>
        <v>0</v>
      </c>
      <c r="AC13" s="2">
        <f>COUNTIFS('OB History S2'!$B:$B,$A$13,'OB History S2'!T:T, 1)</f>
        <v>1</v>
      </c>
      <c r="AD13" s="2">
        <f>COUNTIFS('OB History S2'!$B:$B,$A$13,'OB History S2'!U:U, 1)</f>
        <v>1</v>
      </c>
      <c r="AE13" s="2">
        <f>COUNTIFS('OB History S2'!$B:$B,$A$13,'OB History S2'!V:V, 1)</f>
        <v>0</v>
      </c>
      <c r="AF13" s="2">
        <f>COUNTIFS('OB History S2'!$B:$B,$A$13,'OB History S2'!W:W, 1)</f>
        <v>2</v>
      </c>
      <c r="AG13" s="2">
        <f>COUNTIFS('OB History S2'!$B:$B,$A$13,'OB History S2'!X:X, 1)</f>
        <v>3</v>
      </c>
      <c r="AH13" s="2">
        <f>COUNTIFS('OB History S2'!$B:$B,$A$13,'OB History S2'!Y:Y, 1)</f>
        <v>3</v>
      </c>
      <c r="AI13" s="2">
        <f>COUNTIFS('OB History S2'!$B:$B,$A$13,'OB History S2'!Z:Z, 1)</f>
        <v>2</v>
      </c>
    </row>
    <row r="14" spans="1:35" x14ac:dyDescent="0.25">
      <c r="A14" s="1" t="s">
        <v>26</v>
      </c>
      <c r="B14" s="6" t="s">
        <v>124</v>
      </c>
      <c r="C14" s="6" t="s">
        <v>79</v>
      </c>
      <c r="D14" s="6"/>
      <c r="E14" s="6"/>
      <c r="F14" s="6"/>
      <c r="G14" s="6"/>
      <c r="H14" s="34">
        <f>SUMIFS('OB History S2'!C:C,'OB History S2'!B:B,A14)</f>
        <v>186</v>
      </c>
      <c r="I14" s="4">
        <f>AVERAGEIFS('OB History S2'!C:C,'OB History S2'!B:B,A14)</f>
        <v>16.90909090909091</v>
      </c>
      <c r="J14" s="35">
        <f t="array" ref="J14">MAX(IF('OB History S2'!B:B=A14, 'OB History S2'!C:C))</f>
        <v>41</v>
      </c>
      <c r="K14" s="34">
        <f>COUNTIFS('OB History S2'!B:B,A14,'OB History S2'!D:D, 1)</f>
        <v>5</v>
      </c>
      <c r="L14" s="2">
        <f>COUNTIFS('OB History S2'!B:B,A14,'OB History S2'!D:D, 0)</f>
        <v>6</v>
      </c>
      <c r="M14" s="88">
        <f>LOOKUP(2, 1/('OB History S2'!$B:$B=A14), 'OB History S2'!$AD:$AD)</f>
        <v>0.45454545454545453</v>
      </c>
      <c r="N14" s="34">
        <f>SUMIFS('OB History S2'!F:F,'OB History S2'!B:B,A14)</f>
        <v>22</v>
      </c>
      <c r="O14" s="2">
        <f>SUMIFS('OB History S2'!E:E,'OB History S2'!B:B,A14)-N14</f>
        <v>22</v>
      </c>
      <c r="P14" s="88">
        <f>LOOKUP(2, 1/('OB History S2'!$B:$B=A14), 'OB History S2'!$AB:$AB)</f>
        <v>0.51363636363636367</v>
      </c>
      <c r="Q14" s="34">
        <f>SUMIFS('OB History S2'!H:H,'OB History S2'!B:B,A14)</f>
        <v>90</v>
      </c>
      <c r="R14" s="2">
        <f>SUMIFS('OB History S2'!G:G,'OB History S2'!B:B,A14)-Q14</f>
        <v>95</v>
      </c>
      <c r="S14" s="88">
        <f>LOOKUP(2, 1/('OB History S2'!$B:$B=A14), 'OB History S2'!$AC:$AC)</f>
        <v>0.48181818181818187</v>
      </c>
      <c r="T14" s="2">
        <f>COUNTIFS('OB History S2'!$B:$B,$A$14,'OB History S2'!K:K, 1)</f>
        <v>1</v>
      </c>
      <c r="U14" s="2">
        <f>COUNTIFS('OB History S2'!$B:$B,$A$14,'OB History S2'!L:L, 1)</f>
        <v>1</v>
      </c>
      <c r="V14" s="2">
        <f>COUNTIFS('OB History S2'!$B:$B,$A$14,'OB History S2'!M:M, 1)</f>
        <v>0</v>
      </c>
      <c r="W14" s="2">
        <f>COUNTIFS('OB History S2'!$B:$B,$A$14,'OB History S2'!N:N, 1)</f>
        <v>1</v>
      </c>
      <c r="X14" s="2">
        <f>COUNTIFS('OB History S2'!$B:$B,$A$14,'OB History S2'!O:O, 1)</f>
        <v>0</v>
      </c>
      <c r="Y14" s="2">
        <f>COUNTIFS('OB History S2'!$B:$B,$A$14,'OB History S2'!P:P, 1)</f>
        <v>3</v>
      </c>
      <c r="Z14" s="2">
        <f>COUNTIFS('OB History S2'!$B:$B,$A$14,'OB History S2'!Q:Q, 1)</f>
        <v>1</v>
      </c>
      <c r="AA14" s="2">
        <f>COUNTIFS('OB History S2'!$B:$B,$A$14,'OB History S2'!R:R, 1)</f>
        <v>2</v>
      </c>
      <c r="AB14" s="2">
        <f>COUNTIFS('OB History S2'!$B:$B,$A$14,'OB History S2'!S:S, 1)</f>
        <v>1</v>
      </c>
      <c r="AC14" s="2">
        <f>COUNTIFS('OB History S2'!$B:$B,$A$14,'OB History S2'!T:T, 1)</f>
        <v>1</v>
      </c>
      <c r="AD14" s="2">
        <f>COUNTIFS('OB History S2'!$B:$B,$A$14,'OB History S2'!U:U, 1)</f>
        <v>0</v>
      </c>
      <c r="AE14" s="2">
        <f>COUNTIFS('OB History S2'!$B:$B,$A$14,'OB History S2'!V:V, 1)</f>
        <v>1</v>
      </c>
      <c r="AF14" s="2">
        <f>COUNTIFS('OB History S2'!$B:$B,$A$14,'OB History S2'!W:W, 1)</f>
        <v>1</v>
      </c>
      <c r="AG14" s="2">
        <f>COUNTIFS('OB History S2'!$B:$B,$A$14,'OB History S2'!X:X, 1)</f>
        <v>2</v>
      </c>
      <c r="AH14" s="2">
        <f>COUNTIFS('OB History S2'!$B:$B,$A$14,'OB History S2'!Y:Y, 1)</f>
        <v>4</v>
      </c>
      <c r="AI14" s="2">
        <f>COUNTIFS('OB History S2'!$B:$B,$A$14,'OB History S2'!Z:Z, 1)</f>
        <v>3</v>
      </c>
    </row>
    <row r="15" spans="1:35" x14ac:dyDescent="0.25">
      <c r="A15" s="1" t="s">
        <v>74</v>
      </c>
      <c r="B15" s="6" t="s">
        <v>79</v>
      </c>
      <c r="C15" s="6" t="s">
        <v>79</v>
      </c>
      <c r="D15" s="6"/>
      <c r="E15" s="6"/>
      <c r="F15" s="6"/>
      <c r="G15" s="6"/>
      <c r="H15" s="34">
        <f>SUMIFS('OB History S2'!C:C,'OB History S2'!B:B,A15)</f>
        <v>10</v>
      </c>
      <c r="I15" s="4">
        <f>AVERAGEIFS('OB History S2'!C:C,'OB History S2'!B:B,A15)</f>
        <v>10</v>
      </c>
      <c r="J15" s="35">
        <f t="array" ref="J15">MAX(IF('OB History S2'!B:B=A15, 'OB History S2'!C:C))</f>
        <v>10</v>
      </c>
      <c r="K15" s="34">
        <f>COUNTIFS('OB History S2'!B:B,A15,'OB History S2'!D:D, 1)</f>
        <v>0</v>
      </c>
      <c r="L15" s="2">
        <f>COUNTIFS('OB History S2'!B:B,A15,'OB History S2'!D:D, 0)</f>
        <v>1</v>
      </c>
      <c r="M15" s="88">
        <f>LOOKUP(2, 1/('OB History S2'!$B:$B=A15), 'OB History S2'!$AD:$AD)</f>
        <v>0</v>
      </c>
      <c r="N15" s="34">
        <f>SUMIFS('OB History S2'!F:F,'OB History S2'!B:B,A15)</f>
        <v>2</v>
      </c>
      <c r="O15" s="2">
        <f>SUMIFS('OB History S2'!E:E,'OB History S2'!B:B,A15)-N15</f>
        <v>3</v>
      </c>
      <c r="P15" s="88">
        <f>LOOKUP(2, 1/('OB History S2'!$B:$B=A15), 'OB History S2'!$AB:$AB)</f>
        <v>0.4</v>
      </c>
      <c r="Q15" s="34">
        <f>SUMIFS('OB History S2'!H:H,'OB History S2'!B:B,A15)</f>
        <v>6</v>
      </c>
      <c r="R15" s="2">
        <f>SUMIFS('OB History S2'!G:G,'OB History S2'!B:B,A15)-Q15</f>
        <v>14</v>
      </c>
      <c r="S15" s="88">
        <f>LOOKUP(2, 1/('OB History S2'!$B:$B=A15), 'OB History S2'!$AC:$AC)</f>
        <v>0.3</v>
      </c>
      <c r="T15" s="2">
        <f>COUNTIFS('OB History S2'!$B:$B,$A$15,'OB History S2'!K:K, 1)</f>
        <v>0</v>
      </c>
      <c r="U15" s="2">
        <f>COUNTIFS('OB History S2'!$B:$B,$A$15,'OB History S2'!L:L, 1)</f>
        <v>0</v>
      </c>
      <c r="V15" s="2">
        <f>COUNTIFS('OB History S2'!$B:$B,$A$15,'OB History S2'!M:M, 1)</f>
        <v>0</v>
      </c>
      <c r="W15" s="2">
        <f>COUNTIFS('OB History S2'!$B:$B,$A$15,'OB History S2'!N:N, 1)</f>
        <v>0</v>
      </c>
      <c r="X15" s="2">
        <f>COUNTIFS('OB History S2'!$B:$B,$A$15,'OB History S2'!O:O, 1)</f>
        <v>0</v>
      </c>
      <c r="Y15" s="2">
        <f>COUNTIFS('OB History S2'!$B:$B,$A$15,'OB History S2'!P:P, 1)</f>
        <v>0</v>
      </c>
      <c r="Z15" s="2">
        <f>COUNTIFS('OB History S2'!$B:$B,$A$15,'OB History S2'!Q:Q, 1)</f>
        <v>0</v>
      </c>
      <c r="AA15" s="2">
        <f>COUNTIFS('OB History S2'!$B:$B,$A$15,'OB History S2'!R:R, 1)</f>
        <v>0</v>
      </c>
      <c r="AB15" s="2">
        <f>COUNTIFS('OB History S2'!$B:$B,$A$15,'OB History S2'!S:S, 1)</f>
        <v>0</v>
      </c>
      <c r="AC15" s="2">
        <f>COUNTIFS('OB History S2'!$B:$B,$A$15,'OB History S2'!T:T, 1)</f>
        <v>0</v>
      </c>
      <c r="AD15" s="2">
        <f>COUNTIFS('OB History S2'!$B:$B,$A$15,'OB History S2'!U:U, 1)</f>
        <v>0</v>
      </c>
      <c r="AE15" s="2">
        <f>COUNTIFS('OB History S2'!$B:$B,$A$15,'OB History S2'!V:V, 1)</f>
        <v>0</v>
      </c>
      <c r="AF15" s="2">
        <f>COUNTIFS('OB History S2'!$B:$B,$A$15,'OB History S2'!W:W, 1)</f>
        <v>1</v>
      </c>
      <c r="AG15" s="2">
        <f>COUNTIFS('OB History S2'!$B:$B,$A$15,'OB History S2'!X:X, 1)</f>
        <v>0</v>
      </c>
      <c r="AH15" s="2">
        <f>COUNTIFS('OB History S2'!$B:$B,$A$15,'OB History S2'!Y:Y, 1)</f>
        <v>1</v>
      </c>
      <c r="AI15" s="2">
        <f>COUNTIFS('OB History S2'!$B:$B,$A$15,'OB History S2'!Z:Z, 1)</f>
        <v>0</v>
      </c>
    </row>
    <row r="16" spans="1:35" x14ac:dyDescent="0.25">
      <c r="A16" s="1" t="s">
        <v>152</v>
      </c>
      <c r="B16" s="6" t="s">
        <v>79</v>
      </c>
      <c r="C16" s="2" t="s">
        <v>79</v>
      </c>
      <c r="D16" s="2"/>
      <c r="E16" s="2"/>
      <c r="F16" s="2"/>
      <c r="G16" s="2"/>
      <c r="H16" s="34">
        <f>SUMIFS('OB History S2'!C:C,'OB History S2'!B:B,A16)</f>
        <v>63</v>
      </c>
      <c r="I16" s="4">
        <f>AVERAGEIFS('OB History S2'!C:C,'OB History S2'!B:B,A16)</f>
        <v>15.75</v>
      </c>
      <c r="J16" s="35">
        <f t="array" ref="J16">MAX(IF('OB History S2'!B:B=A16, 'OB History S2'!C:C))</f>
        <v>19</v>
      </c>
      <c r="K16" s="34">
        <f>COUNTIFS('OB History S2'!B:B,A16,'OB History S2'!D:D, 1)</f>
        <v>1</v>
      </c>
      <c r="L16" s="2">
        <f>COUNTIFS('OB History S2'!B:B,A16,'OB History S2'!D:D, 0)</f>
        <v>3</v>
      </c>
      <c r="M16" s="88">
        <f>LOOKUP(2, 1/('OB History S2'!$B:$B=A16), 'OB History S2'!$AD:$AD)</f>
        <v>0.25</v>
      </c>
      <c r="N16" s="34">
        <f>SUMIFS('OB History S2'!F:F,'OB History S2'!B:B,A16)</f>
        <v>7</v>
      </c>
      <c r="O16" s="2">
        <f>SUMIFS('OB History S2'!E:E,'OB History S2'!B:B,A16)-N16</f>
        <v>10</v>
      </c>
      <c r="P16" s="88">
        <f>LOOKUP(2, 1/('OB History S2'!$B:$B=A16), 'OB History S2'!$AB:$AB)</f>
        <v>0.38750000000000001</v>
      </c>
      <c r="Q16" s="34">
        <f>SUMIFS('OB History S2'!H:H,'OB History S2'!B:B,A16)</f>
        <v>33</v>
      </c>
      <c r="R16" s="2">
        <f>SUMIFS('OB History S2'!G:G,'OB History S2'!B:B,A16)-Q16</f>
        <v>41</v>
      </c>
      <c r="S16" s="88">
        <f>LOOKUP(2, 1/('OB History S2'!$B:$B=A16), 'OB History S2'!$AC:$AC)</f>
        <v>0.42749999999999999</v>
      </c>
      <c r="T16" s="2">
        <f>COUNTIFS('OB History S2'!$B:$B,$A$16,'OB History S2'!K:K, 1)</f>
        <v>0</v>
      </c>
      <c r="U16" s="2">
        <f>COUNTIFS('OB History S2'!$B:$B,$A$16,'OB History S2'!L:L, 1)</f>
        <v>0</v>
      </c>
      <c r="V16" s="2">
        <f>COUNTIFS('OB History S2'!$B:$B,$A$16,'OB History S2'!M:M, 1)</f>
        <v>1</v>
      </c>
      <c r="W16" s="2">
        <f>COUNTIFS('OB History S2'!$B:$B,$A$16,'OB History S2'!N:N, 1)</f>
        <v>0</v>
      </c>
      <c r="X16" s="2">
        <f>COUNTIFS('OB History S2'!$B:$B,$A$16,'OB History S2'!O:O, 1)</f>
        <v>0</v>
      </c>
      <c r="Y16" s="2">
        <f>COUNTIFS('OB History S2'!$B:$B,$A$16,'OB History S2'!P:P, 1)</f>
        <v>1</v>
      </c>
      <c r="Z16" s="2">
        <f>COUNTIFS('OB History S2'!$B:$B,$A$16,'OB History S2'!Q:Q, 1)</f>
        <v>2</v>
      </c>
      <c r="AA16" s="2">
        <f>COUNTIFS('OB History S2'!$B:$B,$A$16,'OB History S2'!R:R, 1)</f>
        <v>1</v>
      </c>
      <c r="AB16" s="2">
        <f>COUNTIFS('OB History S2'!$B:$B,$A$16,'OB History S2'!S:S, 1)</f>
        <v>0</v>
      </c>
      <c r="AC16" s="2">
        <f>COUNTIFS('OB History S2'!$B:$B,$A$16,'OB History S2'!T:T, 1)</f>
        <v>0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0</v>
      </c>
      <c r="AG16" s="2">
        <f>COUNTIFS('OB History S2'!$B:$B,$A$16,'OB History S2'!X:X, 1)</f>
        <v>1</v>
      </c>
      <c r="AH16" s="2">
        <f>COUNTIFS('OB History S2'!$B:$B,$A$16,'OB History S2'!Y:Y, 1)</f>
        <v>0</v>
      </c>
      <c r="AI16" s="2">
        <f>COUNTIFS('OB History S2'!$B:$B,$A$16,'OB History S2'!Z:Z, 1)</f>
        <v>1</v>
      </c>
    </row>
    <row r="17" spans="1:35" ht="15.75" x14ac:dyDescent="0.25">
      <c r="A17" s="1" t="s">
        <v>45</v>
      </c>
      <c r="B17" s="80" t="s">
        <v>60</v>
      </c>
      <c r="C17" s="2" t="s">
        <v>79</v>
      </c>
      <c r="D17" s="2"/>
      <c r="E17" s="2"/>
      <c r="F17" s="2"/>
      <c r="G17" s="2"/>
      <c r="H17" s="34">
        <f>SUMIFS('OB History S2'!C:C,'OB History S2'!B:B,A17)</f>
        <v>97</v>
      </c>
      <c r="I17" s="4">
        <f>AVERAGEIFS('OB History S2'!C:C,'OB History S2'!B:B,A17)</f>
        <v>13.857142857142858</v>
      </c>
      <c r="J17" s="35">
        <f t="array" ref="J17">MAX(IF('OB History S2'!B:B=A17, 'OB History S2'!C:C))</f>
        <v>26</v>
      </c>
      <c r="K17" s="34">
        <f>COUNTIFS('OB History S2'!B:B,A17,'OB History S2'!D:D, 1)</f>
        <v>4</v>
      </c>
      <c r="L17" s="2">
        <f>COUNTIFS('OB History S2'!B:B,A17,'OB History S2'!D:D, 0)</f>
        <v>3</v>
      </c>
      <c r="M17" s="88">
        <f>LOOKUP(2, 1/('OB History S2'!$B:$B=A17), 'OB History S2'!$AD:$AD)</f>
        <v>0.5714285714285714</v>
      </c>
      <c r="N17" s="34">
        <f>SUMIFS('OB History S2'!F:F,'OB History S2'!B:B,A17)</f>
        <v>16</v>
      </c>
      <c r="O17" s="2">
        <f>SUMIFS('OB History S2'!E:E,'OB History S2'!B:B,A17)-N17</f>
        <v>15</v>
      </c>
      <c r="P17" s="88">
        <f>LOOKUP(2, 1/('OB History S2'!$B:$B=A17), 'OB History S2'!$AB:$AB)</f>
        <v>0.51428571428571435</v>
      </c>
      <c r="Q17" s="34">
        <f>SUMIFS('OB History S2'!H:H,'OB History S2'!B:B,A17)</f>
        <v>58</v>
      </c>
      <c r="R17" s="2">
        <f>SUMIFS('OB History S2'!G:G,'OB History S2'!B:B,A17)-Q17</f>
        <v>61</v>
      </c>
      <c r="S17" s="88">
        <f>LOOKUP(2, 1/('OB History S2'!$B:$B=A17), 'OB History S2'!$AC:$AC)</f>
        <v>0.4871428571428571</v>
      </c>
      <c r="T17" s="2">
        <f>COUNTIFS('OB History S2'!$B:$B,$A$17,'OB History S2'!K:K, 1)</f>
        <v>1</v>
      </c>
      <c r="U17" s="2">
        <f>COUNTIFS('OB History S2'!$B:$B,$A$17,'OB History S2'!L:L, 1)</f>
        <v>1</v>
      </c>
      <c r="V17" s="2">
        <f>COUNTIFS('OB History S2'!$B:$B,$A$17,'OB History S2'!M:M, 1)</f>
        <v>2</v>
      </c>
      <c r="W17" s="2">
        <f>COUNTIFS('OB History S2'!$B:$B,$A$17,'OB History S2'!N:N, 1)</f>
        <v>1</v>
      </c>
      <c r="X17" s="2">
        <f>COUNTIFS('OB History S2'!$B:$B,$A$17,'OB History S2'!O:O, 1)</f>
        <v>0</v>
      </c>
      <c r="Y17" s="2">
        <f>COUNTIFS('OB History S2'!$B:$B,$A$17,'OB History S2'!P:P, 1)</f>
        <v>1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1</v>
      </c>
      <c r="AC17" s="2">
        <f>COUNTIFS('OB History S2'!$B:$B,$A$17,'OB History S2'!T:T, 1)</f>
        <v>1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1</v>
      </c>
      <c r="AH17" s="2">
        <f>COUNTIFS('OB History S2'!$B:$B,$A$17,'OB History S2'!Y:Y, 1)</f>
        <v>3</v>
      </c>
      <c r="AI17" s="2">
        <f>COUNTIFS('OB History S2'!$B:$B,$A$17,'OB History S2'!Z:Z, 1)</f>
        <v>3</v>
      </c>
    </row>
    <row r="18" spans="1:35" x14ac:dyDescent="0.25">
      <c r="A18" s="2" t="s">
        <v>52</v>
      </c>
      <c r="B18" s="2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34</v>
      </c>
      <c r="I18" s="4">
        <f>AVERAGEIFS('OB History S2'!C:C,'OB History S2'!B:B,A18)</f>
        <v>34</v>
      </c>
      <c r="J18" s="35">
        <f t="array" ref="J18">MAX(IF('OB History S2'!B:B=A18, 'OB History S2'!C:C))</f>
        <v>34</v>
      </c>
      <c r="K18" s="34">
        <f>COUNTIFS('OB History S2'!B:B,A18,'OB History S2'!D:D, 1)</f>
        <v>0</v>
      </c>
      <c r="L18" s="2">
        <f>COUNTIFS('OB History S2'!B:B,A18,'OB History S2'!D:D, 0)</f>
        <v>1</v>
      </c>
      <c r="M18" s="88">
        <f>LOOKUP(2, 1/('OB History S2'!$B:$B=A18), 'OB History S2'!$AD:$AD)</f>
        <v>0</v>
      </c>
      <c r="N18" s="34">
        <f>SUMIFS('OB History S2'!F:F,'OB History S2'!B:B,A18)</f>
        <v>2</v>
      </c>
      <c r="O18" s="2">
        <f>SUMIFS('OB History S2'!E:E,'OB History S2'!B:B,A18)-N18</f>
        <v>3</v>
      </c>
      <c r="P18" s="88">
        <f>LOOKUP(2, 1/('OB History S2'!$B:$B=A18), 'OB History S2'!$AB:$AB)</f>
        <v>0.4</v>
      </c>
      <c r="Q18" s="34">
        <f>SUMIFS('OB History S2'!H:H,'OB History S2'!B:B,A18)</f>
        <v>8</v>
      </c>
      <c r="R18" s="2">
        <f>SUMIFS('OB History S2'!G:G,'OB History S2'!B:B,A18)-Q18</f>
        <v>13</v>
      </c>
      <c r="S18" s="88">
        <f>LOOKUP(2, 1/('OB History S2'!$B:$B=A18), 'OB History S2'!$AC:$AC)</f>
        <v>0.38</v>
      </c>
      <c r="T18" s="2">
        <f>COUNTIFS('OB History S2'!$B:$B,$A$18,'OB History S2'!K:K, 1)</f>
        <v>0</v>
      </c>
      <c r="U18" s="2">
        <f>COUNTIFS('OB History S2'!$B:$B,$A$18,'OB History S2'!L:L, 1)</f>
        <v>0</v>
      </c>
      <c r="V18" s="2">
        <f>COUNTIFS('OB History S2'!$B:$B,$A$18,'OB History S2'!M:M, 1)</f>
        <v>0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1</v>
      </c>
      <c r="Z18" s="2">
        <f>COUNTIFS('OB History S2'!$B:$B,$A$18,'OB History S2'!Q:Q, 1)</f>
        <v>0</v>
      </c>
      <c r="AA18" s="2">
        <f>COUNTIFS('OB History S2'!$B:$B,$A$18,'OB History S2'!R:R, 1)</f>
        <v>0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1</v>
      </c>
      <c r="AH18" s="2">
        <f>COUNTIFS('OB History S2'!$B:$B,$A$18,'OB History S2'!Y:Y, 1)</f>
        <v>0</v>
      </c>
      <c r="AI18" s="2">
        <f>COUNTIFS('OB History S2'!$B:$B,$A$18,'OB History S2'!Z:Z, 1)</f>
        <v>0</v>
      </c>
    </row>
    <row r="19" spans="1:35" x14ac:dyDescent="0.25">
      <c r="A19" s="1" t="s">
        <v>44</v>
      </c>
      <c r="B19" s="2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67</v>
      </c>
      <c r="I19" s="4">
        <f>AVERAGEIFS('OB History S2'!C:C,'OB History S2'!B:B,A19)</f>
        <v>16.75</v>
      </c>
      <c r="J19" s="35">
        <f t="array" ref="J19">MAX(IF('OB History S2'!B:B=A19, 'OB History S2'!C:C))</f>
        <v>28</v>
      </c>
      <c r="K19" s="34">
        <f>COUNTIFS('OB History S2'!B:B,A19,'OB History S2'!D:D, 1)</f>
        <v>4</v>
      </c>
      <c r="L19" s="2">
        <f>COUNTIFS('OB History S2'!B:B,A19,'OB History S2'!D:D, 0)</f>
        <v>0</v>
      </c>
      <c r="M19" s="88">
        <f>LOOKUP(2, 1/('OB History S2'!$B:$B=A19), 'OB History S2'!$AD:$AD)</f>
        <v>1</v>
      </c>
      <c r="N19" s="34">
        <f>SUMIFS('OB History S2'!F:F,'OB History S2'!B:B,A19)</f>
        <v>12</v>
      </c>
      <c r="O19" s="2">
        <f>SUMIFS('OB History S2'!E:E,'OB History S2'!B:B,A19)-N19</f>
        <v>3</v>
      </c>
      <c r="P19" s="88">
        <f>LOOKUP(2, 1/('OB History S2'!$B:$B=A19), 'OB History S2'!$AB:$AB)</f>
        <v>0.83750000000000002</v>
      </c>
      <c r="Q19" s="34">
        <f>SUMIFS('OB History S2'!H:H,'OB History S2'!B:B,A19)</f>
        <v>40</v>
      </c>
      <c r="R19" s="2">
        <f>SUMIFS('OB History S2'!G:G,'OB History S2'!B:B,A19)-Q19</f>
        <v>23</v>
      </c>
      <c r="S19" s="88">
        <f>LOOKUP(2, 1/('OB History S2'!$B:$B=A19), 'OB History S2'!$AC:$AC)</f>
        <v>0.65</v>
      </c>
      <c r="T19" s="2">
        <f>COUNTIFS('OB History S2'!$B:$B,$A$19,'OB History S2'!K:K, 1)</f>
        <v>0</v>
      </c>
      <c r="U19" s="2">
        <f>COUNTIFS('OB History S2'!$B:$B,$A$19,'OB History S2'!L:L, 1)</f>
        <v>2</v>
      </c>
      <c r="V19" s="2">
        <f>COUNTIFS('OB History S2'!$B:$B,$A$19,'OB History S2'!M:M, 1)</f>
        <v>1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1</v>
      </c>
      <c r="Z19" s="2">
        <f>COUNTIFS('OB History S2'!$B:$B,$A$19,'OB History S2'!Q:Q, 1)</f>
        <v>1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1</v>
      </c>
      <c r="AG19" s="2">
        <f>COUNTIFS('OB History S2'!$B:$B,$A$19,'OB History S2'!X:X, 1)</f>
        <v>2</v>
      </c>
      <c r="AH19" s="2">
        <f>COUNTIFS('OB History S2'!$B:$B,$A$19,'OB History S2'!Y:Y, 1)</f>
        <v>3</v>
      </c>
      <c r="AI19" s="2">
        <f>COUNTIFS('OB History S2'!$B:$B,$A$19,'OB History S2'!Z:Z, 1)</f>
        <v>1</v>
      </c>
    </row>
    <row r="20" spans="1:35" x14ac:dyDescent="0.25">
      <c r="A20" s="2" t="s">
        <v>1</v>
      </c>
      <c r="B20" s="6" t="s">
        <v>124</v>
      </c>
      <c r="C20" s="2" t="s">
        <v>79</v>
      </c>
      <c r="D20" s="2"/>
      <c r="E20" s="2"/>
      <c r="F20" s="2"/>
      <c r="G20" s="2"/>
      <c r="H20" s="34">
        <f>SUMIFS('OB History S2'!C:C,'OB History S2'!B:B,A20)</f>
        <v>63</v>
      </c>
      <c r="I20" s="4">
        <f>AVERAGEIFS('OB History S2'!C:C,'OB History S2'!B:B,A20)</f>
        <v>15.75</v>
      </c>
      <c r="J20" s="35">
        <f t="array" ref="J20">MAX(IF('OB History S2'!B:B=A20, 'OB History S2'!C:C))</f>
        <v>24</v>
      </c>
      <c r="K20" s="34">
        <f>COUNTIFS('OB History S2'!B:B,A20,'OB History S2'!D:D, 1)</f>
        <v>1</v>
      </c>
      <c r="L20" s="2">
        <f>COUNTIFS('OB History S2'!B:B,A20,'OB History S2'!D:D, 0)</f>
        <v>3</v>
      </c>
      <c r="M20" s="88">
        <f>LOOKUP(2, 1/('OB History S2'!$B:$B=A20), 'OB History S2'!$AD:$AD)</f>
        <v>0.25</v>
      </c>
      <c r="N20" s="34">
        <f>SUMIFS('OB History S2'!F:F,'OB History S2'!B:B,A20)</f>
        <v>6</v>
      </c>
      <c r="O20" s="2">
        <f>SUMIFS('OB History S2'!E:E,'OB History S2'!B:B,A20)-N20</f>
        <v>10</v>
      </c>
      <c r="P20" s="88">
        <f>LOOKUP(2, 1/('OB History S2'!$B:$B=A20), 'OB History S2'!$AB:$AB)</f>
        <v>0.35</v>
      </c>
      <c r="Q20" s="34">
        <f>SUMIFS('OB History S2'!H:H,'OB History S2'!B:B,A20)</f>
        <v>24</v>
      </c>
      <c r="R20" s="2">
        <f>SUMIFS('OB History S2'!G:G,'OB History S2'!B:B,A20)-Q20</f>
        <v>36</v>
      </c>
      <c r="S20" s="88">
        <f>LOOKUP(2, 1/('OB History S2'!$B:$B=A20), 'OB History S2'!$AC:$AC)</f>
        <v>0.375</v>
      </c>
      <c r="T20" s="2">
        <f>COUNTIFS('OB History S2'!$B:$B,$A$20,'OB History S2'!K:K, 1)</f>
        <v>0</v>
      </c>
      <c r="U20" s="2">
        <f>COUNTIFS('OB History S2'!$B:$B,$A$20,'OB History S2'!L:L, 1)</f>
        <v>0</v>
      </c>
      <c r="V20" s="2">
        <f>COUNTIFS('OB History S2'!$B:$B,$A$20,'OB History S2'!M:M, 1)</f>
        <v>0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1</v>
      </c>
      <c r="Z20" s="2">
        <f>COUNTIFS('OB History S2'!$B:$B,$A$20,'OB History S2'!Q:Q, 1)</f>
        <v>0</v>
      </c>
      <c r="AA20" s="2">
        <f>COUNTIFS('OB History S2'!$B:$B,$A$20,'OB History S2'!R:R, 1)</f>
        <v>0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2</v>
      </c>
      <c r="AG20" s="2">
        <f>COUNTIFS('OB History S2'!$B:$B,$A$20,'OB History S2'!X:X, 1)</f>
        <v>0</v>
      </c>
      <c r="AH20" s="2">
        <f>COUNTIFS('OB History S2'!$B:$B,$A$20,'OB History S2'!Y:Y, 1)</f>
        <v>2</v>
      </c>
      <c r="AI20" s="2">
        <f>COUNTIFS('OB History S2'!$B:$B,$A$20,'OB History S2'!Z:Z, 1)</f>
        <v>0</v>
      </c>
    </row>
    <row r="21" spans="1:35" x14ac:dyDescent="0.25">
      <c r="A21" s="1" t="s">
        <v>150</v>
      </c>
      <c r="B21" s="2" t="s">
        <v>79</v>
      </c>
      <c r="C21" s="2" t="s">
        <v>79</v>
      </c>
      <c r="D21" s="2">
        <v>1</v>
      </c>
      <c r="E21" s="2"/>
      <c r="F21" s="2"/>
      <c r="G21" s="2"/>
      <c r="H21" s="34">
        <f>SUMIFS('OB History S2'!C:C,'OB History S2'!B:B,A21)</f>
        <v>179</v>
      </c>
      <c r="I21" s="4">
        <f>AVERAGEIFS('OB History S2'!C:C,'OB History S2'!B:B,A21)</f>
        <v>17.899999999999999</v>
      </c>
      <c r="J21" s="35">
        <f t="array" ref="J21">MAX(IF('OB History S2'!B:B=A21, 'OB History S2'!C:C))</f>
        <v>26</v>
      </c>
      <c r="K21" s="34">
        <f>COUNTIFS('OB History S2'!B:B,A21,'OB History S2'!D:D, 1)</f>
        <v>9</v>
      </c>
      <c r="L21" s="2">
        <f>COUNTIFS('OB History S2'!B:B,A21,'OB History S2'!D:D, 0)</f>
        <v>1</v>
      </c>
      <c r="M21" s="88">
        <f>LOOKUP(2, 1/('OB History S2'!$B:$B=A21), 'OB History S2'!$AD:$AD)</f>
        <v>0.9</v>
      </c>
      <c r="N21" s="34">
        <f>SUMIFS('OB History S2'!F:F,'OB History S2'!B:B,A21)</f>
        <v>29</v>
      </c>
      <c r="O21" s="2">
        <f>SUMIFS('OB History S2'!E:E,'OB History S2'!B:B,A21)-N21</f>
        <v>11</v>
      </c>
      <c r="P21" s="88">
        <f>LOOKUP(2, 1/('OB History S2'!$B:$B=A21), 'OB History S2'!$AB:$AB)</f>
        <v>0.76</v>
      </c>
      <c r="Q21" s="34">
        <f>SUMIFS('OB History S2'!H:H,'OB History S2'!B:B,A21)</f>
        <v>105</v>
      </c>
      <c r="R21" s="2">
        <f>SUMIFS('OB History S2'!G:G,'OB History S2'!B:B,A21)-Q21</f>
        <v>57</v>
      </c>
      <c r="S21" s="88">
        <f>LOOKUP(2, 1/('OB History S2'!$B:$B=A21), 'OB History S2'!$AC:$AC)</f>
        <v>0.65799999999999981</v>
      </c>
      <c r="T21" s="2">
        <f>COUNTIFS('OB History S2'!$B:$B,$A$21,'OB History S2'!K:K, 1)</f>
        <v>1</v>
      </c>
      <c r="U21" s="2">
        <f>COUNTIFS('OB History S2'!$B:$B,$A$21,'OB History S2'!L:L, 1)</f>
        <v>1</v>
      </c>
      <c r="V21" s="2">
        <f>COUNTIFS('OB History S2'!$B:$B,$A$21,'OB History S2'!M:M, 1)</f>
        <v>2</v>
      </c>
      <c r="W21" s="2">
        <f>COUNTIFS('OB History S2'!$B:$B,$A$21,'OB History S2'!N:N, 1)</f>
        <v>3</v>
      </c>
      <c r="X21" s="2">
        <f>COUNTIFS('OB History S2'!$B:$B,$A$21,'OB History S2'!O:O, 1)</f>
        <v>0</v>
      </c>
      <c r="Y21" s="2">
        <f>COUNTIFS('OB History S2'!$B:$B,$A$21,'OB History S2'!P:P, 1)</f>
        <v>3</v>
      </c>
      <c r="Z21" s="2">
        <f>COUNTIFS('OB History S2'!$B:$B,$A$21,'OB History S2'!Q:Q, 1)</f>
        <v>1</v>
      </c>
      <c r="AA21" s="2">
        <f>COUNTIFS('OB History S2'!$B:$B,$A$21,'OB History S2'!R:R, 1)</f>
        <v>1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1</v>
      </c>
      <c r="AE21" s="2">
        <f>COUNTIFS('OB History S2'!$B:$B,$A$21,'OB History S2'!V:V, 1)</f>
        <v>0</v>
      </c>
      <c r="AF21" s="2">
        <f>COUNTIFS('OB History S2'!$B:$B,$A$21,'OB History S2'!W:W, 1)</f>
        <v>3</v>
      </c>
      <c r="AG21" s="2">
        <f>COUNTIFS('OB History S2'!$B:$B,$A$21,'OB History S2'!X:X, 1)</f>
        <v>4</v>
      </c>
      <c r="AH21" s="2">
        <f>COUNTIFS('OB History S2'!$B:$B,$A$21,'OB History S2'!Y:Y, 1)</f>
        <v>6</v>
      </c>
      <c r="AI21" s="2">
        <f>COUNTIFS('OB History S2'!$B:$B,$A$21,'OB History S2'!Z:Z, 1)</f>
        <v>3</v>
      </c>
    </row>
    <row r="22" spans="1:35" x14ac:dyDescent="0.25">
      <c r="A22" s="2" t="s">
        <v>29</v>
      </c>
      <c r="B22" s="6" t="s">
        <v>173</v>
      </c>
      <c r="C22" s="2" t="s">
        <v>79</v>
      </c>
      <c r="D22" s="2">
        <v>1</v>
      </c>
      <c r="E22" s="2"/>
      <c r="F22" s="2"/>
      <c r="G22" s="2"/>
      <c r="H22" s="34">
        <f>SUMIFS('OB History S2'!C:C,'OB History S2'!B:B,A22)</f>
        <v>242</v>
      </c>
      <c r="I22" s="4">
        <f>AVERAGEIFS('OB History S2'!C:C,'OB History S2'!B:B,A22)</f>
        <v>12.1</v>
      </c>
      <c r="J22" s="35">
        <f t="array" ref="J22">MAX(IF('OB History S2'!B:B=A22, 'OB History S2'!C:C))</f>
        <v>21</v>
      </c>
      <c r="K22" s="34">
        <f>COUNTIFS('OB History S2'!B:B,A22,'OB History S2'!D:D, 1)</f>
        <v>6</v>
      </c>
      <c r="L22" s="2">
        <f>COUNTIFS('OB History S2'!B:B,A22,'OB History S2'!D:D, 0)</f>
        <v>14</v>
      </c>
      <c r="M22" s="88">
        <f>LOOKUP(2, 1/('OB History S2'!$B:$B=A22), 'OB History S2'!$AD:$AD)</f>
        <v>0.3</v>
      </c>
      <c r="N22" s="34">
        <f>SUMIFS('OB History S2'!F:F,'OB History S2'!B:B,A22)</f>
        <v>31</v>
      </c>
      <c r="O22" s="2">
        <f>SUMIFS('OB History S2'!E:E,'OB History S2'!B:B,A22)-N22</f>
        <v>48</v>
      </c>
      <c r="P22" s="88">
        <f>LOOKUP(2, 1/('OB History S2'!$B:$B=A22), 'OB History S2'!$AB:$AB)</f>
        <v>0.37749999999999995</v>
      </c>
      <c r="Q22" s="34">
        <f>SUMIFS('OB History S2'!H:H,'OB History S2'!B:B,A22)</f>
        <v>149</v>
      </c>
      <c r="R22" s="2">
        <f>SUMIFS('OB History S2'!G:G,'OB History S2'!B:B,A22)-Q22</f>
        <v>177</v>
      </c>
      <c r="S22" s="88">
        <f>LOOKUP(2, 1/('OB History S2'!$B:$B=A22), 'OB History S2'!$AC:$AC)</f>
        <v>0.45800000000000002</v>
      </c>
      <c r="T22" s="2">
        <f>COUNTIFS('OB History S2'!$B:$B,$A$22,'OB History S2'!K:K, 1)</f>
        <v>3</v>
      </c>
      <c r="U22" s="2">
        <f>COUNTIFS('OB History S2'!$B:$B,$A$22,'OB History S2'!L:L, 1)</f>
        <v>2</v>
      </c>
      <c r="V22" s="2">
        <f>COUNTIFS('OB History S2'!$B:$B,$A$22,'OB History S2'!M:M, 1)</f>
        <v>0</v>
      </c>
      <c r="W22" s="2">
        <f>COUNTIFS('OB History S2'!$B:$B,$A$22,'OB History S2'!N:N, 1)</f>
        <v>2</v>
      </c>
      <c r="X22" s="2">
        <f>COUNTIFS('OB History S2'!$B:$B,$A$22,'OB History S2'!O:O, 1)</f>
        <v>2</v>
      </c>
      <c r="Y22" s="2">
        <f>COUNTIFS('OB History S2'!$B:$B,$A$22,'OB History S2'!P:P, 1)</f>
        <v>4</v>
      </c>
      <c r="Z22" s="2">
        <f>COUNTIFS('OB History S2'!$B:$B,$A$22,'OB History S2'!Q:Q, 1)</f>
        <v>0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1</v>
      </c>
      <c r="AF22" s="2">
        <f>COUNTIFS('OB History S2'!$B:$B,$A$22,'OB History S2'!W:W, 1)</f>
        <v>7</v>
      </c>
      <c r="AG22" s="2">
        <f>COUNTIFS('OB History S2'!$B:$B,$A$22,'OB History S2'!X:X, 1)</f>
        <v>3</v>
      </c>
      <c r="AH22" s="2">
        <f>COUNTIFS('OB History S2'!$B:$B,$A$22,'OB History S2'!Y:Y, 1)</f>
        <v>6</v>
      </c>
      <c r="AI22" s="2">
        <f>COUNTIFS('OB History S2'!$B:$B,$A$22,'OB History S2'!Z:Z, 1)</f>
        <v>1</v>
      </c>
    </row>
    <row r="23" spans="1:35" x14ac:dyDescent="0.25">
      <c r="A23" s="2" t="s">
        <v>28</v>
      </c>
      <c r="B23" s="6" t="s">
        <v>60</v>
      </c>
      <c r="C23" s="2" t="s">
        <v>79</v>
      </c>
      <c r="D23" s="2"/>
      <c r="E23" s="2"/>
      <c r="F23" s="2"/>
      <c r="G23" s="2"/>
      <c r="H23" s="34">
        <f>SUMIFS('OB History S2'!C:C,'OB History S2'!B:B,A23)</f>
        <v>94</v>
      </c>
      <c r="I23" s="4">
        <f>AVERAGEIFS('OB History S2'!C:C,'OB History S2'!B:B,A23)</f>
        <v>23.5</v>
      </c>
      <c r="J23" s="35">
        <f t="array" ref="J23">MAX(IF('OB History S2'!B:B=A23, 'OB History S2'!C:C))</f>
        <v>43</v>
      </c>
      <c r="K23" s="34">
        <f>COUNTIFS('OB History S2'!B:B,A23,'OB History S2'!D:D, 1)</f>
        <v>2</v>
      </c>
      <c r="L23" s="2">
        <f>COUNTIFS('OB History S2'!B:B,A23,'OB History S2'!D:D, 0)</f>
        <v>2</v>
      </c>
      <c r="M23" s="88">
        <f>LOOKUP(2, 1/('OB History S2'!$B:$B=A23), 'OB History S2'!$AD:$AD)</f>
        <v>0.5</v>
      </c>
      <c r="N23" s="34">
        <f>SUMIFS('OB History S2'!F:F,'OB History S2'!B:B,A23)</f>
        <v>9</v>
      </c>
      <c r="O23" s="2">
        <f>SUMIFS('OB History S2'!E:E,'OB History S2'!B:B,A23)-N23</f>
        <v>9</v>
      </c>
      <c r="P23" s="88">
        <f>LOOKUP(2, 1/('OB History S2'!$B:$B=A23), 'OB History S2'!$AB:$AB)</f>
        <v>0.5</v>
      </c>
      <c r="Q23" s="34">
        <f>SUMIFS('OB History S2'!H:H,'OB History S2'!B:B,A23)</f>
        <v>37</v>
      </c>
      <c r="R23" s="2">
        <f>SUMIFS('OB History S2'!G:G,'OB History S2'!B:B,A23)-Q23</f>
        <v>37</v>
      </c>
      <c r="S23" s="88">
        <f>LOOKUP(2, 1/('OB History S2'!$B:$B=A23), 'OB History S2'!$AC:$AC)</f>
        <v>0.505</v>
      </c>
      <c r="T23" s="2">
        <f>COUNTIFS('OB History S2'!$B:$B,$A$23,'OB History S2'!K:K, 1)</f>
        <v>1</v>
      </c>
      <c r="U23" s="2">
        <f>COUNTIFS('OB History S2'!$B:$B,$A$23,'OB History S2'!L:L, 1)</f>
        <v>1</v>
      </c>
      <c r="V23" s="2">
        <f>COUNTIFS('OB History S2'!$B:$B,$A$23,'OB History S2'!M:M, 1)</f>
        <v>0</v>
      </c>
      <c r="W23" s="2">
        <f>COUNTIFS('OB History S2'!$B:$B,$A$23,'OB History S2'!N:N, 1)</f>
        <v>0</v>
      </c>
      <c r="X23" s="2">
        <f>COUNTIFS('OB History S2'!$B:$B,$A$23,'OB History S2'!O:O, 1)</f>
        <v>1</v>
      </c>
      <c r="Y23" s="2">
        <f>COUNTIFS('OB History S2'!$B:$B,$A$23,'OB History S2'!P:P, 1)</f>
        <v>0</v>
      </c>
      <c r="Z23" s="2">
        <f>COUNTIFS('OB History S2'!$B:$B,$A$23,'OB History S2'!Q:Q, 1)</f>
        <v>1</v>
      </c>
      <c r="AA23" s="2">
        <f>COUNTIFS('OB History S2'!$B:$B,$A$23,'OB History S2'!R:R, 1)</f>
        <v>0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0</v>
      </c>
      <c r="AG23" s="2">
        <f>COUNTIFS('OB History S2'!$B:$B,$A$23,'OB History S2'!X:X, 1)</f>
        <v>4</v>
      </c>
      <c r="AH23" s="2">
        <f>COUNTIFS('OB History S2'!$B:$B,$A$23,'OB History S2'!Y:Y, 1)</f>
        <v>0</v>
      </c>
      <c r="AI23" s="2">
        <f>COUNTIFS('OB History S2'!$B:$B,$A$23,'OB History S2'!Z:Z, 1)</f>
        <v>1</v>
      </c>
    </row>
    <row r="24" spans="1:35" x14ac:dyDescent="0.25">
      <c r="A24" s="2" t="s">
        <v>139</v>
      </c>
      <c r="B24" s="6" t="s">
        <v>79</v>
      </c>
      <c r="C24" s="2" t="s">
        <v>79</v>
      </c>
      <c r="D24" s="2"/>
      <c r="E24" s="2"/>
      <c r="F24" s="2"/>
      <c r="G24" s="2"/>
      <c r="H24" s="34">
        <f>SUMIFS('OB History S2'!C:C,'OB History S2'!B:B,A24)</f>
        <v>136</v>
      </c>
      <c r="I24" s="4">
        <f>AVERAGEIFS('OB History S2'!C:C,'OB History S2'!B:B,A24)</f>
        <v>10.461538461538462</v>
      </c>
      <c r="J24" s="35">
        <f t="array" ref="J24">MAX(IF('OB History S2'!B:B=A24, 'OB History S2'!C:C))</f>
        <v>17</v>
      </c>
      <c r="K24" s="34">
        <f>COUNTIFS('OB History S2'!B:B,A24,'OB History S2'!D:D, 1)</f>
        <v>8</v>
      </c>
      <c r="L24" s="2">
        <f>COUNTIFS('OB History S2'!B:B,A24,'OB History S2'!D:D, 0)</f>
        <v>5</v>
      </c>
      <c r="M24" s="88">
        <f>LOOKUP(2, 1/('OB History S2'!$B:$B=A24), 'OB History S2'!$AD:$AD)</f>
        <v>0.61538461538461542</v>
      </c>
      <c r="N24" s="34">
        <f>SUMIFS('OB History S2'!F:F,'OB History S2'!B:B,A24)</f>
        <v>27</v>
      </c>
      <c r="O24" s="2">
        <f>SUMIFS('OB History S2'!E:E,'OB History S2'!B:B,A24)-N24</f>
        <v>26</v>
      </c>
      <c r="P24" s="88">
        <f>LOOKUP(2, 1/('OB History S2'!$B:$B=A24), 'OB History S2'!$AB:$AB)</f>
        <v>0.48461538461538461</v>
      </c>
      <c r="Q24" s="34">
        <f>SUMIFS('OB History S2'!H:H,'OB History S2'!B:B,A24)</f>
        <v>110</v>
      </c>
      <c r="R24" s="2">
        <f>SUMIFS('OB History S2'!G:G,'OB History S2'!B:B,A24)-Q24</f>
        <v>103</v>
      </c>
      <c r="S24" s="88">
        <f>LOOKUP(2, 1/('OB History S2'!$B:$B=A24), 'OB History S2'!$AC:$AC)</f>
        <v>0.51076923076923075</v>
      </c>
      <c r="T24" s="2">
        <f>COUNTIFS('OB History S2'!$B:$B,$A$24,'OB History S2'!K:K, 1)</f>
        <v>1</v>
      </c>
      <c r="U24" s="2">
        <f>COUNTIFS('OB History S2'!$B:$B,$A$24,'OB History S2'!L:L, 1)</f>
        <v>4</v>
      </c>
      <c r="V24" s="2">
        <f>COUNTIFS('OB History S2'!$B:$B,$A$24,'OB History S2'!M:M, 1)</f>
        <v>0</v>
      </c>
      <c r="W24" s="2">
        <f>COUNTIFS('OB History S2'!$B:$B,$A$24,'OB History S2'!N:N, 1)</f>
        <v>3</v>
      </c>
      <c r="X24" s="2">
        <f>COUNTIFS('OB History S2'!$B:$B,$A$24,'OB History S2'!O:O, 1)</f>
        <v>0</v>
      </c>
      <c r="Y24" s="2">
        <f>COUNTIFS('OB History S2'!$B:$B,$A$24,'OB History S2'!P:P, 1)</f>
        <v>2</v>
      </c>
      <c r="Z24" s="2">
        <f>COUNTIFS('OB History S2'!$B:$B,$A$24,'OB History S2'!Q:Q, 1)</f>
        <v>2</v>
      </c>
      <c r="AA24" s="2">
        <f>COUNTIFS('OB History S2'!$B:$B,$A$24,'OB History S2'!R:R, 1)</f>
        <v>2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0</v>
      </c>
      <c r="AF24" s="2">
        <f>COUNTIFS('OB History S2'!$B:$B,$A$24,'OB History S2'!W:W, 1)</f>
        <v>0</v>
      </c>
      <c r="AG24" s="2">
        <f>COUNTIFS('OB History S2'!$B:$B,$A$24,'OB History S2'!X:X, 1)</f>
        <v>6</v>
      </c>
      <c r="AH24" s="2">
        <f>COUNTIFS('OB History S2'!$B:$B,$A$24,'OB History S2'!Y:Y, 1)</f>
        <v>2</v>
      </c>
      <c r="AI24" s="2">
        <f>COUNTIFS('OB History S2'!$B:$B,$A$24,'OB History S2'!Z:Z, 1)</f>
        <v>5</v>
      </c>
    </row>
    <row r="25" spans="1:35" ht="15.75" x14ac:dyDescent="0.25">
      <c r="A25" s="2" t="s">
        <v>20</v>
      </c>
      <c r="B25" s="80" t="s">
        <v>60</v>
      </c>
      <c r="C25" s="2" t="s">
        <v>79</v>
      </c>
      <c r="D25" s="2"/>
      <c r="E25" s="2"/>
      <c r="F25" s="2"/>
      <c r="G25" s="2"/>
      <c r="H25" s="34">
        <f>SUMIFS('OB History S2'!C:C,'OB History S2'!B:B,A25)</f>
        <v>122</v>
      </c>
      <c r="I25" s="4">
        <f>AVERAGEIFS('OB History S2'!C:C,'OB History S2'!B:B,A25)</f>
        <v>15.25</v>
      </c>
      <c r="J25" s="35">
        <f t="array" ref="J25">MAX(IF('OB History S2'!B:B=A25, 'OB History S2'!C:C))</f>
        <v>37</v>
      </c>
      <c r="K25" s="34">
        <f>COUNTIFS('OB History S2'!B:B,A25,'OB History S2'!D:D, 1)</f>
        <v>3</v>
      </c>
      <c r="L25" s="2">
        <f>COUNTIFS('OB History S2'!B:B,A25,'OB History S2'!D:D, 0)</f>
        <v>5</v>
      </c>
      <c r="M25" s="88">
        <f>LOOKUP(2, 1/('OB History S2'!$B:$B=A25), 'OB History S2'!$AD:$AD)</f>
        <v>0.375</v>
      </c>
      <c r="N25" s="34">
        <f>SUMIFS('OB History S2'!F:F,'OB History S2'!B:B,A25)</f>
        <v>16</v>
      </c>
      <c r="O25" s="2">
        <f>SUMIFS('OB History S2'!E:E,'OB History S2'!B:B,A25)-N25</f>
        <v>17</v>
      </c>
      <c r="P25" s="88">
        <f>LOOKUP(2, 1/('OB History S2'!$B:$B=A25), 'OB History S2'!$AB:$AB)</f>
        <v>0.49374999999999997</v>
      </c>
      <c r="Q25" s="34">
        <f>SUMIFS('OB History S2'!H:H,'OB History S2'!B:B,A25)</f>
        <v>70</v>
      </c>
      <c r="R25" s="2">
        <f>SUMIFS('OB History S2'!G:G,'OB History S2'!B:B,A25)-Q25</f>
        <v>68</v>
      </c>
      <c r="S25" s="88">
        <f>LOOKUP(2, 1/('OB History S2'!$B:$B=A25), 'OB History S2'!$AC:$AC)</f>
        <v>0.50875000000000004</v>
      </c>
      <c r="T25" s="2">
        <f>COUNTIFS('OB History S2'!$B:$B,$A$25,'OB History S2'!K:K, 1)</f>
        <v>2</v>
      </c>
      <c r="U25" s="2">
        <f>COUNTIFS('OB History S2'!$B:$B,$A$25,'OB History S2'!L:L, 1)</f>
        <v>1</v>
      </c>
      <c r="V25" s="2">
        <f>COUNTIFS('OB History S2'!$B:$B,$A$25,'OB History S2'!M:M, 1)</f>
        <v>1</v>
      </c>
      <c r="W25" s="2">
        <f>COUNTIFS('OB History S2'!$B:$B,$A$25,'OB History S2'!N:N, 1)</f>
        <v>2</v>
      </c>
      <c r="X25" s="2">
        <f>COUNTIFS('OB History S2'!$B:$B,$A$25,'OB History S2'!O:O, 1)</f>
        <v>0</v>
      </c>
      <c r="Y25" s="2">
        <f>COUNTIFS('OB History S2'!$B:$B,$A$25,'OB History S2'!P:P, 1)</f>
        <v>3</v>
      </c>
      <c r="Z25" s="2">
        <f>COUNTIFS('OB History S2'!$B:$B,$A$25,'OB History S2'!Q:Q, 1)</f>
        <v>0</v>
      </c>
      <c r="AA25" s="2">
        <f>COUNTIFS('OB History S2'!$B:$B,$A$25,'OB History S2'!R:R, 1)</f>
        <v>1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0</v>
      </c>
      <c r="AG25" s="2">
        <f>COUNTIFS('OB History S2'!$B:$B,$A$25,'OB History S2'!X:X, 1)</f>
        <v>1</v>
      </c>
      <c r="AH25" s="2">
        <f>COUNTIFS('OB History S2'!$B:$B,$A$25,'OB History S2'!Y:Y, 1)</f>
        <v>3</v>
      </c>
      <c r="AI25" s="2">
        <f>COUNTIFS('OB History S2'!$B:$B,$A$25,'OB History S2'!Z:Z, 1)</f>
        <v>2</v>
      </c>
    </row>
    <row r="26" spans="1:35" x14ac:dyDescent="0.25">
      <c r="A26" s="1" t="s">
        <v>47</v>
      </c>
      <c r="B26" s="2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9</v>
      </c>
      <c r="I26" s="4">
        <f>AVERAGEIFS('OB History S2'!C:C,'OB History S2'!B:B,A26)</f>
        <v>9</v>
      </c>
      <c r="J26" s="35">
        <f t="array" ref="J26">MAX(IF('OB History S2'!B:B=A26, 'OB History S2'!C:C))</f>
        <v>9</v>
      </c>
      <c r="K26" s="34">
        <f>COUNTIFS('OB History S2'!B:B,A26,'OB History S2'!D:D, 1)</f>
        <v>0</v>
      </c>
      <c r="L26" s="2">
        <f>COUNTIFS('OB History S2'!B:B,A26,'OB History S2'!D:D, 0)</f>
        <v>1</v>
      </c>
      <c r="M26" s="88">
        <f>LOOKUP(2, 1/('OB History S2'!$B:$B=A26), 'OB History S2'!$AD:$AD)</f>
        <v>0</v>
      </c>
      <c r="N26" s="34">
        <f>SUMIFS('OB History S2'!F:F,'OB History S2'!B:B,A26)</f>
        <v>2</v>
      </c>
      <c r="O26" s="2">
        <f>SUMIFS('OB History S2'!E:E,'OB History S2'!B:B,A26)-N26</f>
        <v>3</v>
      </c>
      <c r="P26" s="88">
        <f>LOOKUP(2, 1/('OB History S2'!$B:$B=A26), 'OB History S2'!$AB:$AB)</f>
        <v>0.4</v>
      </c>
      <c r="Q26" s="34">
        <f>SUMIFS('OB History S2'!H:H,'OB History S2'!B:B,A26)</f>
        <v>10</v>
      </c>
      <c r="R26" s="2">
        <f>SUMIFS('OB History S2'!G:G,'OB History S2'!B:B,A26)-Q26</f>
        <v>11</v>
      </c>
      <c r="S26" s="88">
        <f>LOOKUP(2, 1/('OB History S2'!$B:$B=A26), 'OB History S2'!$AC:$AC)</f>
        <v>0.48</v>
      </c>
      <c r="T26" s="2">
        <f>COUNTIFS('OB History S2'!$B:$B,$A$26,'OB History S2'!K:K, 1)</f>
        <v>1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0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0</v>
      </c>
      <c r="AB26" s="2">
        <f>COUNTIFS('OB History S2'!$B:$B,$A$26,'OB History S2'!S:S, 1)</f>
        <v>0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1</v>
      </c>
      <c r="AG26" s="2">
        <f>COUNTIFS('OB History S2'!$B:$B,$A$26,'OB History S2'!X:X, 1)</f>
        <v>0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148</v>
      </c>
      <c r="B27" s="6" t="s">
        <v>79</v>
      </c>
      <c r="C27" s="6" t="s">
        <v>79</v>
      </c>
      <c r="D27" s="3">
        <v>4</v>
      </c>
      <c r="E27" s="6">
        <v>1</v>
      </c>
      <c r="F27" s="6"/>
      <c r="G27" s="6"/>
      <c r="H27" s="34">
        <f>SUMIFS('OB History S2'!C:C,'OB History S2'!B:B,A27)</f>
        <v>348</v>
      </c>
      <c r="I27" s="4">
        <f>AVERAGEIFS('OB History S2'!C:C,'OB History S2'!B:B,A27)</f>
        <v>13.384615384615385</v>
      </c>
      <c r="J27" s="35">
        <f t="array" ref="J27">MAX(IF('OB History S2'!B:B=A27, 'OB History S2'!C:C))</f>
        <v>23</v>
      </c>
      <c r="K27" s="34">
        <f>COUNTIFS('OB History S2'!B:B,A27,'OB History S2'!D:D, 1)</f>
        <v>16</v>
      </c>
      <c r="L27" s="2">
        <f>COUNTIFS('OB History S2'!B:B,A27,'OB History S2'!D:D, 0)</f>
        <v>10</v>
      </c>
      <c r="M27" s="88">
        <f>LOOKUP(2, 1/('OB History S2'!$B:$B=A27), 'OB History S2'!$AD:$AD)</f>
        <v>0.61538461538461542</v>
      </c>
      <c r="N27" s="34">
        <f>SUMIFS('OB History S2'!F:F,'OB History S2'!B:B,A27)</f>
        <v>56</v>
      </c>
      <c r="O27" s="2">
        <f>SUMIFS('OB History S2'!E:E,'OB History S2'!B:B,A27)-N27</f>
        <v>46</v>
      </c>
      <c r="P27" s="88">
        <f>LOOKUP(2, 1/('OB History S2'!$B:$B=A27), 'OB History S2'!$AB:$AB)</f>
        <v>0.55769230769230771</v>
      </c>
      <c r="Q27" s="34">
        <f>SUMIFS('OB History S2'!H:H,'OB History S2'!B:B,A27)</f>
        <v>218</v>
      </c>
      <c r="R27" s="2">
        <f>SUMIFS('OB History S2'!G:G,'OB History S2'!B:B,A27)-Q27</f>
        <v>199</v>
      </c>
      <c r="S27" s="88">
        <f>LOOKUP(2, 1/('OB History S2'!$B:$B=A27), 'OB History S2'!$AC:$AC)</f>
        <v>0.52653846153846162</v>
      </c>
      <c r="T27" s="2">
        <f>COUNTIFS('OB History S2'!$B:$B,$A$27,'OB History S2'!K:K, 1)</f>
        <v>1</v>
      </c>
      <c r="U27" s="2">
        <f>COUNTIFS('OB History S2'!$B:$B,$A$27,'OB History S2'!L:L, 1)</f>
        <v>5</v>
      </c>
      <c r="V27" s="2">
        <f>COUNTIFS('OB History S2'!$B:$B,$A$27,'OB History S2'!M:M, 1)</f>
        <v>2</v>
      </c>
      <c r="W27" s="2">
        <f>COUNTIFS('OB History S2'!$B:$B,$A$27,'OB History S2'!N:N, 1)</f>
        <v>5</v>
      </c>
      <c r="X27" s="2">
        <f>COUNTIFS('OB History S2'!$B:$B,$A$27,'OB History S2'!O:O, 1)</f>
        <v>0</v>
      </c>
      <c r="Y27" s="2">
        <f>COUNTIFS('OB History S2'!$B:$B,$A$27,'OB History S2'!P:P, 1)</f>
        <v>3</v>
      </c>
      <c r="Z27" s="2">
        <f>COUNTIFS('OB History S2'!$B:$B,$A$27,'OB History S2'!Q:Q, 1)</f>
        <v>2</v>
      </c>
      <c r="AA27" s="2">
        <f>COUNTIFS('OB History S2'!$B:$B,$A$27,'OB History S2'!R:R, 1)</f>
        <v>3</v>
      </c>
      <c r="AB27" s="2">
        <f>COUNTIFS('OB History S2'!$B:$B,$A$27,'OB History S2'!S:S, 1)</f>
        <v>2</v>
      </c>
      <c r="AC27" s="2">
        <f>COUNTIFS('OB History S2'!$B:$B,$A$27,'OB History S2'!T:T, 1)</f>
        <v>2</v>
      </c>
      <c r="AD27" s="2">
        <f>COUNTIFS('OB History S2'!$B:$B,$A$27,'OB History S2'!U:U, 1)</f>
        <v>1</v>
      </c>
      <c r="AE27" s="2">
        <f>COUNTIFS('OB History S2'!$B:$B,$A$27,'OB History S2'!V:V, 1)</f>
        <v>1</v>
      </c>
      <c r="AF27" s="2">
        <f>COUNTIFS('OB History S2'!$B:$B,$A$27,'OB History S2'!W:W, 1)</f>
        <v>3</v>
      </c>
      <c r="AG27" s="2">
        <f>COUNTIFS('OB History S2'!$B:$B,$A$27,'OB History S2'!X:X, 1)</f>
        <v>10</v>
      </c>
      <c r="AH27" s="2">
        <f>COUNTIFS('OB History S2'!$B:$B,$A$27,'OB History S2'!Y:Y, 1)</f>
        <v>6</v>
      </c>
      <c r="AI27" s="2">
        <f>COUNTIFS('OB History S2'!$B:$B,$A$27,'OB History S2'!Z:Z, 1)</f>
        <v>10</v>
      </c>
    </row>
    <row r="28" spans="1:35" x14ac:dyDescent="0.25">
      <c r="A28" s="2" t="s">
        <v>15</v>
      </c>
      <c r="B28" s="2" t="s">
        <v>79</v>
      </c>
      <c r="C28" s="2" t="s">
        <v>79</v>
      </c>
      <c r="D28" s="3">
        <v>3</v>
      </c>
      <c r="E28" s="2"/>
      <c r="F28" s="2"/>
      <c r="G28" s="2"/>
      <c r="H28" s="34">
        <f>SUMIFS('OB History S2'!C:C,'OB History S2'!B:B,A28)</f>
        <v>330</v>
      </c>
      <c r="I28" s="4">
        <f>AVERAGEIFS('OB History S2'!C:C,'OB History S2'!B:B,A28)</f>
        <v>22</v>
      </c>
      <c r="J28" s="35">
        <f t="array" ref="J28">MAX(IF('OB History S2'!B:B=A28, 'OB History S2'!C:C))</f>
        <v>39</v>
      </c>
      <c r="K28" s="34">
        <f>COUNTIFS('OB History S2'!B:B,A28,'OB History S2'!D:D, 1)</f>
        <v>8</v>
      </c>
      <c r="L28" s="2">
        <f>COUNTIFS('OB History S2'!B:B,A28,'OB History S2'!D:D, 0)</f>
        <v>7</v>
      </c>
      <c r="M28" s="88">
        <f>LOOKUP(2, 1/('OB History S2'!$B:$B=A28), 'OB History S2'!$AD:$AD)</f>
        <v>0.53333333333333333</v>
      </c>
      <c r="N28" s="34">
        <f>SUMIFS('OB History S2'!F:F,'OB History S2'!B:B,A28)</f>
        <v>32</v>
      </c>
      <c r="O28" s="2">
        <f>SUMIFS('OB History S2'!E:E,'OB History S2'!B:B,A28)-N28</f>
        <v>28</v>
      </c>
      <c r="P28" s="88">
        <f>LOOKUP(2, 1/('OB History S2'!$B:$B=A28), 'OB History S2'!$AB:$AB)</f>
        <v>0.54333333333333322</v>
      </c>
      <c r="Q28" s="34">
        <f>SUMIFS('OB History S2'!H:H,'OB History S2'!B:B,A28)</f>
        <v>132</v>
      </c>
      <c r="R28" s="2">
        <f>SUMIFS('OB History S2'!G:G,'OB History S2'!B:B,A28)-Q28</f>
        <v>118</v>
      </c>
      <c r="S28" s="88">
        <f>LOOKUP(2, 1/('OB History S2'!$B:$B=A28), 'OB History S2'!$AC:$AC)</f>
        <v>0.53333333333333333</v>
      </c>
      <c r="T28" s="2">
        <f>COUNTIFS('OB History S2'!$B:$B,$A$28,'OB History S2'!K:K, 1)</f>
        <v>2</v>
      </c>
      <c r="U28" s="2">
        <f>COUNTIFS('OB History S2'!$B:$B,$A$28,'OB History S2'!L:L, 1)</f>
        <v>3</v>
      </c>
      <c r="V28" s="2">
        <f>COUNTIFS('OB History S2'!$B:$B,$A$28,'OB History S2'!M:M, 1)</f>
        <v>0</v>
      </c>
      <c r="W28" s="2">
        <f>COUNTIFS('OB History S2'!$B:$B,$A$28,'OB History S2'!N:N, 1)</f>
        <v>4</v>
      </c>
      <c r="X28" s="2">
        <f>COUNTIFS('OB History S2'!$B:$B,$A$28,'OB History S2'!O:O, 1)</f>
        <v>0</v>
      </c>
      <c r="Y28" s="2">
        <f>COUNTIFS('OB History S2'!$B:$B,$A$28,'OB History S2'!P:P, 1)</f>
        <v>3</v>
      </c>
      <c r="Z28" s="2">
        <f>COUNTIFS('OB History S2'!$B:$B,$A$28,'OB History S2'!Q:Q, 1)</f>
        <v>3</v>
      </c>
      <c r="AA28" s="2">
        <f>COUNTIFS('OB History S2'!$B:$B,$A$28,'OB History S2'!R:R, 1)</f>
        <v>1</v>
      </c>
      <c r="AB28" s="2">
        <f>COUNTIFS('OB History S2'!$B:$B,$A$28,'OB History S2'!S:S, 1)</f>
        <v>1</v>
      </c>
      <c r="AC28" s="2">
        <f>COUNTIFS('OB History S2'!$B:$B,$A$28,'OB History S2'!T:T, 1)</f>
        <v>1</v>
      </c>
      <c r="AD28" s="2">
        <f>COUNTIFS('OB History S2'!$B:$B,$A$28,'OB History S2'!U:U, 1)</f>
        <v>1</v>
      </c>
      <c r="AE28" s="2">
        <f>COUNTIFS('OB History S2'!$B:$B,$A$28,'OB History S2'!V:V, 1)</f>
        <v>1</v>
      </c>
      <c r="AF28" s="2">
        <f>COUNTIFS('OB History S2'!$B:$B,$A$28,'OB History S2'!W:W, 1)</f>
        <v>1</v>
      </c>
      <c r="AG28" s="2">
        <f>COUNTIFS('OB History S2'!$B:$B,$A$28,'OB History S2'!X:X, 1)</f>
        <v>5</v>
      </c>
      <c r="AH28" s="2">
        <f>COUNTIFS('OB History S2'!$B:$B,$A$28,'OB History S2'!Y:Y, 1)</f>
        <v>3</v>
      </c>
      <c r="AI28" s="2">
        <f>COUNTIFS('OB History S2'!$B:$B,$A$28,'OB History S2'!Z:Z, 1)</f>
        <v>3</v>
      </c>
    </row>
    <row r="29" spans="1:35" x14ac:dyDescent="0.25">
      <c r="A29" s="2" t="s">
        <v>161</v>
      </c>
      <c r="B29" s="2" t="s">
        <v>79</v>
      </c>
      <c r="C29" s="2" t="s">
        <v>79</v>
      </c>
      <c r="D29" s="3"/>
      <c r="E29" s="2"/>
      <c r="F29" s="2"/>
      <c r="G29" s="2"/>
      <c r="H29" s="34">
        <f>SUMIFS('OB History S2'!C:C,'OB History S2'!B:B,A29)</f>
        <v>31</v>
      </c>
      <c r="I29" s="4">
        <f>AVERAGEIFS('OB History S2'!C:C,'OB History S2'!B:B,A29)</f>
        <v>15.5</v>
      </c>
      <c r="J29" s="35">
        <f t="array" ref="J29">MAX(IF('OB History S2'!B:B=A29, 'OB History S2'!C:C))</f>
        <v>16</v>
      </c>
      <c r="K29" s="34">
        <f>COUNTIFS('OB History S2'!B:B,A29,'OB History S2'!D:D, 1)</f>
        <v>0</v>
      </c>
      <c r="L29" s="2">
        <f>COUNTIFS('OB History S2'!B:B,A29,'OB History S2'!D:D, 0)</f>
        <v>2</v>
      </c>
      <c r="M29" s="88">
        <f>LOOKUP(2, 1/('OB History S2'!$B:$B=A29), 'OB History S2'!$AD:$AD)</f>
        <v>0</v>
      </c>
      <c r="N29" s="34">
        <f>SUMIFS('OB History S2'!F:F,'OB History S2'!B:B,A29)</f>
        <v>2</v>
      </c>
      <c r="O29" s="2">
        <f>SUMIFS('OB History S2'!E:E,'OB History S2'!B:B,A29)-N29</f>
        <v>6</v>
      </c>
      <c r="P29" s="88">
        <f>LOOKUP(2, 1/('OB History S2'!$B:$B=A29), 'OB History S2'!$AB:$AB)</f>
        <v>0.25</v>
      </c>
      <c r="Q29" s="34">
        <f>SUMIFS('OB History S2'!H:H,'OB History S2'!B:B,A29)</f>
        <v>16</v>
      </c>
      <c r="R29" s="2">
        <f>SUMIFS('OB History S2'!G:G,'OB History S2'!B:B,A29)-Q29</f>
        <v>22</v>
      </c>
      <c r="S29" s="88">
        <f>LOOKUP(2, 1/('OB History S2'!$B:$B=A29), 'OB History S2'!$AC:$AC)</f>
        <v>0.42</v>
      </c>
      <c r="T29" s="2">
        <f>COUNTIFS('OB History S2'!$B:$B,$A$29,'OB History S2'!K:K, 1)</f>
        <v>0</v>
      </c>
      <c r="U29" s="2">
        <f>COUNTIFS('OB History S2'!$B:$B,$A$29,'OB History S2'!L:L, 1)</f>
        <v>0</v>
      </c>
      <c r="V29" s="2">
        <f>COUNTIFS('OB History S2'!$B:$B,$A$29,'OB History S2'!M:M, 1)</f>
        <v>0</v>
      </c>
      <c r="W29" s="2">
        <f>COUNTIFS('OB History S2'!$B:$B,$A$29,'OB History S2'!N:N, 1)</f>
        <v>0</v>
      </c>
      <c r="X29" s="2">
        <f>COUNTIFS('OB History S2'!$B:$B,$A$29,'OB History S2'!O:O, 1)</f>
        <v>0</v>
      </c>
      <c r="Y29" s="2">
        <f>COUNTIFS('OB History S2'!$B:$B,$A$29,'OB History S2'!P:P, 1)</f>
        <v>0</v>
      </c>
      <c r="Z29" s="2">
        <f>COUNTIFS('OB History S2'!$B:$B,$A$29,'OB History S2'!Q:Q, 1)</f>
        <v>0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1</v>
      </c>
      <c r="AG29" s="2">
        <f>COUNTIFS('OB History S2'!$B:$B,$A$29,'OB History S2'!X:X, 1)</f>
        <v>0</v>
      </c>
      <c r="AH29" s="2">
        <f>COUNTIFS('OB History S2'!$B:$B,$A$29,'OB History S2'!Y:Y, 1)</f>
        <v>1</v>
      </c>
      <c r="AI29" s="2">
        <f>COUNTIFS('OB History S2'!$B:$B,$A$29,'OB History S2'!Z:Z, 1)</f>
        <v>0</v>
      </c>
    </row>
    <row r="30" spans="1:35" x14ac:dyDescent="0.25">
      <c r="A30" s="2" t="s">
        <v>13</v>
      </c>
      <c r="B30" s="6" t="s">
        <v>124</v>
      </c>
      <c r="C30" s="6" t="s">
        <v>60</v>
      </c>
      <c r="D30" s="3">
        <v>6</v>
      </c>
      <c r="E30" s="6">
        <v>1</v>
      </c>
      <c r="F30" s="6">
        <v>1</v>
      </c>
      <c r="G30" s="6"/>
      <c r="H30" s="34">
        <f>SUMIFS('OB History S2'!C:C,'OB History S2'!B:B,A30)</f>
        <v>700</v>
      </c>
      <c r="I30" s="4">
        <f>AVERAGEIFS('OB History S2'!C:C,'OB History S2'!B:B,A30)</f>
        <v>25</v>
      </c>
      <c r="J30" s="35">
        <f t="array" ref="J30">MAX(IF('OB History S2'!B:B=A30, 'OB History S2'!C:C))</f>
        <v>58</v>
      </c>
      <c r="K30" s="34">
        <f>COUNTIFS('OB History S2'!B:B,A30,'OB History S2'!D:D, 1)</f>
        <v>17</v>
      </c>
      <c r="L30" s="2">
        <f>COUNTIFS('OB History S2'!B:B,A30,'OB History S2'!D:D, 0)</f>
        <v>11</v>
      </c>
      <c r="M30" s="88">
        <f>LOOKUP(2, 1/('OB History S2'!$B:$B=A30), 'OB History S2'!$AD:$AD)</f>
        <v>0.6071428571428571</v>
      </c>
      <c r="N30" s="34">
        <f>SUMIFS('OB History S2'!F:F,'OB History S2'!B:B,A30)</f>
        <v>63</v>
      </c>
      <c r="O30" s="2">
        <f>SUMIFS('OB History S2'!E:E,'OB History S2'!B:B,A30)-N30</f>
        <v>47</v>
      </c>
      <c r="P30" s="88">
        <f>LOOKUP(2, 1/('OB History S2'!$B:$B=A30), 'OB History S2'!$AB:$AB)</f>
        <v>0.5892857142857143</v>
      </c>
      <c r="Q30" s="34">
        <f>SUMIFS('OB History S2'!H:H,'OB History S2'!B:B,A30)</f>
        <v>248</v>
      </c>
      <c r="R30" s="2">
        <f>SUMIFS('OB History S2'!G:G,'OB History S2'!B:B,A30)-Q30</f>
        <v>201</v>
      </c>
      <c r="S30" s="88">
        <f>LOOKUP(2, 1/('OB History S2'!$B:$B=A30), 'OB History S2'!$AC:$AC)</f>
        <v>0.55821428571428566</v>
      </c>
      <c r="T30" s="2">
        <f>COUNTIFS('OB History S2'!$B:$B,$A$30,'OB History S2'!K:K, 1)</f>
        <v>4</v>
      </c>
      <c r="U30" s="2">
        <f>COUNTIFS('OB History S2'!$B:$B,$A$30,'OB History S2'!L:L, 1)</f>
        <v>4</v>
      </c>
      <c r="V30" s="2">
        <f>COUNTIFS('OB History S2'!$B:$B,$A$30,'OB History S2'!M:M, 1)</f>
        <v>1</v>
      </c>
      <c r="W30" s="2">
        <f>COUNTIFS('OB History S2'!$B:$B,$A$30,'OB History S2'!N:N, 1)</f>
        <v>6</v>
      </c>
      <c r="X30" s="2">
        <f>COUNTIFS('OB History S2'!$B:$B,$A$30,'OB History S2'!O:O, 1)</f>
        <v>0</v>
      </c>
      <c r="Y30" s="2">
        <f>COUNTIFS('OB History S2'!$B:$B,$A$30,'OB History S2'!P:P, 1)</f>
        <v>6</v>
      </c>
      <c r="Z30" s="2">
        <f>COUNTIFS('OB History S2'!$B:$B,$A$30,'OB History S2'!Q:Q, 1)</f>
        <v>1</v>
      </c>
      <c r="AA30" s="2">
        <f>COUNTIFS('OB History S2'!$B:$B,$A$30,'OB History S2'!R:R, 1)</f>
        <v>3</v>
      </c>
      <c r="AB30" s="2">
        <f>COUNTIFS('OB History S2'!$B:$B,$A$30,'OB History S2'!S:S, 1)</f>
        <v>1</v>
      </c>
      <c r="AC30" s="2">
        <f>COUNTIFS('OB History S2'!$B:$B,$A$30,'OB History S2'!T:T, 1)</f>
        <v>3</v>
      </c>
      <c r="AD30" s="2">
        <f>COUNTIFS('OB History S2'!$B:$B,$A$30,'OB History S2'!U:U, 1)</f>
        <v>1</v>
      </c>
      <c r="AE30" s="2">
        <f>COUNTIFS('OB History S2'!$B:$B,$A$30,'OB History S2'!V:V, 1)</f>
        <v>1</v>
      </c>
      <c r="AF30" s="2">
        <f>COUNTIFS('OB History S2'!$B:$B,$A$30,'OB History S2'!W:W, 1)</f>
        <v>5</v>
      </c>
      <c r="AG30" s="2">
        <f>COUNTIFS('OB History S2'!$B:$B,$A$30,'OB History S2'!X:X, 1)</f>
        <v>7</v>
      </c>
      <c r="AH30" s="2">
        <f>COUNTIFS('OB History S2'!$B:$B,$A$30,'OB History S2'!Y:Y, 1)</f>
        <v>11</v>
      </c>
      <c r="AI30" s="2">
        <f>COUNTIFS('OB History S2'!$B:$B,$A$30,'OB History S2'!Z:Z, 1)</f>
        <v>9</v>
      </c>
    </row>
    <row r="31" spans="1:35" x14ac:dyDescent="0.25">
      <c r="A31" s="2" t="s">
        <v>2</v>
      </c>
      <c r="B31" s="6" t="s">
        <v>60</v>
      </c>
      <c r="C31" s="6" t="s">
        <v>79</v>
      </c>
      <c r="D31" s="3"/>
      <c r="E31" s="6"/>
      <c r="F31" s="6"/>
      <c r="G31" s="6"/>
      <c r="H31" s="34">
        <f>SUMIFS('OB History S2'!C:C,'OB History S2'!B:B,A31)</f>
        <v>103</v>
      </c>
      <c r="I31" s="4">
        <f>AVERAGEIFS('OB History S2'!C:C,'OB History S2'!B:B,A31)</f>
        <v>25.75</v>
      </c>
      <c r="J31" s="35">
        <f t="array" ref="J31">MAX(IF('OB History S2'!B:B=A31, 'OB History S2'!C:C))</f>
        <v>52</v>
      </c>
      <c r="K31" s="34">
        <f>COUNTIFS('OB History S2'!B:B,A31,'OB History S2'!D:D, 1)</f>
        <v>3</v>
      </c>
      <c r="L31" s="2">
        <f>COUNTIFS('OB History S2'!B:B,A31,'OB History S2'!D:D, 0)</f>
        <v>1</v>
      </c>
      <c r="M31" s="88">
        <f>LOOKUP(2, 1/('OB History S2'!$B:$B=A31), 'OB History S2'!$AD:$AD)</f>
        <v>0.75</v>
      </c>
      <c r="N31" s="34">
        <f>SUMIFS('OB History S2'!F:F,'OB History S2'!B:B,A31)</f>
        <v>11</v>
      </c>
      <c r="O31" s="2">
        <f>SUMIFS('OB History S2'!E:E,'OB History S2'!B:B,A31)-N31</f>
        <v>3</v>
      </c>
      <c r="P31" s="88">
        <f>LOOKUP(2, 1/('OB History S2'!$B:$B=A31), 'OB History S2'!$AB:$AB)</f>
        <v>0.85</v>
      </c>
      <c r="Q31" s="34">
        <f>SUMIFS('OB History S2'!H:H,'OB History S2'!B:B,A31)</f>
        <v>37</v>
      </c>
      <c r="R31" s="2">
        <f>SUMIFS('OB History S2'!G:G,'OB History S2'!B:B,A31)-Q31</f>
        <v>26</v>
      </c>
      <c r="S31" s="88">
        <f>LOOKUP(2, 1/('OB History S2'!$B:$B=A31), 'OB History S2'!$AC:$AC)</f>
        <v>0.61249999999999993</v>
      </c>
      <c r="T31" s="2">
        <f>COUNTIFS('OB History S2'!$B:$B,$A$31,'OB History S2'!K:K, 1)</f>
        <v>1</v>
      </c>
      <c r="U31" s="2">
        <f>COUNTIFS('OB History S2'!$B:$B,$A$31,'OB History S2'!L:L, 1)</f>
        <v>2</v>
      </c>
      <c r="V31" s="2">
        <f>COUNTIFS('OB History S2'!$B:$B,$A$31,'OB History S2'!M:M, 1)</f>
        <v>0</v>
      </c>
      <c r="W31" s="2">
        <f>COUNTIFS('OB History S2'!$B:$B,$A$31,'OB History S2'!N:N, 1)</f>
        <v>2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0</v>
      </c>
      <c r="AG31" s="2">
        <f>COUNTIFS('OB History S2'!$B:$B,$A$31,'OB History S2'!X:X, 1)</f>
        <v>2</v>
      </c>
      <c r="AH31" s="2">
        <f>COUNTIFS('OB History S2'!$B:$B,$A$31,'OB History S2'!Y:Y, 1)</f>
        <v>1</v>
      </c>
      <c r="AI31" s="2">
        <f>COUNTIFS('OB History S2'!$B:$B,$A$31,'OB History S2'!Z:Z, 1)</f>
        <v>3</v>
      </c>
    </row>
    <row r="32" spans="1:35" x14ac:dyDescent="0.25">
      <c r="A32" s="2" t="s">
        <v>5</v>
      </c>
      <c r="B32" s="6" t="s">
        <v>124</v>
      </c>
      <c r="C32" s="1" t="s">
        <v>159</v>
      </c>
      <c r="D32" s="3">
        <v>1</v>
      </c>
      <c r="E32" s="6"/>
      <c r="F32" s="6"/>
      <c r="G32" s="6"/>
      <c r="H32" s="34">
        <f>SUMIFS('OB History S2'!C:C,'OB History S2'!B:B,A32)</f>
        <v>213</v>
      </c>
      <c r="I32" s="4">
        <f>AVERAGEIFS('OB History S2'!C:C,'OB History S2'!B:B,A32)</f>
        <v>26.625</v>
      </c>
      <c r="J32" s="35">
        <f t="array" ref="J32">MAX(IF('OB History S2'!B:B=A32, 'OB History S2'!C:C))</f>
        <v>51</v>
      </c>
      <c r="K32" s="34">
        <f>COUNTIFS('OB History S2'!B:B,A32,'OB History S2'!D:D, 1)</f>
        <v>5</v>
      </c>
      <c r="L32" s="2">
        <f>COUNTIFS('OB History S2'!B:B,A32,'OB History S2'!D:D, 0)</f>
        <v>3</v>
      </c>
      <c r="M32" s="88">
        <f>LOOKUP(2, 1/('OB History S2'!$B:$B=A32), 'OB History S2'!$AD:$AD)</f>
        <v>0.625</v>
      </c>
      <c r="N32" s="34">
        <f>SUMIFS('OB History S2'!F:F,'OB History S2'!B:B,A32)</f>
        <v>18</v>
      </c>
      <c r="O32" s="2">
        <f>SUMIFS('OB History S2'!E:E,'OB History S2'!B:B,A32)-N32</f>
        <v>14</v>
      </c>
      <c r="P32" s="88">
        <f>LOOKUP(2, 1/('OB History S2'!$B:$B=A32), 'OB History S2'!$AB:$AB)</f>
        <v>0.57499999999999996</v>
      </c>
      <c r="Q32" s="34">
        <f>SUMIFS('OB History S2'!H:H,'OB History S2'!B:B,A32)</f>
        <v>70</v>
      </c>
      <c r="R32" s="2">
        <f>SUMIFS('OB History S2'!G:G,'OB History S2'!B:B,A32)-Q32</f>
        <v>61</v>
      </c>
      <c r="S32" s="88">
        <f>LOOKUP(2, 1/('OB History S2'!$B:$B=A32), 'OB History S2'!$AC:$AC)</f>
        <v>0.53125</v>
      </c>
      <c r="T32" s="2">
        <f>COUNTIFS('OB History S2'!$B:$B,$A$32,'OB History S2'!K:K, 1)</f>
        <v>2</v>
      </c>
      <c r="U32" s="2">
        <f>COUNTIFS('OB History S2'!$B:$B,$A$32,'OB History S2'!L:L, 1)</f>
        <v>3</v>
      </c>
      <c r="V32" s="2">
        <f>COUNTIFS('OB History S2'!$B:$B,$A$32,'OB History S2'!M:M, 1)</f>
        <v>1</v>
      </c>
      <c r="W32" s="2">
        <f>COUNTIFS('OB History S2'!$B:$B,$A$32,'OB History S2'!N:N, 1)</f>
        <v>2</v>
      </c>
      <c r="X32" s="2">
        <f>COUNTIFS('OB History S2'!$B:$B,$A$32,'OB History S2'!O:O, 1)</f>
        <v>2</v>
      </c>
      <c r="Y32" s="2">
        <f>COUNTIFS('OB History S2'!$B:$B,$A$32,'OB History S2'!P:P, 1)</f>
        <v>2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1</v>
      </c>
      <c r="AG32" s="2">
        <f>COUNTIFS('OB History S2'!$B:$B,$A$32,'OB History S2'!X:X, 1)</f>
        <v>1</v>
      </c>
      <c r="AH32" s="2">
        <f>COUNTIFS('OB History S2'!$B:$B,$A$32,'OB History S2'!Y:Y, 1)</f>
        <v>2</v>
      </c>
      <c r="AI32" s="2">
        <f>COUNTIFS('OB History S2'!$B:$B,$A$32,'OB History S2'!Z:Z, 1)</f>
        <v>2</v>
      </c>
    </row>
    <row r="33" spans="1:35" x14ac:dyDescent="0.25">
      <c r="A33" s="2" t="s">
        <v>38</v>
      </c>
      <c r="B33" s="6" t="s">
        <v>79</v>
      </c>
      <c r="C33" s="6" t="s">
        <v>79</v>
      </c>
      <c r="D33" s="3">
        <v>1</v>
      </c>
      <c r="E33" s="6"/>
      <c r="F33" s="6"/>
      <c r="G33" s="6"/>
      <c r="H33" s="34">
        <f>SUMIFS('OB History S2'!C:C,'OB History S2'!B:B,A33)</f>
        <v>81</v>
      </c>
      <c r="I33" s="4">
        <f>AVERAGEIFS('OB History S2'!C:C,'OB History S2'!B:B,A33)</f>
        <v>11.571428571428571</v>
      </c>
      <c r="J33" s="35">
        <f t="array" ref="J33">MAX(IF('OB History S2'!B:B=A33, 'OB History S2'!C:C))</f>
        <v>28</v>
      </c>
      <c r="K33" s="34">
        <f>COUNTIFS('OB History S2'!B:B,A33,'OB History S2'!D:D, 1)</f>
        <v>4</v>
      </c>
      <c r="L33" s="2">
        <f>COUNTIFS('OB History S2'!B:B,A33,'OB History S2'!D:D, 0)</f>
        <v>3</v>
      </c>
      <c r="M33" s="88">
        <f>LOOKUP(2, 1/('OB History S2'!$B:$B=A33), 'OB History S2'!$AD:$AD)</f>
        <v>0.5714285714285714</v>
      </c>
      <c r="N33" s="34">
        <f>SUMIFS('OB History S2'!F:F,'OB History S2'!B:B,A33)</f>
        <v>15</v>
      </c>
      <c r="O33" s="2">
        <f>SUMIFS('OB History S2'!E:E,'OB History S2'!B:B,A33)-N33</f>
        <v>15</v>
      </c>
      <c r="P33" s="88">
        <f>LOOKUP(2, 1/('OB History S2'!$B:$B=A33), 'OB History S2'!$AB:$AB)</f>
        <v>0.47857142857142859</v>
      </c>
      <c r="Q33" s="34">
        <f>SUMIFS('OB History S2'!H:H,'OB History S2'!B:B,A33)</f>
        <v>61</v>
      </c>
      <c r="R33" s="2">
        <f>SUMIFS('OB History S2'!G:G,'OB History S2'!B:B,A33)-Q33</f>
        <v>62</v>
      </c>
      <c r="S33" s="88">
        <f>LOOKUP(2, 1/('OB History S2'!$B:$B=A33), 'OB History S2'!$AC:$AC)</f>
        <v>0.48571428571428571</v>
      </c>
      <c r="T33" s="2">
        <f>COUNTIFS('OB History S2'!$B:$B,$A$33,'OB History S2'!K:K, 1)</f>
        <v>0</v>
      </c>
      <c r="U33" s="2">
        <f>COUNTIFS('OB History S2'!$B:$B,$A$33,'OB History S2'!L:L, 1)</f>
        <v>0</v>
      </c>
      <c r="V33" s="2">
        <f>COUNTIFS('OB History S2'!$B:$B,$A$33,'OB History S2'!M:M, 1)</f>
        <v>0</v>
      </c>
      <c r="W33" s="2">
        <f>COUNTIFS('OB History S2'!$B:$B,$A$33,'OB History S2'!N:N, 1)</f>
        <v>2</v>
      </c>
      <c r="X33" s="2">
        <f>COUNTIFS('OB History S2'!$B:$B,$A$33,'OB History S2'!O:O, 1)</f>
        <v>0</v>
      </c>
      <c r="Y33" s="2">
        <f>COUNTIFS('OB History S2'!$B:$B,$A$33,'OB History S2'!P:P, 1)</f>
        <v>1</v>
      </c>
      <c r="Z33" s="2">
        <f>COUNTIFS('OB History S2'!$B:$B,$A$33,'OB History S2'!Q:Q, 1)</f>
        <v>1</v>
      </c>
      <c r="AA33" s="2">
        <f>COUNTIFS('OB History S2'!$B:$B,$A$33,'OB History S2'!R:R, 1)</f>
        <v>2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1</v>
      </c>
      <c r="AG33" s="2">
        <f>COUNTIFS('OB History S2'!$B:$B,$A$33,'OB History S2'!X:X, 1)</f>
        <v>3</v>
      </c>
      <c r="AH33" s="2">
        <f>COUNTIFS('OB History S2'!$B:$B,$A$33,'OB History S2'!Y:Y, 1)</f>
        <v>2</v>
      </c>
      <c r="AI33" s="2">
        <f>COUNTIFS('OB History S2'!$B:$B,$A$33,'OB History S2'!Z:Z, 1)</f>
        <v>3</v>
      </c>
    </row>
    <row r="34" spans="1:35" x14ac:dyDescent="0.25">
      <c r="A34" s="2" t="s">
        <v>141</v>
      </c>
      <c r="B34" s="2" t="s">
        <v>79</v>
      </c>
      <c r="C34" s="2" t="s">
        <v>79</v>
      </c>
      <c r="D34" s="3">
        <v>1</v>
      </c>
      <c r="E34" s="2"/>
      <c r="F34" s="2"/>
      <c r="G34" s="2"/>
      <c r="H34" s="34">
        <f>SUMIFS('OB History S2'!C:C,'OB History S2'!B:B,A34)</f>
        <v>101</v>
      </c>
      <c r="I34" s="4">
        <f>AVERAGEIFS('OB History S2'!C:C,'OB History S2'!B:B,A34)</f>
        <v>16.833333333333332</v>
      </c>
      <c r="J34" s="35">
        <f t="array" ref="J34">MAX(IF('OB History S2'!B:B=A34, 'OB History S2'!C:C))</f>
        <v>24</v>
      </c>
      <c r="K34" s="34">
        <f>COUNTIFS('OB History S2'!B:B,A34,'OB History S2'!D:D, 1)</f>
        <v>1</v>
      </c>
      <c r="L34" s="2">
        <f>COUNTIFS('OB History S2'!B:B,A34,'OB History S2'!D:D, 0)</f>
        <v>5</v>
      </c>
      <c r="M34" s="88">
        <f>LOOKUP(2, 1/('OB History S2'!$B:$B=A34), 'OB History S2'!$AD:$AD)</f>
        <v>0.16666666666666666</v>
      </c>
      <c r="N34" s="34">
        <f>SUMIFS('OB History S2'!F:F,'OB History S2'!B:B,A34)</f>
        <v>9</v>
      </c>
      <c r="O34" s="2">
        <f>SUMIFS('OB History S2'!E:E,'OB History S2'!B:B,A34)-N34</f>
        <v>15</v>
      </c>
      <c r="P34" s="88">
        <f>LOOKUP(2, 1/('OB History S2'!$B:$B=A34), 'OB History S2'!$AB:$AB)</f>
        <v>0.3833333333333333</v>
      </c>
      <c r="Q34" s="34">
        <f>SUMIFS('OB History S2'!H:H,'OB History S2'!B:B,A34)</f>
        <v>44</v>
      </c>
      <c r="R34" s="2">
        <f>SUMIFS('OB History S2'!G:G,'OB History S2'!B:B,A34)-Q34</f>
        <v>59</v>
      </c>
      <c r="S34" s="88">
        <f>LOOKUP(2, 1/('OB History S2'!$B:$B=A34), 'OB History S2'!$AC:$AC)</f>
        <v>0.43166666666666664</v>
      </c>
      <c r="T34" s="2">
        <f>COUNTIFS('OB History S2'!$B:$B,$A$34,'OB History S2'!K:K, 1)</f>
        <v>1</v>
      </c>
      <c r="U34" s="2">
        <f>COUNTIFS('OB History S2'!$B:$B,$A$34,'OB History S2'!L:L, 1)</f>
        <v>1</v>
      </c>
      <c r="V34" s="2">
        <f>COUNTIFS('OB History S2'!$B:$B,$A$34,'OB History S2'!M:M, 1)</f>
        <v>0</v>
      </c>
      <c r="W34" s="2">
        <f>COUNTIFS('OB History S2'!$B:$B,$A$34,'OB History S2'!N:N, 1)</f>
        <v>0</v>
      </c>
      <c r="X34" s="2">
        <f>COUNTIFS('OB History S2'!$B:$B,$A$34,'OB History S2'!O:O, 1)</f>
        <v>0</v>
      </c>
      <c r="Y34" s="2">
        <f>COUNTIFS('OB History S2'!$B:$B,$A$34,'OB History S2'!P:P, 1)</f>
        <v>1</v>
      </c>
      <c r="Z34" s="2">
        <f>COUNTIFS('OB History S2'!$B:$B,$A$34,'OB History S2'!Q:Q, 1)</f>
        <v>1</v>
      </c>
      <c r="AA34" s="2">
        <f>COUNTIFS('OB History S2'!$B:$B,$A$34,'OB History S2'!R:R, 1)</f>
        <v>0</v>
      </c>
      <c r="AB34" s="2">
        <f>COUNTIFS('OB History S2'!$B:$B,$A$34,'OB History S2'!S:S, 1)</f>
        <v>0</v>
      </c>
      <c r="AC34" s="2">
        <f>COUNTIFS('OB History S2'!$B:$B,$A$34,'OB History S2'!T:T, 1)</f>
        <v>1</v>
      </c>
      <c r="AD34" s="2">
        <f>COUNTIFS('OB History S2'!$B:$B,$A$34,'OB History S2'!U:U, 1)</f>
        <v>0</v>
      </c>
      <c r="AE34" s="2">
        <f>COUNTIFS('OB History S2'!$B:$B,$A$34,'OB History S2'!V:V, 1)</f>
        <v>0</v>
      </c>
      <c r="AF34" s="2">
        <f>COUNTIFS('OB History S2'!$B:$B,$A$34,'OB History S2'!W:W, 1)</f>
        <v>1</v>
      </c>
      <c r="AG34" s="2">
        <f>COUNTIFS('OB History S2'!$B:$B,$A$34,'OB History S2'!X:X, 1)</f>
        <v>1</v>
      </c>
      <c r="AH34" s="2">
        <f>COUNTIFS('OB History S2'!$B:$B,$A$34,'OB History S2'!Y:Y, 1)</f>
        <v>1</v>
      </c>
      <c r="AI34" s="2">
        <f>COUNTIFS('OB History S2'!$B:$B,$A$34,'OB History S2'!Z:Z, 1)</f>
        <v>1</v>
      </c>
    </row>
    <row r="35" spans="1:35" x14ac:dyDescent="0.25">
      <c r="A35" s="2" t="s">
        <v>40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205</v>
      </c>
      <c r="I35" s="4">
        <f>AVERAGEIFS('OB History S2'!C:C,'OB History S2'!B:B,A35)</f>
        <v>18.636363636363637</v>
      </c>
      <c r="J35" s="35">
        <f t="array" ref="J35">MAX(IF('OB History S2'!B:B=A35, 'OB History S2'!C:C))</f>
        <v>28</v>
      </c>
      <c r="K35" s="34">
        <f>COUNTIFS('OB History S2'!B:B,A35,'OB History S2'!D:D, 1)</f>
        <v>5</v>
      </c>
      <c r="L35" s="2">
        <f>COUNTIFS('OB History S2'!B:B,A35,'OB History S2'!D:D, 0)</f>
        <v>6</v>
      </c>
      <c r="M35" s="88">
        <f>LOOKUP(2, 1/('OB History S2'!$B:$B=A35), 'OB History S2'!$AD:$AD)</f>
        <v>0.45454545454545453</v>
      </c>
      <c r="N35" s="34">
        <f>SUMIFS('OB History S2'!F:F,'OB History S2'!B:B,A35)</f>
        <v>24</v>
      </c>
      <c r="O35" s="2">
        <f>SUMIFS('OB History S2'!E:E,'OB History S2'!B:B,A35)-N35</f>
        <v>23</v>
      </c>
      <c r="P35" s="88">
        <f>LOOKUP(2, 1/('OB History S2'!$B:$B=A35), 'OB History S2'!$AB:$AB)</f>
        <v>0.52727272727272723</v>
      </c>
      <c r="Q35" s="34">
        <f>SUMIFS('OB History S2'!H:H,'OB History S2'!B:B,A35)</f>
        <v>94</v>
      </c>
      <c r="R35" s="2">
        <f>SUMIFS('OB History S2'!G:G,'OB History S2'!B:B,A35)-Q35</f>
        <v>97</v>
      </c>
      <c r="S35" s="88">
        <f>LOOKUP(2, 1/('OB History S2'!$B:$B=A35), 'OB History S2'!$AC:$AC)</f>
        <v>0.49272727272727274</v>
      </c>
      <c r="T35" s="2">
        <f>COUNTIFS('OB History S2'!$B:$B,$A$35,'OB History S2'!K:K, 1)</f>
        <v>2</v>
      </c>
      <c r="U35" s="2">
        <f>COUNTIFS('OB History S2'!$B:$B,$A$35,'OB History S2'!L:L, 1)</f>
        <v>2</v>
      </c>
      <c r="V35" s="2">
        <f>COUNTIFS('OB History S2'!$B:$B,$A$35,'OB History S2'!M:M, 1)</f>
        <v>2</v>
      </c>
      <c r="W35" s="2">
        <f>COUNTIFS('OB History S2'!$B:$B,$A$35,'OB History S2'!N:N, 1)</f>
        <v>1</v>
      </c>
      <c r="X35" s="2">
        <f>COUNTIFS('OB History S2'!$B:$B,$A$35,'OB History S2'!O:O, 1)</f>
        <v>1</v>
      </c>
      <c r="Y35" s="2">
        <f>COUNTIFS('OB History S2'!$B:$B,$A$35,'OB History S2'!P:P, 1)</f>
        <v>2</v>
      </c>
      <c r="Z35" s="2">
        <f>COUNTIFS('OB History S2'!$B:$B,$A$35,'OB History S2'!Q:Q, 1)</f>
        <v>2</v>
      </c>
      <c r="AA35" s="2">
        <f>COUNTIFS('OB History S2'!$B:$B,$A$35,'OB History S2'!R:R, 1)</f>
        <v>0</v>
      </c>
      <c r="AB35" s="2">
        <f>COUNTIFS('OB History S2'!$B:$B,$A$35,'OB History S2'!S:S, 1)</f>
        <v>1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1</v>
      </c>
      <c r="AG35" s="2">
        <f>COUNTIFS('OB History S2'!$B:$B,$A$35,'OB History S2'!X:X, 1)</f>
        <v>4</v>
      </c>
      <c r="AH35" s="2">
        <f>COUNTIFS('OB History S2'!$B:$B,$A$35,'OB History S2'!Y:Y, 1)</f>
        <v>3</v>
      </c>
      <c r="AI35" s="2">
        <f>COUNTIFS('OB History S2'!$B:$B,$A$35,'OB History S2'!Z:Z, 1)</f>
        <v>3</v>
      </c>
    </row>
    <row r="36" spans="1:35" x14ac:dyDescent="0.25">
      <c r="A36" s="2" t="s">
        <v>147</v>
      </c>
      <c r="B36" s="2" t="s">
        <v>79</v>
      </c>
      <c r="C36" s="2" t="s">
        <v>79</v>
      </c>
      <c r="D36" s="3"/>
      <c r="E36" s="2"/>
      <c r="F36" s="2"/>
      <c r="G36" s="2"/>
      <c r="H36" s="34">
        <f>SUMIFS('OB History S2'!C:C,'OB History S2'!B:B,A36)</f>
        <v>110</v>
      </c>
      <c r="I36" s="4">
        <f>AVERAGEIFS('OB History S2'!C:C,'OB History S2'!B:B,A36)</f>
        <v>15.714285714285714</v>
      </c>
      <c r="J36" s="35">
        <f t="array" ref="J36">MAX(IF('OB History S2'!B:B=A36, 'OB History S2'!C:C))</f>
        <v>34</v>
      </c>
      <c r="K36" s="34">
        <f>COUNTIFS('OB History S2'!B:B,A36,'OB History S2'!D:D, 1)</f>
        <v>2</v>
      </c>
      <c r="L36" s="2">
        <f>COUNTIFS('OB History S2'!B:B,A36,'OB History S2'!D:D, 0)</f>
        <v>5</v>
      </c>
      <c r="M36" s="88">
        <f>LOOKUP(2, 1/('OB History S2'!$B:$B=A36), 'OB History S2'!$AD:$AD)</f>
        <v>0.2857142857142857</v>
      </c>
      <c r="N36" s="34">
        <f>SUMIFS('OB History S2'!F:F,'OB History S2'!B:B,A36)</f>
        <v>8</v>
      </c>
      <c r="O36" s="2">
        <f>SUMIFS('OB History S2'!E:E,'OB History S2'!B:B,A36)-N36</f>
        <v>16</v>
      </c>
      <c r="P36" s="88">
        <f>LOOKUP(2, 1/('OB History S2'!$B:$B=A36), 'OB History S2'!$AB:$AB)</f>
        <v>0.30714285714285711</v>
      </c>
      <c r="Q36" s="34">
        <f>SUMIFS('OB History S2'!H:H,'OB History S2'!B:B,A36)</f>
        <v>43</v>
      </c>
      <c r="R36" s="2">
        <f>SUMIFS('OB History S2'!G:G,'OB History S2'!B:B,A36)-Q36</f>
        <v>57</v>
      </c>
      <c r="S36" s="88">
        <f>LOOKUP(2, 1/('OB History S2'!$B:$B=A36), 'OB History S2'!$AC:$AC)</f>
        <v>0.41714285714285715</v>
      </c>
      <c r="T36" s="2">
        <f>COUNTIFS('OB History S2'!$B:$B,$A$36,'OB History S2'!K:K, 1)</f>
        <v>1</v>
      </c>
      <c r="U36" s="2">
        <f>COUNTIFS('OB History S2'!$B:$B,$A$36,'OB History S2'!L:L, 1)</f>
        <v>1</v>
      </c>
      <c r="V36" s="2">
        <f>COUNTIFS('OB History S2'!$B:$B,$A$36,'OB History S2'!M:M, 1)</f>
        <v>1</v>
      </c>
      <c r="W36" s="2">
        <f>COUNTIFS('OB History S2'!$B:$B,$A$36,'OB History S2'!N:N, 1)</f>
        <v>1</v>
      </c>
      <c r="X36" s="2">
        <f>COUNTIFS('OB History S2'!$B:$B,$A$36,'OB History S2'!O:O, 1)</f>
        <v>0</v>
      </c>
      <c r="Y36" s="2">
        <f>COUNTIFS('OB History S2'!$B:$B,$A$36,'OB History S2'!P:P, 1)</f>
        <v>1</v>
      </c>
      <c r="Z36" s="2">
        <f>COUNTIFS('OB History S2'!$B:$B,$A$36,'OB History S2'!Q:Q, 1)</f>
        <v>0</v>
      </c>
      <c r="AA36" s="2">
        <f>COUNTIFS('OB History S2'!$B:$B,$A$36,'OB History S2'!R:R, 1)</f>
        <v>0</v>
      </c>
      <c r="AB36" s="2">
        <f>COUNTIFS('OB History S2'!$B:$B,$A$36,'OB History S2'!S:S, 1)</f>
        <v>1</v>
      </c>
      <c r="AC36" s="2">
        <f>COUNTIFS('OB History S2'!$B:$B,$A$36,'OB History S2'!T:T, 1)</f>
        <v>0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0</v>
      </c>
      <c r="AG36" s="2">
        <f>COUNTIFS('OB History S2'!$B:$B,$A$36,'OB History S2'!X:X, 1)</f>
        <v>0</v>
      </c>
      <c r="AH36" s="2">
        <f>COUNTIFS('OB History S2'!$B:$B,$A$36,'OB History S2'!Y:Y, 1)</f>
        <v>1</v>
      </c>
      <c r="AI36" s="2">
        <f>COUNTIFS('OB History S2'!$B:$B,$A$36,'OB History S2'!Z:Z, 1)</f>
        <v>1</v>
      </c>
    </row>
    <row r="37" spans="1:35" x14ac:dyDescent="0.25">
      <c r="A37" s="2" t="s">
        <v>17</v>
      </c>
      <c r="B37" s="2" t="s">
        <v>79</v>
      </c>
      <c r="C37" s="2" t="s">
        <v>79</v>
      </c>
      <c r="D37" s="3">
        <v>11</v>
      </c>
      <c r="E37" s="2">
        <v>3</v>
      </c>
      <c r="F37" s="2"/>
      <c r="G37" s="2"/>
      <c r="H37" s="34">
        <f>SUMIFS('OB History S2'!C:C,'OB History S2'!B:B,A37)</f>
        <v>521</v>
      </c>
      <c r="I37" s="4">
        <f>AVERAGEIFS('OB History S2'!C:C,'OB History S2'!B:B,A37)</f>
        <v>22.652173913043477</v>
      </c>
      <c r="J37" s="35">
        <f t="array" ref="J37">MAX(IF('OB History S2'!B:B=A37, 'OB History S2'!C:C))</f>
        <v>58</v>
      </c>
      <c r="K37" s="34">
        <f>COUNTIFS('OB History S2'!B:B,A37,'OB History S2'!D:D, 1)</f>
        <v>11</v>
      </c>
      <c r="L37" s="2">
        <f>COUNTIFS('OB History S2'!B:B,A37,'OB History S2'!D:D, 0)</f>
        <v>12</v>
      </c>
      <c r="M37" s="88">
        <f>LOOKUP(2, 1/('OB History S2'!$B:$B=A37), 'OB History S2'!$AD:$AD)</f>
        <v>0.47826086956521741</v>
      </c>
      <c r="N37" s="34">
        <f>SUMIFS('OB History S2'!F:F,'OB History S2'!B:B,A37)</f>
        <v>41</v>
      </c>
      <c r="O37" s="2">
        <f>SUMIFS('OB History S2'!E:E,'OB History S2'!B:B,A37)-N37</f>
        <v>49</v>
      </c>
      <c r="P37" s="88">
        <f>LOOKUP(2, 1/('OB History S2'!$B:$B=A37), 'OB History S2'!$AB:$AB)</f>
        <v>0.44130434782608696</v>
      </c>
      <c r="Q37" s="34">
        <f>SUMIFS('OB History S2'!H:H,'OB History S2'!B:B,A37)</f>
        <v>180</v>
      </c>
      <c r="R37" s="2">
        <f>SUMIFS('OB History S2'!G:G,'OB History S2'!B:B,A37)-Q37</f>
        <v>190</v>
      </c>
      <c r="S37" s="88">
        <f>LOOKUP(2, 1/('OB History S2'!$B:$B=A37), 'OB History S2'!$AC:$AC)</f>
        <v>0.48347826086956508</v>
      </c>
      <c r="T37" s="2">
        <f>COUNTIFS('OB History S2'!$B:$B,$A$37,'OB History S2'!K:K, 1)</f>
        <v>1</v>
      </c>
      <c r="U37" s="2">
        <f>COUNTIFS('OB History S2'!$B:$B,$A$37,'OB History S2'!L:L, 1)</f>
        <v>4</v>
      </c>
      <c r="V37" s="2">
        <f>COUNTIFS('OB History S2'!$B:$B,$A$37,'OB History S2'!M:M, 1)</f>
        <v>1</v>
      </c>
      <c r="W37" s="2">
        <f>COUNTIFS('OB History S2'!$B:$B,$A$37,'OB History S2'!N:N, 1)</f>
        <v>2</v>
      </c>
      <c r="X37" s="2">
        <f>COUNTIFS('OB History S2'!$B:$B,$A$37,'OB History S2'!O:O, 1)</f>
        <v>1</v>
      </c>
      <c r="Y37" s="2">
        <f>COUNTIFS('OB History S2'!$B:$B,$A$37,'OB History S2'!P:P, 1)</f>
        <v>0</v>
      </c>
      <c r="Z37" s="2">
        <f>COUNTIFS('OB History S2'!$B:$B,$A$37,'OB History S2'!Q:Q, 1)</f>
        <v>3</v>
      </c>
      <c r="AA37" s="2">
        <f>COUNTIFS('OB History S2'!$B:$B,$A$37,'OB History S2'!R:R, 1)</f>
        <v>4</v>
      </c>
      <c r="AB37" s="2">
        <f>COUNTIFS('OB History S2'!$B:$B,$A$37,'OB History S2'!S:S, 1)</f>
        <v>0</v>
      </c>
      <c r="AC37" s="2">
        <f>COUNTIFS('OB History S2'!$B:$B,$A$37,'OB History S2'!T:T, 1)</f>
        <v>2</v>
      </c>
      <c r="AD37" s="2">
        <f>COUNTIFS('OB History S2'!$B:$B,$A$37,'OB History S2'!U:U, 1)</f>
        <v>0</v>
      </c>
      <c r="AE37" s="2">
        <f>COUNTIFS('OB History S2'!$B:$B,$A$37,'OB History S2'!V:V, 1)</f>
        <v>1</v>
      </c>
      <c r="AF37" s="2">
        <f>COUNTIFS('OB History S2'!$B:$B,$A$37,'OB History S2'!W:W, 1)</f>
        <v>1</v>
      </c>
      <c r="AG37" s="2">
        <f>COUNTIFS('OB History S2'!$B:$B,$A$37,'OB History S2'!X:X, 1)</f>
        <v>11</v>
      </c>
      <c r="AH37" s="2">
        <f>COUNTIFS('OB History S2'!$B:$B,$A$37,'OB History S2'!Y:Y, 1)</f>
        <v>3</v>
      </c>
      <c r="AI37" s="2">
        <f>COUNTIFS('OB History S2'!$B:$B,$A$37,'OB History S2'!Z:Z, 1)</f>
        <v>7</v>
      </c>
    </row>
    <row r="38" spans="1:35" x14ac:dyDescent="0.25">
      <c r="A38" s="2" t="s">
        <v>167</v>
      </c>
      <c r="B38" s="2" t="s">
        <v>79</v>
      </c>
      <c r="C38" s="2" t="s">
        <v>79</v>
      </c>
      <c r="D38" s="3">
        <v>1</v>
      </c>
      <c r="E38" s="2"/>
      <c r="F38" s="2"/>
      <c r="G38" s="2"/>
      <c r="H38" s="34">
        <f>SUMIFS('OB History S2'!C:C,'OB History S2'!B:B,A38)</f>
        <v>29</v>
      </c>
      <c r="I38" s="4">
        <f>AVERAGEIFS('OB History S2'!C:C,'OB History S2'!B:B,A38)</f>
        <v>14.5</v>
      </c>
      <c r="J38" s="35">
        <f t="array" ref="J38">MAX(IF('OB History S2'!B:B=A38, 'OB History S2'!C:C))</f>
        <v>18</v>
      </c>
      <c r="K38" s="34">
        <f>COUNTIFS('OB History S2'!B:B,A38,'OB History S2'!D:D, 1)</f>
        <v>0</v>
      </c>
      <c r="L38" s="2">
        <f>COUNTIFS('OB History S2'!B:B,A38,'OB History S2'!D:D, 0)</f>
        <v>2</v>
      </c>
      <c r="M38" s="88">
        <f>LOOKUP(2, 1/('OB History S2'!$B:$B=A38), 'OB History S2'!$AD:$AD)</f>
        <v>0</v>
      </c>
      <c r="N38" s="34">
        <f>SUMIFS('OB History S2'!F:F,'OB History S2'!B:B,A38)</f>
        <v>0</v>
      </c>
      <c r="O38" s="2">
        <f>SUMIFS('OB History S2'!E:E,'OB History S2'!B:B,A38)-N38</f>
        <v>6</v>
      </c>
      <c r="P38" s="88">
        <f>LOOKUP(2, 1/('OB History S2'!$B:$B=A38), 'OB History S2'!$AB:$AB)</f>
        <v>0</v>
      </c>
      <c r="Q38" s="34">
        <f>SUMIFS('OB History S2'!H:H,'OB History S2'!B:B,A38)</f>
        <v>7</v>
      </c>
      <c r="R38" s="2">
        <f>SUMIFS('OB History S2'!G:G,'OB History S2'!B:B,A38)-Q38</f>
        <v>18</v>
      </c>
      <c r="S38" s="88">
        <f>LOOKUP(2, 1/('OB History S2'!$B:$B=A38), 'OB History S2'!$AC:$AC)</f>
        <v>0.28000000000000003</v>
      </c>
      <c r="T38" s="2">
        <f>COUNTIFS('OB History S2'!$B:$B,$A$38,'OB History S2'!K:K, 1)</f>
        <v>0</v>
      </c>
      <c r="U38" s="2">
        <f>COUNTIFS('OB History S2'!$B:$B,$A$38,'OB History S2'!L:L, 1)</f>
        <v>0</v>
      </c>
      <c r="V38" s="2">
        <f>COUNTIFS('OB History S2'!$B:$B,$A$38,'OB History S2'!M:M, 1)</f>
        <v>0</v>
      </c>
      <c r="W38" s="2">
        <f>COUNTIFS('OB History S2'!$B:$B,$A$38,'OB History S2'!N:N, 1)</f>
        <v>0</v>
      </c>
      <c r="X38" s="2">
        <f>COUNTIFS('OB History S2'!$B:$B,$A$38,'OB History S2'!O:O, 1)</f>
        <v>0</v>
      </c>
      <c r="Y38" s="2">
        <f>COUNTIFS('OB History S2'!$B:$B,$A$38,'OB History S2'!P:P, 1)</f>
        <v>0</v>
      </c>
      <c r="Z38" s="2">
        <f>COUNTIFS('OB History S2'!$B:$B,$A$38,'OB History S2'!Q:Q, 1)</f>
        <v>0</v>
      </c>
      <c r="AA38" s="2">
        <f>COUNTIFS('OB History S2'!$B:$B,$A$38,'OB History S2'!R:R, 1)</f>
        <v>0</v>
      </c>
      <c r="AB38" s="2">
        <f>COUNTIFS('OB History S2'!$B:$B,$A$38,'OB History S2'!S:S, 1)</f>
        <v>0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0</v>
      </c>
      <c r="AG38" s="2">
        <f>COUNTIFS('OB History S2'!$B:$B,$A$38,'OB History S2'!X:X, 1)</f>
        <v>0</v>
      </c>
      <c r="AH38" s="2">
        <f>COUNTIFS('OB History S2'!$B:$B,$A$38,'OB History S2'!Y:Y, 1)</f>
        <v>0</v>
      </c>
      <c r="AI38" s="2">
        <f>COUNTIFS('OB History S2'!$B:$B,$A$38,'OB History S2'!Z:Z, 1)</f>
        <v>0</v>
      </c>
    </row>
    <row r="39" spans="1:35" x14ac:dyDescent="0.25">
      <c r="A39" s="2" t="s">
        <v>155</v>
      </c>
      <c r="B39" s="2" t="s">
        <v>60</v>
      </c>
      <c r="C39" s="2" t="s">
        <v>79</v>
      </c>
      <c r="D39" s="3">
        <v>6</v>
      </c>
      <c r="E39" s="3">
        <v>1</v>
      </c>
      <c r="F39" s="3"/>
      <c r="G39" s="3"/>
      <c r="H39" s="34">
        <f>SUMIFS('OB History S2'!C:C,'OB History S2'!B:B,A39)</f>
        <v>388</v>
      </c>
      <c r="I39" s="4">
        <f>AVERAGEIFS('OB History S2'!C:C,'OB History S2'!B:B,A39)</f>
        <v>17.636363636363637</v>
      </c>
      <c r="J39" s="35">
        <f t="array" ref="J39">MAX(IF('OB History S2'!B:B=A39, 'OB History S2'!C:C))</f>
        <v>43</v>
      </c>
      <c r="K39" s="34">
        <f>COUNTIFS('OB History S2'!B:B,A39,'OB History S2'!D:D, 1)</f>
        <v>6</v>
      </c>
      <c r="L39" s="2">
        <f>COUNTIFS('OB History S2'!B:B,A39,'OB History S2'!D:D, 0)</f>
        <v>16</v>
      </c>
      <c r="M39" s="88">
        <f>LOOKUP(2, 1/('OB History S2'!$B:$B=A39), 'OB History S2'!$AD:$AD)</f>
        <v>0.27272727272727271</v>
      </c>
      <c r="N39" s="34">
        <f>SUMIFS('OB History S2'!F:F,'OB History S2'!B:B,A39)</f>
        <v>34</v>
      </c>
      <c r="O39" s="2">
        <f>SUMIFS('OB History S2'!E:E,'OB History S2'!B:B,A39)-N39</f>
        <v>58</v>
      </c>
      <c r="P39" s="88">
        <f>LOOKUP(2, 1/('OB History S2'!$B:$B=A39), 'OB History S2'!$AB:$AB)</f>
        <v>0.34545454545454546</v>
      </c>
      <c r="Q39" s="34">
        <f>SUMIFS('OB History S2'!H:H,'OB History S2'!B:B,A39)</f>
        <v>169</v>
      </c>
      <c r="R39" s="2">
        <f>SUMIFS('OB History S2'!G:G,'OB History S2'!B:B,A39)-Q39</f>
        <v>205</v>
      </c>
      <c r="S39" s="88">
        <f>LOOKUP(2, 1/('OB History S2'!$B:$B=A39), 'OB History S2'!$AC:$AC)</f>
        <v>0.43636363636363645</v>
      </c>
      <c r="T39" s="2">
        <f>COUNTIFS('OB History S2'!$B:$B,$A$39,'OB History S2'!K:K, 1)</f>
        <v>2</v>
      </c>
      <c r="U39" s="2">
        <f>COUNTIFS('OB History S2'!$B:$B,$A$39,'OB History S2'!L:L, 1)</f>
        <v>1</v>
      </c>
      <c r="V39" s="2">
        <f>COUNTIFS('OB History S2'!$B:$B,$A$39,'OB History S2'!M:M, 1)</f>
        <v>2</v>
      </c>
      <c r="W39" s="2">
        <f>COUNTIFS('OB History S2'!$B:$B,$A$39,'OB History S2'!N:N, 1)</f>
        <v>5</v>
      </c>
      <c r="X39" s="2">
        <f>COUNTIFS('OB History S2'!$B:$B,$A$39,'OB History S2'!O:O, 1)</f>
        <v>2</v>
      </c>
      <c r="Y39" s="2">
        <f>COUNTIFS('OB History S2'!$B:$B,$A$39,'OB History S2'!P:P, 1)</f>
        <v>3</v>
      </c>
      <c r="Z39" s="2">
        <f>COUNTIFS('OB History S2'!$B:$B,$A$39,'OB History S2'!Q:Q, 1)</f>
        <v>1</v>
      </c>
      <c r="AA39" s="2">
        <f>COUNTIFS('OB History S2'!$B:$B,$A$39,'OB History S2'!R:R, 1)</f>
        <v>0</v>
      </c>
      <c r="AB39" s="2">
        <f>COUNTIFS('OB History S2'!$B:$B,$A$39,'OB History S2'!S:S, 1)</f>
        <v>1</v>
      </c>
      <c r="AC39" s="2">
        <f>COUNTIFS('OB History S2'!$B:$B,$A$39,'OB History S2'!T:T, 1)</f>
        <v>3</v>
      </c>
      <c r="AD39" s="2">
        <f>COUNTIFS('OB History S2'!$B:$B,$A$39,'OB History S2'!U:U, 1)</f>
        <v>0</v>
      </c>
      <c r="AE39" s="2">
        <f>COUNTIFS('OB History S2'!$B:$B,$A$39,'OB History S2'!V:V, 1)</f>
        <v>1</v>
      </c>
      <c r="AF39" s="2">
        <f>COUNTIFS('OB History S2'!$B:$B,$A$39,'OB History S2'!W:W, 1)</f>
        <v>2</v>
      </c>
      <c r="AG39" s="2">
        <f>COUNTIFS('OB History S2'!$B:$B,$A$39,'OB History S2'!X:X, 1)</f>
        <v>4</v>
      </c>
      <c r="AH39" s="2">
        <f>COUNTIFS('OB History S2'!$B:$B,$A$39,'OB History S2'!Y:Y, 1)</f>
        <v>4</v>
      </c>
      <c r="AI39" s="2">
        <f>COUNTIFS('OB History S2'!$B:$B,$A$39,'OB History S2'!Z:Z, 1)</f>
        <v>3</v>
      </c>
    </row>
    <row r="40" spans="1:35" x14ac:dyDescent="0.25">
      <c r="A40" s="2" t="s">
        <v>6</v>
      </c>
      <c r="B40" s="2" t="s">
        <v>60</v>
      </c>
      <c r="C40" s="2" t="s">
        <v>79</v>
      </c>
      <c r="D40" s="3"/>
      <c r="E40" s="2"/>
      <c r="F40" s="2"/>
      <c r="G40" s="2"/>
      <c r="H40" s="34">
        <f>SUMIFS('OB History S2'!C:C,'OB History S2'!B:B,A40)</f>
        <v>231</v>
      </c>
      <c r="I40" s="4">
        <f>AVERAGEIFS('OB History S2'!C:C,'OB History S2'!B:B,A40)</f>
        <v>23.1</v>
      </c>
      <c r="J40" s="35">
        <f t="array" ref="J40">MAX(IF('OB History S2'!B:B=A40, 'OB History S2'!C:C))</f>
        <v>51</v>
      </c>
      <c r="K40" s="34">
        <f>COUNTIFS('OB History S2'!B:B,A40,'OB History S2'!D:D, 1)</f>
        <v>6</v>
      </c>
      <c r="L40" s="2">
        <f>COUNTIFS('OB History S2'!B:B,A40,'OB History S2'!D:D, 0)</f>
        <v>4</v>
      </c>
      <c r="M40" s="88">
        <f>LOOKUP(2, 1/('OB History S2'!$B:$B=A40), 'OB History S2'!$AD:$AD)</f>
        <v>0.6</v>
      </c>
      <c r="N40" s="34">
        <f>SUMIFS('OB History S2'!F:F,'OB History S2'!B:B,A40)</f>
        <v>24</v>
      </c>
      <c r="O40" s="2">
        <f>SUMIFS('OB History S2'!E:E,'OB History S2'!B:B,A40)-N40</f>
        <v>15</v>
      </c>
      <c r="P40" s="88">
        <f>LOOKUP(2, 1/('OB History S2'!$B:$B=A40), 'OB History S2'!$AB:$AB)</f>
        <v>0.65500000000000003</v>
      </c>
      <c r="Q40" s="34">
        <f>SUMIFS('OB History S2'!H:H,'OB History S2'!B:B,A40)</f>
        <v>94</v>
      </c>
      <c r="R40" s="2">
        <f>SUMIFS('OB History S2'!G:G,'OB History S2'!B:B,A40)-Q40</f>
        <v>71</v>
      </c>
      <c r="S40" s="88">
        <f>LOOKUP(2, 1/('OB History S2'!$B:$B=A40), 'OB History S2'!$AC:$AC)</f>
        <v>0.58499999999999996</v>
      </c>
      <c r="T40" s="2">
        <f>COUNTIFS('OB History S2'!$B:$B,$A$40,'OB History S2'!K:K, 1)</f>
        <v>1</v>
      </c>
      <c r="U40" s="2">
        <f>COUNTIFS('OB History S2'!$B:$B,$A$40,'OB History S2'!L:L, 1)</f>
        <v>1</v>
      </c>
      <c r="V40" s="2">
        <f>COUNTIFS('OB History S2'!$B:$B,$A$40,'OB History S2'!M:M, 1)</f>
        <v>4</v>
      </c>
      <c r="W40" s="2">
        <f>COUNTIFS('OB History S2'!$B:$B,$A$40,'OB History S2'!N:N, 1)</f>
        <v>2</v>
      </c>
      <c r="X40" s="2">
        <f>COUNTIFS('OB History S2'!$B:$B,$A$40,'OB History S2'!O:O, 1)</f>
        <v>0</v>
      </c>
      <c r="Y40" s="2">
        <f>COUNTIFS('OB History S2'!$B:$B,$A$40,'OB History S2'!P:P, 1)</f>
        <v>2</v>
      </c>
      <c r="Z40" s="2">
        <f>COUNTIFS('OB History S2'!$B:$B,$A$40,'OB History S2'!Q:Q, 1)</f>
        <v>2</v>
      </c>
      <c r="AA40" s="2">
        <f>COUNTIFS('OB History S2'!$B:$B,$A$40,'OB History S2'!R:R, 1)</f>
        <v>0</v>
      </c>
      <c r="AB40" s="2">
        <f>COUNTIFS('OB History S2'!$B:$B,$A$40,'OB History S2'!S:S, 1)</f>
        <v>1</v>
      </c>
      <c r="AC40" s="2">
        <f>COUNTIFS('OB History S2'!$B:$B,$A$40,'OB History S2'!T:T, 1)</f>
        <v>2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1</v>
      </c>
      <c r="AG40" s="2">
        <f>COUNTIFS('OB History S2'!$B:$B,$A$40,'OB History S2'!X:X, 1)</f>
        <v>1</v>
      </c>
      <c r="AH40" s="2">
        <f>COUNTIFS('OB History S2'!$B:$B,$A$40,'OB History S2'!Y:Y, 1)</f>
        <v>4</v>
      </c>
      <c r="AI40" s="2">
        <f>COUNTIFS('OB History S2'!$B:$B,$A$40,'OB History S2'!Z:Z, 1)</f>
        <v>3</v>
      </c>
    </row>
    <row r="41" spans="1:35" x14ac:dyDescent="0.25">
      <c r="A41" s="2" t="s">
        <v>18</v>
      </c>
      <c r="B41" s="2" t="s">
        <v>60</v>
      </c>
      <c r="C41" s="2" t="s">
        <v>79</v>
      </c>
      <c r="D41" s="3">
        <v>4</v>
      </c>
      <c r="E41" s="2">
        <v>4</v>
      </c>
      <c r="F41" s="2"/>
      <c r="G41" s="2">
        <v>1</v>
      </c>
      <c r="H41" s="34">
        <f>SUMIFS('OB History S2'!C:C,'OB History S2'!B:B,A41)</f>
        <v>402</v>
      </c>
      <c r="I41" s="4">
        <f>AVERAGEIFS('OB History S2'!C:C,'OB History S2'!B:B,A41)</f>
        <v>26.8</v>
      </c>
      <c r="J41" s="35">
        <f t="array" ref="J41">MAX(IF('OB History S2'!B:B=A41, 'OB History S2'!C:C))</f>
        <v>55</v>
      </c>
      <c r="K41" s="34">
        <f>COUNTIFS('OB History S2'!B:B,A41,'OB History S2'!D:D, 1)</f>
        <v>9</v>
      </c>
      <c r="L41" s="2">
        <f>COUNTIFS('OB History S2'!B:B,A41,'OB History S2'!D:D, 0)</f>
        <v>6</v>
      </c>
      <c r="M41" s="88">
        <f>LOOKUP(2, 1/('OB History S2'!$B:$B=A41), 'OB History S2'!$AD:$AD)</f>
        <v>0.6</v>
      </c>
      <c r="N41" s="34">
        <f>SUMIFS('OB History S2'!F:F,'OB History S2'!B:B,A41)</f>
        <v>32</v>
      </c>
      <c r="O41" s="2">
        <f>SUMIFS('OB History S2'!E:E,'OB History S2'!B:B,A41)-N41</f>
        <v>27</v>
      </c>
      <c r="P41" s="88">
        <f>LOOKUP(2, 1/('OB History S2'!$B:$B=A41), 'OB History S2'!$AB:$AB)</f>
        <v>0.53999999999999992</v>
      </c>
      <c r="Q41" s="34">
        <f>SUMIFS('OB History S2'!H:H,'OB History S2'!B:B,A41)</f>
        <v>126</v>
      </c>
      <c r="R41" s="2">
        <f>SUMIFS('OB History S2'!G:G,'OB History S2'!B:B,A41)-Q41</f>
        <v>118</v>
      </c>
      <c r="S41" s="88">
        <f>LOOKUP(2, 1/('OB History S2'!$B:$B=A41), 'OB History S2'!$AC:$AC)</f>
        <v>0.52200000000000002</v>
      </c>
      <c r="T41" s="2">
        <f>COUNTIFS('OB History S2'!$B:$B,$A$41,'OB History S2'!K:K, 1)</f>
        <v>2</v>
      </c>
      <c r="U41" s="2">
        <f>COUNTIFS('OB History S2'!$B:$B,$A$41,'OB History S2'!L:L, 1)</f>
        <v>3</v>
      </c>
      <c r="V41" s="2">
        <f>COUNTIFS('OB History S2'!$B:$B,$A$41,'OB History S2'!M:M, 1)</f>
        <v>1</v>
      </c>
      <c r="W41" s="2">
        <f>COUNTIFS('OB History S2'!$B:$B,$A$41,'OB History S2'!N:N, 1)</f>
        <v>4</v>
      </c>
      <c r="X41" s="2">
        <f>COUNTIFS('OB History S2'!$B:$B,$A$41,'OB History S2'!O:O, 1)</f>
        <v>2</v>
      </c>
      <c r="Y41" s="2">
        <f>COUNTIFS('OB History S2'!$B:$B,$A$41,'OB History S2'!P:P, 1)</f>
        <v>3</v>
      </c>
      <c r="Z41" s="2">
        <f>COUNTIFS('OB History S2'!$B:$B,$A$41,'OB History S2'!Q:Q, 1)</f>
        <v>2</v>
      </c>
      <c r="AA41" s="2">
        <f>COUNTIFS('OB History S2'!$B:$B,$A$41,'OB History S2'!R:R, 1)</f>
        <v>1</v>
      </c>
      <c r="AB41" s="2">
        <f>COUNTIFS('OB History S2'!$B:$B,$A$41,'OB History S2'!S:S, 1)</f>
        <v>0</v>
      </c>
      <c r="AC41" s="2">
        <f>COUNTIFS('OB History S2'!$B:$B,$A$41,'OB History S2'!T:T, 1)</f>
        <v>0</v>
      </c>
      <c r="AD41" s="2">
        <f>COUNTIFS('OB History S2'!$B:$B,$A$41,'OB History S2'!U:U, 1)</f>
        <v>1</v>
      </c>
      <c r="AE41" s="2">
        <f>COUNTIFS('OB History S2'!$B:$B,$A$41,'OB History S2'!V:V, 1)</f>
        <v>0</v>
      </c>
      <c r="AF41" s="2">
        <f>COUNTIFS('OB History S2'!$B:$B,$A$41,'OB History S2'!W:W, 1)</f>
        <v>2</v>
      </c>
      <c r="AG41" s="2">
        <f>COUNTIFS('OB History S2'!$B:$B,$A$41,'OB History S2'!X:X, 1)</f>
        <v>3</v>
      </c>
      <c r="AH41" s="2">
        <f>COUNTIFS('OB History S2'!$B:$B,$A$41,'OB History S2'!Y:Y, 1)</f>
        <v>4</v>
      </c>
      <c r="AI41" s="2">
        <f>COUNTIFS('OB History S2'!$B:$B,$A$41,'OB History S2'!Z:Z, 1)</f>
        <v>4</v>
      </c>
    </row>
    <row r="42" spans="1:35" x14ac:dyDescent="0.25">
      <c r="A42" s="2" t="s">
        <v>113</v>
      </c>
      <c r="B42" s="2" t="s">
        <v>79</v>
      </c>
      <c r="C42" s="2" t="s">
        <v>79</v>
      </c>
      <c r="D42" s="3">
        <v>1</v>
      </c>
      <c r="E42" s="2"/>
      <c r="F42" s="2"/>
      <c r="G42" s="2"/>
      <c r="H42" s="34">
        <f>SUMIFS('OB History S2'!C:C,'OB History S2'!B:B,A42)</f>
        <v>231</v>
      </c>
      <c r="I42" s="4">
        <f>AVERAGEIFS('OB History S2'!C:C,'OB History S2'!B:B,A42)</f>
        <v>19.25</v>
      </c>
      <c r="J42" s="35">
        <f t="array" ref="J42">MAX(IF('OB History S2'!B:B=A42, 'OB History S2'!C:C))</f>
        <v>49</v>
      </c>
      <c r="K42" s="34">
        <f>COUNTIFS('OB History S2'!B:B,A42,'OB History S2'!D:D, 1)</f>
        <v>8</v>
      </c>
      <c r="L42" s="2">
        <f>COUNTIFS('OB History S2'!B:B,A42,'OB History S2'!D:D, 0)</f>
        <v>4</v>
      </c>
      <c r="M42" s="88">
        <f>LOOKUP(2, 1/('OB History S2'!$B:$B=A42), 'OB History S2'!$AD:$AD)</f>
        <v>0.66666666666666663</v>
      </c>
      <c r="N42" s="34">
        <f>SUMIFS('OB History S2'!F:F,'OB History S2'!B:B,A42)</f>
        <v>26</v>
      </c>
      <c r="O42" s="2">
        <f>SUMIFS('OB History S2'!E:E,'OB History S2'!B:B,A42)-N42</f>
        <v>17</v>
      </c>
      <c r="P42" s="88">
        <f>LOOKUP(2, 1/('OB History S2'!$B:$B=A42), 'OB History S2'!$AB:$AB)</f>
        <v>0.60416666666666663</v>
      </c>
      <c r="Q42" s="34">
        <f>SUMIFS('OB History S2'!H:H,'OB History S2'!B:B,A42)</f>
        <v>97</v>
      </c>
      <c r="R42" s="2">
        <f>SUMIFS('OB History S2'!G:G,'OB History S2'!B:B,A42)-Q42</f>
        <v>83</v>
      </c>
      <c r="S42" s="88">
        <f>LOOKUP(2, 1/('OB History S2'!$B:$B=A42), 'OB History S2'!$AC:$AC)</f>
        <v>0.53333333333333333</v>
      </c>
      <c r="T42" s="2">
        <f>COUNTIFS('OB History S2'!$B:$B,$A$42,'OB History S2'!K:K, 1)</f>
        <v>0</v>
      </c>
      <c r="U42" s="2">
        <f>COUNTIFS('OB History S2'!$B:$B,$A$42,'OB History S2'!L:L, 1)</f>
        <v>5</v>
      </c>
      <c r="V42" s="2">
        <f>COUNTIFS('OB History S2'!$B:$B,$A$42,'OB History S2'!M:M, 1)</f>
        <v>1</v>
      </c>
      <c r="W42" s="2">
        <f>COUNTIFS('OB History S2'!$B:$B,$A$42,'OB History S2'!N:N, 1)</f>
        <v>2</v>
      </c>
      <c r="X42" s="2">
        <f>COUNTIFS('OB History S2'!$B:$B,$A$42,'OB History S2'!O:O, 1)</f>
        <v>0</v>
      </c>
      <c r="Y42" s="2">
        <f>COUNTIFS('OB History S2'!$B:$B,$A$42,'OB History S2'!P:P, 1)</f>
        <v>2</v>
      </c>
      <c r="Z42" s="2">
        <f>COUNTIFS('OB History S2'!$B:$B,$A$42,'OB History S2'!Q:Q, 1)</f>
        <v>2</v>
      </c>
      <c r="AA42" s="2">
        <f>COUNTIFS('OB History S2'!$B:$B,$A$42,'OB History S2'!R:R, 1)</f>
        <v>0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1</v>
      </c>
      <c r="AF42" s="2">
        <f>COUNTIFS('OB History S2'!$B:$B,$A$42,'OB History S2'!W:W, 1)</f>
        <v>2</v>
      </c>
      <c r="AG42" s="2">
        <f>COUNTIFS('OB History S2'!$B:$B,$A$42,'OB History S2'!X:X, 1)</f>
        <v>4</v>
      </c>
      <c r="AH42" s="2">
        <f>COUNTIFS('OB History S2'!$B:$B,$A$42,'OB History S2'!Y:Y, 1)</f>
        <v>3</v>
      </c>
      <c r="AI42" s="2">
        <f>COUNTIFS('OB History S2'!$B:$B,$A$42,'OB History S2'!Z:Z, 1)</f>
        <v>4</v>
      </c>
    </row>
    <row r="43" spans="1:35" x14ac:dyDescent="0.25">
      <c r="A43" s="2" t="s">
        <v>170</v>
      </c>
      <c r="B43" s="2" t="s">
        <v>79</v>
      </c>
      <c r="C43" s="2" t="s">
        <v>79</v>
      </c>
      <c r="D43" s="3"/>
      <c r="E43" s="2"/>
      <c r="F43" s="2"/>
      <c r="G43" s="2"/>
      <c r="H43" s="34">
        <f>SUMIFS('OB History S2'!C:C,'OB History S2'!B:B,A43)</f>
        <v>2</v>
      </c>
      <c r="I43" s="4">
        <f>AVERAGEIFS('OB History S2'!C:C,'OB History S2'!B:B,A43)</f>
        <v>2</v>
      </c>
      <c r="J43" s="35">
        <f t="array" ref="J43">MAX(IF('OB History S2'!B:B=A43, 'OB History S2'!C:C))</f>
        <v>2</v>
      </c>
      <c r="K43" s="34">
        <f>COUNTIFS('OB History S2'!B:B,A43,'OB History S2'!D:D, 1)</f>
        <v>0</v>
      </c>
      <c r="L43" s="2">
        <f>COUNTIFS('OB History S2'!B:B,A43,'OB History S2'!D:D, 0)</f>
        <v>1</v>
      </c>
      <c r="M43" s="88">
        <f>LOOKUP(2, 1/('OB History S2'!$B:$B=A43), 'OB History S2'!$AD:$AD)</f>
        <v>0</v>
      </c>
      <c r="N43" s="34">
        <f>SUMIFS('OB History S2'!F:F,'OB History S2'!B:B,A43)</f>
        <v>2</v>
      </c>
      <c r="O43" s="2">
        <f>SUMIFS('OB History S2'!E:E,'OB History S2'!B:B,A43)-N43</f>
        <v>3</v>
      </c>
      <c r="P43" s="88">
        <f>LOOKUP(2, 1/('OB History S2'!$B:$B=A43), 'OB History S2'!$AB:$AB)</f>
        <v>0.4</v>
      </c>
      <c r="Q43" s="34">
        <f>SUMIFS('OB History S2'!H:H,'OB History S2'!B:B,A43)</f>
        <v>6</v>
      </c>
      <c r="R43" s="2">
        <f>SUMIFS('OB History S2'!G:G,'OB History S2'!B:B,A43)-Q43</f>
        <v>14</v>
      </c>
      <c r="S43" s="88">
        <f>LOOKUP(2, 1/('OB History S2'!$B:$B=A43), 'OB History S2'!$AC:$AC)</f>
        <v>0.3</v>
      </c>
      <c r="T43" s="2">
        <f>COUNTIFS('OB History S2'!$B:$B,$A$43,'OB History S2'!K:K, 1)</f>
        <v>0</v>
      </c>
      <c r="U43" s="2">
        <f>COUNTIFS('OB History S2'!$B:$B,$A$43,'OB History S2'!L:L, 1)</f>
        <v>0</v>
      </c>
      <c r="V43" s="2">
        <f>COUNTIFS('OB History S2'!$B:$B,$A$43,'OB History S2'!M:M, 1)</f>
        <v>0</v>
      </c>
      <c r="W43" s="2">
        <f>COUNTIFS('OB History S2'!$B:$B,$A$43,'OB History S2'!N:N, 1)</f>
        <v>0</v>
      </c>
      <c r="X43" s="2">
        <f>COUNTIFS('OB History S2'!$B:$B,$A$43,'OB History S2'!O:O, 1)</f>
        <v>0</v>
      </c>
      <c r="Y43" s="2">
        <f>COUNTIFS('OB History S2'!$B:$B,$A$43,'OB History S2'!P:P, 1)</f>
        <v>0</v>
      </c>
      <c r="Z43" s="2">
        <f>COUNTIFS('OB History S2'!$B:$B,$A$43,'OB History S2'!Q:Q, 1)</f>
        <v>0</v>
      </c>
      <c r="AA43" s="2">
        <f>COUNTIFS('OB History S2'!$B:$B,$A$43,'OB History S2'!R:R, 1)</f>
        <v>0</v>
      </c>
      <c r="AB43" s="2">
        <f>COUNTIFS('OB History S2'!$B:$B,$A$43,'OB History S2'!S:S, 1)</f>
        <v>0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1</v>
      </c>
      <c r="AG43" s="2">
        <f>COUNTIFS('OB History S2'!$B:$B,$A$43,'OB History S2'!X:X, 1)</f>
        <v>0</v>
      </c>
      <c r="AH43" s="2">
        <f>COUNTIFS('OB History S2'!$B:$B,$A$43,'OB History S2'!Y:Y, 1)</f>
        <v>1</v>
      </c>
      <c r="AI43" s="2">
        <f>COUNTIFS('OB History S2'!$B:$B,$A$43,'OB History S2'!Z:Z, 1)</f>
        <v>0</v>
      </c>
    </row>
    <row r="44" spans="1:35" x14ac:dyDescent="0.25">
      <c r="A44" s="2" t="s">
        <v>14</v>
      </c>
      <c r="B44" s="6" t="s">
        <v>124</v>
      </c>
      <c r="C44" s="6" t="s">
        <v>124</v>
      </c>
      <c r="D44" s="3">
        <v>4</v>
      </c>
      <c r="E44" s="6">
        <v>1</v>
      </c>
      <c r="F44" s="6"/>
      <c r="G44" s="6"/>
      <c r="H44" s="34">
        <f>SUMIFS('OB History S2'!C:C,'OB History S2'!B:B,A44)</f>
        <v>421</v>
      </c>
      <c r="I44" s="4">
        <f>AVERAGEIFS('OB History S2'!C:C,'OB History S2'!B:B,A44)</f>
        <v>23.388888888888889</v>
      </c>
      <c r="J44" s="35">
        <f t="array" ref="J44">MAX(IF('OB History S2'!B:B=A44, 'OB History S2'!C:C))</f>
        <v>51</v>
      </c>
      <c r="K44" s="34">
        <f>COUNTIFS('OB History S2'!B:B,A44,'OB History S2'!D:D, 1)</f>
        <v>5</v>
      </c>
      <c r="L44" s="2">
        <f>COUNTIFS('OB History S2'!B:B,A44,'OB History S2'!D:D, 0)</f>
        <v>13</v>
      </c>
      <c r="M44" s="88">
        <f>LOOKUP(2, 1/('OB History S2'!$B:$B=A44), 'OB History S2'!$AD:$AD)</f>
        <v>0.27777777777777779</v>
      </c>
      <c r="N44" s="34">
        <f>SUMIFS('OB History S2'!F:F,'OB History S2'!B:B,A44)</f>
        <v>27</v>
      </c>
      <c r="O44" s="2">
        <f>SUMIFS('OB History S2'!E:E,'OB History S2'!B:B,A44)-N44</f>
        <v>44</v>
      </c>
      <c r="P44" s="88">
        <f>LOOKUP(2, 1/('OB History S2'!$B:$B=A44), 'OB History S2'!$AB:$AB)</f>
        <v>0.36388888888888887</v>
      </c>
      <c r="Q44" s="34">
        <f>SUMIFS('OB History S2'!H:H,'OB History S2'!B:B,A44)</f>
        <v>126</v>
      </c>
      <c r="R44" s="2">
        <f>SUMIFS('OB History S2'!G:G,'OB History S2'!B:B,A44)-Q44</f>
        <v>166</v>
      </c>
      <c r="S44" s="88">
        <f>LOOKUP(2, 1/('OB History S2'!$B:$B=A44), 'OB History S2'!$AC:$AC)</f>
        <v>0.43611111111111112</v>
      </c>
      <c r="T44" s="2">
        <f>COUNTIFS('OB History S2'!$B:$B,$A$44,'OB History S2'!K:K, 1)</f>
        <v>2</v>
      </c>
      <c r="U44" s="2">
        <f>COUNTIFS('OB History S2'!$B:$B,$A$44,'OB History S2'!L:L, 1)</f>
        <v>3</v>
      </c>
      <c r="V44" s="2">
        <f>COUNTIFS('OB History S2'!$B:$B,$A$44,'OB History S2'!M:M, 1)</f>
        <v>1</v>
      </c>
      <c r="W44" s="2">
        <f>COUNTIFS('OB History S2'!$B:$B,$A$44,'OB History S2'!N:N, 1)</f>
        <v>1</v>
      </c>
      <c r="X44" s="2">
        <f>COUNTIFS('OB History S2'!$B:$B,$A$44,'OB History S2'!O:O, 1)</f>
        <v>1</v>
      </c>
      <c r="Y44" s="2">
        <f>COUNTIFS('OB History S2'!$B:$B,$A$44,'OB History S2'!P:P, 1)</f>
        <v>1</v>
      </c>
      <c r="Z44" s="2">
        <f>COUNTIFS('OB History S2'!$B:$B,$A$44,'OB History S2'!Q:Q, 1)</f>
        <v>1</v>
      </c>
      <c r="AA44" s="2">
        <f>COUNTIFS('OB History S2'!$B:$B,$A$44,'OB History S2'!R:R, 1)</f>
        <v>0</v>
      </c>
      <c r="AB44" s="2">
        <f>COUNTIFS('OB History S2'!$B:$B,$A$44,'OB History S2'!S:S, 1)</f>
        <v>1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3</v>
      </c>
      <c r="AG44" s="2">
        <f>COUNTIFS('OB History S2'!$B:$B,$A$44,'OB History S2'!X:X, 1)</f>
        <v>7</v>
      </c>
      <c r="AH44" s="2">
        <f>COUNTIFS('OB History S2'!$B:$B,$A$44,'OB History S2'!Y:Y, 1)</f>
        <v>3</v>
      </c>
      <c r="AI44" s="2">
        <f>COUNTIFS('OB History S2'!$B:$B,$A$44,'OB History S2'!Z:Z, 1)</f>
        <v>3</v>
      </c>
    </row>
    <row r="45" spans="1:35" x14ac:dyDescent="0.25">
      <c r="A45" s="2" t="s">
        <v>70</v>
      </c>
      <c r="B45" s="6" t="s">
        <v>79</v>
      </c>
      <c r="C45" s="6" t="s">
        <v>79</v>
      </c>
      <c r="D45" s="3"/>
      <c r="E45" s="6"/>
      <c r="F45" s="6"/>
      <c r="G45" s="6"/>
      <c r="H45" s="34">
        <f>SUMIFS('OB History S2'!C:C,'OB History S2'!B:B,A45)</f>
        <v>53</v>
      </c>
      <c r="I45" s="4">
        <f>AVERAGEIFS('OB History S2'!C:C,'OB History S2'!B:B,A45)</f>
        <v>17.666666666666668</v>
      </c>
      <c r="J45" s="35">
        <f t="array" ref="J45">MAX(IF('OB History S2'!B:B=A45, 'OB History S2'!C:C))</f>
        <v>27</v>
      </c>
      <c r="K45" s="34">
        <f>COUNTIFS('OB History S2'!B:B,A45,'OB History S2'!D:D, 1)</f>
        <v>2</v>
      </c>
      <c r="L45" s="2">
        <f>COUNTIFS('OB History S2'!B:B,A45,'OB History S2'!D:D, 0)</f>
        <v>1</v>
      </c>
      <c r="M45" s="88">
        <f>LOOKUP(2, 1/('OB History S2'!$B:$B=A45), 'OB History S2'!$AD:$AD)</f>
        <v>0.66666666666666663</v>
      </c>
      <c r="N45" s="34">
        <f>SUMIFS('OB History S2'!F:F,'OB History S2'!B:B,A45)</f>
        <v>8</v>
      </c>
      <c r="O45" s="2">
        <f>SUMIFS('OB History S2'!E:E,'OB History S2'!B:B,A45)-N45</f>
        <v>5</v>
      </c>
      <c r="P45" s="88">
        <f>LOOKUP(2, 1/('OB History S2'!$B:$B=A45), 'OB History S2'!$AB:$AB)</f>
        <v>0.66666666666666663</v>
      </c>
      <c r="Q45" s="34">
        <f>SUMIFS('OB History S2'!H:H,'OB History S2'!B:B,A45)</f>
        <v>31</v>
      </c>
      <c r="R45" s="2">
        <f>SUMIFS('OB History S2'!G:G,'OB History S2'!B:B,A45)-Q45</f>
        <v>27</v>
      </c>
      <c r="S45" s="88">
        <f>LOOKUP(2, 1/('OB History S2'!$B:$B=A45), 'OB History S2'!$AC:$AC)</f>
        <v>0.54666666666666663</v>
      </c>
      <c r="T45" s="2">
        <f>COUNTIFS('OB History S2'!$B:$B,$A$45,'OB History S2'!K:K, 1)</f>
        <v>1</v>
      </c>
      <c r="U45" s="2">
        <f>COUNTIFS('OB History S2'!$B:$B,$A$45,'OB History S2'!L:L, 1)</f>
        <v>0</v>
      </c>
      <c r="V45" s="2">
        <f>COUNTIFS('OB History S2'!$B:$B,$A$45,'OB History S2'!M:M, 1)</f>
        <v>0</v>
      </c>
      <c r="W45" s="2">
        <f>COUNTIFS('OB History S2'!$B:$B,$A$45,'OB History S2'!N:N, 1)</f>
        <v>0</v>
      </c>
      <c r="X45" s="2">
        <f>COUNTIFS('OB History S2'!$B:$B,$A$45,'OB History S2'!O:O, 1)</f>
        <v>1</v>
      </c>
      <c r="Y45" s="2">
        <f>COUNTIFS('OB History S2'!$B:$B,$A$45,'OB History S2'!P:P, 1)</f>
        <v>0</v>
      </c>
      <c r="Z45" s="2">
        <f>COUNTIFS('OB History S2'!$B:$B,$A$45,'OB History S2'!Q:Q, 1)</f>
        <v>0</v>
      </c>
      <c r="AA45" s="2">
        <f>COUNTIFS('OB History S2'!$B:$B,$A$45,'OB History S2'!R:R, 1)</f>
        <v>1</v>
      </c>
      <c r="AB45" s="2">
        <f>COUNTIFS('OB History S2'!$B:$B,$A$45,'OB History S2'!S:S, 1)</f>
        <v>0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0</v>
      </c>
      <c r="AG45" s="2">
        <f>COUNTIFS('OB History S2'!$B:$B,$A$45,'OB History S2'!X:X, 1)</f>
        <v>3</v>
      </c>
      <c r="AH45" s="2">
        <f>COUNTIFS('OB History S2'!$B:$B,$A$45,'OB History S2'!Y:Y, 1)</f>
        <v>0</v>
      </c>
      <c r="AI45" s="2">
        <f>COUNTIFS('OB History S2'!$B:$B,$A$45,'OB History S2'!Z:Z, 1)</f>
        <v>2</v>
      </c>
    </row>
    <row r="46" spans="1:35" x14ac:dyDescent="0.25">
      <c r="A46" s="2" t="s">
        <v>4</v>
      </c>
      <c r="B46" s="2" t="s">
        <v>79</v>
      </c>
      <c r="C46" s="2" t="s">
        <v>79</v>
      </c>
      <c r="D46" s="3">
        <v>1</v>
      </c>
      <c r="E46" s="2"/>
      <c r="F46" s="2"/>
      <c r="G46" s="2"/>
      <c r="H46" s="34">
        <f>SUMIFS('OB History S2'!C:C,'OB History S2'!B:B,A46)</f>
        <v>201</v>
      </c>
      <c r="I46" s="4">
        <f>AVERAGEIFS('OB History S2'!C:C,'OB History S2'!B:B,A46)</f>
        <v>25.125</v>
      </c>
      <c r="J46" s="35">
        <f t="array" ref="J46">MAX(IF('OB History S2'!B:B=A46, 'OB History S2'!C:C))</f>
        <v>46</v>
      </c>
      <c r="K46" s="34">
        <f>COUNTIFS('OB History S2'!B:B,A46,'OB History S2'!D:D, 1)</f>
        <v>4</v>
      </c>
      <c r="L46" s="2">
        <f>COUNTIFS('OB History S2'!B:B,A46,'OB History S2'!D:D, 0)</f>
        <v>4</v>
      </c>
      <c r="M46" s="88">
        <f>LOOKUP(2, 1/('OB History S2'!$B:$B=A46), 'OB History S2'!$AD:$AD)</f>
        <v>0.5</v>
      </c>
      <c r="N46" s="34">
        <f>SUMIFS('OB History S2'!F:F,'OB History S2'!B:B,A46)</f>
        <v>15</v>
      </c>
      <c r="O46" s="2">
        <f>SUMIFS('OB History S2'!E:E,'OB History S2'!B:B,A46)-N46</f>
        <v>18</v>
      </c>
      <c r="P46" s="88">
        <f>LOOKUP(2, 1/('OB History S2'!$B:$B=A46), 'OB History S2'!$AB:$AB)</f>
        <v>0.43125000000000002</v>
      </c>
      <c r="Q46" s="34">
        <f>SUMIFS('OB History S2'!H:H,'OB History S2'!B:B,A46)</f>
        <v>66</v>
      </c>
      <c r="R46" s="2">
        <f>SUMIFS('OB History S2'!G:G,'OB History S2'!B:B,A46)-Q46</f>
        <v>72</v>
      </c>
      <c r="S46" s="88">
        <f>LOOKUP(2, 1/('OB History S2'!$B:$B=A46), 'OB History S2'!$AC:$AC)</f>
        <v>0.45374999999999999</v>
      </c>
      <c r="T46" s="2">
        <f>COUNTIFS('OB History S2'!$B:$B,$A$46,'OB History S2'!K:K, 1)</f>
        <v>1</v>
      </c>
      <c r="U46" s="2">
        <f>COUNTIFS('OB History S2'!$B:$B,$A$46,'OB History S2'!L:L, 1)</f>
        <v>4</v>
      </c>
      <c r="V46" s="2">
        <f>COUNTIFS('OB History S2'!$B:$B,$A$46,'OB History S2'!M:M, 1)</f>
        <v>1</v>
      </c>
      <c r="W46" s="2">
        <f>COUNTIFS('OB History S2'!$B:$B,$A$46,'OB History S2'!N:N, 1)</f>
        <v>1</v>
      </c>
      <c r="X46" s="2">
        <f>COUNTIFS('OB History S2'!$B:$B,$A$46,'OB History S2'!O:O, 1)</f>
        <v>2</v>
      </c>
      <c r="Y46" s="2">
        <f>COUNTIFS('OB History S2'!$B:$B,$A$46,'OB History S2'!P:P, 1)</f>
        <v>1</v>
      </c>
      <c r="Z46" s="2">
        <f>COUNTIFS('OB History S2'!$B:$B,$A$46,'OB History S2'!Q:Q, 1)</f>
        <v>1</v>
      </c>
      <c r="AA46" s="2">
        <f>COUNTIFS('OB History S2'!$B:$B,$A$46,'OB History S2'!R:R, 1)</f>
        <v>0</v>
      </c>
      <c r="AB46" s="2">
        <f>COUNTIFS('OB History S2'!$B:$B,$A$46,'OB History S2'!S:S, 1)</f>
        <v>0</v>
      </c>
      <c r="AC46" s="2">
        <f>COUNTIFS('OB History S2'!$B:$B,$A$46,'OB History S2'!T:T, 1)</f>
        <v>0</v>
      </c>
      <c r="AD46" s="2">
        <f>COUNTIFS('OB History S2'!$B:$B,$A$46,'OB History S2'!U:U, 1)</f>
        <v>0</v>
      </c>
      <c r="AE46" s="2">
        <f>COUNTIFS('OB History S2'!$B:$B,$A$46,'OB History S2'!V:V, 1)</f>
        <v>0</v>
      </c>
      <c r="AF46" s="2">
        <f>COUNTIFS('OB History S2'!$B:$B,$A$46,'OB History S2'!W:W, 1)</f>
        <v>0</v>
      </c>
      <c r="AG46" s="2">
        <f>COUNTIFS('OB History S2'!$B:$B,$A$46,'OB History S2'!X:X, 1)</f>
        <v>2</v>
      </c>
      <c r="AH46" s="2">
        <f>COUNTIFS('OB History S2'!$B:$B,$A$46,'OB History S2'!Y:Y, 1)</f>
        <v>1</v>
      </c>
      <c r="AI46" s="2">
        <f>COUNTIFS('OB History S2'!$B:$B,$A$46,'OB History S2'!Z:Z, 1)</f>
        <v>1</v>
      </c>
    </row>
    <row r="47" spans="1:35" x14ac:dyDescent="0.25">
      <c r="A47" s="2" t="s">
        <v>55</v>
      </c>
      <c r="B47" s="2" t="s">
        <v>79</v>
      </c>
      <c r="C47" s="2" t="s">
        <v>79</v>
      </c>
      <c r="D47" s="2"/>
      <c r="E47" s="2"/>
      <c r="F47" s="2"/>
      <c r="G47" s="2"/>
      <c r="H47" s="34">
        <f>SUMIFS('OB History S2'!C:C,'OB History S2'!B:B,A47)</f>
        <v>65</v>
      </c>
      <c r="I47" s="4">
        <f>AVERAGEIFS('OB History S2'!C:C,'OB History S2'!B:B,A47)</f>
        <v>10.833333333333334</v>
      </c>
      <c r="J47" s="35">
        <f t="array" ref="J47">MAX(IF('OB History S2'!B:B=A47, 'OB History S2'!C:C))</f>
        <v>20</v>
      </c>
      <c r="K47" s="34">
        <f>COUNTIFS('OB History S2'!B:B,A47,'OB History S2'!D:D, 1)</f>
        <v>4</v>
      </c>
      <c r="L47" s="2">
        <f>COUNTIFS('OB History S2'!B:B,A47,'OB History S2'!D:D, 0)</f>
        <v>2</v>
      </c>
      <c r="M47" s="88">
        <f>LOOKUP(2, 1/('OB History S2'!$B:$B=A47), 'OB History S2'!$AD:$AD)</f>
        <v>0.66666666666666663</v>
      </c>
      <c r="N47" s="34">
        <f>SUMIFS('OB History S2'!F:F,'OB History S2'!B:B,A47)</f>
        <v>15</v>
      </c>
      <c r="O47" s="2">
        <f>SUMIFS('OB History S2'!E:E,'OB History S2'!B:B,A47)-N47</f>
        <v>8</v>
      </c>
      <c r="P47" s="88">
        <f>LOOKUP(2, 1/('OB History S2'!$B:$B=A47), 'OB History S2'!$AB:$AB)</f>
        <v>0.69166666666666676</v>
      </c>
      <c r="Q47" s="34">
        <f>SUMIFS('OB History S2'!H:H,'OB History S2'!B:B,A47)</f>
        <v>57</v>
      </c>
      <c r="R47" s="2">
        <f>SUMIFS('OB History S2'!G:G,'OB History S2'!B:B,A47)-Q47</f>
        <v>38</v>
      </c>
      <c r="S47" s="88">
        <f>LOOKUP(2, 1/('OB History S2'!$B:$B=A47), 'OB History S2'!$AC:$AC)</f>
        <v>0.61666666666666659</v>
      </c>
      <c r="T47" s="2">
        <f>COUNTIFS('OB History S2'!$B:$B,$A$47,'OB History S2'!K:K, 1)</f>
        <v>1</v>
      </c>
      <c r="U47" s="2">
        <f>COUNTIFS('OB History S2'!$B:$B,$A$47,'OB History S2'!L:L, 1)</f>
        <v>1</v>
      </c>
      <c r="V47" s="2">
        <f>COUNTIFS('OB History S2'!$B:$B,$A$47,'OB History S2'!M:M, 1)</f>
        <v>0</v>
      </c>
      <c r="W47" s="2">
        <f>COUNTIFS('OB History S2'!$B:$B,$A$47,'OB History S2'!N:N, 1)</f>
        <v>2</v>
      </c>
      <c r="X47" s="2">
        <f>COUNTIFS('OB History S2'!$B:$B,$A$47,'OB History S2'!O:O, 1)</f>
        <v>0</v>
      </c>
      <c r="Y47" s="2">
        <f>COUNTIFS('OB History S2'!$B:$B,$A$47,'OB History S2'!P:P, 1)</f>
        <v>0</v>
      </c>
      <c r="Z47" s="2">
        <f>COUNTIFS('OB History S2'!$B:$B,$A$47,'OB History S2'!Q:Q, 1)</f>
        <v>1</v>
      </c>
      <c r="AA47" s="2">
        <f>COUNTIFS('OB History S2'!$B:$B,$A$47,'OB History S2'!R:R, 1)</f>
        <v>1</v>
      </c>
      <c r="AB47" s="2">
        <f>COUNTIFS('OB History S2'!$B:$B,$A$47,'OB History S2'!S:S, 1)</f>
        <v>0</v>
      </c>
      <c r="AC47" s="2">
        <f>COUNTIFS('OB History S2'!$B:$B,$A$47,'OB History S2'!T:T, 1)</f>
        <v>0</v>
      </c>
      <c r="AD47" s="2">
        <f>COUNTIFS('OB History S2'!$B:$B,$A$47,'OB History S2'!U:U, 1)</f>
        <v>1</v>
      </c>
      <c r="AE47" s="2">
        <f>COUNTIFS('OB History S2'!$B:$B,$A$47,'OB History S2'!V:V, 1)</f>
        <v>0</v>
      </c>
      <c r="AF47" s="2">
        <f>COUNTIFS('OB History S2'!$B:$B,$A$47,'OB History S2'!W:W, 1)</f>
        <v>0</v>
      </c>
      <c r="AG47" s="2">
        <f>COUNTIFS('OB History S2'!$B:$B,$A$47,'OB History S2'!X:X, 1)</f>
        <v>4</v>
      </c>
      <c r="AH47" s="2">
        <f>COUNTIFS('OB History S2'!$B:$B,$A$47,'OB History S2'!Y:Y, 1)</f>
        <v>2</v>
      </c>
      <c r="AI47" s="2">
        <f>COUNTIFS('OB History S2'!$B:$B,$A$47,'OB History S2'!Z:Z, 1)</f>
        <v>2</v>
      </c>
    </row>
  </sheetData>
  <autoFilter ref="A1:AI46" xr:uid="{EEC03B8F-669F-4FC0-BA62-50F3D395660C}">
    <sortState xmlns:xlrd2="http://schemas.microsoft.com/office/spreadsheetml/2017/richdata2" ref="A2:AI47">
      <sortCondition ref="A1:A46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6"/>
  <sheetViews>
    <sheetView tabSelected="1" workbookViewId="0">
      <pane ySplit="1" topLeftCell="A392" activePane="bottomLeft" state="frozen"/>
      <selection pane="bottomLeft" activeCell="AA412" sqref="AA412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167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18</v>
      </c>
      <c r="AB251" s="86">
        <f>AVERAGEIFS($I$2:I251, $B$2:B251, B251)</f>
        <v>0</v>
      </c>
      <c r="AC251" s="86">
        <f>AVERAGEIFS($J$2:J251, $B$2:B251, B251)</f>
        <v>0.31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167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14.5</v>
      </c>
      <c r="AB266" s="86">
        <f>AVERAGEIFS($I$2:I266, $B$2:B266, B266)</f>
        <v>0</v>
      </c>
      <c r="AC266" s="86">
        <f>AVERAGEIFS($J$2:J266, $B$2:B266, B266)</f>
        <v>0.28000000000000003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169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170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180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180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15.75</v>
      </c>
      <c r="AB385" s="86">
        <f>AVERAGEIFS($I$2:I385, $B$2:B385, B385)</f>
        <v>0.38750000000000001</v>
      </c>
      <c r="AC385" s="86">
        <f>AVERAGEIFS($J$2:J385, $B$2:B385, B385)</f>
        <v>0.42749999999999999</v>
      </c>
      <c r="AD385" s="86">
        <f>AVERAGEIFS($D$2:D385, $B$2:B385, B385)</f>
        <v>0.25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180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9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10.461538461538462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</sheetData>
  <autoFilter ref="A1:AD476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0" t="s">
        <v>119</v>
      </c>
      <c r="B4" s="101"/>
      <c r="C4" s="101"/>
    </row>
    <row r="5" spans="1:3" x14ac:dyDescent="0.25">
      <c r="A5" s="100" t="s">
        <v>120</v>
      </c>
      <c r="B5" s="101"/>
      <c r="C5" s="101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3" t="s">
        <v>7</v>
      </c>
      <c r="D1" s="104"/>
      <c r="E1" s="104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4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5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6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6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6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6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6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6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6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6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5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2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2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2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2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2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2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2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2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60"/>
  <sheetViews>
    <sheetView workbookViewId="0">
      <pane xSplit="1" ySplit="1" topLeftCell="B26" activePane="bottomRight" state="frozen"/>
      <selection pane="topRight" activeCell="B1" sqref="B1"/>
      <selection pane="bottomLeft" activeCell="A2" sqref="A2"/>
      <selection pane="bottomRight" activeCell="R10" sqref="R10:AM10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196</v>
      </c>
      <c r="G2" s="66">
        <f>AVERAGEIFS('BA History'!C:C,'BA History'!B:B,A2)</f>
        <v>13.066666666666666</v>
      </c>
      <c r="H2" s="35">
        <f t="array" ref="H2">MAX(IF('BA History'!B:B=A2, 'BA History'!C:C))</f>
        <v>23</v>
      </c>
      <c r="I2" s="34">
        <f>COUNTIFS('BA History'!B:B,A2,'BA History'!D:D, 1)</f>
        <v>8</v>
      </c>
      <c r="J2" s="2">
        <f>COUNTIFS('BA History'!B:B,A2,'BA History'!D:D, 0)</f>
        <v>7</v>
      </c>
      <c r="K2" s="75">
        <f>LOOKUP(2, 1/('BA History'!$B:$B=A2), 'BA History'!$AJ:$AJ)</f>
        <v>0.53333333333333333</v>
      </c>
      <c r="L2" s="34">
        <f>SUMIFS('BA History'!F:F,'BA History'!B:B,A2)</f>
        <v>31</v>
      </c>
      <c r="M2" s="2">
        <f>SUMIFS('BA History'!E:E,'BA History'!B:B,A2)-L2</f>
        <v>29</v>
      </c>
      <c r="N2" s="75">
        <f>LOOKUP(2, 1/('BA History'!$B:$B=A2), 'BA History'!$AH:$AH)</f>
        <v>0.51</v>
      </c>
      <c r="O2" s="34">
        <f>SUMIFS('BA History'!H:H,'BA History'!B:B,A2)</f>
        <v>125</v>
      </c>
      <c r="P2" s="2">
        <f>SUMIFS('BA History'!G:G,'BA History'!B:B,A2)-O2</f>
        <v>118</v>
      </c>
      <c r="Q2" s="89">
        <f>LOOKUP(2, 1/('BA History'!$B:$B=A2), 'BA History'!$AI:$AI)</f>
        <v>0.50266666666666671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6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2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4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375</v>
      </c>
      <c r="G5" s="66">
        <f>AVERAGEIFS('BA History'!C:C,'BA History'!B:B,A5)</f>
        <v>12.5</v>
      </c>
      <c r="H5" s="35">
        <f t="array" ref="H5">MAX(IF('BA History'!B:B=A5, 'BA History'!C:C))</f>
        <v>23</v>
      </c>
      <c r="I5" s="34">
        <f>COUNTIFS('BA History'!B:B,A5,'BA History'!D:D, 1)</f>
        <v>15</v>
      </c>
      <c r="J5" s="2">
        <f>COUNTIFS('BA History'!B:B,A5,'BA History'!D:D, 0)</f>
        <v>15</v>
      </c>
      <c r="K5" s="75">
        <f>LOOKUP(2, 1/('BA History'!$B:$B=A5), 'BA History'!$AJ:$AJ)</f>
        <v>0.5</v>
      </c>
      <c r="L5" s="34">
        <f>SUMIFS('BA History'!F:F,'BA History'!B:B,A5)</f>
        <v>59</v>
      </c>
      <c r="M5" s="2">
        <f>SUMIFS('BA History'!E:E,'BA History'!B:B,A5)-L5</f>
        <v>64</v>
      </c>
      <c r="N5" s="75">
        <f>LOOKUP(2, 1/('BA History'!$B:$B=A5), 'BA History'!$AH:$AH)</f>
        <v>0.45500000000000002</v>
      </c>
      <c r="O5" s="34">
        <f>SUMIFS('BA History'!H:H,'BA History'!B:B,A5)</f>
        <v>247</v>
      </c>
      <c r="P5" s="2">
        <f>SUMIFS('BA History'!G:G,'BA History'!B:B,A5)-O5</f>
        <v>262</v>
      </c>
      <c r="Q5" s="89">
        <f>LOOKUP(2, 1/('BA History'!$B:$B=A5), 'BA History'!$AI:$AI)</f>
        <v>0.47266666666666662</v>
      </c>
      <c r="R5" s="2">
        <f>COUNTIFS('BA History'!$B:$B,$A$5,'BA History'!K:K, 1)</f>
        <v>4</v>
      </c>
      <c r="S5" s="2">
        <f>COUNTIFS('BA History'!$B:$B,$A$5,'BA History'!L:L, 1)</f>
        <v>7</v>
      </c>
      <c r="T5" s="2">
        <f>COUNTIFS('BA History'!$B:$B,$A$5,'BA History'!M:M, 1)</f>
        <v>5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5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4</v>
      </c>
      <c r="AH5" s="2">
        <f>COUNTIFS('BA History'!$B:$B,$A$5,'BA History'!AA:AA, 1)</f>
        <v>1</v>
      </c>
      <c r="AI5" s="2">
        <f>COUNTIFS('BA History'!$B:$B,$A$5,'BA History'!AB:AB, 1)</f>
        <v>7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429</v>
      </c>
      <c r="G7" s="66">
        <f>AVERAGEIFS('BA History'!C:C,'BA History'!B:B,A7)</f>
        <v>10.463414634146341</v>
      </c>
      <c r="H7" s="35">
        <f t="array" ref="H7">MAX(IF('BA History'!B:B=A7, 'BA History'!C:C))</f>
        <v>24</v>
      </c>
      <c r="I7" s="34">
        <f>COUNTIFS('BA History'!B:B,A7,'BA History'!D:D, 1)</f>
        <v>18</v>
      </c>
      <c r="J7" s="2">
        <f>COUNTIFS('BA History'!B:B,A7,'BA History'!D:D, 0)</f>
        <v>23</v>
      </c>
      <c r="K7" s="75">
        <f>LOOKUP(2, 1/('BA History'!$B:$B=A7), 'BA History'!$AJ:$AJ)</f>
        <v>0.43902439024390244</v>
      </c>
      <c r="L7" s="34">
        <f>SUMIFS('BA History'!F:F,'BA History'!B:B,A7)</f>
        <v>79</v>
      </c>
      <c r="M7" s="2">
        <f>SUMIFS('BA History'!E:E,'BA History'!B:B,A7)-L7</f>
        <v>88</v>
      </c>
      <c r="N7" s="75">
        <f>LOOKUP(2, 1/('BA History'!$B:$B=A7), 'BA History'!$AH:$AH)</f>
        <v>0.46170731707317081</v>
      </c>
      <c r="O7" s="34">
        <f>SUMIFS('BA History'!H:H,'BA History'!B:B,A7)</f>
        <v>342</v>
      </c>
      <c r="P7" s="2">
        <f>SUMIFS('BA History'!G:G,'BA History'!B:B,A7)-O7</f>
        <v>354</v>
      </c>
      <c r="Q7" s="89">
        <f>LOOKUP(2, 1/('BA History'!$B:$B=A7), 'BA History'!$AI:$AI)</f>
        <v>0.48682926829268286</v>
      </c>
      <c r="R7" s="2">
        <f>COUNTIFS('BA History'!$B:$B,$A$7,'BA History'!K:K, 1)</f>
        <v>3</v>
      </c>
      <c r="S7" s="2">
        <f>COUNTIFS('BA History'!$B:$B,$A$7,'BA History'!L:L, 1)</f>
        <v>4</v>
      </c>
      <c r="T7" s="2">
        <f>COUNTIFS('BA History'!$B:$B,$A$7,'BA History'!M:M, 1)</f>
        <v>6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10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864</v>
      </c>
      <c r="G9" s="66">
        <f>AVERAGEIFS('BA History'!C:C,'BA History'!B:B,A9)</f>
        <v>18</v>
      </c>
      <c r="H9" s="35">
        <f t="array" ref="H9">MAX(IF('BA History'!B:B=A9, 'BA History'!C:C))</f>
        <v>40</v>
      </c>
      <c r="I9" s="34">
        <f>COUNTIFS('BA History'!B:B,A9,'BA History'!D:D, 1)</f>
        <v>23</v>
      </c>
      <c r="J9" s="2">
        <f>COUNTIFS('BA History'!B:B,A9,'BA History'!D:D, 0)</f>
        <v>25</v>
      </c>
      <c r="K9" s="75">
        <f>LOOKUP(2, 1/('BA History'!$B:$B=A9), 'BA History'!$AJ:$AJ)</f>
        <v>0.47916666666666669</v>
      </c>
      <c r="L9" s="34">
        <f>SUMIFS('BA History'!F:F,'BA History'!B:B,A9)</f>
        <v>91</v>
      </c>
      <c r="M9" s="2">
        <f>SUMIFS('BA History'!E:E,'BA History'!B:B,A9)-L9</f>
        <v>102</v>
      </c>
      <c r="N9" s="75">
        <f>LOOKUP(2, 1/('BA History'!$B:$B=A9), 'BA History'!$AH:$AH)</f>
        <v>0.46562500000000001</v>
      </c>
      <c r="O9" s="34">
        <f>SUMIFS('BA History'!H:H,'BA History'!B:B,A9)</f>
        <v>373</v>
      </c>
      <c r="P9" s="2">
        <f>SUMIFS('BA History'!G:G,'BA History'!B:B,A9)-O9</f>
        <v>423</v>
      </c>
      <c r="Q9" s="89">
        <f>LOOKUP(2, 1/('BA History'!$B:$B=A9), 'BA History'!$AI:$AI)</f>
        <v>0.45958333333333318</v>
      </c>
      <c r="R9" s="2">
        <f>COUNTIFS('BA History'!$B:$B,$A$9,'BA History'!K:K, 1)</f>
        <v>4</v>
      </c>
      <c r="S9" s="2">
        <f>COUNTIFS('BA History'!$B:$B,$A$9,'BA History'!L:L, 1)</f>
        <v>7</v>
      </c>
      <c r="T9" s="2">
        <f>COUNTIFS('BA History'!$B:$B,$A$9,'BA History'!M:M, 1)</f>
        <v>5</v>
      </c>
      <c r="U9" s="2">
        <f>COUNTIFS('BA History'!$B:$B,$A$9,'BA History'!N:N, 1)</f>
        <v>9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4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4</v>
      </c>
      <c r="AD9" s="2">
        <f>COUNTIFS('BA History'!$B:$B,$A$9,'BA History'!W:W, 1)</f>
        <v>2</v>
      </c>
      <c r="AE9" s="2">
        <f>COUNTIFS('BA History'!$B:$B,$A$9,'BA History'!X:X, 1)</f>
        <v>0</v>
      </c>
      <c r="AF9" s="2">
        <f>COUNTIFS('BA History'!$B:$B,$A$9,'BA History'!Y:Y, 1)</f>
        <v>8</v>
      </c>
      <c r="AG9" s="2">
        <f>COUNTIFS('BA History'!$B:$B,$A$9,'BA History'!Z:Z, 1)</f>
        <v>11</v>
      </c>
      <c r="AH9" s="2">
        <f>COUNTIFS('BA History'!$B:$B,$A$9,'BA History'!AA:AA, 1)</f>
        <v>2</v>
      </c>
      <c r="AI9" s="2">
        <f>COUNTIFS('BA History'!$B:$B,$A$9,'BA History'!AB:AB, 1)</f>
        <v>12</v>
      </c>
      <c r="AJ9" s="2">
        <f>COUNTIFS('BA History'!$B:$B,$A$9,'BA History'!AC:AC, 1)</f>
        <v>4</v>
      </c>
      <c r="AK9" s="2">
        <f>COUNTIFS('BA History'!$B:$B,$A$9,'BA History'!AD:AD, 1)</f>
        <v>9</v>
      </c>
      <c r="AL9" s="2">
        <f>COUNTIFS('BA History'!$B:$B,$A$9,'BA History'!AE:AE, 1)</f>
        <v>0</v>
      </c>
      <c r="AM9" s="2">
        <f>COUNTIFS('BA History'!$B:$B,$A$9,'BA History'!AF:AF, 1)</f>
        <v>4</v>
      </c>
    </row>
    <row r="10" spans="1:39" x14ac:dyDescent="0.25">
      <c r="A10" s="2" t="s">
        <v>180</v>
      </c>
      <c r="B10" s="2" t="s">
        <v>79</v>
      </c>
      <c r="C10" s="2"/>
      <c r="D10" s="2"/>
      <c r="E10" s="2"/>
      <c r="F10" s="34">
        <f>SUMIFS('BA History'!C:C,'BA History'!B:B,A10)</f>
        <v>19</v>
      </c>
      <c r="G10" s="66">
        <f>AVERAGEIFS('BA History'!C:C,'BA History'!B:B,A10)</f>
        <v>9.5</v>
      </c>
      <c r="H10" s="35">
        <f t="array" ref="H10">MAX(IF('BA History'!B:B=A10, 'BA History'!C:C))</f>
        <v>11</v>
      </c>
      <c r="I10" s="34">
        <f>COUNTIFS('BA History'!B:B,A10,'BA History'!D:D, 1)</f>
        <v>1</v>
      </c>
      <c r="J10" s="2">
        <f>COUNTIFS('BA History'!B:B,A10,'BA History'!D:D, 0)</f>
        <v>1</v>
      </c>
      <c r="K10" s="75">
        <f>LOOKUP(2, 1/('BA History'!$B:$B=A10), 'BA History'!$AJ:$AJ)</f>
        <v>0.5</v>
      </c>
      <c r="L10" s="34">
        <f>SUMIFS('BA History'!F:F,'BA History'!B:B,A10)</f>
        <v>3</v>
      </c>
      <c r="M10" s="2">
        <f>SUMIFS('BA History'!E:E,'BA History'!B:B,A10)-L10</f>
        <v>4</v>
      </c>
      <c r="N10" s="75">
        <f>LOOKUP(2, 1/('BA History'!$B:$B=A10), 'BA History'!$AH:$AH)</f>
        <v>0.375</v>
      </c>
      <c r="O10" s="34">
        <f>SUMIFS('BA History'!H:H,'BA History'!B:B,A10)</f>
        <v>15</v>
      </c>
      <c r="P10" s="2">
        <f>SUMIFS('BA History'!G:G,'BA History'!B:B,A10)-O10</f>
        <v>14</v>
      </c>
      <c r="Q10" s="89">
        <f>LOOKUP(2, 1/('BA History'!$B:$B=A10), 'BA History'!$AI:$AI)</f>
        <v>0.51500000000000001</v>
      </c>
      <c r="R10" s="2">
        <f>COUNTIFS('BA History'!$B:$B,$A$10,'BA History'!K:K, 1)</f>
        <v>0</v>
      </c>
      <c r="S10" s="2">
        <f>COUNTIFS('BA History'!$B:$B,$A$10,'BA History'!L:L, 1)</f>
        <v>1</v>
      </c>
      <c r="T10" s="2">
        <f>COUNTIFS('BA History'!$B:$B,$A$10,'BA History'!M:M, 1)</f>
        <v>0</v>
      </c>
      <c r="U10" s="2">
        <f>COUNTIFS('BA History'!$B:$B,$A$10,'BA History'!N:N, 1)</f>
        <v>0</v>
      </c>
      <c r="V10" s="2">
        <f>COUNTIFS('BA History'!$B:$B,$A$10,'BA History'!O:O, 1)</f>
        <v>0</v>
      </c>
      <c r="W10" s="2">
        <f>COUNTIFS('BA History'!$B:$B,$A$10,'BA History'!P:P, 1)</f>
        <v>0</v>
      </c>
      <c r="X10" s="2">
        <f>COUNTIFS('BA History'!$B:$B,$A$10,'BA History'!Q:Q, 1)</f>
        <v>0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0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0</v>
      </c>
      <c r="AG10" s="2">
        <f>COUNTIFS('BA History'!$B:$B,$A$10,'BA History'!Z:Z, 1)</f>
        <v>0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1</v>
      </c>
    </row>
    <row r="11" spans="1:39" x14ac:dyDescent="0.25">
      <c r="A11" s="2" t="s">
        <v>25</v>
      </c>
      <c r="B11" s="2" t="s">
        <v>79</v>
      </c>
      <c r="C11" s="2"/>
      <c r="D11" s="2"/>
      <c r="E11" s="2"/>
      <c r="F11" s="34">
        <f>SUMIFS('BA History'!C:C,'BA History'!B:B,A11)</f>
        <v>58</v>
      </c>
      <c r="G11" s="66">
        <f>AVERAGEIFS('BA History'!C:C,'BA History'!B:B,A11)</f>
        <v>9.6666666666666661</v>
      </c>
      <c r="H11" s="35">
        <f t="array" ref="H11">MAX(IF('BA History'!B:B=A11, 'BA History'!C:C))</f>
        <v>15</v>
      </c>
      <c r="I11" s="34">
        <f>COUNTIFS('BA History'!B:B,A11,'BA History'!D:D, 1)</f>
        <v>4</v>
      </c>
      <c r="J11" s="2">
        <f>COUNTIFS('BA History'!B:B,A11,'BA History'!D:D, 0)</f>
        <v>2</v>
      </c>
      <c r="K11" s="75">
        <f>LOOKUP(2, 1/('BA History'!$B:$B=A11), 'BA History'!$AJ:$AJ)</f>
        <v>0.66666666666666663</v>
      </c>
      <c r="L11" s="34">
        <f>SUMIFS('BA History'!F:F,'BA History'!B:B,A11)</f>
        <v>14</v>
      </c>
      <c r="M11" s="2">
        <f>SUMIFS('BA History'!E:E,'BA History'!B:B,A11)-L11</f>
        <v>8</v>
      </c>
      <c r="N11" s="75">
        <f>LOOKUP(2, 1/('BA History'!$B:$B=A11), 'BA History'!$AH:$AH)</f>
        <v>0.66666666666666663</v>
      </c>
      <c r="O11" s="34">
        <f>SUMIFS('BA History'!H:H,'BA History'!B:B,A11)</f>
        <v>53</v>
      </c>
      <c r="P11" s="2">
        <f>SUMIFS('BA History'!G:G,'BA History'!B:B,A11)-O11</f>
        <v>35</v>
      </c>
      <c r="Q11" s="89">
        <f>LOOKUP(2, 1/('BA History'!$B:$B=A11), 'BA History'!$AI:$AI)</f>
        <v>0.63833333333333331</v>
      </c>
      <c r="R11" s="2">
        <f>COUNTIFS('BA History'!$B:$B,$A$11,'BA History'!K:K, 1)</f>
        <v>2</v>
      </c>
      <c r="S11" s="2">
        <f>COUNTIFS('BA History'!$B:$B,$A$11,'BA History'!L:L, 1)</f>
        <v>0</v>
      </c>
      <c r="T11" s="2">
        <f>COUNTIFS('BA History'!$B:$B,$A$11,'BA History'!M:M, 1)</f>
        <v>1</v>
      </c>
      <c r="U11" s="2">
        <f>COUNTIFS('BA History'!$B:$B,$A$11,'BA History'!N:N, 1)</f>
        <v>1</v>
      </c>
      <c r="V11" s="2">
        <f>COUNTIFS('BA History'!$B:$B,$A$11,'BA History'!O:O, 1)</f>
        <v>1</v>
      </c>
      <c r="W11" s="2">
        <f>COUNTIFS('BA History'!$B:$B,$A$11,'BA History'!P:P, 1)</f>
        <v>1</v>
      </c>
      <c r="X11" s="2">
        <f>COUNTIFS('BA History'!$B:$B,$A$11,'BA History'!Q:Q, 1)</f>
        <v>2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0</v>
      </c>
      <c r="AC11" s="2">
        <f>COUNTIFS('BA History'!$B:$B,$A$11,'BA History'!V:V, 1)</f>
        <v>1</v>
      </c>
      <c r="AD11" s="2">
        <f>COUNTIFS('BA History'!$B:$B,$A$11,'BA History'!W:W, 1)</f>
        <v>0</v>
      </c>
      <c r="AE11" s="2">
        <f>COUNTIFS('BA History'!$B:$B,$A$11,'BA History'!X:X, 1)</f>
        <v>0</v>
      </c>
      <c r="AF11" s="2">
        <f>COUNTIFS('BA History'!$B:$B,$A$11,'BA History'!Y:Y, 1)</f>
        <v>2</v>
      </c>
      <c r="AG11" s="2">
        <f>COUNTIFS('BA History'!$B:$B,$A$11,'BA History'!Z:Z, 1)</f>
        <v>2</v>
      </c>
      <c r="AH11" s="2">
        <f>COUNTIFS('BA History'!$B:$B,$A$11,'BA History'!AA:AA, 1)</f>
        <v>0</v>
      </c>
      <c r="AI11" s="2">
        <f>COUNTIFS('BA History'!$B:$B,$A$11,'BA History'!AB:AB, 1)</f>
        <v>1</v>
      </c>
      <c r="AJ11" s="2">
        <f>COUNTIFS('BA History'!$B:$B,$A$11,'BA History'!AC:AC, 1)</f>
        <v>0</v>
      </c>
      <c r="AK11" s="2">
        <f>COUNTIFS('BA History'!$B:$B,$A$11,'BA History'!AD:AD, 1)</f>
        <v>0</v>
      </c>
      <c r="AL11" s="2">
        <f>COUNTIFS('BA History'!$B:$B,$A$11,'BA History'!AE:AE, 1)</f>
        <v>0</v>
      </c>
      <c r="AM11" s="2">
        <f>COUNTIFS('BA History'!$B:$B,$A$11,'BA History'!AF:AF, 1)</f>
        <v>0</v>
      </c>
    </row>
    <row r="12" spans="1:39" x14ac:dyDescent="0.25">
      <c r="A12" s="2" t="s">
        <v>115</v>
      </c>
      <c r="B12" s="2" t="s">
        <v>79</v>
      </c>
      <c r="C12" s="2"/>
      <c r="D12" s="2"/>
      <c r="E12" s="2"/>
      <c r="F12" s="34">
        <f>SUMIFS('BA History'!C:C,'BA History'!B:B,A12)</f>
        <v>109</v>
      </c>
      <c r="G12" s="66">
        <f>AVERAGEIFS('BA History'!C:C,'BA History'!B:B,A12)</f>
        <v>13.625</v>
      </c>
      <c r="H12" s="35">
        <f t="array" ref="H12">MAX(IF('BA History'!B:B=A12, 'BA History'!C:C))</f>
        <v>23</v>
      </c>
      <c r="I12" s="34">
        <f>COUNTIFS('BA History'!B:B,A12,'BA History'!D:D, 1)</f>
        <v>3</v>
      </c>
      <c r="J12" s="2">
        <f>COUNTIFS('BA History'!B:B,A12,'BA History'!D:D, 0)</f>
        <v>5</v>
      </c>
      <c r="K12" s="75">
        <f>LOOKUP(2, 1/('BA History'!$B:$B=A12), 'BA History'!$AJ:$AJ)</f>
        <v>0.375</v>
      </c>
      <c r="L12" s="34">
        <f>SUMIFS('BA History'!F:F,'BA History'!B:B,A12)</f>
        <v>16</v>
      </c>
      <c r="M12" s="2">
        <f>SUMIFS('BA History'!E:E,'BA History'!B:B,A12)-L12</f>
        <v>19</v>
      </c>
      <c r="N12" s="75">
        <f>LOOKUP(2, 1/('BA History'!$B:$B=A12), 'BA History'!$AH:$AH)</f>
        <v>0.45624999999999999</v>
      </c>
      <c r="O12" s="34">
        <f>SUMIFS('BA History'!H:H,'BA History'!B:B,A12)</f>
        <v>66</v>
      </c>
      <c r="P12" s="2">
        <f>SUMIFS('BA History'!G:G,'BA History'!B:B,A12)-O12</f>
        <v>71</v>
      </c>
      <c r="Q12" s="89">
        <f>LOOKUP(2, 1/('BA History'!$B:$B=A12), 'BA History'!$AI:$AI)</f>
        <v>0.48374999999999996</v>
      </c>
      <c r="R12" s="2">
        <f>COUNTIFS('BA History'!$B:$B,$A$12,'BA History'!K:K, 1)</f>
        <v>1</v>
      </c>
      <c r="S12" s="2">
        <f>COUNTIFS('BA History'!$B:$B,$A$12,'BA History'!L:L, 1)</f>
        <v>2</v>
      </c>
      <c r="T12" s="2">
        <f>COUNTIFS('BA History'!$B:$B,$A$12,'BA History'!M:M, 1)</f>
        <v>1</v>
      </c>
      <c r="U12" s="2">
        <f>COUNTIFS('BA History'!$B:$B,$A$12,'BA History'!N:N, 1)</f>
        <v>0</v>
      </c>
      <c r="V12" s="2">
        <f>COUNTIFS('BA History'!$B:$B,$A$12,'BA History'!O:O, 1)</f>
        <v>1</v>
      </c>
      <c r="W12" s="2">
        <f>COUNTIFS('BA History'!$B:$B,$A$12,'BA History'!P:P, 1)</f>
        <v>0</v>
      </c>
      <c r="X12" s="2">
        <f>COUNTIFS('BA History'!$B:$B,$A$12,'BA History'!Q:Q, 1)</f>
        <v>1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1</v>
      </c>
      <c r="AC12" s="2">
        <f>COUNTIFS('BA History'!$B:$B,$A$12,'BA History'!V:V, 1)</f>
        <v>1</v>
      </c>
      <c r="AD12" s="2">
        <f>COUNTIFS('BA History'!$B:$B,$A$12,'BA History'!W:W, 1)</f>
        <v>1</v>
      </c>
      <c r="AE12" s="2">
        <f>COUNTIFS('BA History'!$B:$B,$A$12,'BA History'!X:X, 1)</f>
        <v>1</v>
      </c>
      <c r="AF12" s="2">
        <f>COUNTIFS('BA History'!$B:$B,$A$12,'BA History'!Y:Y, 1)</f>
        <v>1</v>
      </c>
      <c r="AG12" s="2">
        <f>COUNTIFS('BA History'!$B:$B,$A$12,'BA History'!Z:Z, 1)</f>
        <v>1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2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1</v>
      </c>
    </row>
    <row r="13" spans="1:39" x14ac:dyDescent="0.25">
      <c r="A13" s="2" t="s">
        <v>146</v>
      </c>
      <c r="B13" s="2" t="s">
        <v>79</v>
      </c>
      <c r="C13" s="2"/>
      <c r="D13" s="2"/>
      <c r="E13" s="2"/>
      <c r="F13" s="34">
        <f>SUMIFS('BA History'!C:C,'BA History'!B:B,A13)</f>
        <v>70</v>
      </c>
      <c r="G13" s="66">
        <f>AVERAGEIFS('BA History'!C:C,'BA History'!B:B,A13)</f>
        <v>8.75</v>
      </c>
      <c r="H13" s="35">
        <f t="array" ref="H13">MAX(IF('BA History'!B:B=A13, 'BA History'!C:C))</f>
        <v>18</v>
      </c>
      <c r="I13" s="34">
        <f>COUNTIFS('BA History'!B:B,A13,'BA History'!D:D, 1)</f>
        <v>1</v>
      </c>
      <c r="J13" s="2">
        <f>COUNTIFS('BA History'!B:B,A13,'BA History'!D:D, 0)</f>
        <v>7</v>
      </c>
      <c r="K13" s="75">
        <f>LOOKUP(2, 1/('BA History'!$B:$B=A13), 'BA History'!$AJ:$AJ)</f>
        <v>0.125</v>
      </c>
      <c r="L13" s="34">
        <f>SUMIFS('BA History'!F:F,'BA History'!B:B,A13)</f>
        <v>6</v>
      </c>
      <c r="M13" s="2">
        <f>SUMIFS('BA History'!E:E,'BA History'!B:B,A13)-L13</f>
        <v>21</v>
      </c>
      <c r="N13" s="75">
        <f>LOOKUP(2, 1/('BA History'!$B:$B=A13), 'BA History'!$AH:$AH)</f>
        <v>0.21875</v>
      </c>
      <c r="O13" s="34">
        <f>SUMIFS('BA History'!H:H,'BA History'!B:B,A13)</f>
        <v>40</v>
      </c>
      <c r="P13" s="2">
        <f>SUMIFS('BA History'!G:G,'BA History'!B:B,A13)-O13</f>
        <v>71</v>
      </c>
      <c r="Q13" s="89">
        <f>LOOKUP(2, 1/('BA History'!$B:$B=A13), 'BA History'!$AI:$AI)</f>
        <v>0.33875</v>
      </c>
      <c r="R13" s="2">
        <f>COUNTIFS('BA History'!$B:$B,$A$13,'BA History'!K:K, 1)</f>
        <v>0</v>
      </c>
      <c r="S13" s="2">
        <f>COUNTIFS('BA History'!$B:$B,$A$13,'BA History'!L:L, 1)</f>
        <v>0</v>
      </c>
      <c r="T13" s="2">
        <f>COUNTIFS('BA History'!$B:$B,$A$13,'BA History'!M:M, 1)</f>
        <v>1</v>
      </c>
      <c r="U13" s="2">
        <f>COUNTIFS('BA History'!$B:$B,$A$13,'BA History'!N:N, 1)</f>
        <v>1</v>
      </c>
      <c r="V13" s="2">
        <f>COUNTIFS('BA History'!$B:$B,$A$13,'BA History'!O:O, 1)</f>
        <v>2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0</v>
      </c>
      <c r="AC13" s="2">
        <f>COUNTIFS('BA History'!$B:$B,$A$13,'BA History'!V:V, 1)</f>
        <v>0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0</v>
      </c>
      <c r="AG13" s="2">
        <f>COUNTIFS('BA History'!$B:$B,$A$13,'BA History'!Z:Z, 1)</f>
        <v>0</v>
      </c>
      <c r="AH13" s="2">
        <f>COUNTIFS('BA History'!$B:$B,$A$13,'BA History'!AA:AA, 1)</f>
        <v>0</v>
      </c>
      <c r="AI13" s="2">
        <f>COUNTIFS('BA History'!$B:$B,$A$13,'BA History'!AB:AB, 1)</f>
        <v>0</v>
      </c>
      <c r="AJ13" s="2">
        <f>COUNTIFS('BA History'!$B:$B,$A$13,'BA History'!AC:AC, 1)</f>
        <v>1</v>
      </c>
      <c r="AK13" s="2">
        <f>COUNTIFS('BA History'!$B:$B,$A$13,'BA History'!AD:AD, 1)</f>
        <v>1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27</v>
      </c>
      <c r="B14" s="2" t="s">
        <v>79</v>
      </c>
      <c r="C14" s="2"/>
      <c r="D14" s="2"/>
      <c r="E14" s="2"/>
      <c r="F14" s="34">
        <f>SUMIFS('BA History'!C:C,'BA History'!B:B,A14)</f>
        <v>114</v>
      </c>
      <c r="G14" s="66">
        <f>AVERAGEIFS('BA History'!C:C,'BA History'!B:B,A14)</f>
        <v>11.4</v>
      </c>
      <c r="H14" s="35">
        <f t="array" ref="H14">MAX(IF('BA History'!B:B=A14, 'BA History'!C:C))</f>
        <v>20</v>
      </c>
      <c r="I14" s="34">
        <f>COUNTIFS('BA History'!B:B,A14,'BA History'!D:D, 1)</f>
        <v>3</v>
      </c>
      <c r="J14" s="2">
        <f>COUNTIFS('BA History'!B:B,A14,'BA History'!D:D, 0)</f>
        <v>7</v>
      </c>
      <c r="K14" s="75">
        <f>LOOKUP(2, 1/('BA History'!$B:$B=A14), 'BA History'!$AJ:$AJ)</f>
        <v>0.3</v>
      </c>
      <c r="L14" s="34">
        <f>SUMIFS('BA History'!F:F,'BA History'!B:B,A14)</f>
        <v>17</v>
      </c>
      <c r="M14" s="2">
        <f>SUMIFS('BA History'!E:E,'BA History'!B:B,A14)-L14</f>
        <v>25</v>
      </c>
      <c r="N14" s="75">
        <f>LOOKUP(2, 1/('BA History'!$B:$B=A14), 'BA History'!$AH:$AH)</f>
        <v>0.4</v>
      </c>
      <c r="O14" s="34">
        <f>SUMIFS('BA History'!H:H,'BA History'!B:B,A14)</f>
        <v>72</v>
      </c>
      <c r="P14" s="2">
        <f>SUMIFS('BA History'!G:G,'BA History'!B:B,A14)-O14</f>
        <v>102</v>
      </c>
      <c r="Q14" s="89">
        <f>LOOKUP(2, 1/('BA History'!$B:$B=A14), 'BA History'!$AI:$AI)</f>
        <v>0.39800000000000002</v>
      </c>
      <c r="R14" s="2">
        <f>COUNTIFS('BA History'!$B:$B,$A$14,'BA History'!K:K, 1)</f>
        <v>0</v>
      </c>
      <c r="S14" s="2">
        <f>COUNTIFS('BA History'!$B:$B,$A$14,'BA History'!L:L, 1)</f>
        <v>1</v>
      </c>
      <c r="T14" s="2">
        <f>COUNTIFS('BA History'!$B:$B,$A$14,'BA History'!M:M, 1)</f>
        <v>1</v>
      </c>
      <c r="U14" s="2">
        <f>COUNTIFS('BA History'!$B:$B,$A$14,'BA History'!N:N, 1)</f>
        <v>2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1</v>
      </c>
      <c r="AC14" s="2">
        <f>COUNTIFS('BA History'!$B:$B,$A$14,'BA History'!V:V, 1)</f>
        <v>1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1</v>
      </c>
      <c r="AG14" s="2">
        <f>COUNTIFS('BA History'!$B:$B,$A$14,'BA History'!Z:Z, 1)</f>
        <v>2</v>
      </c>
      <c r="AH14" s="2">
        <f>COUNTIFS('BA History'!$B:$B,$A$14,'BA History'!AA:AA, 1)</f>
        <v>1</v>
      </c>
      <c r="AI14" s="2">
        <f>COUNTIFS('BA History'!$B:$B,$A$14,'BA History'!AB:AB, 1)</f>
        <v>4</v>
      </c>
      <c r="AJ14" s="2">
        <f>COUNTIFS('BA History'!$B:$B,$A$14,'BA History'!AC:AC, 1)</f>
        <v>2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1</v>
      </c>
    </row>
    <row r="15" spans="1:39" x14ac:dyDescent="0.25">
      <c r="A15" s="2" t="s">
        <v>74</v>
      </c>
      <c r="B15" s="2" t="s">
        <v>79</v>
      </c>
      <c r="C15" s="2"/>
      <c r="D15" s="2"/>
      <c r="E15" s="2"/>
      <c r="F15" s="34">
        <f>SUMIFS('BA History'!C:C,'BA History'!B:B,A15)</f>
        <v>9</v>
      </c>
      <c r="G15" s="66">
        <f>AVERAGEIFS('BA History'!C:C,'BA History'!B:B,A15)</f>
        <v>9</v>
      </c>
      <c r="H15" s="35">
        <f t="array" ref="H15">MAX(IF('BA History'!B:B=A15, 'BA History'!C:C))</f>
        <v>9</v>
      </c>
      <c r="I15" s="34">
        <f>COUNTIFS('BA History'!B:B,A15,'BA History'!D:D, 1)</f>
        <v>0</v>
      </c>
      <c r="J15" s="2">
        <f>COUNTIFS('BA History'!B:B,A15,'BA History'!D:D, 0)</f>
        <v>1</v>
      </c>
      <c r="K15" s="75">
        <f>LOOKUP(2, 1/('BA History'!$B:$B=A15), 'BA History'!$AJ:$AJ)</f>
        <v>0</v>
      </c>
      <c r="L15" s="34">
        <f>SUMIFS('BA History'!F:F,'BA History'!B:B,A15)</f>
        <v>1</v>
      </c>
      <c r="M15" s="2">
        <f>SUMIFS('BA History'!E:E,'BA History'!B:B,A15)-L15</f>
        <v>3</v>
      </c>
      <c r="N15" s="75">
        <f>LOOKUP(2, 1/('BA History'!$B:$B=A15), 'BA History'!$AH:$AH)</f>
        <v>0.25</v>
      </c>
      <c r="O15" s="34">
        <f>SUMIFS('BA History'!H:H,'BA History'!B:B,A15)</f>
        <v>6</v>
      </c>
      <c r="P15" s="2">
        <f>SUMIFS('BA History'!G:G,'BA History'!B:B,A15)-O15</f>
        <v>9</v>
      </c>
      <c r="Q15" s="89">
        <f>LOOKUP(2, 1/('BA History'!$B:$B=A15), 'BA History'!$AI:$AI)</f>
        <v>0.4</v>
      </c>
      <c r="R15" s="2">
        <f>COUNTIFS('BA History'!$B:$B,$A$15,'BA History'!K:K, 1)</f>
        <v>0</v>
      </c>
      <c r="S15" s="2">
        <f>COUNTIFS('BA History'!$B:$B,$A$15,'BA History'!L:L, 1)</f>
        <v>0</v>
      </c>
      <c r="T15" s="2">
        <f>COUNTIFS('BA History'!$B:$B,$A$15,'BA History'!M:M, 1)</f>
        <v>0</v>
      </c>
      <c r="U15" s="2">
        <f>COUNTIFS('BA History'!$B:$B,$A$15,'BA History'!N:N, 1)</f>
        <v>0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0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1</v>
      </c>
      <c r="AH15" s="2">
        <f>COUNTIFS('BA History'!$B:$B,$A$15,'BA History'!AA:AA, 1)</f>
        <v>0</v>
      </c>
      <c r="AI15" s="2">
        <f>COUNTIFS('BA History'!$B:$B,$A$15,'BA History'!AB:AB, 1)</f>
        <v>0</v>
      </c>
      <c r="AJ15" s="2">
        <f>COUNTIFS('BA History'!$B:$B,$A$15,'BA History'!AC:AC, 1)</f>
        <v>0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152</v>
      </c>
      <c r="B16" s="2" t="s">
        <v>79</v>
      </c>
      <c r="C16" s="2"/>
      <c r="D16" s="2"/>
      <c r="E16" s="2"/>
      <c r="F16" s="34">
        <f>SUMIFS('BA History'!C:C,'BA History'!B:B,A16)</f>
        <v>65</v>
      </c>
      <c r="G16" s="66">
        <f>AVERAGEIFS('BA History'!C:C,'BA History'!B:B,A16)</f>
        <v>13</v>
      </c>
      <c r="H16" s="35">
        <f t="array" ref="H16">MAX(IF('BA History'!B:B=A16, 'BA History'!C:C))</f>
        <v>19</v>
      </c>
      <c r="I16" s="34">
        <f>COUNTIFS('BA History'!B:B,A16,'BA History'!D:D, 1)</f>
        <v>2</v>
      </c>
      <c r="J16" s="2">
        <f>COUNTIFS('BA History'!B:B,A16,'BA History'!D:D, 0)</f>
        <v>3</v>
      </c>
      <c r="K16" s="75">
        <f>LOOKUP(2, 1/('BA History'!$B:$B=A16), 'BA History'!$AJ:$AJ)</f>
        <v>0.4</v>
      </c>
      <c r="L16" s="34">
        <f>SUMIFS('BA History'!F:F,'BA History'!B:B,A16)</f>
        <v>11</v>
      </c>
      <c r="M16" s="2">
        <f>SUMIFS('BA History'!E:E,'BA History'!B:B,A16)-L16</f>
        <v>11</v>
      </c>
      <c r="N16" s="75">
        <f>LOOKUP(2, 1/('BA History'!$B:$B=A16), 'BA History'!$AH:$AH)</f>
        <v>0.49000000000000005</v>
      </c>
      <c r="O16" s="34">
        <f>SUMIFS('BA History'!H:H,'BA History'!B:B,A16)</f>
        <v>47</v>
      </c>
      <c r="P16" s="2">
        <f>SUMIFS('BA History'!G:G,'BA History'!B:B,A16)-O16</f>
        <v>46</v>
      </c>
      <c r="Q16" s="89">
        <f>LOOKUP(2, 1/('BA History'!$B:$B=A16), 'BA History'!$AI:$AI)</f>
        <v>0.5</v>
      </c>
      <c r="R16" s="2">
        <f>COUNTIFS('BA History'!$B:$B,$A$16,'BA History'!K:K, 1)</f>
        <v>1</v>
      </c>
      <c r="S16" s="2">
        <f>COUNTIFS('BA History'!$B:$B,$A$16,'BA History'!L:L, 1)</f>
        <v>0</v>
      </c>
      <c r="T16" s="2">
        <f>COUNTIFS('BA History'!$B:$B,$A$16,'BA History'!M:M, 1)</f>
        <v>2</v>
      </c>
      <c r="U16" s="2">
        <f>COUNTIFS('BA History'!$B:$B,$A$16,'BA History'!N:N, 1)</f>
        <v>2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1</v>
      </c>
      <c r="AD16" s="2">
        <f>COUNTIFS('BA History'!$B:$B,$A$16,'BA History'!W:W, 1)</f>
        <v>1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2</v>
      </c>
      <c r="AJ16" s="2">
        <f>COUNTIFS('BA History'!$B:$B,$A$16,'BA History'!AC:AC, 1)</f>
        <v>2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History'!$B:$B,$A$16,'BA History'!AF:AF, 1)</f>
        <v>0</v>
      </c>
    </row>
    <row r="17" spans="1:39" x14ac:dyDescent="0.25">
      <c r="A17" s="2" t="s">
        <v>89</v>
      </c>
      <c r="B17" s="2" t="s">
        <v>79</v>
      </c>
      <c r="C17" s="2"/>
      <c r="D17" s="2"/>
      <c r="E17" s="2"/>
      <c r="F17" s="34">
        <f>SUMIFS('BA History'!C:C,'BA History'!B:B,A17)</f>
        <v>3</v>
      </c>
      <c r="G17" s="66">
        <f>AVERAGEIFS('BA History'!C:C,'BA History'!B:B,A17)</f>
        <v>3</v>
      </c>
      <c r="H17" s="35">
        <f t="array" ref="H17">MAX(IF('BA History'!B:B=A17, 'BA History'!C:C))</f>
        <v>3</v>
      </c>
      <c r="I17" s="34">
        <f>COUNTIFS('BA History'!B:B,A17,'BA History'!D:D, 1)</f>
        <v>0</v>
      </c>
      <c r="J17" s="2">
        <f>COUNTIFS('BA History'!B:B,A17,'BA History'!D:D, 0)</f>
        <v>1</v>
      </c>
      <c r="K17" s="75">
        <f>LOOKUP(2, 1/('BA History'!$B:$B=A17), 'BA History'!$AJ:$AJ)</f>
        <v>0</v>
      </c>
      <c r="L17" s="34">
        <f>SUMIFS('BA History'!F:F,'BA History'!B:B,A17)</f>
        <v>0</v>
      </c>
      <c r="M17" s="2">
        <f>SUMIFS('BA History'!E:E,'BA History'!B:B,A17)-L17</f>
        <v>3</v>
      </c>
      <c r="N17" s="75">
        <f>LOOKUP(2, 1/('BA History'!$B:$B=A17), 'BA History'!$AH:$AH)</f>
        <v>0</v>
      </c>
      <c r="O17" s="34">
        <f>SUMIFS('BA History'!H:H,'BA History'!B:B,A17)</f>
        <v>4</v>
      </c>
      <c r="P17" s="2">
        <f>SUMIFS('BA History'!G:G,'BA History'!B:B,A17)-O17</f>
        <v>9</v>
      </c>
      <c r="Q17" s="89">
        <f>LOOKUP(2, 1/('BA History'!$B:$B=A17), 'BA History'!$AI:$AI)</f>
        <v>0.31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0</v>
      </c>
      <c r="U17" s="2">
        <f>COUNTIFS('BA History'!$B:$B,$A$17,'BA History'!N:N, 1)</f>
        <v>0</v>
      </c>
      <c r="V17" s="2">
        <f>COUNTIFS('BA History'!$B:$B,$A$17,'BA History'!O:O, 1)</f>
        <v>0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0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0</v>
      </c>
      <c r="AG17" s="2">
        <f>COUNTIFS('BA History'!$B:$B,$A$17,'BA History'!Z:Z, 1)</f>
        <v>0</v>
      </c>
      <c r="AH17" s="2">
        <f>COUNTIFS('BA History'!$B:$B,$A$17,'BA History'!AA:AA, 1)</f>
        <v>0</v>
      </c>
      <c r="AI17" s="2">
        <f>COUNTIFS('BA History'!$B:$B,$A$17,'BA History'!AB:AB, 1)</f>
        <v>0</v>
      </c>
      <c r="AJ17" s="2">
        <f>COUNTIFS('BA History'!$B:$B,$A$17,'BA History'!AC:AC, 1)</f>
        <v>0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History'!$B:$B,$A$18,'BA History'!AF:AF, 1)</f>
        <v>0</v>
      </c>
    </row>
    <row r="18" spans="1:39" x14ac:dyDescent="0.25">
      <c r="A18" s="2" t="s">
        <v>45</v>
      </c>
      <c r="B18" s="2" t="s">
        <v>79</v>
      </c>
      <c r="C18" s="2"/>
      <c r="D18" s="2"/>
      <c r="E18" s="2"/>
      <c r="F18" s="34">
        <f>SUMIFS('BA History'!C:C,'BA History'!B:B,A18)</f>
        <v>66</v>
      </c>
      <c r="G18" s="66">
        <f>AVERAGEIFS('BA History'!C:C,'BA History'!B:B,A18)</f>
        <v>9.4285714285714288</v>
      </c>
      <c r="H18" s="35">
        <f t="array" ref="H18">MAX(IF('BA History'!B:B=A18, 'BA History'!C:C))</f>
        <v>14</v>
      </c>
      <c r="I18" s="34">
        <f>COUNTIFS('BA History'!B:B,A18,'BA History'!D:D, 1)</f>
        <v>3</v>
      </c>
      <c r="J18" s="2">
        <f>COUNTIFS('BA History'!B:B,A18,'BA History'!D:D, 0)</f>
        <v>4</v>
      </c>
      <c r="K18" s="75">
        <f>LOOKUP(2, 1/('BA History'!$B:$B=A18), 'BA History'!$AJ:$AJ)</f>
        <v>0.42857142857142855</v>
      </c>
      <c r="L18" s="34">
        <f>SUMIFS('BA History'!F:F,'BA History'!B:B,A18)</f>
        <v>13</v>
      </c>
      <c r="M18" s="2">
        <f>SUMIFS('BA History'!E:E,'BA History'!B:B,A18)-L18</f>
        <v>15</v>
      </c>
      <c r="N18" s="75">
        <f>LOOKUP(2, 1/('BA History'!$B:$B=A18), 'BA History'!$AH:$AH)</f>
        <v>0.45999999999999996</v>
      </c>
      <c r="O18" s="34">
        <f>SUMIFS('BA History'!H:H,'BA History'!B:B,A18)</f>
        <v>62</v>
      </c>
      <c r="P18" s="2">
        <f>SUMIFS('BA History'!G:G,'BA History'!B:B,A18)-O18</f>
        <v>66</v>
      </c>
      <c r="Q18" s="89">
        <f>LOOKUP(2, 1/('BA History'!$B:$B=A18), 'BA History'!$AI:$AI)</f>
        <v>0.48142857142857143</v>
      </c>
      <c r="R18" s="2">
        <f>COUNTIFS('BA History'!$B:$B,$A$18,'BA History'!K:K, 1)</f>
        <v>0</v>
      </c>
      <c r="S18" s="2">
        <f>COUNTIFS('BA History'!$B:$B,$A$18,'BA History'!L:L, 1)</f>
        <v>0</v>
      </c>
      <c r="T18" s="2">
        <f>COUNTIFS('BA History'!$B:$B,$A$18,'BA History'!M:M, 1)</f>
        <v>1</v>
      </c>
      <c r="U18" s="2">
        <f>COUNTIFS('BA History'!$B:$B,$A$18,'BA History'!N:N, 1)</f>
        <v>2</v>
      </c>
      <c r="V18" s="2">
        <f>COUNTIFS('BA History'!$B:$B,$A$18,'BA History'!O:O, 1)</f>
        <v>1</v>
      </c>
      <c r="W18" s="2">
        <f>COUNTIFS('BA History'!$B:$B,$A$18,'BA History'!P:P, 1)</f>
        <v>0</v>
      </c>
      <c r="X18" s="2">
        <f>COUNTIFS('BA History'!$B:$B,$A$18,'BA History'!Q:Q, 1)</f>
        <v>0</v>
      </c>
      <c r="Y18" s="2">
        <f>COUNTIFS('BA History'!$B:$B,$A$18,'BA History'!R:R, 1)</f>
        <v>0</v>
      </c>
      <c r="Z18" s="2">
        <f>COUNTIFS('BA History'!$B:$B,$A$18,'BA History'!S:S, 1)</f>
        <v>0</v>
      </c>
      <c r="AA18" s="2">
        <f>COUNTIFS('BA History'!$B:$B,$A$18,'BA History'!T:T, 1)</f>
        <v>0</v>
      </c>
      <c r="AB18" s="2">
        <f>COUNTIFS('BA History'!$B:$B,$A$18,'BA History'!U:U, 1)</f>
        <v>1</v>
      </c>
      <c r="AC18" s="2">
        <f>COUNTIFS('BA History'!$B:$B,$A$18,'BA History'!V:V, 1)</f>
        <v>0</v>
      </c>
      <c r="AD18" s="2">
        <f>COUNTIFS('BA History'!$B:$B,$A$18,'BA History'!W:W, 1)</f>
        <v>0</v>
      </c>
      <c r="AE18" s="2">
        <f>COUNTIFS('BA History'!$B:$B,$A$18,'BA History'!X:X, 1)</f>
        <v>0</v>
      </c>
      <c r="AF18" s="2">
        <f>COUNTIFS('BA History'!$B:$B,$A$18,'BA History'!Y:Y, 1)</f>
        <v>2</v>
      </c>
      <c r="AG18" s="2">
        <f>COUNTIFS('BA History'!$B:$B,$A$18,'BA History'!Z:Z, 1)</f>
        <v>1</v>
      </c>
      <c r="AH18" s="2">
        <f>COUNTIFS('BA History'!$B:$B,$A$18,'BA History'!AA:AA, 1)</f>
        <v>1</v>
      </c>
      <c r="AI18" s="2">
        <f>COUNTIFS('BA History'!$B:$B,$A$18,'BA History'!AB:AB, 1)</f>
        <v>2</v>
      </c>
      <c r="AJ18" s="2">
        <f>COUNTIFS('BA History'!$B:$B,$A$18,'BA History'!AC:AC, 1)</f>
        <v>2</v>
      </c>
      <c r="AK18" s="2">
        <f>COUNTIFS('BA History'!$B:$B,$A$18,'BA History'!AD:AD, 1)</f>
        <v>0</v>
      </c>
      <c r="AL18" s="2">
        <f>COUNTIFS('BA History'!$B:$B,$A$18,'BA History'!AE:AE, 1)</f>
        <v>0</v>
      </c>
      <c r="AM18" s="2">
        <f>COUNTIFS('BA History'!$B:$B,$A$18,'BA History'!AF:AF, 1)</f>
        <v>0</v>
      </c>
    </row>
    <row r="19" spans="1:39" x14ac:dyDescent="0.25">
      <c r="A19" s="2" t="s">
        <v>50</v>
      </c>
      <c r="B19" s="2" t="s">
        <v>79</v>
      </c>
      <c r="C19" s="2"/>
      <c r="D19" s="2">
        <v>1</v>
      </c>
      <c r="E19" s="2"/>
      <c r="F19" s="34">
        <f>SUMIFS('BA History'!C:C,'BA History'!B:B,A19)</f>
        <v>767</v>
      </c>
      <c r="G19" s="66">
        <f>AVERAGEIFS('BA History'!C:C,'BA History'!B:B,A19)</f>
        <v>17.837209302325583</v>
      </c>
      <c r="H19" s="35">
        <f t="array" ref="H19">MAX(IF('BA History'!B:B=A19, 'BA History'!C:C))</f>
        <v>31</v>
      </c>
      <c r="I19" s="34">
        <f>COUNTIFS('BA History'!B:B,A19,'BA History'!D:D, 1)</f>
        <v>21</v>
      </c>
      <c r="J19" s="2">
        <f>COUNTIFS('BA History'!B:B,A19,'BA History'!D:D, 0)</f>
        <v>22</v>
      </c>
      <c r="K19" s="75">
        <f>LOOKUP(2, 1/('BA History'!$B:$B=A19), 'BA History'!$AJ:$AJ)</f>
        <v>0.48837209302325579</v>
      </c>
      <c r="L19" s="34">
        <f>SUMIFS('BA History'!F:F,'BA History'!B:B,A19)</f>
        <v>85</v>
      </c>
      <c r="M19" s="2">
        <f>SUMIFS('BA History'!E:E,'BA History'!B:B,A19)-L19</f>
        <v>88</v>
      </c>
      <c r="N19" s="75">
        <f>LOOKUP(2, 1/('BA History'!$B:$B=A19), 'BA History'!$AH:$AH)</f>
        <v>0.49372093023255825</v>
      </c>
      <c r="O19" s="34">
        <f>SUMIFS('BA History'!H:H,'BA History'!B:B,A19)</f>
        <v>363</v>
      </c>
      <c r="P19" s="2">
        <f>SUMIFS('BA History'!G:G,'BA History'!B:B,A19)-O19</f>
        <v>363</v>
      </c>
      <c r="Q19" s="89">
        <f>LOOKUP(2, 1/('BA History'!$B:$B=A19), 'BA History'!$AI:$AI)</f>
        <v>0.50906976744186039</v>
      </c>
      <c r="R19" s="2">
        <f>COUNTIFS('BA History'!$B:$B,$A$19,'BA History'!K:K, 1)</f>
        <v>3</v>
      </c>
      <c r="S19" s="2">
        <f>COUNTIFS('BA History'!$B:$B,$A$19,'BA History'!L:L, 1)</f>
        <v>7</v>
      </c>
      <c r="T19" s="2">
        <f>COUNTIFS('BA History'!$B:$B,$A$19,'BA History'!M:M, 1)</f>
        <v>5</v>
      </c>
      <c r="U19" s="2">
        <f>COUNTIFS('BA History'!$B:$B,$A$19,'BA History'!N:N, 1)</f>
        <v>8</v>
      </c>
      <c r="V19" s="2">
        <f>COUNTIFS('BA History'!$B:$B,$A$19,'BA History'!O:O, 1)</f>
        <v>2</v>
      </c>
      <c r="W19" s="2">
        <f>COUNTIFS('BA History'!$B:$B,$A$19,'BA History'!P:P, 1)</f>
        <v>1</v>
      </c>
      <c r="X19" s="2">
        <f>COUNTIFS('BA History'!$B:$B,$A$19,'BA History'!Q:Q, 1)</f>
        <v>4</v>
      </c>
      <c r="Y19" s="2">
        <f>COUNTIFS('BA History'!$B:$B,$A$19,'BA History'!R:R, 1)</f>
        <v>1</v>
      </c>
      <c r="Z19" s="2">
        <f>COUNTIFS('BA History'!$B:$B,$A$19,'BA History'!S:S, 1)</f>
        <v>0</v>
      </c>
      <c r="AA19" s="2">
        <f>COUNTIFS('BA History'!$B:$B,$A$19,'BA History'!T:T, 1)</f>
        <v>1</v>
      </c>
      <c r="AB19" s="2">
        <f>COUNTIFS('BA History'!$B:$B,$A$19,'BA History'!U:U, 1)</f>
        <v>0</v>
      </c>
      <c r="AC19" s="2">
        <f>COUNTIFS('BA History'!$B:$B,$A$19,'BA History'!V:V, 1)</f>
        <v>9</v>
      </c>
      <c r="AD19" s="2">
        <f>COUNTIFS('BA History'!$B:$B,$A$19,'BA History'!W:W, 1)</f>
        <v>2</v>
      </c>
      <c r="AE19" s="2">
        <f>COUNTIFS('BA History'!$B:$B,$A$19,'BA History'!X:X, 1)</f>
        <v>1</v>
      </c>
      <c r="AF19" s="2">
        <f>COUNTIFS('BA History'!$B:$B,$A$19,'BA History'!Y:Y, 1)</f>
        <v>4</v>
      </c>
      <c r="AG19" s="2">
        <f>COUNTIFS('BA History'!$B:$B,$A$19,'BA History'!Z:Z, 1)</f>
        <v>9</v>
      </c>
      <c r="AH19" s="2">
        <f>COUNTIFS('BA History'!$B:$B,$A$19,'BA History'!AA:AA, 1)</f>
        <v>1</v>
      </c>
      <c r="AI19" s="2">
        <f>COUNTIFS('BA History'!$B:$B,$A$19,'BA History'!AB:AB, 1)</f>
        <v>11</v>
      </c>
      <c r="AJ19" s="2">
        <f>COUNTIFS('BA History'!$B:$B,$A$19,'BA History'!AC:AC, 1)</f>
        <v>2</v>
      </c>
      <c r="AK19" s="2">
        <f>COUNTIFS('BA History'!$B:$B,$A$19,'BA History'!AD:AD, 1)</f>
        <v>9</v>
      </c>
      <c r="AL19" s="2">
        <f>COUNTIFS('BA History'!$B:$B,$A$19,'BA History'!AE:AE, 1)</f>
        <v>2</v>
      </c>
      <c r="AM19" s="2">
        <f>COUNTIFS('BA History'!$B:$B,$A$19,'BA History'!AF:AF, 1)</f>
        <v>3</v>
      </c>
    </row>
    <row r="20" spans="1:39" x14ac:dyDescent="0.25">
      <c r="A20" s="2" t="s">
        <v>52</v>
      </c>
      <c r="B20" s="2" t="s">
        <v>79</v>
      </c>
      <c r="C20" s="2">
        <v>1</v>
      </c>
      <c r="D20" s="2"/>
      <c r="E20" s="2"/>
      <c r="F20" s="34">
        <f>SUMIFS('BA History'!C:C,'BA History'!B:B,A20)</f>
        <v>235</v>
      </c>
      <c r="G20" s="66">
        <f>AVERAGEIFS('BA History'!C:C,'BA History'!B:B,A20)</f>
        <v>15.666666666666666</v>
      </c>
      <c r="H20" s="35">
        <f t="array" ref="H20">MAX(IF('BA History'!B:B=A20, 'BA History'!C:C))</f>
        <v>31</v>
      </c>
      <c r="I20" s="34">
        <f>COUNTIFS('BA History'!B:B,A20,'BA History'!D:D, 1)</f>
        <v>5</v>
      </c>
      <c r="J20" s="2">
        <f>COUNTIFS('BA History'!B:B,A20,'BA History'!D:D, 0)</f>
        <v>10</v>
      </c>
      <c r="K20" s="75">
        <f>LOOKUP(2, 1/('BA History'!$B:$B=A20), 'BA History'!$AJ:$AJ)</f>
        <v>0.33333333333333331</v>
      </c>
      <c r="L20" s="34">
        <f>SUMIFS('BA History'!F:F,'BA History'!B:B,A20)</f>
        <v>29</v>
      </c>
      <c r="M20" s="2">
        <f>SUMIFS('BA History'!E:E,'BA History'!B:B,A20)-L20</f>
        <v>35</v>
      </c>
      <c r="N20" s="75">
        <f>LOOKUP(2, 1/('BA History'!$B:$B=A20), 'BA History'!$AH:$AH)</f>
        <v>0.47000000000000003</v>
      </c>
      <c r="O20" s="34">
        <f>SUMIFS('BA History'!H:H,'BA History'!B:B,A20)</f>
        <v>121</v>
      </c>
      <c r="P20" s="2">
        <f>SUMIFS('BA History'!G:G,'BA History'!B:B,A20)-O20</f>
        <v>134</v>
      </c>
      <c r="Q20" s="89">
        <f>LOOKUP(2, 1/('BA History'!$B:$B=A20), 'BA History'!$AI:$AI)</f>
        <v>0.48600000000000004</v>
      </c>
      <c r="R20" s="2">
        <f>COUNTIFS('BA History'!$B:$B,$A$20,'BA History'!K:K, 1)</f>
        <v>1</v>
      </c>
      <c r="S20" s="2">
        <f>COUNTIFS('BA History'!$B:$B,$A$20,'BA History'!L:L, 1)</f>
        <v>2</v>
      </c>
      <c r="T20" s="2">
        <f>COUNTIFS('BA History'!$B:$B,$A$20,'BA History'!M:M, 1)</f>
        <v>2</v>
      </c>
      <c r="U20" s="2">
        <f>COUNTIFS('BA History'!$B:$B,$A$20,'BA History'!N:N, 1)</f>
        <v>3</v>
      </c>
      <c r="V20" s="2">
        <f>COUNTIFS('BA History'!$B:$B,$A$20,'BA History'!O:O, 1)</f>
        <v>1</v>
      </c>
      <c r="W20" s="2">
        <f>COUNTIFS('BA History'!$B:$B,$A$20,'BA History'!P:P, 1)</f>
        <v>0</v>
      </c>
      <c r="X20" s="2">
        <f>COUNTIFS('BA History'!$B:$B,$A$20,'BA History'!Q:Q, 1)</f>
        <v>1</v>
      </c>
      <c r="Y20" s="2">
        <f>COUNTIFS('BA History'!$B:$B,$A$20,'BA History'!R:R, 1)</f>
        <v>0</v>
      </c>
      <c r="Z20" s="2">
        <f>COUNTIFS('BA History'!$B:$B,$A$20,'BA History'!S:S, 1)</f>
        <v>0</v>
      </c>
      <c r="AA20" s="2">
        <f>COUNTIFS('BA History'!$B:$B,$A$20,'BA History'!T:T, 1)</f>
        <v>0</v>
      </c>
      <c r="AB20" s="2">
        <f>COUNTIFS('BA History'!$B:$B,$A$20,'BA History'!U:U, 1)</f>
        <v>4</v>
      </c>
      <c r="AC20" s="2">
        <f>COUNTIFS('BA History'!$B:$B,$A$20,'BA History'!V:V, 1)</f>
        <v>0</v>
      </c>
      <c r="AD20" s="2">
        <f>COUNTIFS('BA History'!$B:$B,$A$20,'BA History'!W:W, 1)</f>
        <v>1</v>
      </c>
      <c r="AE20" s="2">
        <f>COUNTIFS('BA History'!$B:$B,$A$20,'BA History'!X:X, 1)</f>
        <v>0</v>
      </c>
      <c r="AF20" s="2">
        <f>COUNTIFS('BA History'!$B:$B,$A$20,'BA History'!Y:Y, 1)</f>
        <v>1</v>
      </c>
      <c r="AG20" s="2">
        <f>COUNTIFS('BA History'!$B:$B,$A$20,'BA History'!Z:Z, 1)</f>
        <v>4</v>
      </c>
      <c r="AH20" s="2">
        <f>COUNTIFS('BA History'!$B:$B,$A$20,'BA History'!AA:AA, 1)</f>
        <v>0</v>
      </c>
      <c r="AI20" s="2">
        <f>COUNTIFS('BA History'!$B:$B,$A$20,'BA History'!AB:AB, 1)</f>
        <v>5</v>
      </c>
      <c r="AJ20" s="2">
        <f>COUNTIFS('BA History'!$B:$B,$A$20,'BA History'!AC:AC, 1)</f>
        <v>3</v>
      </c>
      <c r="AK20" s="2">
        <f>COUNTIFS('BA History'!$B:$B,$A$20,'BA History'!AD:AD, 1)</f>
        <v>1</v>
      </c>
      <c r="AL20" s="2">
        <f>COUNTIFS('BA History'!$B:$B,$A$20,'BA History'!AE:AE, 1)</f>
        <v>0</v>
      </c>
      <c r="AM20" s="2">
        <f>COUNTIFS('BA History'!$B:$B,$A$20,'BA History'!AF:AF, 1)</f>
        <v>0</v>
      </c>
    </row>
    <row r="21" spans="1:39" x14ac:dyDescent="0.25">
      <c r="A21" s="2" t="s">
        <v>44</v>
      </c>
      <c r="B21" s="2" t="s">
        <v>79</v>
      </c>
      <c r="C21" s="2">
        <v>1</v>
      </c>
      <c r="D21" s="2"/>
      <c r="E21" s="2"/>
      <c r="F21" s="34">
        <f>SUMIFS('BA History'!C:C,'BA History'!B:B,A21)</f>
        <v>750</v>
      </c>
      <c r="G21" s="66">
        <f>AVERAGEIFS('BA History'!C:C,'BA History'!B:B,A21)</f>
        <v>16.666666666666668</v>
      </c>
      <c r="H21" s="35">
        <f t="array" ref="H21">MAX(IF('BA History'!B:B=A21, 'BA History'!C:C))</f>
        <v>36</v>
      </c>
      <c r="I21" s="34">
        <f>COUNTIFS('BA History'!B:B,A21,'BA History'!D:D, 1)</f>
        <v>29</v>
      </c>
      <c r="J21" s="2">
        <f>COUNTIFS('BA History'!B:B,A21,'BA History'!D:D, 0)</f>
        <v>16</v>
      </c>
      <c r="K21" s="75">
        <f>LOOKUP(2, 1/('BA History'!$B:$B=A21), 'BA History'!$AJ:$AJ)</f>
        <v>0.64444444444444449</v>
      </c>
      <c r="L21" s="34">
        <f>SUMIFS('BA History'!F:F,'BA History'!B:B,A21)</f>
        <v>100</v>
      </c>
      <c r="M21" s="2">
        <f>SUMIFS('BA History'!E:E,'BA History'!B:B,A21)-L21</f>
        <v>81</v>
      </c>
      <c r="N21" s="75">
        <f>LOOKUP(2, 1/('BA History'!$B:$B=A21), 'BA History'!$AH:$AH)</f>
        <v>0.54888888888888887</v>
      </c>
      <c r="O21" s="34">
        <f>SUMIFS('BA History'!H:H,'BA History'!B:B,A21)</f>
        <v>403</v>
      </c>
      <c r="P21" s="2">
        <f>SUMIFS('BA History'!G:G,'BA History'!B:B,A21)-O21</f>
        <v>353</v>
      </c>
      <c r="Q21" s="89">
        <f>LOOKUP(2, 1/('BA History'!$B:$B=A21), 'BA History'!$AI:$AI)</f>
        <v>0.5411111111111111</v>
      </c>
      <c r="R21" s="2">
        <f>COUNTIFS('BA History'!$B:$B,$A$21,'BA History'!K:K, 1)</f>
        <v>4</v>
      </c>
      <c r="S21" s="2">
        <f>COUNTIFS('BA History'!$B:$B,$A$21,'BA History'!L:L, 1)</f>
        <v>4</v>
      </c>
      <c r="T21" s="2">
        <f>COUNTIFS('BA History'!$B:$B,$A$21,'BA History'!M:M, 1)</f>
        <v>11</v>
      </c>
      <c r="U21" s="2">
        <f>COUNTIFS('BA History'!$B:$B,$A$21,'BA History'!N:N, 1)</f>
        <v>10</v>
      </c>
      <c r="V21" s="2">
        <f>COUNTIFS('BA History'!$B:$B,$A$21,'BA History'!O:O, 1)</f>
        <v>2</v>
      </c>
      <c r="W21" s="2">
        <f>COUNTIFS('BA History'!$B:$B,$A$21,'BA History'!P:P, 1)</f>
        <v>0</v>
      </c>
      <c r="X21" s="2">
        <f>COUNTIFS('BA History'!$B:$B,$A$21,'BA History'!Q:Q, 1)</f>
        <v>3</v>
      </c>
      <c r="Y21" s="2">
        <f>COUNTIFS('BA History'!$B:$B,$A$21,'BA History'!R:R, 1)</f>
        <v>2</v>
      </c>
      <c r="Z21" s="2">
        <f>COUNTIFS('BA History'!$B:$B,$A$21,'BA History'!S:S, 1)</f>
        <v>2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5</v>
      </c>
      <c r="AD21" s="2">
        <f>COUNTIFS('BA History'!$B:$B,$A$21,'BA History'!W:W, 1)</f>
        <v>4</v>
      </c>
      <c r="AE21" s="2">
        <f>COUNTIFS('BA History'!$B:$B,$A$21,'BA History'!X:X, 1)</f>
        <v>1</v>
      </c>
      <c r="AF21" s="2">
        <f>COUNTIFS('BA History'!$B:$B,$A$21,'BA History'!Y:Y, 1)</f>
        <v>6</v>
      </c>
      <c r="AG21" s="2">
        <f>COUNTIFS('BA History'!$B:$B,$A$21,'BA History'!Z:Z, 1)</f>
        <v>10</v>
      </c>
      <c r="AH21" s="2">
        <f>COUNTIFS('BA History'!$B:$B,$A$21,'BA History'!AA:AA, 1)</f>
        <v>3</v>
      </c>
      <c r="AI21" s="2">
        <f>COUNTIFS('BA History'!$B:$B,$A$21,'BA History'!AB:AB, 1)</f>
        <v>11</v>
      </c>
      <c r="AJ21" s="2">
        <f>COUNTIFS('BA History'!$B:$B,$A$21,'BA History'!AC:AC, 1)</f>
        <v>6</v>
      </c>
      <c r="AK21" s="2">
        <f>COUNTIFS('BA History'!$B:$B,$A$21,'BA History'!AD:AD, 1)</f>
        <v>6</v>
      </c>
      <c r="AL21" s="2">
        <f>COUNTIFS('BA History'!$B:$B,$A$21,'BA History'!AE:AE, 1)</f>
        <v>1</v>
      </c>
      <c r="AM21" s="2">
        <f>COUNTIFS('BA History'!$B:$B,$A$21,'BA History'!AF:AF, 1)</f>
        <v>9</v>
      </c>
    </row>
    <row r="22" spans="1:39" x14ac:dyDescent="0.25">
      <c r="A22" s="2" t="s">
        <v>168</v>
      </c>
      <c r="B22" s="2" t="s">
        <v>79</v>
      </c>
      <c r="C22" s="2"/>
      <c r="D22" s="2"/>
      <c r="E22" s="2"/>
      <c r="F22" s="34">
        <f>SUMIFS('BA History'!C:C,'BA History'!B:B,A22)</f>
        <v>30</v>
      </c>
      <c r="G22" s="66">
        <f>AVERAGEIFS('BA History'!C:C,'BA History'!B:B,A22)</f>
        <v>10</v>
      </c>
      <c r="H22" s="35">
        <f t="array" ref="H22">MAX(IF('BA History'!B:B=A22, 'BA History'!C:C))</f>
        <v>14</v>
      </c>
      <c r="I22" s="34">
        <f>COUNTIFS('BA History'!B:B,A22,'BA History'!D:D, 1)</f>
        <v>1</v>
      </c>
      <c r="J22" s="2">
        <f>COUNTIFS('BA History'!B:B,A22,'BA History'!D:D, 0)</f>
        <v>2</v>
      </c>
      <c r="K22" s="75">
        <f>LOOKUP(2, 1/('BA History'!$B:$B=A22), 'BA History'!$AJ:$AJ)</f>
        <v>0.33333333333333331</v>
      </c>
      <c r="L22" s="34">
        <f>SUMIFS('BA History'!F:F,'BA History'!B:B,A22)</f>
        <v>6</v>
      </c>
      <c r="M22" s="2">
        <f>SUMIFS('BA History'!E:E,'BA History'!B:B,A22)-L22</f>
        <v>7</v>
      </c>
      <c r="N22" s="75">
        <f>LOOKUP(2, 1/('BA History'!$B:$B=A22), 'BA History'!$AH:$AH)</f>
        <v>0.46666666666666662</v>
      </c>
      <c r="O22" s="34">
        <f>SUMIFS('BA History'!H:H,'BA History'!B:B,A22)</f>
        <v>27</v>
      </c>
      <c r="P22" s="2">
        <f>SUMIFS('BA History'!G:G,'BA History'!B:B,A22)-O22</f>
        <v>29</v>
      </c>
      <c r="Q22" s="89">
        <f>LOOKUP(2, 1/('BA History'!$B:$B=A22), 'BA History'!$AI:$AI)</f>
        <v>0.48333333333333334</v>
      </c>
      <c r="R22" s="2">
        <f>COUNTIFS('BA History'!$B:$B,$A$22,'BA History'!K:K, 1)</f>
        <v>0</v>
      </c>
      <c r="S22" s="2">
        <f>COUNTIFS('BA History'!$B:$B,$A$22,'BA History'!L:L, 1)</f>
        <v>0</v>
      </c>
      <c r="T22" s="2">
        <f>COUNTIFS('BA History'!$B:$B,$A$22,'BA History'!M:M, 1)</f>
        <v>0</v>
      </c>
      <c r="U22" s="2">
        <f>COUNTIFS('BA History'!$B:$B,$A$22,'BA History'!N:N, 1)</f>
        <v>0</v>
      </c>
      <c r="V22" s="2">
        <f>COUNTIFS('BA History'!$B:$B,$A$22,'BA History'!O:O, 1)</f>
        <v>0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0</v>
      </c>
      <c r="Z22" s="2">
        <f>COUNTIFS('BA History'!$B:$B,$A$22,'BA History'!S:S, 1)</f>
        <v>0</v>
      </c>
      <c r="AA22" s="2">
        <f>COUNTIFS('BA History'!$B:$B,$A$22,'BA History'!T:T, 1)</f>
        <v>0</v>
      </c>
      <c r="AB22" s="2">
        <f>COUNTIFS('BA History'!$B:$B,$A$22,'BA History'!U:U, 1)</f>
        <v>0</v>
      </c>
      <c r="AC22" s="2">
        <f>COUNTIFS('BA History'!$B:$B,$A$22,'BA History'!V:V, 1)</f>
        <v>0</v>
      </c>
      <c r="AD22" s="2">
        <f>COUNTIFS('BA History'!$B:$B,$A$22,'BA History'!W:W, 1)</f>
        <v>0</v>
      </c>
      <c r="AE22" s="2">
        <f>COUNTIFS('BA History'!$B:$B,$A$22,'BA History'!X:X, 1)</f>
        <v>0</v>
      </c>
      <c r="AF22" s="2">
        <f>COUNTIFS('BA History'!$B:$B,$A$22,'BA History'!Y:Y, 1)</f>
        <v>1</v>
      </c>
      <c r="AG22" s="2">
        <f>COUNTIFS('BA History'!$B:$B,$A$22,'BA History'!Z:Z, 1)</f>
        <v>1</v>
      </c>
      <c r="AH22" s="2">
        <f>COUNTIFS('BA History'!$B:$B,$A$22,'BA History'!AA:AA, 1)</f>
        <v>1</v>
      </c>
      <c r="AI22" s="2">
        <f>COUNTIFS('BA History'!$B:$B,$A$22,'BA History'!AB:AB, 1)</f>
        <v>3</v>
      </c>
      <c r="AJ22" s="2">
        <f>COUNTIFS('BA History'!$B:$B,$A$22,'BA History'!AC:AC, 1)</f>
        <v>0</v>
      </c>
      <c r="AK22" s="2">
        <f>COUNTIFS('BA History'!$B:$B,$A$22,'BA History'!AD:AD, 1)</f>
        <v>0</v>
      </c>
      <c r="AL22" s="2">
        <f>COUNTIFS('BA History'!$B:$B,$A$22,'BA History'!AE:AE, 1)</f>
        <v>0</v>
      </c>
      <c r="AM22" s="2">
        <f>COUNTIFS('BA History'!$B:$B,$A$22,'BA History'!AF:AF, 1)</f>
        <v>0</v>
      </c>
    </row>
    <row r="23" spans="1:39" x14ac:dyDescent="0.25">
      <c r="A23" s="2" t="s">
        <v>1</v>
      </c>
      <c r="B23" s="1" t="s">
        <v>158</v>
      </c>
      <c r="C23" s="1"/>
      <c r="D23" s="1"/>
      <c r="E23" s="1"/>
      <c r="F23" s="34">
        <f>SUMIFS('BA History'!C:C,'BA History'!B:B,A23)</f>
        <v>1065</v>
      </c>
      <c r="G23" s="66">
        <f>AVERAGEIFS('BA History'!C:C,'BA History'!B:B,A23)</f>
        <v>27.307692307692307</v>
      </c>
      <c r="H23" s="35">
        <f t="array" ref="H23">MAX(IF('BA History'!B:B=A23, 'BA History'!C:C))</f>
        <v>50</v>
      </c>
      <c r="I23" s="34">
        <f>COUNTIFS('BA History'!B:B,A23,'BA History'!D:D, 1)</f>
        <v>20</v>
      </c>
      <c r="J23" s="2">
        <f>COUNTIFS('BA History'!B:B,A23,'BA History'!D:D, 0)</f>
        <v>19</v>
      </c>
      <c r="K23" s="75">
        <f>LOOKUP(2, 1/('BA History'!$B:$B=A23), 'BA History'!$AJ:$AJ)</f>
        <v>0.51282051282051277</v>
      </c>
      <c r="L23" s="34">
        <f>SUMIFS('BA History'!F:F,'BA History'!B:B,A23)</f>
        <v>78</v>
      </c>
      <c r="M23" s="2">
        <f>SUMIFS('BA History'!E:E,'BA History'!B:B,A23)-L23</f>
        <v>78</v>
      </c>
      <c r="N23" s="75">
        <f>LOOKUP(2, 1/('BA History'!$B:$B=A23), 'BA History'!$AH:$AH)</f>
        <v>0.49615384615384617</v>
      </c>
      <c r="O23" s="34">
        <f>SUMIFS('BA History'!H:H,'BA History'!B:B,A23)</f>
        <v>319</v>
      </c>
      <c r="P23" s="2">
        <f>SUMIFS('BA History'!G:G,'BA History'!B:B,A23)-O23</f>
        <v>323</v>
      </c>
      <c r="Q23" s="89">
        <f>LOOKUP(2, 1/('BA History'!$B:$B=A23), 'BA History'!$AI:$AI)</f>
        <v>0.49948717948717958</v>
      </c>
      <c r="R23" s="2">
        <f>COUNTIFS('BA History'!$B:$B,$A$23,'BA History'!K:K, 1)</f>
        <v>4</v>
      </c>
      <c r="S23" s="2">
        <f>COUNTIFS('BA History'!$B:$B,$A$23,'BA History'!L:L, 1)</f>
        <v>7</v>
      </c>
      <c r="T23" s="2">
        <f>COUNTIFS('BA History'!$B:$B,$A$23,'BA History'!M:M, 1)</f>
        <v>6</v>
      </c>
      <c r="U23" s="2">
        <f>COUNTIFS('BA History'!$B:$B,$A$23,'BA History'!N:N, 1)</f>
        <v>6</v>
      </c>
      <c r="V23" s="2">
        <f>COUNTIFS('BA History'!$B:$B,$A$23,'BA History'!O:O, 1)</f>
        <v>4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1</v>
      </c>
      <c r="Z23" s="2">
        <f>COUNTIFS('BA History'!$B:$B,$A$23,'BA History'!S:S, 1)</f>
        <v>2</v>
      </c>
      <c r="AA23" s="2">
        <f>COUNTIFS('BA History'!$B:$B,$A$23,'BA History'!T:T, 1)</f>
        <v>0</v>
      </c>
      <c r="AB23" s="2">
        <f>COUNTIFS('BA History'!$B:$B,$A$23,'BA History'!U:U, 1)</f>
        <v>2</v>
      </c>
      <c r="AC23" s="2">
        <f>COUNTIFS('BA History'!$B:$B,$A$23,'BA History'!V:V, 1)</f>
        <v>6</v>
      </c>
      <c r="AD23" s="2">
        <f>COUNTIFS('BA History'!$B:$B,$A$23,'BA History'!W:W, 1)</f>
        <v>2</v>
      </c>
      <c r="AE23" s="2">
        <f>COUNTIFS('BA History'!$B:$B,$A$23,'BA History'!X:X, 1)</f>
        <v>0</v>
      </c>
      <c r="AF23" s="2">
        <f>COUNTIFS('BA History'!$B:$B,$A$23,'BA History'!Y:Y, 1)</f>
        <v>5</v>
      </c>
      <c r="AG23" s="2">
        <f>COUNTIFS('BA History'!$B:$B,$A$23,'BA History'!Z:Z, 1)</f>
        <v>6</v>
      </c>
      <c r="AH23" s="2">
        <f>COUNTIFS('BA History'!$B:$B,$A$23,'BA History'!AA:AA, 1)</f>
        <v>1</v>
      </c>
      <c r="AI23" s="2">
        <f>COUNTIFS('BA History'!$B:$B,$A$23,'BA History'!AB:AB, 1)</f>
        <v>6</v>
      </c>
      <c r="AJ23" s="2">
        <f>COUNTIFS('BA History'!$B:$B,$A$23,'BA History'!AC:AC, 1)</f>
        <v>5</v>
      </c>
      <c r="AK23" s="2">
        <f>COUNTIFS('BA History'!$B:$B,$A$23,'BA History'!AD:AD, 1)</f>
        <v>9</v>
      </c>
      <c r="AL23" s="2">
        <f>COUNTIFS('BA History'!$B:$B,$A$23,'BA History'!AE:AE, 1)</f>
        <v>1</v>
      </c>
      <c r="AM23" s="2">
        <f>COUNTIFS('BA History'!$B:$B,$A$23,'BA History'!AF:AF, 1)</f>
        <v>5</v>
      </c>
    </row>
    <row r="24" spans="1:39" ht="15.75" x14ac:dyDescent="0.25">
      <c r="A24" s="2" t="s">
        <v>151</v>
      </c>
      <c r="B24" s="95" t="s">
        <v>79</v>
      </c>
      <c r="C24" s="95"/>
      <c r="D24" s="95"/>
      <c r="E24" s="95"/>
      <c r="F24" s="34">
        <f>SUMIFS('BA History'!C:C,'BA History'!B:B,A24)</f>
        <v>7</v>
      </c>
      <c r="G24" s="66">
        <f>AVERAGEIFS('BA History'!C:C,'BA History'!B:B,A24)</f>
        <v>7</v>
      </c>
      <c r="H24" s="35">
        <f t="array" ref="H24">MAX(IF('BA History'!B:B=A24, 'BA History'!C:C))</f>
        <v>7</v>
      </c>
      <c r="I24" s="34">
        <f>COUNTIFS('BA History'!B:B,A24,'BA History'!D:D, 1)</f>
        <v>0</v>
      </c>
      <c r="J24" s="2">
        <f>COUNTIFS('BA History'!B:B,A24,'BA History'!D:D, 0)</f>
        <v>1</v>
      </c>
      <c r="K24" s="75">
        <f>LOOKUP(2, 1/('BA History'!$B:$B=A24), 'BA History'!$AJ:$AJ)</f>
        <v>0</v>
      </c>
      <c r="L24" s="34">
        <f>SUMIFS('BA History'!F:F,'BA History'!B:B,A24)</f>
        <v>1</v>
      </c>
      <c r="M24" s="2">
        <f>SUMIFS('BA History'!E:E,'BA History'!B:B,A24)-L24</f>
        <v>4</v>
      </c>
      <c r="N24" s="75">
        <f>LOOKUP(2, 1/('BA History'!$B:$B=A24), 'BA History'!$AH:$AH)</f>
        <v>0.2</v>
      </c>
      <c r="O24" s="34">
        <f>SUMIFS('BA History'!H:H,'BA History'!B:B,A24)</f>
        <v>5</v>
      </c>
      <c r="P24" s="2">
        <f>SUMIFS('BA History'!G:G,'BA History'!B:B,A24)-O24</f>
        <v>14</v>
      </c>
      <c r="Q24" s="89">
        <f>LOOKUP(2, 1/('BA History'!$B:$B=A24), 'BA History'!$AI:$AI)</f>
        <v>0.26</v>
      </c>
      <c r="R24" s="2">
        <f>COUNTIFS('BA History'!$B:$B,$A$24,'BA History'!K:K, 1)</f>
        <v>0</v>
      </c>
      <c r="S24" s="2">
        <f>COUNTIFS('BA History'!$B:$B,$A$24,'BA History'!L:L, 1)</f>
        <v>1</v>
      </c>
      <c r="T24" s="2">
        <f>COUNTIFS('BA History'!$B:$B,$A$24,'BA History'!M:M, 1)</f>
        <v>0</v>
      </c>
      <c r="U24" s="2">
        <f>COUNTIFS('BA History'!$B:$B,$A$24,'BA History'!N:N, 1)</f>
        <v>0</v>
      </c>
      <c r="V24" s="2">
        <f>COUNTIFS('BA History'!$B:$B,$A$24,'BA History'!O:O, 1)</f>
        <v>0</v>
      </c>
      <c r="W24" s="2">
        <f>COUNTIFS('BA History'!$B:$B,$A$24,'BA History'!P:P, 1)</f>
        <v>0</v>
      </c>
      <c r="X24" s="2">
        <f>COUNTIFS('BA History'!$B:$B,$A$24,'BA History'!Q:Q, 1)</f>
        <v>0</v>
      </c>
      <c r="Y24" s="2">
        <f>COUNTIFS('BA History'!$B:$B,$A$24,'BA History'!R:R, 1)</f>
        <v>0</v>
      </c>
      <c r="Z24" s="2">
        <f>COUNTIFS('BA History'!$B:$B,$A$24,'BA History'!S:S, 1)</f>
        <v>0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0</v>
      </c>
      <c r="AD24" s="2">
        <f>COUNTIFS('BA History'!$B:$B,$A$24,'BA History'!W:W, 1)</f>
        <v>0</v>
      </c>
      <c r="AE24" s="2">
        <f>COUNTIFS('BA History'!$B:$B,$A$24,'BA History'!X:X, 1)</f>
        <v>0</v>
      </c>
      <c r="AF24" s="2">
        <f>COUNTIFS('BA History'!$B:$B,$A$24,'BA History'!Y:Y, 1)</f>
        <v>0</v>
      </c>
      <c r="AG24" s="2">
        <f>COUNTIFS('BA History'!$B:$B,$A$24,'BA History'!Z:Z, 1)</f>
        <v>0</v>
      </c>
      <c r="AH24" s="2">
        <f>COUNTIFS('BA History'!$B:$B,$A$24,'BA History'!AA:AA, 1)</f>
        <v>0</v>
      </c>
      <c r="AI24" s="2">
        <f>COUNTIFS('BA History'!$B:$B,$A$24,'BA History'!AB:AB, 1)</f>
        <v>0</v>
      </c>
      <c r="AJ24" s="2">
        <f>COUNTIFS('BA History'!$B:$B,$A$24,'BA History'!AC:AC, 1)</f>
        <v>0</v>
      </c>
      <c r="AK24" s="2">
        <f>COUNTIFS('BA History'!$B:$B,$A$24,'BA History'!AD:AD, 1)</f>
        <v>0</v>
      </c>
      <c r="AL24" s="2">
        <f>COUNTIFS('BA History'!$B:$B,$A$24,'BA History'!AE:AE, 1)</f>
        <v>0</v>
      </c>
      <c r="AM24" s="2">
        <f>COUNTIFS('BA History'!$B:$B,$A$24,'BA History'!AF:AF, 1)</f>
        <v>0</v>
      </c>
    </row>
    <row r="25" spans="1:39" ht="15.75" x14ac:dyDescent="0.25">
      <c r="A25" s="2" t="s">
        <v>150</v>
      </c>
      <c r="B25" s="95" t="s">
        <v>79</v>
      </c>
      <c r="C25" s="95">
        <v>1</v>
      </c>
      <c r="D25" s="95"/>
      <c r="E25" s="95"/>
      <c r="F25" s="34">
        <f>SUMIFS('BA History'!C:C,'BA History'!B:B,A25)</f>
        <v>341</v>
      </c>
      <c r="G25" s="66">
        <f>AVERAGEIFS('BA History'!C:C,'BA History'!B:B,A25)</f>
        <v>17.05</v>
      </c>
      <c r="H25" s="35">
        <f t="array" ref="H25">MAX(IF('BA History'!B:B=A25, 'BA History'!C:C))</f>
        <v>30</v>
      </c>
      <c r="I25" s="34">
        <f>COUNTIFS('BA History'!B:B,A25,'BA History'!D:D, 1)</f>
        <v>12</v>
      </c>
      <c r="J25" s="2">
        <f>COUNTIFS('BA History'!B:B,A25,'BA History'!D:D, 0)</f>
        <v>8</v>
      </c>
      <c r="K25" s="75">
        <f>LOOKUP(2, 1/('BA History'!$B:$B=A25), 'BA History'!$AJ:$AJ)</f>
        <v>0.6</v>
      </c>
      <c r="L25" s="34">
        <f>SUMIFS('BA History'!F:F,'BA History'!B:B,A25)</f>
        <v>47</v>
      </c>
      <c r="M25" s="2">
        <f>SUMIFS('BA History'!E:E,'BA History'!B:B,A25)-L25</f>
        <v>34</v>
      </c>
      <c r="N25" s="75">
        <f>LOOKUP(2, 1/('BA History'!$B:$B=A25), 'BA History'!$AH:$AH)</f>
        <v>0.59749999999999992</v>
      </c>
      <c r="O25" s="34">
        <f>SUMIFS('BA History'!H:H,'BA History'!B:B,A25)</f>
        <v>181</v>
      </c>
      <c r="P25" s="2">
        <f>SUMIFS('BA History'!G:G,'BA History'!B:B,A25)-O25</f>
        <v>147</v>
      </c>
      <c r="Q25" s="89">
        <f>LOOKUP(2, 1/('BA History'!$B:$B=A25), 'BA History'!$AI:$AI)</f>
        <v>0.57000000000000006</v>
      </c>
      <c r="R25" s="2">
        <f>COUNTIFS('BA History'!$B:$B,$A$25,'BA History'!K:K, 1)</f>
        <v>0</v>
      </c>
      <c r="S25" s="2">
        <f>COUNTIFS('BA History'!$B:$B,$A$25,'BA History'!L:L, 1)</f>
        <v>2</v>
      </c>
      <c r="T25" s="2">
        <f>COUNTIFS('BA History'!$B:$B,$A$25,'BA History'!M:M, 1)</f>
        <v>6</v>
      </c>
      <c r="U25" s="2">
        <f>COUNTIFS('BA History'!$B:$B,$A$25,'BA History'!N:N, 1)</f>
        <v>5</v>
      </c>
      <c r="V25" s="2">
        <f>COUNTIFS('BA History'!$B:$B,$A$25,'BA History'!O:O, 1)</f>
        <v>1</v>
      </c>
      <c r="W25" s="2">
        <f>COUNTIFS('BA History'!$B:$B,$A$25,'BA History'!P:P, 1)</f>
        <v>1</v>
      </c>
      <c r="X25" s="2">
        <f>COUNTIFS('BA History'!$B:$B,$A$25,'BA History'!Q:Q, 1)</f>
        <v>2</v>
      </c>
      <c r="Y25" s="2">
        <f>COUNTIFS('BA History'!$B:$B,$A$25,'BA History'!R:R, 1)</f>
        <v>0</v>
      </c>
      <c r="Z25" s="2">
        <f>COUNTIFS('BA History'!$B:$B,$A$25,'BA History'!S:S, 1)</f>
        <v>1</v>
      </c>
      <c r="AA25" s="2">
        <f>COUNTIFS('BA History'!$B:$B,$A$25,'BA History'!T:T, 1)</f>
        <v>0</v>
      </c>
      <c r="AB25" s="2">
        <f>COUNTIFS('BA History'!$B:$B,$A$25,'BA History'!U:U, 1)</f>
        <v>0</v>
      </c>
      <c r="AC25" s="2">
        <f>COUNTIFS('BA History'!$B:$B,$A$25,'BA History'!V:V, 1)</f>
        <v>2</v>
      </c>
      <c r="AD25" s="2">
        <f>COUNTIFS('BA History'!$B:$B,$A$25,'BA History'!W:W, 1)</f>
        <v>3</v>
      </c>
      <c r="AE25" s="2">
        <f>COUNTIFS('BA History'!$B:$B,$A$25,'BA History'!X:X, 1)</f>
        <v>0</v>
      </c>
      <c r="AF25" s="2">
        <f>COUNTIFS('BA History'!$B:$B,$A$25,'BA History'!Y:Y, 1)</f>
        <v>3</v>
      </c>
      <c r="AG25" s="2">
        <f>COUNTIFS('BA History'!$B:$B,$A$25,'BA History'!Z:Z, 1)</f>
        <v>8</v>
      </c>
      <c r="AH25" s="2">
        <f>COUNTIFS('BA History'!$B:$B,$A$25,'BA History'!AA:AA, 1)</f>
        <v>0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0</v>
      </c>
      <c r="AM25" s="2">
        <f>COUNTIFS('BA History'!$B:$B,$A$25,'BA History'!AF:AF, 1)</f>
        <v>3</v>
      </c>
    </row>
    <row r="26" spans="1:39" x14ac:dyDescent="0.25">
      <c r="A26" s="2" t="s">
        <v>46</v>
      </c>
      <c r="B26" s="1" t="s">
        <v>158</v>
      </c>
      <c r="C26" s="1"/>
      <c r="D26" s="1"/>
      <c r="E26" s="1"/>
      <c r="F26" s="34">
        <f>SUMIFS('BA History'!C:C,'BA History'!B:B,A26)</f>
        <v>521</v>
      </c>
      <c r="G26" s="66">
        <f>AVERAGEIFS('BA History'!C:C,'BA History'!B:B,A26)</f>
        <v>17.96551724137931</v>
      </c>
      <c r="H26" s="35">
        <f t="array" ref="H26">MAX(IF('BA History'!B:B=A26, 'BA History'!C:C))</f>
        <v>34</v>
      </c>
      <c r="I26" s="34">
        <f>COUNTIFS('BA History'!B:B,A26,'BA History'!D:D, 1)</f>
        <v>10</v>
      </c>
      <c r="J26" s="2">
        <f>COUNTIFS('BA History'!B:B,A26,'BA History'!D:D, 0)</f>
        <v>19</v>
      </c>
      <c r="K26" s="75">
        <f>LOOKUP(2, 1/('BA History'!$B:$B=A26), 'BA History'!$AJ:$AJ)</f>
        <v>0.34482758620689657</v>
      </c>
      <c r="L26" s="34">
        <f>SUMIFS('BA History'!F:F,'BA History'!B:B,A26)</f>
        <v>51</v>
      </c>
      <c r="M26" s="2">
        <f>SUMIFS('BA History'!E:E,'BA History'!B:B,A26)-L26</f>
        <v>72</v>
      </c>
      <c r="N26" s="75">
        <f>LOOKUP(2, 1/('BA History'!$B:$B=A26), 'BA History'!$AH:$AH)</f>
        <v>0.39310344827586202</v>
      </c>
      <c r="O26" s="34">
        <f>SUMIFS('BA History'!H:H,'BA History'!B:B,A26)</f>
        <v>231</v>
      </c>
      <c r="P26" s="2">
        <f>SUMIFS('BA History'!G:G,'BA History'!B:B,A26)-O26</f>
        <v>280</v>
      </c>
      <c r="Q26" s="89">
        <f>LOOKUP(2, 1/('BA History'!$B:$B=A26), 'BA History'!$AI:$AI)</f>
        <v>0.43551724137931036</v>
      </c>
      <c r="R26" s="2">
        <f>COUNTIFS('BA History'!$B:$B,$A$26,'BA History'!K:K, 1)</f>
        <v>6</v>
      </c>
      <c r="S26" s="2">
        <f>COUNTIFS('BA History'!$B:$B,$A$26,'BA History'!L:L, 1)</f>
        <v>4</v>
      </c>
      <c r="T26" s="2">
        <f>COUNTIFS('BA History'!$B:$B,$A$26,'BA History'!M:M, 1)</f>
        <v>3</v>
      </c>
      <c r="U26" s="2">
        <f>COUNTIFS('BA History'!$B:$B,$A$26,'BA History'!N:N, 1)</f>
        <v>4</v>
      </c>
      <c r="V26" s="2">
        <f>COUNTIFS('BA History'!$B:$B,$A$26,'BA History'!O:O, 1)</f>
        <v>1</v>
      </c>
      <c r="W26" s="2">
        <f>COUNTIFS('BA History'!$B:$B,$A$26,'BA History'!P:P, 1)</f>
        <v>0</v>
      </c>
      <c r="X26" s="2">
        <f>COUNTIFS('BA History'!$B:$B,$A$26,'BA History'!Q:Q, 1)</f>
        <v>0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0</v>
      </c>
      <c r="AB26" s="2">
        <f>COUNTIFS('BA History'!$B:$B,$A$26,'BA History'!U:U, 1)</f>
        <v>1</v>
      </c>
      <c r="AC26" s="2">
        <f>COUNTIFS('BA History'!$B:$B,$A$26,'BA History'!V:V, 1)</f>
        <v>1</v>
      </c>
      <c r="AD26" s="2">
        <f>COUNTIFS('BA History'!$B:$B,$A$26,'BA History'!W:W, 1)</f>
        <v>3</v>
      </c>
      <c r="AE26" s="2">
        <f>COUNTIFS('BA History'!$B:$B,$A$26,'BA History'!X:X, 1)</f>
        <v>1</v>
      </c>
      <c r="AF26" s="2">
        <f>COUNTIFS('BA History'!$B:$B,$A$26,'BA History'!Y:Y, 1)</f>
        <v>1</v>
      </c>
      <c r="AG26" s="2">
        <f>COUNTIFS('BA History'!$B:$B,$A$26,'BA History'!Z:Z, 1)</f>
        <v>7</v>
      </c>
      <c r="AH26" s="2">
        <f>COUNTIFS('BA History'!$B:$B,$A$26,'BA History'!AA:AA, 1)</f>
        <v>2</v>
      </c>
      <c r="AI26" s="2">
        <f>COUNTIFS('BA History'!$B:$B,$A$26,'BA History'!AB:AB, 1)</f>
        <v>6</v>
      </c>
      <c r="AJ26" s="2">
        <f>COUNTIFS('BA History'!$B:$B,$A$26,'BA History'!AC:AC, 1)</f>
        <v>1</v>
      </c>
      <c r="AK26" s="2">
        <f>COUNTIFS('BA History'!$B:$B,$A$26,'BA History'!AD:AD, 1)</f>
        <v>3</v>
      </c>
      <c r="AL26" s="2">
        <f>COUNTIFS('BA History'!$B:$B,$A$26,'BA History'!AE:AE, 1)</f>
        <v>2</v>
      </c>
      <c r="AM26" s="2">
        <f>COUNTIFS('BA History'!$B:$B,$A$26,'BA History'!AF:AF, 1)</f>
        <v>4</v>
      </c>
    </row>
    <row r="27" spans="1:39" x14ac:dyDescent="0.25">
      <c r="A27" s="2" t="s">
        <v>28</v>
      </c>
      <c r="B27" s="2" t="s">
        <v>79</v>
      </c>
      <c r="C27" s="2"/>
      <c r="D27" s="2"/>
      <c r="E27" s="2"/>
      <c r="F27" s="34">
        <f>SUMIFS('BA History'!C:C,'BA History'!B:B,A27)</f>
        <v>398</v>
      </c>
      <c r="G27" s="66">
        <f>AVERAGEIFS('BA History'!C:C,'BA History'!B:B,A27)</f>
        <v>13.724137931034482</v>
      </c>
      <c r="H27" s="35">
        <f t="array" ref="H27">MAX(IF('BA History'!B:B=A27, 'BA History'!C:C))</f>
        <v>25</v>
      </c>
      <c r="I27" s="34">
        <f>COUNTIFS('BA History'!B:B,A27,'BA History'!D:D, 1)</f>
        <v>12</v>
      </c>
      <c r="J27" s="2">
        <f>COUNTIFS('BA History'!B:B,A27,'BA History'!D:D, 0)</f>
        <v>17</v>
      </c>
      <c r="K27" s="75">
        <f>LOOKUP(2, 1/('BA History'!$B:$B=A27), 'BA History'!$AJ:$AJ)</f>
        <v>0.41379310344827586</v>
      </c>
      <c r="L27" s="34">
        <f>SUMIFS('BA History'!F:F,'BA History'!B:B,A27)</f>
        <v>49</v>
      </c>
      <c r="M27" s="2">
        <f>SUMIFS('BA History'!E:E,'BA History'!B:B,A27)-L27</f>
        <v>61</v>
      </c>
      <c r="N27" s="75">
        <f>LOOKUP(2, 1/('BA History'!$B:$B=A27), 'BA History'!$AH:$AH)</f>
        <v>0.44413793103448274</v>
      </c>
      <c r="O27" s="34">
        <f>SUMIFS('BA History'!H:H,'BA History'!B:B,A27)</f>
        <v>210</v>
      </c>
      <c r="P27" s="2">
        <f>SUMIFS('BA History'!G:G,'BA History'!B:B,A27)-O27</f>
        <v>236</v>
      </c>
      <c r="Q27" s="89">
        <f>LOOKUP(2, 1/('BA History'!$B:$B=A27), 'BA History'!$AI:$AI)</f>
        <v>0.46379310344827579</v>
      </c>
      <c r="R27" s="2">
        <f>COUNTIFS('BA History'!$B:$B,$A$27,'BA History'!K:K, 1)</f>
        <v>1</v>
      </c>
      <c r="S27" s="2">
        <f>COUNTIFS('BA History'!$B:$B,$A$27,'BA History'!L:L, 1)</f>
        <v>4</v>
      </c>
      <c r="T27" s="2">
        <f>COUNTIFS('BA History'!$B:$B,$A$27,'BA History'!M:M, 1)</f>
        <v>2</v>
      </c>
      <c r="U27" s="2">
        <f>COUNTIFS('BA History'!$B:$B,$A$27,'BA History'!N:N, 1)</f>
        <v>5</v>
      </c>
      <c r="V27" s="2">
        <f>COUNTIFS('BA History'!$B:$B,$A$27,'BA History'!O:O, 1)</f>
        <v>3</v>
      </c>
      <c r="W27" s="2">
        <f>COUNTIFS('BA History'!$B:$B,$A$27,'BA History'!P:P, 1)</f>
        <v>1</v>
      </c>
      <c r="X27" s="2">
        <f>COUNTIFS('BA History'!$B:$B,$A$27,'BA History'!Q:Q, 1)</f>
        <v>2</v>
      </c>
      <c r="Y27" s="2">
        <f>COUNTIFS('BA History'!$B:$B,$A$27,'BA History'!R:R, 1)</f>
        <v>1</v>
      </c>
      <c r="Z27" s="2">
        <f>COUNTIFS('BA History'!$B:$B,$A$27,'BA History'!S:S, 1)</f>
        <v>1</v>
      </c>
      <c r="AA27" s="2">
        <f>COUNTIFS('BA History'!$B:$B,$A$27,'BA History'!T:T, 1)</f>
        <v>1</v>
      </c>
      <c r="AB27" s="2">
        <f>COUNTIFS('BA History'!$B:$B,$A$27,'BA History'!U:U, 1)</f>
        <v>3</v>
      </c>
      <c r="AC27" s="2">
        <f>COUNTIFS('BA History'!$B:$B,$A$27,'BA History'!V:V, 1)</f>
        <v>2</v>
      </c>
      <c r="AD27" s="2">
        <f>COUNTIFS('BA History'!$B:$B,$A$27,'BA History'!W:W, 1)</f>
        <v>0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4</v>
      </c>
      <c r="AH27" s="2">
        <f>COUNTIFS('BA History'!$B:$B,$A$27,'BA History'!AA:AA, 1)</f>
        <v>2</v>
      </c>
      <c r="AI27" s="2">
        <f>COUNTIFS('BA History'!$B:$B,$A$27,'BA History'!AB:AB, 1)</f>
        <v>4</v>
      </c>
      <c r="AJ27" s="2">
        <f>COUNTIFS('BA History'!$B:$B,$A$27,'BA History'!AC:AC, 1)</f>
        <v>3</v>
      </c>
      <c r="AK27" s="2">
        <f>COUNTIFS('BA History'!$B:$B,$A$27,'BA History'!AD:AD, 1)</f>
        <v>5</v>
      </c>
      <c r="AL27" s="2">
        <f>COUNTIFS('BA History'!$B:$B,$A$27,'BA History'!AE:AE, 1)</f>
        <v>0</v>
      </c>
      <c r="AM27" s="2">
        <f>COUNTIFS('BA History'!$B:$B,$A$27,'BA History'!AF:AF, 1)</f>
        <v>1</v>
      </c>
    </row>
    <row r="28" spans="1:39" x14ac:dyDescent="0.25">
      <c r="A28" s="2" t="s">
        <v>53</v>
      </c>
      <c r="B28" s="2" t="s">
        <v>79</v>
      </c>
      <c r="C28" s="2">
        <v>1</v>
      </c>
      <c r="D28" s="2"/>
      <c r="E28" s="2"/>
      <c r="F28" s="34">
        <f>SUMIFS('BA History'!C:C,'BA History'!B:B,A28)</f>
        <v>429</v>
      </c>
      <c r="G28" s="66">
        <f>AVERAGEIFS('BA History'!C:C,'BA History'!B:B,A28)</f>
        <v>14.793103448275861</v>
      </c>
      <c r="H28" s="35">
        <f t="array" ref="H28">MAX(IF('BA History'!B:B=A28, 'BA History'!C:C))</f>
        <v>36</v>
      </c>
      <c r="I28" s="34">
        <f>COUNTIFS('BA History'!B:B,A28,'BA History'!D:D, 1)</f>
        <v>11</v>
      </c>
      <c r="J28" s="2">
        <f>COUNTIFS('BA History'!B:B,A28,'BA History'!D:D, 0)</f>
        <v>18</v>
      </c>
      <c r="K28" s="75">
        <f>LOOKUP(2, 1/('BA History'!$B:$B=A28), 'BA History'!$AJ:$AJ)</f>
        <v>0.37931034482758619</v>
      </c>
      <c r="L28" s="34">
        <f>SUMIFS('BA History'!F:F,'BA History'!B:B,A28)</f>
        <v>51</v>
      </c>
      <c r="M28" s="2">
        <f>SUMIFS('BA History'!E:E,'BA History'!B:B,A28)-L28</f>
        <v>59</v>
      </c>
      <c r="N28" s="75">
        <f>LOOKUP(2, 1/('BA History'!$B:$B=A28), 'BA History'!$AH:$AH)</f>
        <v>0.47758620689655179</v>
      </c>
      <c r="O28" s="34">
        <f>SUMIFS('BA History'!H:H,'BA History'!B:B,A28)</f>
        <v>216</v>
      </c>
      <c r="P28" s="2">
        <f>SUMIFS('BA History'!G:G,'BA History'!B:B,A28)-O28</f>
        <v>233</v>
      </c>
      <c r="Q28" s="89">
        <f>LOOKUP(2, 1/('BA History'!$B:$B=A28), 'BA History'!$AI:$AI)</f>
        <v>0.4875862068965518</v>
      </c>
      <c r="R28" s="2">
        <f>COUNTIFS('BA History'!$B:$B,$A$28,'BA History'!K:K, 1)</f>
        <v>2</v>
      </c>
      <c r="S28" s="2">
        <f>COUNTIFS('BA History'!$B:$B,$A$28,'BA History'!L:L, 1)</f>
        <v>5</v>
      </c>
      <c r="T28" s="2">
        <f>COUNTIFS('BA History'!$B:$B,$A$28,'BA History'!M:M, 1)</f>
        <v>0</v>
      </c>
      <c r="U28" s="2">
        <f>COUNTIFS('BA History'!$B:$B,$A$28,'BA History'!N:N, 1)</f>
        <v>7</v>
      </c>
      <c r="V28" s="2">
        <f>COUNTIFS('BA History'!$B:$B,$A$28,'BA History'!O:O, 1)</f>
        <v>1</v>
      </c>
      <c r="W28" s="2">
        <f>COUNTIFS('BA History'!$B:$B,$A$28,'BA History'!P:P, 1)</f>
        <v>0</v>
      </c>
      <c r="X28" s="2">
        <f>COUNTIFS('BA History'!$B:$B,$A$28,'BA History'!Q:Q, 1)</f>
        <v>2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2</v>
      </c>
      <c r="AD28" s="2">
        <f>COUNTIFS('BA History'!$B:$B,$A$28,'BA History'!W:W, 1)</f>
        <v>1</v>
      </c>
      <c r="AE28" s="2">
        <f>COUNTIFS('BA History'!$B:$B,$A$28,'BA History'!X:X, 1)</f>
        <v>1</v>
      </c>
      <c r="AF28" s="2">
        <f>COUNTIFS('BA History'!$B:$B,$A$28,'BA History'!Y:Y, 1)</f>
        <v>3</v>
      </c>
      <c r="AG28" s="2">
        <f>COUNTIFS('BA History'!$B:$B,$A$28,'BA History'!Z:Z, 1)</f>
        <v>9</v>
      </c>
      <c r="AH28" s="2">
        <f>COUNTIFS('BA History'!$B:$B,$A$28,'BA History'!AA:AA, 1)</f>
        <v>1</v>
      </c>
      <c r="AI28" s="2">
        <f>COUNTIFS('BA History'!$B:$B,$A$28,'BA History'!AB:AB, 1)</f>
        <v>8</v>
      </c>
      <c r="AJ28" s="2">
        <f>COUNTIFS('BA History'!$B:$B,$A$28,'BA History'!AC:AC, 1)</f>
        <v>3</v>
      </c>
      <c r="AK28" s="2">
        <f>COUNTIFS('BA History'!$B:$B,$A$28,'BA History'!AD:AD, 1)</f>
        <v>2</v>
      </c>
      <c r="AL28" s="2">
        <f>COUNTIFS('BA History'!$B:$B,$A$28,'BA History'!AE:AE, 1)</f>
        <v>1</v>
      </c>
      <c r="AM28" s="2">
        <f>COUNTIFS('BA History'!$B:$B,$A$28,'BA History'!AF:AF, 1)</f>
        <v>3</v>
      </c>
    </row>
    <row r="29" spans="1:39" x14ac:dyDescent="0.25">
      <c r="A29" s="2" t="s">
        <v>51</v>
      </c>
      <c r="B29" s="2" t="s">
        <v>79</v>
      </c>
      <c r="C29" s="2"/>
      <c r="D29" s="2"/>
      <c r="E29" s="2"/>
      <c r="F29" s="34">
        <f>SUMIFS('BA History'!C:C,'BA History'!B:B,A29)</f>
        <v>21</v>
      </c>
      <c r="G29" s="66">
        <f>AVERAGEIFS('BA History'!C:C,'BA History'!B:B,A29)</f>
        <v>10.5</v>
      </c>
      <c r="H29" s="35">
        <f t="array" ref="H29">MAX(IF('BA History'!B:B=A29, 'BA History'!C:C))</f>
        <v>16</v>
      </c>
      <c r="I29" s="34">
        <f>COUNTIFS('BA History'!B:B,A29,'BA History'!D:D, 1)</f>
        <v>1</v>
      </c>
      <c r="J29" s="2">
        <f>COUNTIFS('BA History'!B:B,A29,'BA History'!D:D, 0)</f>
        <v>1</v>
      </c>
      <c r="K29" s="75">
        <f>LOOKUP(2, 1/('BA History'!$B:$B=A29), 'BA History'!$AJ:$AJ)</f>
        <v>0.5</v>
      </c>
      <c r="L29" s="34">
        <f>SUMIFS('BA History'!F:F,'BA History'!B:B,A29)</f>
        <v>2</v>
      </c>
      <c r="M29" s="2">
        <f>SUMIFS('BA History'!E:E,'BA History'!B:B,A29)-L29</f>
        <v>4</v>
      </c>
      <c r="N29" s="75">
        <f>LOOKUP(2, 1/('BA History'!$B:$B=A29), 'BA History'!$AH:$AH)</f>
        <v>0.33500000000000002</v>
      </c>
      <c r="O29" s="34">
        <f>SUMIFS('BA History'!H:H,'BA History'!B:B,A29)</f>
        <v>10</v>
      </c>
      <c r="P29" s="2">
        <f>SUMIFS('BA History'!G:G,'BA History'!B:B,A29)-O29</f>
        <v>16</v>
      </c>
      <c r="Q29" s="89">
        <f>LOOKUP(2, 1/('BA History'!$B:$B=A29), 'BA History'!$AI:$AI)</f>
        <v>0.35499999999999998</v>
      </c>
      <c r="R29" s="2">
        <f>COUNTIFS('BA History'!$B:$B,$A$29,'BA History'!K:K, 1)</f>
        <v>0</v>
      </c>
      <c r="S29" s="2">
        <f>COUNTIFS('BA History'!$B:$B,$A$29,'BA History'!L:L, 1)</f>
        <v>0</v>
      </c>
      <c r="T29" s="2">
        <f>COUNTIFS('BA History'!$B:$B,$A$29,'BA History'!M:M, 1)</f>
        <v>0</v>
      </c>
      <c r="U29" s="2">
        <f>COUNTIFS('BA History'!$B:$B,$A$29,'BA History'!N:N, 1)</f>
        <v>0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0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0</v>
      </c>
      <c r="AH29" s="2">
        <f>COUNTIFS('BA History'!$B:$B,$A$29,'BA History'!AA:AA, 1)</f>
        <v>0</v>
      </c>
      <c r="AI29" s="2">
        <f>COUNTIFS('BA History'!$B:$B,$A$29,'BA History'!AB:AB, 1)</f>
        <v>0</v>
      </c>
      <c r="AJ29" s="2">
        <f>COUNTIFS('BA History'!$B:$B,$A$29,'BA History'!AC:AC, 1)</f>
        <v>1</v>
      </c>
      <c r="AK29" s="2">
        <f>COUNTIFS('BA History'!$B:$B,$A$29,'BA History'!AD:AD, 1)</f>
        <v>0</v>
      </c>
      <c r="AL29" s="2">
        <f>COUNTIFS('BA History'!$B:$B,$A$29,'BA History'!AE:AE, 1)</f>
        <v>0</v>
      </c>
      <c r="AM29" s="2">
        <f>COUNTIFS('BA History'!$B:$B,$A$29,'BA History'!AF:AF, 1)</f>
        <v>0</v>
      </c>
    </row>
    <row r="30" spans="1:39" x14ac:dyDescent="0.25">
      <c r="A30" s="2" t="s">
        <v>47</v>
      </c>
      <c r="B30" s="2" t="s">
        <v>79</v>
      </c>
      <c r="C30" s="2"/>
      <c r="D30" s="2"/>
      <c r="E30" s="2"/>
      <c r="F30" s="34">
        <f>SUMIFS('BA History'!C:C,'BA History'!B:B,A30)</f>
        <v>40</v>
      </c>
      <c r="G30" s="66">
        <f>AVERAGEIFS('BA History'!C:C,'BA History'!B:B,A30)</f>
        <v>6.666666666666667</v>
      </c>
      <c r="H30" s="35">
        <f t="array" ref="H30">MAX(IF('BA History'!B:B=A30, 'BA History'!C:C))</f>
        <v>11</v>
      </c>
      <c r="I30" s="34">
        <f>COUNTIFS('BA History'!B:B,A30,'BA History'!D:D, 1)</f>
        <v>2</v>
      </c>
      <c r="J30" s="2">
        <f>COUNTIFS('BA History'!B:B,A30,'BA History'!D:D, 0)</f>
        <v>4</v>
      </c>
      <c r="K30" s="75">
        <f>LOOKUP(2, 1/('BA History'!$B:$B=A30), 'BA History'!$AJ:$AJ)</f>
        <v>0.33333333333333331</v>
      </c>
      <c r="L30" s="34">
        <f>SUMIFS('BA History'!F:F,'BA History'!B:B,A30)</f>
        <v>13</v>
      </c>
      <c r="M30" s="2">
        <f>SUMIFS('BA History'!E:E,'BA History'!B:B,A30)-L30</f>
        <v>14</v>
      </c>
      <c r="N30" s="75">
        <f>LOOKUP(2, 1/('BA History'!$B:$B=A30), 'BA History'!$AH:$AH)</f>
        <v>0.5083333333333333</v>
      </c>
      <c r="O30" s="34">
        <f>SUMIFS('BA History'!H:H,'BA History'!B:B,A30)</f>
        <v>51</v>
      </c>
      <c r="P30" s="2">
        <f>SUMIFS('BA History'!G:G,'BA History'!B:B,A30)-O30</f>
        <v>54</v>
      </c>
      <c r="Q30" s="89">
        <f>LOOKUP(2, 1/('BA History'!$B:$B=A30), 'BA History'!$AI:$AI)</f>
        <v>0.51666666666666661</v>
      </c>
      <c r="R30" s="2">
        <f>COUNTIFS('BA History'!$B:$B,$A$30,'BA History'!K:K, 1)</f>
        <v>2</v>
      </c>
      <c r="S30" s="2">
        <f>COUNTIFS('BA History'!$B:$B,$A$30,'BA History'!L:L, 1)</f>
        <v>1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0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0</v>
      </c>
      <c r="AC30" s="2">
        <f>COUNTIFS('BA History'!$B:$B,$A$30,'BA History'!V:V, 1)</f>
        <v>0</v>
      </c>
      <c r="AD30" s="2">
        <f>COUNTIFS('BA History'!$B:$B,$A$30,'BA History'!W:W, 1)</f>
        <v>2</v>
      </c>
      <c r="AE30" s="2">
        <f>COUNTIFS('BA History'!$B:$B,$A$30,'BA History'!X:X, 1)</f>
        <v>0</v>
      </c>
      <c r="AF30" s="2">
        <f>COUNTIFS('BA History'!$B:$B,$A$30,'BA History'!Y:Y, 1)</f>
        <v>1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0</v>
      </c>
      <c r="AK30" s="2">
        <f>COUNTIFS('BA History'!$B:$B,$A$30,'BA History'!AD:AD, 1)</f>
        <v>1</v>
      </c>
      <c r="AL30" s="2">
        <f>COUNTIFS('BA History'!$B:$B,$A$30,'BA History'!AE:AE, 1)</f>
        <v>0</v>
      </c>
      <c r="AM30" s="2">
        <f>COUNTIFS('BA History'!$B:$B,$A$30,'BA History'!AF:AF, 1)</f>
        <v>1</v>
      </c>
    </row>
    <row r="31" spans="1:39" x14ac:dyDescent="0.25">
      <c r="A31" s="2" t="s">
        <v>3</v>
      </c>
      <c r="B31" s="1" t="s">
        <v>158</v>
      </c>
      <c r="C31" s="1"/>
      <c r="D31" s="1"/>
      <c r="E31" s="1"/>
      <c r="F31" s="34">
        <f>SUMIFS('BA History'!C:C,'BA History'!B:B,A31)</f>
        <v>157</v>
      </c>
      <c r="G31" s="66">
        <f>AVERAGEIFS('BA History'!C:C,'BA History'!B:B,A31)</f>
        <v>19.625</v>
      </c>
      <c r="H31" s="35">
        <f t="array" ref="H31">MAX(IF('BA History'!B:B=A31, 'BA History'!C:C))</f>
        <v>27</v>
      </c>
      <c r="I31" s="34">
        <f>COUNTIFS('BA History'!B:B,A31,'BA History'!D:D, 1)</f>
        <v>3</v>
      </c>
      <c r="J31" s="2">
        <f>COUNTIFS('BA History'!B:B,A31,'BA History'!D:D, 0)</f>
        <v>5</v>
      </c>
      <c r="K31" s="75">
        <f>LOOKUP(2, 1/('BA History'!$B:$B=A31), 'BA History'!$AJ:$AJ)</f>
        <v>0.375</v>
      </c>
      <c r="L31" s="34">
        <f>SUMIFS('BA History'!F:F,'BA History'!B:B,A31)</f>
        <v>16</v>
      </c>
      <c r="M31" s="2">
        <f>SUMIFS('BA History'!E:E,'BA History'!B:B,A31)-L31</f>
        <v>20</v>
      </c>
      <c r="N31" s="75">
        <f>LOOKUP(2, 1/('BA History'!$B:$B=A31), 'BA History'!$AH:$AH)</f>
        <v>0.42499999999999999</v>
      </c>
      <c r="O31" s="34">
        <f>SUMIFS('BA History'!H:H,'BA History'!B:B,A31)</f>
        <v>74</v>
      </c>
      <c r="P31" s="2">
        <f>SUMIFS('BA History'!G:G,'BA History'!B:B,A31)-O31</f>
        <v>83</v>
      </c>
      <c r="Q31" s="89">
        <f>LOOKUP(2, 1/('BA History'!$B:$B=A31), 'BA History'!$AI:$AI)</f>
        <v>0.46875</v>
      </c>
      <c r="R31" s="2">
        <f>COUNTIFS('BA History'!$B:$B,$A$31,'BA History'!K:K, 1)</f>
        <v>0</v>
      </c>
      <c r="S31" s="2">
        <f>COUNTIFS('BA History'!$B:$B,$A$31,'BA History'!L:L, 1)</f>
        <v>2</v>
      </c>
      <c r="T31" s="2">
        <f>COUNTIFS('BA History'!$B:$B,$A$31,'BA History'!M:M, 1)</f>
        <v>2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1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1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2</v>
      </c>
      <c r="AG31" s="2">
        <f>COUNTIFS('BA History'!$B:$B,$A$31,'BA History'!Z:Z, 1)</f>
        <v>1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3</v>
      </c>
      <c r="AK31" s="2">
        <f>COUNTIFS('BA History'!$B:$B,$A$31,'BA History'!AD:AD, 1)</f>
        <v>2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148</v>
      </c>
      <c r="B32" s="1" t="s">
        <v>79</v>
      </c>
      <c r="C32" s="1"/>
      <c r="D32" s="1"/>
      <c r="E32" s="1"/>
      <c r="F32" s="34">
        <f>SUMIFS('BA History'!C:C,'BA History'!B:B,A32)</f>
        <v>2</v>
      </c>
      <c r="G32" s="66">
        <f>AVERAGEIFS('BA History'!C:C,'BA History'!B:B,A32)</f>
        <v>2</v>
      </c>
      <c r="H32" s="35">
        <f t="array" ref="H32">MAX(IF('BA History'!B:B=A32, 'BA History'!C:C))</f>
        <v>2</v>
      </c>
      <c r="I32" s="34">
        <f>COUNTIFS('BA History'!B:B,A32,'BA History'!D:D, 1)</f>
        <v>1</v>
      </c>
      <c r="J32" s="2">
        <f>COUNTIFS('BA History'!B:B,A32,'BA History'!D:D, 0)</f>
        <v>0</v>
      </c>
      <c r="K32" s="75">
        <f>LOOKUP(2, 1/('BA History'!$B:$B=A32), 'BA History'!$AJ:$AJ)</f>
        <v>1</v>
      </c>
      <c r="L32" s="34">
        <f>SUMIFS('BA History'!F:F,'BA History'!B:B,A32)</f>
        <v>3</v>
      </c>
      <c r="M32" s="2">
        <f>SUMIFS('BA History'!E:E,'BA History'!B:B,A32)-L32</f>
        <v>2</v>
      </c>
      <c r="N32" s="75">
        <f>LOOKUP(2, 1/('BA History'!$B:$B=A32), 'BA History'!$AH:$AH)</f>
        <v>0.6</v>
      </c>
      <c r="O32" s="34">
        <f>SUMIFS('BA History'!H:H,'BA History'!B:B,A32)</f>
        <v>10</v>
      </c>
      <c r="P32" s="2">
        <f>SUMIFS('BA History'!G:G,'BA History'!B:B,A32)-O32</f>
        <v>9</v>
      </c>
      <c r="Q32" s="89">
        <f>LOOKUP(2, 1/('BA History'!$B:$B=A32), 'BA History'!$AI:$AI)</f>
        <v>0.53</v>
      </c>
      <c r="R32" s="2">
        <f>COUNTIFS('BA History'!$B:$B,$A$32,'BA History'!K:K, 1)</f>
        <v>0</v>
      </c>
      <c r="S32" s="2">
        <f>COUNTIFS('BA History'!$B:$B,$A$32,'BA History'!L:L, 1)</f>
        <v>1</v>
      </c>
      <c r="T32" s="2">
        <f>COUNTIFS('BA History'!$B:$B,$A$32,'BA History'!M:M, 1)</f>
        <v>0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0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0</v>
      </c>
      <c r="AG32" s="2">
        <f>COUNTIFS('BA History'!$B:$B,$A$32,'BA History'!Z:Z, 1)</f>
        <v>0</v>
      </c>
      <c r="AH32" s="2">
        <f>COUNTIFS('BA History'!$B:$B,$A$32,'BA History'!AA:AA, 1)</f>
        <v>0</v>
      </c>
      <c r="AI32" s="2">
        <f>COUNTIFS('BA History'!$B:$B,$A$32,'BA History'!AB:AB, 1)</f>
        <v>1</v>
      </c>
      <c r="AJ32" s="2">
        <f>COUNTIFS('BA History'!$B:$B,$A$32,'BA History'!AC:AC, 1)</f>
        <v>0</v>
      </c>
      <c r="AK32" s="2">
        <f>COUNTIFS('BA History'!$B:$B,$A$32,'BA History'!AD:AD, 1)</f>
        <v>0</v>
      </c>
      <c r="AL32" s="2">
        <f>COUNTIFS('BA History'!$B:$B,$A$32,'BA History'!AE:AE, 1)</f>
        <v>0</v>
      </c>
      <c r="AM32" s="2">
        <f>COUNTIFS('BA History'!$B:$B,$A$32,'BA History'!AF:AF, 1)</f>
        <v>0</v>
      </c>
    </row>
    <row r="33" spans="1:39" x14ac:dyDescent="0.25">
      <c r="A33" s="2" t="s">
        <v>161</v>
      </c>
      <c r="B33" s="1" t="s">
        <v>79</v>
      </c>
      <c r="C33" s="1"/>
      <c r="D33" s="1"/>
      <c r="E33" s="1"/>
      <c r="F33" s="34">
        <f>SUMIFS('BA History'!C:C,'BA History'!B:B,A33)</f>
        <v>85</v>
      </c>
      <c r="G33" s="66">
        <f>AVERAGEIFS('BA History'!C:C,'BA History'!B:B,A33)</f>
        <v>9.4444444444444446</v>
      </c>
      <c r="H33" s="35">
        <f t="array" ref="H33">MAX(IF('BA History'!B:B=A33, 'BA History'!C:C))</f>
        <v>24</v>
      </c>
      <c r="I33" s="34">
        <f>COUNTIFS('BA History'!B:B,A33,'BA History'!D:D, 1)</f>
        <v>5</v>
      </c>
      <c r="J33" s="2">
        <f>COUNTIFS('BA History'!B:B,A33,'BA History'!D:D, 0)</f>
        <v>4</v>
      </c>
      <c r="K33" s="75">
        <f>LOOKUP(2, 1/('BA History'!$B:$B=A33), 'BA History'!$AJ:$AJ)</f>
        <v>0.55555555555555558</v>
      </c>
      <c r="L33" s="34">
        <f>SUMIFS('BA History'!F:F,'BA History'!B:B,A33)</f>
        <v>21</v>
      </c>
      <c r="M33" s="2">
        <f>SUMIFS('BA History'!E:E,'BA History'!B:B,A33)-L33</f>
        <v>16</v>
      </c>
      <c r="N33" s="75">
        <f>LOOKUP(2, 1/('BA History'!$B:$B=A33), 'BA History'!$AH:$AH)</f>
        <v>0.58888888888888891</v>
      </c>
      <c r="O33" s="34">
        <f>SUMIFS('BA History'!H:H,'BA History'!B:B,A33)</f>
        <v>81</v>
      </c>
      <c r="P33" s="2">
        <f>SUMIFS('BA History'!G:G,'BA History'!B:B,A33)-O33</f>
        <v>76</v>
      </c>
      <c r="Q33" s="89">
        <f>LOOKUP(2, 1/('BA History'!$B:$B=A33), 'BA History'!$AI:$AI)</f>
        <v>0.53111111111111109</v>
      </c>
      <c r="R33" s="2">
        <f>COUNTIFS('BA History'!$B:$B,$A$33,'BA History'!K:K, 1)</f>
        <v>1</v>
      </c>
      <c r="S33" s="2">
        <f>COUNTIFS('BA History'!$B:$B,$A$33,'BA History'!L:L, 1)</f>
        <v>2</v>
      </c>
      <c r="T33" s="2">
        <f>COUNTIFS('BA History'!$B:$B,$A$33,'BA History'!M:M, 1)</f>
        <v>2</v>
      </c>
      <c r="U33" s="2">
        <f>COUNTIFS('BA History'!$B:$B,$A$33,'BA History'!N:N, 1)</f>
        <v>1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1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1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1</v>
      </c>
      <c r="AG33" s="2">
        <f>COUNTIFS('BA History'!$B:$B,$A$33,'BA History'!Z:Z, 1)</f>
        <v>3</v>
      </c>
      <c r="AH33" s="2">
        <f>COUNTIFS('BA History'!$B:$B,$A$33,'BA History'!AA:AA, 1)</f>
        <v>0</v>
      </c>
      <c r="AI33" s="2">
        <f>COUNTIFS('BA History'!$B:$B,$A$33,'BA History'!AB:AB, 1)</f>
        <v>3</v>
      </c>
      <c r="AJ33" s="2">
        <f>COUNTIFS('BA History'!$B:$B,$A$33,'BA History'!AC:AC, 1)</f>
        <v>2</v>
      </c>
      <c r="AK33" s="2">
        <f>COUNTIFS('BA History'!$B:$B,$A$33,'BA History'!AD:AD, 1)</f>
        <v>1</v>
      </c>
      <c r="AL33" s="2">
        <f>COUNTIFS('BA History'!$B:$B,$A$33,'BA History'!AE:AE, 1)</f>
        <v>1</v>
      </c>
      <c r="AM33" s="2">
        <f>COUNTIFS('BA History'!$B:$B,$A$33,'BA History'!AF:AF, 1)</f>
        <v>2</v>
      </c>
    </row>
    <row r="34" spans="1:39" x14ac:dyDescent="0.25">
      <c r="A34" s="2" t="s">
        <v>15</v>
      </c>
      <c r="B34" s="2" t="s">
        <v>79</v>
      </c>
      <c r="C34" s="2"/>
      <c r="D34" s="2"/>
      <c r="E34" s="2"/>
      <c r="F34" s="34">
        <f>SUMIFS('BA History'!C:C,'BA History'!B:B,A34)</f>
        <v>4</v>
      </c>
      <c r="G34" s="66">
        <f>AVERAGEIFS('BA History'!C:C,'BA History'!B:B,A34)</f>
        <v>4</v>
      </c>
      <c r="H34" s="35">
        <f t="array" ref="H34">MAX(IF('BA History'!B:B=A34, 'BA History'!C:C))</f>
        <v>4</v>
      </c>
      <c r="I34" s="34">
        <f>COUNTIFS('BA History'!B:B,A34,'BA History'!D:D, 1)</f>
        <v>0</v>
      </c>
      <c r="J34" s="2">
        <f>COUNTIFS('BA History'!B:B,A34,'BA History'!D:D, 0)</f>
        <v>1</v>
      </c>
      <c r="K34" s="75">
        <f>LOOKUP(2, 1/('BA History'!$B:$B=A34), 'BA History'!$AJ:$AJ)</f>
        <v>0</v>
      </c>
      <c r="L34" s="34">
        <f>SUMIFS('BA History'!F:F,'BA History'!B:B,A34)</f>
        <v>0</v>
      </c>
      <c r="M34" s="2">
        <f>SUMIFS('BA History'!E:E,'BA History'!B:B,A34)-L34</f>
        <v>3</v>
      </c>
      <c r="N34" s="75">
        <f>LOOKUP(2, 1/('BA History'!$B:$B=A34), 'BA History'!$AH:$AH)</f>
        <v>0</v>
      </c>
      <c r="O34" s="34">
        <f>SUMIFS('BA History'!H:H,'BA History'!B:B,A34)</f>
        <v>1</v>
      </c>
      <c r="P34" s="2">
        <f>SUMIFS('BA History'!G:G,'BA History'!B:B,A34)-O34</f>
        <v>9</v>
      </c>
      <c r="Q34" s="89">
        <f>LOOKUP(2, 1/('BA History'!$B:$B=A34), 'BA History'!$AI:$AI)</f>
        <v>0.1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0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142</v>
      </c>
      <c r="B35" s="2" t="s">
        <v>79</v>
      </c>
      <c r="C35" s="2"/>
      <c r="D35" s="2"/>
      <c r="E35" s="2"/>
      <c r="F35" s="34">
        <f>SUMIFS('BA History'!C:C,'BA History'!B:B,A35)</f>
        <v>25</v>
      </c>
      <c r="G35" s="66">
        <f>AVERAGEIFS('BA History'!C:C,'BA History'!B:B,A35)</f>
        <v>8.3333333333333339</v>
      </c>
      <c r="H35" s="35">
        <f t="array" ref="H35">MAX(IF('BA History'!B:B=A35, 'BA History'!C:C))</f>
        <v>9</v>
      </c>
      <c r="I35" s="34">
        <f>COUNTIFS('BA History'!B:B,A35,'BA History'!D:D, 1)</f>
        <v>0</v>
      </c>
      <c r="J35" s="2">
        <f>COUNTIFS('BA History'!B:B,A35,'BA History'!D:D, 0)</f>
        <v>3</v>
      </c>
      <c r="K35" s="75">
        <f>LOOKUP(2, 1/('BA History'!$B:$B=A35), 'BA History'!$AJ:$AJ)</f>
        <v>0</v>
      </c>
      <c r="L35" s="34">
        <f>SUMIFS('BA History'!F:F,'BA History'!B:B,A35)</f>
        <v>2</v>
      </c>
      <c r="M35" s="2">
        <f>SUMIFS('BA History'!E:E,'BA History'!B:B,A35)-L35</f>
        <v>9</v>
      </c>
      <c r="N35" s="75">
        <f>LOOKUP(2, 1/('BA History'!$B:$B=A35), 'BA History'!$AH:$AH)</f>
        <v>0.16666666666666666</v>
      </c>
      <c r="O35" s="34">
        <f>SUMIFS('BA History'!H:H,'BA History'!B:B,A35)</f>
        <v>14</v>
      </c>
      <c r="P35" s="2">
        <f>SUMIFS('BA History'!G:G,'BA History'!B:B,A35)-O35</f>
        <v>29</v>
      </c>
      <c r="Q35" s="89">
        <f>LOOKUP(2, 1/('BA History'!$B:$B=A35), 'BA History'!$AI:$AI)</f>
        <v>0.32666666666666666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0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0</v>
      </c>
      <c r="AJ35" s="2">
        <f>COUNTIFS('BA History'!$B:$B,$A$35,'BA History'!AC:AC, 1)</f>
        <v>0</v>
      </c>
      <c r="AK35" s="2">
        <f>COUNTIFS('BA History'!$B:$B,$A$35,'BA History'!AD:AD, 1)</f>
        <v>2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90</v>
      </c>
      <c r="B36" s="2" t="s">
        <v>79</v>
      </c>
      <c r="C36" s="2"/>
      <c r="D36" s="2"/>
      <c r="E36" s="2"/>
      <c r="F36" s="34">
        <f>SUMIFS('BA History'!C:C,'BA History'!B:B,A36)</f>
        <v>3</v>
      </c>
      <c r="G36" s="66">
        <f>AVERAGEIFS('BA History'!C:C,'BA History'!B:B,A36)</f>
        <v>3</v>
      </c>
      <c r="H36" s="35">
        <f t="array" ref="H36">MAX(IF('BA History'!B:B=A36, 'BA History'!C:C))</f>
        <v>3</v>
      </c>
      <c r="I36" s="34">
        <f>COUNTIFS('BA History'!B:B,A36,'BA History'!D:D, 1)</f>
        <v>1</v>
      </c>
      <c r="J36" s="2">
        <f>COUNTIFS('BA History'!B:B,A36,'BA History'!D:D, 0)</f>
        <v>0</v>
      </c>
      <c r="K36" s="75">
        <f>LOOKUP(2, 1/('BA History'!$B:$B=A36), 'BA History'!$AJ:$AJ)</f>
        <v>1</v>
      </c>
      <c r="L36" s="34">
        <f>SUMIFS('BA History'!F:F,'BA History'!B:B,A36)</f>
        <v>3</v>
      </c>
      <c r="M36" s="2">
        <f>SUMIFS('BA History'!E:E,'BA History'!B:B,A36)-L36</f>
        <v>0</v>
      </c>
      <c r="N36" s="75">
        <f>LOOKUP(2, 1/('BA History'!$B:$B=A36), 'BA History'!$AH:$AH)</f>
        <v>1</v>
      </c>
      <c r="O36" s="34">
        <f>SUMIFS('BA History'!H:H,'BA History'!B:B,A36)</f>
        <v>9</v>
      </c>
      <c r="P36" s="2">
        <f>SUMIFS('BA History'!G:G,'BA History'!B:B,A36)-O36</f>
        <v>5</v>
      </c>
      <c r="Q36" s="89">
        <f>LOOKUP(2, 1/('BA History'!$B:$B=A36), 'BA History'!$AI:$AI)</f>
        <v>0.64</v>
      </c>
      <c r="R36" s="2">
        <f>COUNTIFS('BA History'!$B:$B,$A$36,'BA History'!K:K, 1)</f>
        <v>0</v>
      </c>
      <c r="S36" s="2">
        <f>COUNTIFS('BA History'!$B:$B,$A$36,'BA History'!L:L, 1)</f>
        <v>0</v>
      </c>
      <c r="T36" s="2">
        <f>COUNTIFS('BA History'!$B:$B,$A$36,'BA History'!M:M, 1)</f>
        <v>0</v>
      </c>
      <c r="U36" s="2">
        <f>COUNTIFS('BA History'!$B:$B,$A$36,'BA History'!N:N, 1)</f>
        <v>0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0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1</v>
      </c>
      <c r="AD36" s="2">
        <f>COUNTIFS('BA History'!$B:$B,$A$36,'BA History'!W:W, 1)</f>
        <v>0</v>
      </c>
      <c r="AE36" s="2">
        <f>COUNTIFS('BA History'!$B:$B,$A$36,'BA History'!X:X, 1)</f>
        <v>0</v>
      </c>
      <c r="AF36" s="2">
        <f>COUNTIFS('BA History'!$B:$B,$A$36,'BA History'!Y:Y, 1)</f>
        <v>0</v>
      </c>
      <c r="AG36" s="2">
        <f>COUNTIFS('BA History'!$B:$B,$A$36,'BA History'!Z:Z, 1)</f>
        <v>0</v>
      </c>
      <c r="AH36" s="2">
        <f>COUNTIFS('BA History'!$B:$B,$A$36,'BA History'!AA:AA, 1)</f>
        <v>0</v>
      </c>
      <c r="AI36" s="2">
        <f>COUNTIFS('BA History'!$B:$B,$A$36,'BA History'!AB:AB, 1)</f>
        <v>1</v>
      </c>
      <c r="AJ36" s="2">
        <f>COUNTIFS('BA History'!$B:$B,$A$36,'BA History'!AC:AC, 1)</f>
        <v>1</v>
      </c>
      <c r="AK36" s="2">
        <f>COUNTIFS('BA History'!$B:$B,$A$36,'BA History'!AD:AD, 1)</f>
        <v>0</v>
      </c>
      <c r="AL36" s="2">
        <f>COUNTIFS('BA History'!$B:$B,$A$36,'BA History'!AE:AE, 1)</f>
        <v>0</v>
      </c>
      <c r="AM36" s="2">
        <f>COUNTIFS('BA History'!$B:$B,$A$36,'BA History'!AF:AF, 1)</f>
        <v>0</v>
      </c>
    </row>
    <row r="37" spans="1:39" x14ac:dyDescent="0.25">
      <c r="A37" s="2" t="s">
        <v>13</v>
      </c>
      <c r="B37" s="2" t="s">
        <v>79</v>
      </c>
      <c r="C37" s="2"/>
      <c r="D37" s="2"/>
      <c r="E37" s="2"/>
      <c r="F37" s="34">
        <f>SUMIFS('BA History'!C:C,'BA History'!B:B,A37)</f>
        <v>269</v>
      </c>
      <c r="G37" s="66">
        <f>AVERAGEIFS('BA History'!C:C,'BA History'!B:B,A37)</f>
        <v>14.157894736842104</v>
      </c>
      <c r="H37" s="35">
        <f t="array" ref="H37">MAX(IF('BA History'!B:B=A37, 'BA History'!C:C))</f>
        <v>23</v>
      </c>
      <c r="I37" s="34">
        <f>COUNTIFS('BA History'!B:B,A37,'BA History'!D:D, 1)</f>
        <v>8</v>
      </c>
      <c r="J37" s="2">
        <f>COUNTIFS('BA History'!B:B,A37,'BA History'!D:D, 0)</f>
        <v>11</v>
      </c>
      <c r="K37" s="75">
        <f>LOOKUP(2, 1/('BA History'!$B:$B=A37), 'BA History'!$AJ:$AJ)</f>
        <v>0.42105263157894735</v>
      </c>
      <c r="L37" s="34">
        <f>SUMIFS('BA History'!F:F,'BA History'!B:B,A37)</f>
        <v>35</v>
      </c>
      <c r="M37" s="2">
        <f>SUMIFS('BA History'!E:E,'BA History'!B:B,A37)-L37</f>
        <v>37</v>
      </c>
      <c r="N37" s="75">
        <f>LOOKUP(2, 1/('BA History'!$B:$B=A37), 'BA History'!$AH:$AH)</f>
        <v>0.49736842105263152</v>
      </c>
      <c r="O37" s="34">
        <f>SUMIFS('BA History'!H:H,'BA History'!B:B,A37)</f>
        <v>147</v>
      </c>
      <c r="P37" s="2">
        <f>SUMIFS('BA History'!G:G,'BA History'!B:B,A37)-O37</f>
        <v>160</v>
      </c>
      <c r="Q37" s="89">
        <f>LOOKUP(2, 1/('BA History'!$B:$B=A37), 'BA History'!$AI:$AI)</f>
        <v>0.4947368421052632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2</v>
      </c>
      <c r="U37" s="2">
        <f>COUNTIFS('BA History'!$B:$B,$A$37,'BA History'!N:N, 1)</f>
        <v>1</v>
      </c>
      <c r="V37" s="2">
        <f>COUNTIFS('BA History'!$B:$B,$A$37,'BA History'!O:O, 1)</f>
        <v>0</v>
      </c>
      <c r="W37" s="2">
        <f>COUNTIFS('BA History'!$B:$B,$A$37,'BA History'!P:P, 1)</f>
        <v>0</v>
      </c>
      <c r="X37" s="2">
        <f>COUNTIFS('BA History'!$B:$B,$A$37,'BA History'!Q:Q, 1)</f>
        <v>1</v>
      </c>
      <c r="Y37" s="2">
        <f>COUNTIFS('BA History'!$B:$B,$A$37,'BA History'!R:R, 1)</f>
        <v>0</v>
      </c>
      <c r="Z37" s="2">
        <f>COUNTIFS('BA History'!$B:$B,$A$37,'BA History'!S:S, 1)</f>
        <v>0</v>
      </c>
      <c r="AA37" s="2">
        <f>COUNTIFS('BA History'!$B:$B,$A$37,'BA History'!T:T, 1)</f>
        <v>0</v>
      </c>
      <c r="AB37" s="2">
        <f>COUNTIFS('BA History'!$B:$B,$A$37,'BA History'!U:U, 1)</f>
        <v>0</v>
      </c>
      <c r="AC37" s="2">
        <f>COUNTIFS('BA History'!$B:$B,$A$37,'BA History'!V:V, 1)</f>
        <v>0</v>
      </c>
      <c r="AD37" s="2">
        <f>COUNTIFS('BA History'!$B:$B,$A$37,'BA History'!W:W, 1)</f>
        <v>1</v>
      </c>
      <c r="AE37" s="2">
        <f>COUNTIFS('BA History'!$B:$B,$A$37,'BA History'!X:X, 1)</f>
        <v>0</v>
      </c>
      <c r="AF37" s="2">
        <f>COUNTIFS('BA History'!$B:$B,$A$37,'BA History'!Y:Y, 1)</f>
        <v>4</v>
      </c>
      <c r="AG37" s="2">
        <f>COUNTIFS('BA History'!$B:$B,$A$37,'BA History'!Z:Z, 1)</f>
        <v>5</v>
      </c>
      <c r="AH37" s="2">
        <f>COUNTIFS('BA History'!$B:$B,$A$37,'BA History'!AA:AA, 1)</f>
        <v>0</v>
      </c>
      <c r="AI37" s="2">
        <f>COUNTIFS('BA History'!$B:$B,$A$37,'BA History'!AB:AB, 1)</f>
        <v>4</v>
      </c>
      <c r="AJ37" s="2">
        <f>COUNTIFS('BA History'!$B:$B,$A$37,'BA History'!AC:AC, 1)</f>
        <v>3</v>
      </c>
      <c r="AK37" s="2">
        <f>COUNTIFS('BA History'!$B:$B,$A$37,'BA History'!AD:AD, 1)</f>
        <v>3</v>
      </c>
      <c r="AL37" s="2">
        <f>COUNTIFS('BA History'!$B:$B,$A$37,'BA History'!AE:AE, 1)</f>
        <v>1</v>
      </c>
      <c r="AM37" s="2">
        <f>COUNTIFS('BA History'!$B:$B,$A$37,'BA History'!AF:AF, 1)</f>
        <v>3</v>
      </c>
    </row>
    <row r="38" spans="1:39" x14ac:dyDescent="0.25">
      <c r="A38" s="2" t="s">
        <v>2</v>
      </c>
      <c r="B38" s="1" t="s">
        <v>158</v>
      </c>
      <c r="C38" s="1">
        <v>1</v>
      </c>
      <c r="D38" s="1"/>
      <c r="E38" s="1"/>
      <c r="F38" s="34">
        <f>SUMIFS('BA History'!C:C,'BA History'!B:B,A38)</f>
        <v>937</v>
      </c>
      <c r="G38" s="66">
        <f>AVERAGEIFS('BA History'!C:C,'BA History'!B:B,A38)</f>
        <v>22.30952380952381</v>
      </c>
      <c r="H38" s="35">
        <f t="array" ref="H38">MAX(IF('BA History'!B:B=A38, 'BA History'!C:C))</f>
        <v>43</v>
      </c>
      <c r="I38" s="34">
        <f>COUNTIFS('BA History'!B:B,A38,'BA History'!D:D, 1)</f>
        <v>21</v>
      </c>
      <c r="J38" s="2">
        <f>COUNTIFS('BA History'!B:B,A38,'BA History'!D:D, 0)</f>
        <v>21</v>
      </c>
      <c r="K38" s="75">
        <f>LOOKUP(2, 1/('BA History'!$B:$B=A38), 'BA History'!$AJ:$AJ)</f>
        <v>0.5</v>
      </c>
      <c r="L38" s="34">
        <f>SUMIFS('BA History'!F:F,'BA History'!B:B,A38)</f>
        <v>83</v>
      </c>
      <c r="M38" s="2">
        <f>SUMIFS('BA History'!E:E,'BA History'!B:B,A38)-L38</f>
        <v>79</v>
      </c>
      <c r="N38" s="75">
        <f>LOOKUP(2, 1/('BA History'!$B:$B=A38), 'BA History'!$AH:$AH)</f>
        <v>0.5149999999999999</v>
      </c>
      <c r="O38" s="34">
        <f>SUMIFS('BA History'!H:H,'BA History'!B:B,A38)</f>
        <v>353</v>
      </c>
      <c r="P38" s="2">
        <f>SUMIFS('BA History'!G:G,'BA History'!B:B,A38)-O38</f>
        <v>321</v>
      </c>
      <c r="Q38" s="89">
        <f>LOOKUP(2, 1/('BA History'!$B:$B=A38), 'BA History'!$AI:$AI)</f>
        <v>0.53214285714285714</v>
      </c>
      <c r="R38" s="2">
        <f>COUNTIFS('BA History'!$B:$B,$A$38,'BA History'!K:K, 1)</f>
        <v>5</v>
      </c>
      <c r="S38" s="2">
        <f>COUNTIFS('BA History'!$B:$B,$A$38,'BA History'!L:L, 1)</f>
        <v>2</v>
      </c>
      <c r="T38" s="2">
        <f>COUNTIFS('BA History'!$B:$B,$A$38,'BA History'!M:M, 1)</f>
        <v>5</v>
      </c>
      <c r="U38" s="2">
        <f>COUNTIFS('BA History'!$B:$B,$A$38,'BA History'!N:N, 1)</f>
        <v>9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2</v>
      </c>
      <c r="Y38" s="2">
        <f>COUNTIFS('BA History'!$B:$B,$A$38,'BA History'!R:R, 1)</f>
        <v>1</v>
      </c>
      <c r="Z38" s="2">
        <f>COUNTIFS('BA History'!$B:$B,$A$38,'BA History'!S:S, 1)</f>
        <v>2</v>
      </c>
      <c r="AA38" s="2">
        <f>COUNTIFS('BA History'!$B:$B,$A$38,'BA History'!T:T, 1)</f>
        <v>0</v>
      </c>
      <c r="AB38" s="2">
        <f>COUNTIFS('BA History'!$B:$B,$A$38,'BA History'!U:U, 1)</f>
        <v>2</v>
      </c>
      <c r="AC38" s="2">
        <f>COUNTIFS('BA History'!$B:$B,$A$38,'BA History'!V:V, 1)</f>
        <v>4</v>
      </c>
      <c r="AD38" s="2">
        <f>COUNTIFS('BA History'!$B:$B,$A$38,'BA History'!W:W, 1)</f>
        <v>1</v>
      </c>
      <c r="AE38" s="2">
        <f>COUNTIFS('BA History'!$B:$B,$A$38,'BA History'!X:X, 1)</f>
        <v>1</v>
      </c>
      <c r="AF38" s="2">
        <f>COUNTIFS('BA History'!$B:$B,$A$38,'BA History'!Y:Y, 1)</f>
        <v>6</v>
      </c>
      <c r="AG38" s="2">
        <f>COUNTIFS('BA History'!$B:$B,$A$38,'BA History'!Z:Z, 1)</f>
        <v>9</v>
      </c>
      <c r="AH38" s="2">
        <f>COUNTIFS('BA History'!$B:$B,$A$38,'BA History'!AA:AA, 1)</f>
        <v>0</v>
      </c>
      <c r="AI38" s="2">
        <f>COUNTIFS('BA History'!$B:$B,$A$38,'BA History'!AB:AB, 1)</f>
        <v>15</v>
      </c>
      <c r="AJ38" s="2">
        <f>COUNTIFS('BA History'!$B:$B,$A$38,'BA History'!AC:AC, 1)</f>
        <v>5</v>
      </c>
      <c r="AK38" s="2">
        <f>COUNTIFS('BA History'!$B:$B,$A$38,'BA History'!AD:AD, 1)</f>
        <v>7</v>
      </c>
      <c r="AL38" s="2">
        <f>COUNTIFS('BA History'!$B:$B,$A$38,'BA History'!AE:AE, 1)</f>
        <v>0</v>
      </c>
      <c r="AM38" s="2">
        <f>COUNTIFS('BA History'!$B:$B,$A$38,'BA History'!AF:AF, 1)</f>
        <v>5</v>
      </c>
    </row>
    <row r="39" spans="1:39" x14ac:dyDescent="0.25">
      <c r="A39" s="2" t="s">
        <v>54</v>
      </c>
      <c r="B39" s="2" t="s">
        <v>79</v>
      </c>
      <c r="C39" s="2">
        <v>3</v>
      </c>
      <c r="D39" s="2">
        <v>1</v>
      </c>
      <c r="E39" s="2"/>
      <c r="F39" s="34">
        <f>SUMIFS('BA History'!C:C,'BA History'!B:B,A39)</f>
        <v>1401</v>
      </c>
      <c r="G39" s="66">
        <f>AVERAGEIFS('BA History'!C:C,'BA History'!B:B,A39)</f>
        <v>23.745762711864408</v>
      </c>
      <c r="H39" s="35">
        <f t="array" ref="H39">MAX(IF('BA History'!B:B=A39, 'BA History'!C:C))</f>
        <v>47</v>
      </c>
      <c r="I39" s="34">
        <f>COUNTIFS('BA History'!B:B,A39,'BA History'!D:D, 1)</f>
        <v>32</v>
      </c>
      <c r="J39" s="2">
        <f>COUNTIFS('BA History'!B:B,A39,'BA History'!D:D, 0)</f>
        <v>27</v>
      </c>
      <c r="K39" s="75">
        <f>LOOKUP(2, 1/('BA History'!$B:$B=A39), 'BA History'!$AJ:$AJ)</f>
        <v>0.5423728813559322</v>
      </c>
      <c r="L39" s="34">
        <f>SUMIFS('BA History'!F:F,'BA History'!B:B,A39)</f>
        <v>124</v>
      </c>
      <c r="M39" s="2">
        <f>SUMIFS('BA History'!E:E,'BA History'!B:B,A39)-L39</f>
        <v>112</v>
      </c>
      <c r="N39" s="75">
        <f>LOOKUP(2, 1/('BA History'!$B:$B=A39), 'BA History'!$AH:$AH)</f>
        <v>0.52576271186440682</v>
      </c>
      <c r="O39" s="34">
        <f>SUMIFS('BA History'!H:H,'BA History'!B:B,A39)</f>
        <v>498</v>
      </c>
      <c r="P39" s="2">
        <f>SUMIFS('BA History'!G:G,'BA History'!B:B,A39)-O39</f>
        <v>480</v>
      </c>
      <c r="Q39" s="89">
        <f>LOOKUP(2, 1/('BA History'!$B:$B=A39), 'BA History'!$AI:$AI)</f>
        <v>0.5099999999999999</v>
      </c>
      <c r="R39" s="2">
        <f>COUNTIFS('BA History'!$B:$B,$A$39,'BA History'!K:K, 1)</f>
        <v>5</v>
      </c>
      <c r="S39" s="2">
        <f>COUNTIFS('BA History'!$B:$B,$A$39,'BA History'!L:L, 1)</f>
        <v>10</v>
      </c>
      <c r="T39" s="2">
        <f>COUNTIFS('BA History'!$B:$B,$A$39,'BA History'!M:M, 1)</f>
        <v>9</v>
      </c>
      <c r="U39" s="2">
        <f>COUNTIFS('BA History'!$B:$B,$A$39,'BA History'!N:N, 1)</f>
        <v>10</v>
      </c>
      <c r="V39" s="2">
        <f>COUNTIFS('BA History'!$B:$B,$A$39,'BA History'!O:O, 1)</f>
        <v>1</v>
      </c>
      <c r="W39" s="2">
        <f>COUNTIFS('BA History'!$B:$B,$A$39,'BA History'!P:P, 1)</f>
        <v>1</v>
      </c>
      <c r="X39" s="2">
        <f>COUNTIFS('BA History'!$B:$B,$A$39,'BA History'!Q:Q, 1)</f>
        <v>4</v>
      </c>
      <c r="Y39" s="2">
        <f>COUNTIFS('BA History'!$B:$B,$A$39,'BA History'!R:R, 1)</f>
        <v>2</v>
      </c>
      <c r="Z39" s="2">
        <f>COUNTIFS('BA History'!$B:$B,$A$39,'BA History'!S:S, 1)</f>
        <v>1</v>
      </c>
      <c r="AA39" s="2">
        <f>COUNTIFS('BA History'!$B:$B,$A$39,'BA History'!T:T, 1)</f>
        <v>1</v>
      </c>
      <c r="AB39" s="2">
        <f>COUNTIFS('BA History'!$B:$B,$A$39,'BA History'!U:U, 1)</f>
        <v>4</v>
      </c>
      <c r="AC39" s="2">
        <f>COUNTIFS('BA History'!$B:$B,$A$39,'BA History'!V:V, 1)</f>
        <v>9</v>
      </c>
      <c r="AD39" s="2">
        <f>COUNTIFS('BA History'!$B:$B,$A$39,'BA History'!W:W, 1)</f>
        <v>1</v>
      </c>
      <c r="AE39" s="2">
        <f>COUNTIFS('BA History'!$B:$B,$A$39,'BA History'!X:X, 1)</f>
        <v>0</v>
      </c>
      <c r="AF39" s="2">
        <f>COUNTIFS('BA History'!$B:$B,$A$39,'BA History'!Y:Y, 1)</f>
        <v>9</v>
      </c>
      <c r="AG39" s="2">
        <f>COUNTIFS('BA History'!$B:$B,$A$39,'BA History'!Z:Z, 1)</f>
        <v>11</v>
      </c>
      <c r="AH39" s="2">
        <f>COUNTIFS('BA History'!$B:$B,$A$39,'BA History'!AA:AA, 1)</f>
        <v>3</v>
      </c>
      <c r="AI39" s="2">
        <f>COUNTIFS('BA History'!$B:$B,$A$39,'BA History'!AB:AB, 1)</f>
        <v>15</v>
      </c>
      <c r="AJ39" s="2">
        <f>COUNTIFS('BA History'!$B:$B,$A$39,'BA History'!AC:AC, 1)</f>
        <v>10</v>
      </c>
      <c r="AK39" s="2">
        <f>COUNTIFS('BA History'!$B:$B,$A$39,'BA History'!AD:AD, 1)</f>
        <v>9</v>
      </c>
      <c r="AL39" s="2">
        <f>COUNTIFS('BA History'!$B:$B,$A$39,'BA History'!AE:AE, 1)</f>
        <v>2</v>
      </c>
      <c r="AM39" s="2">
        <f>COUNTIFS('BA History'!$B:$B,$A$39,'BA History'!AF:AF, 1)</f>
        <v>7</v>
      </c>
    </row>
    <row r="40" spans="1:39" x14ac:dyDescent="0.25">
      <c r="A40" s="2" t="s">
        <v>5</v>
      </c>
      <c r="B40" s="1" t="s">
        <v>158</v>
      </c>
      <c r="C40" s="1">
        <v>1</v>
      </c>
      <c r="D40" s="1">
        <v>1</v>
      </c>
      <c r="E40" s="1"/>
      <c r="F40" s="34">
        <f>SUMIFS('BA History'!C:C,'BA History'!B:B,A40)</f>
        <v>621</v>
      </c>
      <c r="G40" s="66">
        <f>AVERAGEIFS('BA History'!C:C,'BA History'!B:B,A40)</f>
        <v>19.40625</v>
      </c>
      <c r="H40" s="35">
        <f t="array" ref="H40">MAX(IF('BA History'!B:B=A40, 'BA History'!C:C))</f>
        <v>37</v>
      </c>
      <c r="I40" s="34">
        <f>COUNTIFS('BA History'!B:B,A40,'BA History'!D:D, 1)</f>
        <v>22</v>
      </c>
      <c r="J40" s="2">
        <f>COUNTIFS('BA History'!B:B,A40,'BA History'!D:D, 0)</f>
        <v>10</v>
      </c>
      <c r="K40" s="75">
        <f>LOOKUP(2, 1/('BA History'!$B:$B=A40), 'BA History'!$AJ:$AJ)</f>
        <v>0.6875</v>
      </c>
      <c r="L40" s="34">
        <f>SUMIFS('BA History'!F:F,'BA History'!B:B,A40)</f>
        <v>74</v>
      </c>
      <c r="M40" s="2">
        <f>SUMIFS('BA History'!E:E,'BA History'!B:B,A40)-L40</f>
        <v>52</v>
      </c>
      <c r="N40" s="75">
        <f>LOOKUP(2, 1/('BA History'!$B:$B=A40), 'BA History'!$AH:$AH)</f>
        <v>0.59281249999999996</v>
      </c>
      <c r="O40" s="34">
        <f>SUMIFS('BA History'!H:H,'BA History'!B:B,A40)</f>
        <v>287</v>
      </c>
      <c r="P40" s="2">
        <f>SUMIFS('BA History'!G:G,'BA History'!B:B,A40)-O40</f>
        <v>245</v>
      </c>
      <c r="Q40" s="89">
        <f>LOOKUP(2, 1/('BA History'!$B:$B=A40), 'BA History'!$AI:$AI)</f>
        <v>0.54718750000000016</v>
      </c>
      <c r="R40" s="2">
        <f>COUNTIFS('BA History'!$B:$B,$A$40,'BA History'!K:K, 1)</f>
        <v>2</v>
      </c>
      <c r="S40" s="2">
        <f>COUNTIFS('BA History'!$B:$B,$A$40,'BA History'!L:L, 1)</f>
        <v>7</v>
      </c>
      <c r="T40" s="2">
        <f>COUNTIFS('BA History'!$B:$B,$A$40,'BA History'!M:M, 1)</f>
        <v>6</v>
      </c>
      <c r="U40" s="2">
        <f>COUNTIFS('BA History'!$B:$B,$A$40,'BA History'!N:N, 1)</f>
        <v>10</v>
      </c>
      <c r="V40" s="2">
        <f>COUNTIFS('BA History'!$B:$B,$A$40,'BA History'!O:O, 1)</f>
        <v>2</v>
      </c>
      <c r="W40" s="2">
        <f>COUNTIFS('BA History'!$B:$B,$A$40,'BA History'!P:P, 1)</f>
        <v>0</v>
      </c>
      <c r="X40" s="2">
        <f>COUNTIFS('BA History'!$B:$B,$A$40,'BA History'!Q:Q, 1)</f>
        <v>2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4</v>
      </c>
      <c r="AD40" s="2">
        <f>COUNTIFS('BA History'!$B:$B,$A$40,'BA History'!W:W, 1)</f>
        <v>1</v>
      </c>
      <c r="AE40" s="2">
        <f>COUNTIFS('BA History'!$B:$B,$A$40,'BA History'!X:X, 1)</f>
        <v>1</v>
      </c>
      <c r="AF40" s="2">
        <f>COUNTIFS('BA History'!$B:$B,$A$40,'BA History'!Y:Y, 1)</f>
        <v>5</v>
      </c>
      <c r="AG40" s="2">
        <f>COUNTIFS('BA History'!$B:$B,$A$40,'BA History'!Z:Z, 1)</f>
        <v>6</v>
      </c>
      <c r="AH40" s="2">
        <f>COUNTIFS('BA History'!$B:$B,$A$40,'BA History'!AA:AA, 1)</f>
        <v>4</v>
      </c>
      <c r="AI40" s="2">
        <f>COUNTIFS('BA History'!$B:$B,$A$40,'BA History'!AB:AB, 1)</f>
        <v>10</v>
      </c>
      <c r="AJ40" s="2">
        <f>COUNTIFS('BA History'!$B:$B,$A$40,'BA History'!AC:AC, 1)</f>
        <v>6</v>
      </c>
      <c r="AK40" s="2">
        <f>COUNTIFS('BA History'!$B:$B,$A$40,'BA History'!AD:AD, 1)</f>
        <v>4</v>
      </c>
      <c r="AL40" s="2">
        <f>COUNTIFS('BA History'!$B:$B,$A$40,'BA History'!AE:AE, 1)</f>
        <v>0</v>
      </c>
      <c r="AM40" s="2">
        <f>COUNTIFS('BA History'!$B:$B,$A$40,'BA History'!AF:AF, 1)</f>
        <v>3</v>
      </c>
    </row>
    <row r="41" spans="1:39" x14ac:dyDescent="0.25">
      <c r="A41" s="2" t="s">
        <v>38</v>
      </c>
      <c r="B41" s="2" t="s">
        <v>79</v>
      </c>
      <c r="C41" s="2"/>
      <c r="D41" s="2"/>
      <c r="E41" s="2"/>
      <c r="F41" s="34">
        <f>SUMIFS('BA History'!C:C,'BA History'!B:B,A41)</f>
        <v>23</v>
      </c>
      <c r="G41" s="66">
        <f>AVERAGEIFS('BA History'!C:C,'BA History'!B:B,A41)</f>
        <v>4.5999999999999996</v>
      </c>
      <c r="H41" s="35">
        <f t="array" ref="H41">MAX(IF('BA History'!B:B=A41, 'BA History'!C:C))</f>
        <v>11</v>
      </c>
      <c r="I41" s="34">
        <f>COUNTIFS('BA History'!B:B,A41,'BA History'!D:D, 1)</f>
        <v>2</v>
      </c>
      <c r="J41" s="2">
        <f>COUNTIFS('BA History'!B:B,A41,'BA History'!D:D, 0)</f>
        <v>3</v>
      </c>
      <c r="K41" s="75">
        <f>LOOKUP(2, 1/('BA History'!$B:$B=A41), 'BA History'!$AJ:$AJ)</f>
        <v>0.4</v>
      </c>
      <c r="L41" s="34">
        <f>SUMIFS('BA History'!F:F,'BA History'!B:B,A41)</f>
        <v>10</v>
      </c>
      <c r="M41" s="2">
        <f>SUMIFS('BA History'!E:E,'BA History'!B:B,A41)-L41</f>
        <v>12</v>
      </c>
      <c r="N41" s="75">
        <f>LOOKUP(2, 1/('BA History'!$B:$B=A41), 'BA History'!$AH:$AH)</f>
        <v>0.43</v>
      </c>
      <c r="O41" s="34">
        <f>SUMIFS('BA History'!H:H,'BA History'!B:B,A41)</f>
        <v>41</v>
      </c>
      <c r="P41" s="2">
        <f>SUMIFS('BA History'!G:G,'BA History'!B:B,A41)-O41</f>
        <v>49</v>
      </c>
      <c r="Q41" s="89">
        <f>LOOKUP(2, 1/('BA History'!$B:$B=A41), 'BA History'!$AI:$AI)</f>
        <v>0.43600000000000005</v>
      </c>
      <c r="R41" s="2">
        <f>COUNTIFS('BA History'!$B:$B,$A$41,'BA History'!K:K, 1)</f>
        <v>1</v>
      </c>
      <c r="S41" s="2">
        <f>COUNTIFS('BA History'!$B:$B,$A$41,'BA History'!L:L, 1)</f>
        <v>1</v>
      </c>
      <c r="T41" s="2">
        <f>COUNTIFS('BA History'!$B:$B,$A$41,'BA History'!M:M, 1)</f>
        <v>1</v>
      </c>
      <c r="U41" s="2">
        <f>COUNTIFS('BA History'!$B:$B,$A$41,'BA History'!N:N, 1)</f>
        <v>0</v>
      </c>
      <c r="V41" s="2">
        <f>COUNTIFS('BA History'!$B:$B,$A$41,'BA History'!O:O, 1)</f>
        <v>1</v>
      </c>
      <c r="W41" s="2">
        <f>COUNTIFS('BA History'!$B:$B,$A$41,'BA History'!P:P, 1)</f>
        <v>0</v>
      </c>
      <c r="X41" s="2">
        <f>COUNTIFS('BA History'!$B:$B,$A$41,'BA History'!Q:Q, 1)</f>
        <v>0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1</v>
      </c>
      <c r="AC41" s="2">
        <f>COUNTIFS('BA History'!$B:$B,$A$41,'BA History'!V:V, 1)</f>
        <v>2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1</v>
      </c>
      <c r="AG41" s="2">
        <f>COUNTIFS('BA History'!$B:$B,$A$41,'BA History'!Z:Z, 1)</f>
        <v>0</v>
      </c>
      <c r="AH41" s="2">
        <f>COUNTIFS('BA History'!$B:$B,$A$41,'BA History'!AA:AA, 1)</f>
        <v>0</v>
      </c>
      <c r="AI41" s="2">
        <f>COUNTIFS('BA History'!$B:$B,$A$41,'BA History'!AB:AB, 1)</f>
        <v>1</v>
      </c>
      <c r="AJ41" s="2">
        <f>COUNTIFS('BA History'!$B:$B,$A$41,'BA History'!AC:AC, 1)</f>
        <v>0</v>
      </c>
      <c r="AK41" s="2">
        <f>COUNTIFS('BA History'!$B:$B,$A$41,'BA History'!AD:AD, 1)</f>
        <v>1</v>
      </c>
      <c r="AL41" s="2">
        <f>COUNTIFS('BA History'!$B:$B,$A$41,'BA History'!AE:AE, 1)</f>
        <v>0</v>
      </c>
      <c r="AM41" s="2">
        <f>COUNTIFS('BA History'!$B:$B,$A$41,'BA History'!AF:AF, 1)</f>
        <v>0</v>
      </c>
    </row>
    <row r="42" spans="1:39" x14ac:dyDescent="0.25">
      <c r="A42" s="2" t="s">
        <v>141</v>
      </c>
      <c r="B42" s="2" t="s">
        <v>79</v>
      </c>
      <c r="C42" s="2"/>
      <c r="D42" s="2"/>
      <c r="E42" s="2"/>
      <c r="F42" s="34">
        <f>SUMIFS('BA History'!C:C,'BA History'!B:B,A42)</f>
        <v>225</v>
      </c>
      <c r="G42" s="66">
        <f>AVERAGEIFS('BA History'!C:C,'BA History'!B:B,A42)</f>
        <v>14.0625</v>
      </c>
      <c r="H42" s="35">
        <f t="array" ref="H42">MAX(IF('BA History'!B:B=A42, 'BA History'!C:C))</f>
        <v>22</v>
      </c>
      <c r="I42" s="34">
        <f>COUNTIFS('BA History'!B:B,A42,'BA History'!D:D, 1)</f>
        <v>9</v>
      </c>
      <c r="J42" s="2">
        <f>COUNTIFS('BA History'!B:B,A42,'BA History'!D:D, 0)</f>
        <v>7</v>
      </c>
      <c r="K42" s="75">
        <f>LOOKUP(2, 1/('BA History'!$B:$B=A42), 'BA History'!$AJ:$AJ)</f>
        <v>0.5625</v>
      </c>
      <c r="L42" s="34">
        <f>SUMIFS('BA History'!F:F,'BA History'!B:B,A42)</f>
        <v>30</v>
      </c>
      <c r="M42" s="2">
        <f>SUMIFS('BA History'!E:E,'BA History'!B:B,A42)-L42</f>
        <v>31</v>
      </c>
      <c r="N42" s="75">
        <f>LOOKUP(2, 1/('BA History'!$B:$B=A42), 'BA History'!$AH:$AH)</f>
        <v>0.47187499999999999</v>
      </c>
      <c r="O42" s="34">
        <f>SUMIFS('BA History'!H:H,'BA History'!B:B,A42)</f>
        <v>128</v>
      </c>
      <c r="P42" s="2">
        <f>SUMIFS('BA History'!G:G,'BA History'!B:B,A42)-O42</f>
        <v>126</v>
      </c>
      <c r="Q42" s="89">
        <f>LOOKUP(2, 1/('BA History'!$B:$B=A42), 'BA History'!$AI:$AI)</f>
        <v>0.50187500000000007</v>
      </c>
      <c r="R42" s="2">
        <f>COUNTIFS('BA History'!$B:$B,$A$42,'BA History'!K:K, 1)</f>
        <v>3</v>
      </c>
      <c r="S42" s="2">
        <f>COUNTIFS('BA History'!$B:$B,$A$42,'BA History'!L:L, 1)</f>
        <v>2</v>
      </c>
      <c r="T42" s="2">
        <f>COUNTIFS('BA History'!$B:$B,$A$42,'BA History'!M:M, 1)</f>
        <v>2</v>
      </c>
      <c r="U42" s="2">
        <f>COUNTIFS('BA History'!$B:$B,$A$42,'BA History'!N:N, 1)</f>
        <v>3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1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2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1</v>
      </c>
      <c r="AG42" s="2">
        <f>COUNTIFS('BA History'!$B:$B,$A$42,'BA History'!Z:Z, 1)</f>
        <v>1</v>
      </c>
      <c r="AH42" s="2">
        <f>COUNTIFS('BA History'!$B:$B,$A$42,'BA History'!AA:AA, 1)</f>
        <v>0</v>
      </c>
      <c r="AI42" s="2">
        <f>COUNTIFS('BA History'!$B:$B,$A$42,'BA History'!AB:AB, 1)</f>
        <v>5</v>
      </c>
      <c r="AJ42" s="2">
        <f>COUNTIFS('BA History'!$B:$B,$A$42,'BA History'!AC:AC, 1)</f>
        <v>2</v>
      </c>
      <c r="AK42" s="2">
        <f>COUNTIFS('BA History'!$B:$B,$A$42,'BA History'!AD:AD, 1)</f>
        <v>4</v>
      </c>
      <c r="AL42" s="2">
        <f>COUNTIFS('BA History'!$B:$B,$A$42,'BA History'!AE:AE, 1)</f>
        <v>0</v>
      </c>
      <c r="AM42" s="2">
        <f>COUNTIFS('BA History'!$B:$B,$A$42,'BA History'!AF:AF, 1)</f>
        <v>2</v>
      </c>
    </row>
    <row r="43" spans="1:39" x14ac:dyDescent="0.25">
      <c r="A43" s="2" t="s">
        <v>153</v>
      </c>
      <c r="B43" s="2" t="s">
        <v>79</v>
      </c>
      <c r="C43" s="2"/>
      <c r="D43" s="2"/>
      <c r="E43" s="2"/>
      <c r="F43" s="34">
        <f>SUMIFS('BA History'!C:C,'BA History'!B:B,A43)</f>
        <v>57</v>
      </c>
      <c r="G43" s="66">
        <f>AVERAGEIFS('BA History'!C:C,'BA History'!B:B,A43)</f>
        <v>11.4</v>
      </c>
      <c r="H43" s="35">
        <f t="array" ref="H43">MAX(IF('BA History'!B:B=A43, 'BA History'!C:C))</f>
        <v>14</v>
      </c>
      <c r="I43" s="34">
        <f>COUNTIFS('BA History'!B:B,A43,'BA History'!D:D, 1)</f>
        <v>3</v>
      </c>
      <c r="J43" s="2">
        <f>COUNTIFS('BA History'!B:B,A43,'BA History'!D:D, 0)</f>
        <v>2</v>
      </c>
      <c r="K43" s="75">
        <f>LOOKUP(2, 1/('BA History'!$B:$B=A43), 'BA History'!$AJ:$AJ)</f>
        <v>0.6</v>
      </c>
      <c r="L43" s="34">
        <f>SUMIFS('BA History'!F:F,'BA History'!B:B,A43)</f>
        <v>10</v>
      </c>
      <c r="M43" s="2">
        <f>SUMIFS('BA History'!E:E,'BA History'!B:B,A43)-L43</f>
        <v>11</v>
      </c>
      <c r="N43" s="75">
        <f>LOOKUP(2, 1/('BA History'!$B:$B=A43), 'BA History'!$AH:$AH)</f>
        <v>0.44000000000000006</v>
      </c>
      <c r="O43" s="34">
        <f>SUMIFS('BA History'!H:H,'BA History'!B:B,A43)</f>
        <v>44</v>
      </c>
      <c r="P43" s="2">
        <f>SUMIFS('BA History'!G:G,'BA History'!B:B,A43)-O43</f>
        <v>46</v>
      </c>
      <c r="Q43" s="89">
        <f>LOOKUP(2, 1/('BA History'!$B:$B=A43), 'BA History'!$AI:$AI)</f>
        <v>0.44799999999999995</v>
      </c>
      <c r="R43" s="2">
        <f>COUNTIFS('BA History'!$B:$B,$A$43,'BA History'!K:K, 1)</f>
        <v>0</v>
      </c>
      <c r="S43" s="2">
        <f>COUNTIFS('BA History'!$B:$B,$A$43,'BA History'!L:L, 1)</f>
        <v>1</v>
      </c>
      <c r="T43" s="2">
        <f>COUNTIFS('BA History'!$B:$B,$A$43,'BA History'!M:M, 1)</f>
        <v>0</v>
      </c>
      <c r="U43" s="2">
        <f>COUNTIFS('BA History'!$B:$B,$A$43,'BA History'!N:N, 1)</f>
        <v>1</v>
      </c>
      <c r="V43" s="2">
        <f>COUNTIFS('BA History'!$B:$B,$A$43,'BA History'!O:O, 1)</f>
        <v>0</v>
      </c>
      <c r="W43" s="2">
        <f>COUNTIFS('BA History'!$B:$B,$A$43,'BA History'!P:P, 1)</f>
        <v>0</v>
      </c>
      <c r="X43" s="2">
        <f>COUNTIFS('BA History'!$B:$B,$A$43,'BA History'!Q:Q, 1)</f>
        <v>0</v>
      </c>
      <c r="Y43" s="2">
        <f>COUNTIFS('BA History'!$B:$B,$A$43,'BA History'!R:R, 1)</f>
        <v>0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0</v>
      </c>
      <c r="AC43" s="2">
        <f>COUNTIFS('BA History'!$B:$B,$A$43,'BA History'!V:V, 1)</f>
        <v>1</v>
      </c>
      <c r="AD43" s="2">
        <f>COUNTIFS('BA History'!$B:$B,$A$43,'BA History'!W:W, 1)</f>
        <v>1</v>
      </c>
      <c r="AE43" s="2">
        <f>COUNTIFS('BA History'!$B:$B,$A$43,'BA History'!X:X, 1)</f>
        <v>0</v>
      </c>
      <c r="AF43" s="2">
        <f>COUNTIFS('BA History'!$B:$B,$A$43,'BA History'!Y:Y, 1)</f>
        <v>0</v>
      </c>
      <c r="AG43" s="2">
        <f>COUNTIFS('BA History'!$B:$B,$A$43,'BA History'!Z:Z, 1)</f>
        <v>2</v>
      </c>
      <c r="AH43" s="2">
        <f>COUNTIFS('BA History'!$B:$B,$A$43,'BA History'!AA:AA, 1)</f>
        <v>0</v>
      </c>
      <c r="AI43" s="2">
        <f>COUNTIFS('BA History'!$B:$B,$A$43,'BA History'!AB:AB, 1)</f>
        <v>3</v>
      </c>
      <c r="AJ43" s="2">
        <f>COUNTIFS('BA History'!$B:$B,$A$43,'BA History'!AC:AC, 1)</f>
        <v>0</v>
      </c>
      <c r="AK43" s="2">
        <f>COUNTIFS('BA History'!$B:$B,$A$43,'BA History'!AD:AD, 1)</f>
        <v>0</v>
      </c>
      <c r="AL43" s="2">
        <f>COUNTIFS('BA History'!$B:$B,$A$43,'BA History'!AE:AE, 1)</f>
        <v>0</v>
      </c>
      <c r="AM43" s="2">
        <f>COUNTIFS('BA History'!$B:$B,$A$43,'BA History'!AF:AF, 1)</f>
        <v>0</v>
      </c>
    </row>
    <row r="44" spans="1:39" x14ac:dyDescent="0.25">
      <c r="A44" s="2" t="s">
        <v>40</v>
      </c>
      <c r="B44" s="2" t="s">
        <v>79</v>
      </c>
      <c r="C44" s="2"/>
      <c r="D44" s="2"/>
      <c r="E44" s="2"/>
      <c r="F44" s="34">
        <f>SUMIFS('BA History'!C:C,'BA History'!B:B,A44)</f>
        <v>1196</v>
      </c>
      <c r="G44" s="66">
        <f>AVERAGEIFS('BA History'!C:C,'BA History'!B:B,A44)</f>
        <v>18.6875</v>
      </c>
      <c r="H44" s="35">
        <f t="array" ref="H44">MAX(IF('BA History'!B:B=A44, 'BA History'!C:C))</f>
        <v>37</v>
      </c>
      <c r="I44" s="34">
        <f>COUNTIFS('BA History'!B:B,A44,'BA History'!D:D, 1)</f>
        <v>27</v>
      </c>
      <c r="J44" s="2">
        <f>COUNTIFS('BA History'!B:B,A44,'BA History'!D:D, 0)</f>
        <v>37</v>
      </c>
      <c r="K44" s="75">
        <f>LOOKUP(2, 1/('BA History'!$B:$B=A44), 'BA History'!$AJ:$AJ)</f>
        <v>0.421875</v>
      </c>
      <c r="L44" s="34">
        <f>SUMIFS('BA History'!F:F,'BA History'!B:B,A44)</f>
        <v>124</v>
      </c>
      <c r="M44" s="2">
        <f>SUMIFS('BA History'!E:E,'BA History'!B:B,A44)-L44</f>
        <v>138</v>
      </c>
      <c r="N44" s="75">
        <f>LOOKUP(2, 1/('BA History'!$B:$B=A44), 'BA History'!$AH:$AH)</f>
        <v>0.47499999999999987</v>
      </c>
      <c r="O44" s="34">
        <f>SUMIFS('BA History'!H:H,'BA History'!B:B,A44)</f>
        <v>527</v>
      </c>
      <c r="P44" s="2">
        <f>SUMIFS('BA History'!G:G,'BA History'!B:B,A44)-O44</f>
        <v>556</v>
      </c>
      <c r="Q44" s="89">
        <f>LOOKUP(2, 1/('BA History'!$B:$B=A44), 'BA History'!$AI:$AI)</f>
        <v>0.48328125000000005</v>
      </c>
      <c r="R44" s="2">
        <f>COUNTIFS('BA History'!$B:$B,$A$44,'BA History'!K:K, 1)</f>
        <v>4</v>
      </c>
      <c r="S44" s="2">
        <f>COUNTIFS('BA History'!$B:$B,$A$44,'BA History'!L:L, 1)</f>
        <v>10</v>
      </c>
      <c r="T44" s="2">
        <f>COUNTIFS('BA History'!$B:$B,$A$44,'BA History'!M:M, 1)</f>
        <v>14</v>
      </c>
      <c r="U44" s="2">
        <f>COUNTIFS('BA History'!$B:$B,$A$44,'BA History'!N:N, 1)</f>
        <v>15</v>
      </c>
      <c r="V44" s="2">
        <f>COUNTIFS('BA History'!$B:$B,$A$44,'BA History'!O:O, 1)</f>
        <v>4</v>
      </c>
      <c r="W44" s="2">
        <f>COUNTIFS('BA History'!$B:$B,$A$44,'BA History'!P:P, 1)</f>
        <v>1</v>
      </c>
      <c r="X44" s="2">
        <f>COUNTIFS('BA History'!$B:$B,$A$44,'BA History'!Q:Q, 1)</f>
        <v>4</v>
      </c>
      <c r="Y44" s="2">
        <f>COUNTIFS('BA History'!$B:$B,$A$44,'BA History'!R:R, 1)</f>
        <v>3</v>
      </c>
      <c r="Z44" s="2">
        <f>COUNTIFS('BA History'!$B:$B,$A$44,'BA History'!S:S, 1)</f>
        <v>2</v>
      </c>
      <c r="AA44" s="2">
        <f>COUNTIFS('BA History'!$B:$B,$A$44,'BA History'!T:T, 1)</f>
        <v>0</v>
      </c>
      <c r="AB44" s="2">
        <f>COUNTIFS('BA History'!$B:$B,$A$44,'BA History'!U:U, 1)</f>
        <v>4</v>
      </c>
      <c r="AC44" s="2">
        <f>COUNTIFS('BA History'!$B:$B,$A$44,'BA History'!V:V, 1)</f>
        <v>7</v>
      </c>
      <c r="AD44" s="2">
        <f>COUNTIFS('BA History'!$B:$B,$A$44,'BA History'!W:W, 1)</f>
        <v>2</v>
      </c>
      <c r="AE44" s="2">
        <f>COUNTIFS('BA History'!$B:$B,$A$44,'BA History'!X:X, 1)</f>
        <v>1</v>
      </c>
      <c r="AF44" s="2">
        <f>COUNTIFS('BA History'!$B:$B,$A$44,'BA History'!Y:Y, 1)</f>
        <v>6</v>
      </c>
      <c r="AG44" s="2">
        <f>COUNTIFS('BA History'!$B:$B,$A$44,'BA History'!Z:Z, 1)</f>
        <v>11</v>
      </c>
      <c r="AH44" s="2">
        <f>COUNTIFS('BA History'!$B:$B,$A$44,'BA History'!AA:AA, 1)</f>
        <v>1</v>
      </c>
      <c r="AI44" s="2">
        <f>COUNTIFS('BA History'!$B:$B,$A$44,'BA History'!AB:AB, 1)</f>
        <v>6</v>
      </c>
      <c r="AJ44" s="2">
        <f>COUNTIFS('BA History'!$B:$B,$A$44,'BA History'!AC:AC, 1)</f>
        <v>7</v>
      </c>
      <c r="AK44" s="2">
        <f>COUNTIFS('BA History'!$B:$B,$A$44,'BA History'!AD:AD, 1)</f>
        <v>15</v>
      </c>
      <c r="AL44" s="2">
        <f>COUNTIFS('BA History'!$B:$B,$A$44,'BA History'!AE:AE, 1)</f>
        <v>0</v>
      </c>
      <c r="AM44" s="2">
        <f>COUNTIFS('BA History'!$B:$B,$A$44,'BA History'!AF:AF, 1)</f>
        <v>7</v>
      </c>
    </row>
    <row r="45" spans="1:39" x14ac:dyDescent="0.25">
      <c r="A45" s="2" t="s">
        <v>166</v>
      </c>
      <c r="B45" s="2" t="s">
        <v>79</v>
      </c>
      <c r="C45" s="2">
        <v>1</v>
      </c>
      <c r="D45" s="2"/>
      <c r="E45" s="2"/>
      <c r="F45" s="34">
        <f>SUMIFS('BA History'!C:C,'BA History'!B:B,A45)</f>
        <v>40</v>
      </c>
      <c r="G45" s="66">
        <f>AVERAGEIFS('BA History'!C:C,'BA History'!B:B,A45)</f>
        <v>10</v>
      </c>
      <c r="H45" s="35">
        <f t="array" ref="H45">MAX(IF('BA History'!B:B=A45, 'BA History'!C:C))</f>
        <v>21</v>
      </c>
      <c r="I45" s="34">
        <f>COUNTIFS('BA History'!B:B,A45,'BA History'!D:D, 1)</f>
        <v>3</v>
      </c>
      <c r="J45" s="2">
        <f>COUNTIFS('BA History'!B:B,A45,'BA History'!D:D, 0)</f>
        <v>1</v>
      </c>
      <c r="K45" s="75">
        <f>LOOKUP(2, 1/('BA History'!$B:$B=A45), 'BA History'!$AJ:$AJ)</f>
        <v>0.75</v>
      </c>
      <c r="L45" s="34">
        <f>SUMIFS('BA History'!F:F,'BA History'!B:B,A45)</f>
        <v>9</v>
      </c>
      <c r="M45" s="2">
        <f>SUMIFS('BA History'!E:E,'BA History'!B:B,A45)-L45</f>
        <v>8</v>
      </c>
      <c r="N45" s="75">
        <f>LOOKUP(2, 1/('BA History'!$B:$B=A45), 'BA History'!$AH:$AH)</f>
        <v>0.48750000000000004</v>
      </c>
      <c r="O45" s="34">
        <f>SUMIFS('BA History'!H:H,'BA History'!B:B,A45)</f>
        <v>38</v>
      </c>
      <c r="P45" s="2">
        <f>SUMIFS('BA History'!G:G,'BA History'!B:B,A45)-O45</f>
        <v>35</v>
      </c>
      <c r="Q45" s="89">
        <f>LOOKUP(2, 1/('BA History'!$B:$B=A45), 'BA History'!$AI:$AI)</f>
        <v>0.49249999999999999</v>
      </c>
      <c r="R45" s="2">
        <f>COUNTIFS('BA History'!$B:$B,$A$45,'BA History'!K:K, 1)</f>
        <v>1</v>
      </c>
      <c r="S45" s="2">
        <f>COUNTIFS('BA History'!$B:$B,$A$45,'BA History'!L:L, 1)</f>
        <v>0</v>
      </c>
      <c r="T45" s="2">
        <f>COUNTIFS('BA History'!$B:$B,$A$45,'BA History'!M:M, 1)</f>
        <v>1</v>
      </c>
      <c r="U45" s="2">
        <f>COUNTIFS('BA History'!$B:$B,$A$45,'BA History'!N:N, 1)</f>
        <v>1</v>
      </c>
      <c r="V45" s="2">
        <f>COUNTIFS('BA History'!$B:$B,$A$45,'BA History'!O:O, 1)</f>
        <v>0</v>
      </c>
      <c r="W45" s="2">
        <f>COUNTIFS('BA History'!$B:$B,$A$45,'BA History'!P:P, 1)</f>
        <v>0</v>
      </c>
      <c r="X45" s="2">
        <f>COUNTIFS('BA History'!$B:$B,$A$45,'BA History'!Q:Q, 1)</f>
        <v>0</v>
      </c>
      <c r="Y45" s="2">
        <f>COUNTIFS('BA History'!$B:$B,$A$45,'BA History'!R:R, 1)</f>
        <v>0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0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1</v>
      </c>
      <c r="AG45" s="2">
        <f>COUNTIFS('BA History'!$B:$B,$A$45,'BA History'!Z:Z, 1)</f>
        <v>2</v>
      </c>
      <c r="AH45" s="2">
        <f>COUNTIFS('BA History'!$B:$B,$A$45,'BA History'!AA:AA, 1)</f>
        <v>0</v>
      </c>
      <c r="AI45" s="2">
        <f>COUNTIFS('BA History'!$B:$B,$A$45,'BA History'!AB:AB, 1)</f>
        <v>1</v>
      </c>
      <c r="AJ45" s="2">
        <f>COUNTIFS('BA History'!$B:$B,$A$45,'BA History'!AC:AC, 1)</f>
        <v>0</v>
      </c>
      <c r="AK45" s="2">
        <f>COUNTIFS('BA History'!$B:$B,$A$45,'BA History'!AD:AD, 1)</f>
        <v>1</v>
      </c>
      <c r="AL45" s="2">
        <f>COUNTIFS('BA History'!$B:$B,$A$45,'BA History'!AE:AE, 1)</f>
        <v>0</v>
      </c>
      <c r="AM45" s="2">
        <f>COUNTIFS('BA History'!$B:$B,$A$45,'BA History'!AF:AF, 1)</f>
        <v>1</v>
      </c>
    </row>
    <row r="46" spans="1:39" x14ac:dyDescent="0.25">
      <c r="A46" s="2" t="s">
        <v>147</v>
      </c>
      <c r="B46" s="2" t="s">
        <v>79</v>
      </c>
      <c r="C46" s="2"/>
      <c r="D46" s="2"/>
      <c r="E46" s="2"/>
      <c r="F46" s="34">
        <f>SUMIFS('BA History'!C:C,'BA History'!B:B,A46)</f>
        <v>380</v>
      </c>
      <c r="G46" s="66">
        <f>AVERAGEIFS('BA History'!C:C,'BA History'!B:B,A46)</f>
        <v>12.666666666666666</v>
      </c>
      <c r="H46" s="35">
        <f t="array" ref="H46">MAX(IF('BA History'!B:B=A46, 'BA History'!C:C))</f>
        <v>33</v>
      </c>
      <c r="I46" s="34">
        <f>COUNTIFS('BA History'!B:B,A46,'BA History'!D:D, 1)</f>
        <v>15</v>
      </c>
      <c r="J46" s="2">
        <f>COUNTIFS('BA History'!B:B,A46,'BA History'!D:D, 0)</f>
        <v>15</v>
      </c>
      <c r="K46" s="75">
        <f>LOOKUP(2, 1/('BA History'!$B:$B=A46), 'BA History'!$AJ:$AJ)</f>
        <v>0.5</v>
      </c>
      <c r="L46" s="34">
        <f>SUMIFS('BA History'!F:F,'BA History'!B:B,A46)</f>
        <v>63</v>
      </c>
      <c r="M46" s="2">
        <f>SUMIFS('BA History'!E:E,'BA History'!B:B,A46)-L46</f>
        <v>57</v>
      </c>
      <c r="N46" s="75">
        <f>LOOKUP(2, 1/('BA History'!$B:$B=A46), 'BA History'!$AH:$AH)</f>
        <v>0.55000000000000004</v>
      </c>
      <c r="O46" s="34">
        <f>SUMIFS('BA History'!H:H,'BA History'!B:B,A46)</f>
        <v>254</v>
      </c>
      <c r="P46" s="2">
        <f>SUMIFS('BA History'!G:G,'BA History'!B:B,A46)-O46</f>
        <v>241</v>
      </c>
      <c r="Q46" s="89">
        <f>LOOKUP(2, 1/('BA History'!$B:$B=A46), 'BA History'!$AI:$AI)</f>
        <v>0.52833333333333343</v>
      </c>
      <c r="R46" s="2">
        <f>COUNTIFS('BA History'!$B:$B,$A$46,'BA History'!K:K, 1)</f>
        <v>4</v>
      </c>
      <c r="S46" s="2">
        <f>COUNTIFS('BA History'!$B:$B,$A$46,'BA History'!L:L, 1)</f>
        <v>5</v>
      </c>
      <c r="T46" s="2">
        <f>COUNTIFS('BA History'!$B:$B,$A$46,'BA History'!M:M, 1)</f>
        <v>4</v>
      </c>
      <c r="U46" s="2">
        <f>COUNTIFS('BA History'!$B:$B,$A$46,'BA History'!N:N, 1)</f>
        <v>7</v>
      </c>
      <c r="V46" s="2">
        <f>COUNTIFS('BA History'!$B:$B,$A$46,'BA History'!O:O, 1)</f>
        <v>1</v>
      </c>
      <c r="W46" s="2">
        <f>COUNTIFS('BA History'!$B:$B,$A$46,'BA History'!P:P, 1)</f>
        <v>1</v>
      </c>
      <c r="X46" s="2">
        <f>COUNTIFS('BA History'!$B:$B,$A$46,'BA History'!Q:Q, 1)</f>
        <v>1</v>
      </c>
      <c r="Y46" s="2">
        <f>COUNTIFS('BA History'!$B:$B,$A$46,'BA History'!R:R, 1)</f>
        <v>1</v>
      </c>
      <c r="Z46" s="2">
        <f>COUNTIFS('BA History'!$B:$B,$A$46,'BA History'!S:S, 1)</f>
        <v>1</v>
      </c>
      <c r="AA46" s="2">
        <f>COUNTIFS('BA History'!$B:$B,$A$46,'BA History'!T:T, 1)</f>
        <v>0</v>
      </c>
      <c r="AB46" s="2">
        <f>COUNTIFS('BA History'!$B:$B,$A$46,'BA History'!U:U, 1)</f>
        <v>0</v>
      </c>
      <c r="AC46" s="2">
        <f>COUNTIFS('BA History'!$B:$B,$A$46,'BA History'!V:V, 1)</f>
        <v>2</v>
      </c>
      <c r="AD46" s="2">
        <f>COUNTIFS('BA History'!$B:$B,$A$46,'BA History'!W:W, 1)</f>
        <v>1</v>
      </c>
      <c r="AE46" s="2">
        <f>COUNTIFS('BA History'!$B:$B,$A$46,'BA History'!X:X, 1)</f>
        <v>0</v>
      </c>
      <c r="AF46" s="2">
        <f>COUNTIFS('BA History'!$B:$B,$A$46,'BA History'!Y:Y, 1)</f>
        <v>6</v>
      </c>
      <c r="AG46" s="2">
        <f>COUNTIFS('BA History'!$B:$B,$A$46,'BA History'!Z:Z, 1)</f>
        <v>10</v>
      </c>
      <c r="AH46" s="2">
        <f>COUNTIFS('BA History'!$B:$B,$A$46,'BA History'!AA:AA, 1)</f>
        <v>0</v>
      </c>
      <c r="AI46" s="2">
        <f>COUNTIFS('BA History'!$B:$B,$A$46,'BA History'!AB:AB, 1)</f>
        <v>11</v>
      </c>
      <c r="AJ46" s="2">
        <f>COUNTIFS('BA History'!$B:$B,$A$46,'BA History'!AC:AC, 1)</f>
        <v>0</v>
      </c>
      <c r="AK46" s="2">
        <f>COUNTIFS('BA History'!$B:$B,$A$46,'BA History'!AD:AD, 1)</f>
        <v>3</v>
      </c>
      <c r="AL46" s="2">
        <f>COUNTIFS('BA History'!$B:$B,$A$46,'BA History'!AE:AE, 1)</f>
        <v>0</v>
      </c>
      <c r="AM46" s="2">
        <f>COUNTIFS('BA History'!$B:$B,$A$46,'BA History'!AF:AF, 1)</f>
        <v>5</v>
      </c>
    </row>
    <row r="47" spans="1:39" x14ac:dyDescent="0.25">
      <c r="A47" s="2" t="s">
        <v>17</v>
      </c>
      <c r="B47" s="2" t="s">
        <v>79</v>
      </c>
      <c r="C47" s="2">
        <v>1</v>
      </c>
      <c r="D47" s="2">
        <v>1</v>
      </c>
      <c r="E47" s="2"/>
      <c r="F47" s="34">
        <f>SUMIFS('BA History'!C:C,'BA History'!B:B,A47)</f>
        <v>793</v>
      </c>
      <c r="G47" s="66">
        <f>AVERAGEIFS('BA History'!C:C,'BA History'!B:B,A47)</f>
        <v>19.824999999999999</v>
      </c>
      <c r="H47" s="35">
        <f t="array" ref="H47">MAX(IF('BA History'!B:B=A47, 'BA History'!C:C))</f>
        <v>32</v>
      </c>
      <c r="I47" s="34">
        <f>COUNTIFS('BA History'!B:B,A47,'BA History'!D:D, 1)</f>
        <v>23</v>
      </c>
      <c r="J47" s="2">
        <f>COUNTIFS('BA History'!B:B,A47,'BA History'!D:D, 0)</f>
        <v>17</v>
      </c>
      <c r="K47" s="75">
        <f>LOOKUP(2, 1/('BA History'!$B:$B=A47), 'BA History'!$AJ:$AJ)</f>
        <v>0.57499999999999996</v>
      </c>
      <c r="L47" s="34">
        <f>SUMIFS('BA History'!F:F,'BA History'!B:B,A47)</f>
        <v>86</v>
      </c>
      <c r="M47" s="2">
        <f>SUMIFS('BA History'!E:E,'BA History'!B:B,A47)-L47</f>
        <v>73</v>
      </c>
      <c r="N47" s="75">
        <f>LOOKUP(2, 1/('BA History'!$B:$B=A47), 'BA History'!$AH:$AH)</f>
        <v>0.54800000000000004</v>
      </c>
      <c r="O47" s="34">
        <f>SUMIFS('BA History'!H:H,'BA History'!B:B,A47)</f>
        <v>334</v>
      </c>
      <c r="P47" s="2">
        <f>SUMIFS('BA History'!G:G,'BA History'!B:B,A47)-O47</f>
        <v>323</v>
      </c>
      <c r="Q47" s="89">
        <f>LOOKUP(2, 1/('BA History'!$B:$B=A47), 'BA History'!$AI:$AI)</f>
        <v>0.50350000000000006</v>
      </c>
      <c r="R47" s="2">
        <f>COUNTIFS('BA History'!$B:$B,$A$47,'BA History'!K:K, 1)</f>
        <v>6</v>
      </c>
      <c r="S47" s="2">
        <f>COUNTIFS('BA History'!$B:$B,$A$47,'BA History'!L:L, 1)</f>
        <v>3</v>
      </c>
      <c r="T47" s="2">
        <f>COUNTIFS('BA History'!$B:$B,$A$47,'BA History'!M:M, 1)</f>
        <v>7</v>
      </c>
      <c r="U47" s="2">
        <f>COUNTIFS('BA History'!$B:$B,$A$47,'BA History'!N:N, 1)</f>
        <v>9</v>
      </c>
      <c r="V47" s="2">
        <f>COUNTIFS('BA History'!$B:$B,$A$47,'BA History'!O:O, 1)</f>
        <v>0</v>
      </c>
      <c r="W47" s="2">
        <f>COUNTIFS('BA History'!$B:$B,$A$47,'BA History'!P:P, 1)</f>
        <v>1</v>
      </c>
      <c r="X47" s="2">
        <f>COUNTIFS('BA History'!$B:$B,$A$47,'BA History'!Q:Q, 1)</f>
        <v>3</v>
      </c>
      <c r="Y47" s="2">
        <f>COUNTIFS('BA History'!$B:$B,$A$47,'BA History'!R:R, 1)</f>
        <v>1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2</v>
      </c>
      <c r="AC47" s="2">
        <f>COUNTIFS('BA History'!$B:$B,$A$47,'BA History'!V:V, 1)</f>
        <v>4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3</v>
      </c>
      <c r="AG47" s="2">
        <f>COUNTIFS('BA History'!$B:$B,$A$47,'BA History'!Z:Z, 1)</f>
        <v>10</v>
      </c>
      <c r="AH47" s="2">
        <f>COUNTIFS('BA History'!$B:$B,$A$47,'BA History'!AA:AA, 1)</f>
        <v>2</v>
      </c>
      <c r="AI47" s="2">
        <f>COUNTIFS('BA History'!$B:$B,$A$47,'BA History'!AB:AB, 1)</f>
        <v>11</v>
      </c>
      <c r="AJ47" s="2">
        <f>COUNTIFS('BA History'!$B:$B,$A$47,'BA History'!AC:AC, 1)</f>
        <v>8</v>
      </c>
      <c r="AK47" s="2">
        <f>COUNTIFS('BA History'!$B:$B,$A$47,'BA History'!AD:AD, 1)</f>
        <v>9</v>
      </c>
      <c r="AL47" s="2">
        <f>COUNTIFS('BA History'!$B:$B,$A$47,'BA History'!AE:AE, 1)</f>
        <v>2</v>
      </c>
      <c r="AM47" s="2">
        <f>COUNTIFS('BA History'!$B:$B,$A$47,'BA History'!AF:AF, 1)</f>
        <v>5</v>
      </c>
    </row>
    <row r="48" spans="1:39" ht="14.25" customHeight="1" x14ac:dyDescent="0.25">
      <c r="A48" s="1" t="s">
        <v>105</v>
      </c>
      <c r="B48" s="2" t="s">
        <v>79</v>
      </c>
      <c r="C48" s="2"/>
      <c r="D48" s="2"/>
      <c r="E48" s="2"/>
      <c r="F48" s="34">
        <f>SUMIFS('BA History'!C:C,'BA History'!B:B,A48)</f>
        <v>12</v>
      </c>
      <c r="G48" s="66">
        <f>AVERAGEIFS('BA History'!C:C,'BA History'!B:B,A48)</f>
        <v>12</v>
      </c>
      <c r="H48" s="35">
        <f t="array" ref="H48">MAX(IF('BA History'!B:B=A48, 'BA History'!C:C))</f>
        <v>12</v>
      </c>
      <c r="I48" s="34">
        <f>COUNTIFS('BA History'!B:B,A48,'BA History'!D:D, 1)</f>
        <v>1</v>
      </c>
      <c r="J48" s="2">
        <f>COUNTIFS('BA History'!B:B,A48,'BA History'!D:D, 0)</f>
        <v>0</v>
      </c>
      <c r="K48" s="75">
        <f>LOOKUP(2, 1/('BA History'!$B:$B=A48), 'BA History'!$AJ:$AJ)</f>
        <v>1</v>
      </c>
      <c r="L48" s="34">
        <f>SUMIFS('BA History'!F:F,'BA History'!B:B,A48)</f>
        <v>3</v>
      </c>
      <c r="M48" s="2">
        <f>SUMIFS('BA History'!E:E,'BA History'!B:B,A48)-L48</f>
        <v>2</v>
      </c>
      <c r="N48" s="75">
        <f>LOOKUP(2, 1/('BA History'!$B:$B=A48), 'BA History'!$AH:$AH)</f>
        <v>0.6</v>
      </c>
      <c r="O48" s="34">
        <f>SUMIFS('BA History'!H:H,'BA History'!B:B,A48)</f>
        <v>9</v>
      </c>
      <c r="P48" s="2">
        <f>SUMIFS('BA History'!G:G,'BA History'!B:B,A48)-O48</f>
        <v>10</v>
      </c>
      <c r="Q48" s="89">
        <f>LOOKUP(2, 1/('BA History'!$B:$B=A48), 'BA History'!$AI:$AI)</f>
        <v>0.47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1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0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1</v>
      </c>
      <c r="AJ48" s="2">
        <f>COUNTIFS('BA History'!$B:$B,$A$48,'BA History'!AC:AC, 1)</f>
        <v>1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ht="14.25" customHeight="1" x14ac:dyDescent="0.25">
      <c r="A49" s="1" t="s">
        <v>143</v>
      </c>
      <c r="B49" s="2" t="s">
        <v>79</v>
      </c>
      <c r="C49" s="2"/>
      <c r="D49" s="2"/>
      <c r="E49" s="2"/>
      <c r="F49" s="34">
        <f>SUMIFS('BA History'!C:C,'BA History'!B:B,A49)</f>
        <v>4</v>
      </c>
      <c r="G49" s="66">
        <f>AVERAGEIFS('BA History'!C:C,'BA History'!B:B,A49)</f>
        <v>4</v>
      </c>
      <c r="H49" s="35">
        <f t="array" ref="H49">MAX(IF('BA History'!B:B=A49, 'BA History'!C:C))</f>
        <v>4</v>
      </c>
      <c r="I49" s="34">
        <f>COUNTIFS('BA History'!B:B,A49,'BA History'!D:D, 1)</f>
        <v>0</v>
      </c>
      <c r="J49" s="2">
        <f>COUNTIFS('BA History'!B:B,A49,'BA History'!D:D, 0)</f>
        <v>1</v>
      </c>
      <c r="K49" s="75">
        <f>LOOKUP(2, 1/('BA History'!$B:$B=A49), 'BA History'!$AJ:$AJ)</f>
        <v>0</v>
      </c>
      <c r="L49" s="34">
        <f>SUMIFS('BA History'!F:F,'BA History'!B:B,A49)</f>
        <v>1</v>
      </c>
      <c r="M49" s="2">
        <f>SUMIFS('BA History'!E:E,'BA History'!B:B,A49)-L49</f>
        <v>3</v>
      </c>
      <c r="N49" s="75">
        <f>LOOKUP(2, 1/('BA History'!$B:$B=A49), 'BA History'!$AH:$AH)</f>
        <v>0.25</v>
      </c>
      <c r="O49" s="34">
        <f>SUMIFS('BA History'!H:H,'BA History'!B:B,A49)</f>
        <v>7</v>
      </c>
      <c r="P49" s="2">
        <f>SUMIFS('BA History'!G:G,'BA History'!B:B,A49)-O49</f>
        <v>9</v>
      </c>
      <c r="Q49" s="89">
        <f>LOOKUP(2, 1/('BA History'!$B:$B=A49), 'BA History'!$AI:$AI)</f>
        <v>0.44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0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1</v>
      </c>
      <c r="AG49" s="2">
        <f>COUNTIFS('BA History'!$B:$B,$A$49,'BA History'!Z:Z, 1)</f>
        <v>0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0</v>
      </c>
      <c r="AK49" s="2">
        <f>COUNTIFS('BA History'!$B:$B,$A$49,'BA History'!AD:AD, 1)</f>
        <v>0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1" t="s">
        <v>118</v>
      </c>
      <c r="B50" s="2" t="s">
        <v>79</v>
      </c>
      <c r="C50" s="2"/>
      <c r="D50" s="2"/>
      <c r="E50" s="2"/>
      <c r="F50" s="34">
        <f>SUMIFS('BA History'!C:C,'BA History'!B:B,A50)</f>
        <v>30</v>
      </c>
      <c r="G50" s="66">
        <f>AVERAGEIFS('BA History'!C:C,'BA History'!B:B,A50)</f>
        <v>15</v>
      </c>
      <c r="H50" s="35">
        <f t="array" ref="H50">MAX(IF('BA History'!B:B=A50, 'BA History'!C:C))</f>
        <v>20</v>
      </c>
      <c r="I50" s="34">
        <f>COUNTIFS('BA History'!B:B,A50,'BA History'!D:D, 1)</f>
        <v>1</v>
      </c>
      <c r="J50" s="2">
        <f>COUNTIFS('BA History'!B:B,A50,'BA History'!D:D, 0)</f>
        <v>1</v>
      </c>
      <c r="K50" s="75">
        <f>LOOKUP(2, 1/('BA History'!$B:$B=A50), 'BA History'!$AJ:$AJ)</f>
        <v>0.5</v>
      </c>
      <c r="L50" s="34">
        <f>SUMIFS('BA History'!F:F,'BA History'!B:B,A50)</f>
        <v>4</v>
      </c>
      <c r="M50" s="2">
        <f>SUMIFS('BA History'!E:E,'BA History'!B:B,A50)-L50</f>
        <v>4</v>
      </c>
      <c r="N50" s="75">
        <f>LOOKUP(2, 1/('BA History'!$B:$B=A50), 'BA History'!$AH:$AH)</f>
        <v>0.5</v>
      </c>
      <c r="O50" s="34">
        <f>SUMIFS('BA History'!H:H,'BA History'!B:B,A50)</f>
        <v>15</v>
      </c>
      <c r="P50" s="2">
        <f>SUMIFS('BA History'!G:G,'BA History'!B:B,A50)-O50</f>
        <v>15</v>
      </c>
      <c r="Q50" s="89">
        <f>LOOKUP(2, 1/('BA History'!$B:$B=A50), 'BA History'!$AI:$AI)</f>
        <v>0.51</v>
      </c>
      <c r="R50" s="2">
        <f>COUNTIFS('BA History'!$B:$B,$A$50,'BA History'!K:K, 1)</f>
        <v>0</v>
      </c>
      <c r="S50" s="2">
        <f>COUNTIFS('BA History'!$B:$B,$A$50,'BA History'!L:L, 1)</f>
        <v>0</v>
      </c>
      <c r="T50" s="2">
        <f>COUNTIFS('BA History'!$B:$B,$A$50,'BA History'!M:M, 1)</f>
        <v>0</v>
      </c>
      <c r="U50" s="2">
        <f>COUNTIFS('BA History'!$B:$B,$A$50,'BA History'!N:N, 1)</f>
        <v>0</v>
      </c>
      <c r="V50" s="2">
        <f>COUNTIFS('BA History'!$B:$B,$A$50,'BA History'!O:O, 1)</f>
        <v>0</v>
      </c>
      <c r="W50" s="2">
        <f>COUNTIFS('BA History'!$B:$B,$A$50,'BA History'!P:P, 1)</f>
        <v>0</v>
      </c>
      <c r="X50" s="2">
        <f>COUNTIFS('BA History'!$B:$B,$A$50,'BA History'!Q:Q, 1)</f>
        <v>0</v>
      </c>
      <c r="Y50" s="2">
        <f>COUNTIFS('BA History'!$B:$B,$A$50,'BA History'!R:R, 1)</f>
        <v>0</v>
      </c>
      <c r="Z50" s="2">
        <f>COUNTIFS('BA History'!$B:$B,$A$50,'BA History'!S:S, 1)</f>
        <v>0</v>
      </c>
      <c r="AA50" s="2">
        <f>COUNTIFS('BA History'!$B:$B,$A$50,'BA History'!T:T, 1)</f>
        <v>0</v>
      </c>
      <c r="AB50" s="2">
        <f>COUNTIFS('BA History'!$B:$B,$A$50,'BA History'!U:U, 1)</f>
        <v>0</v>
      </c>
      <c r="AC50" s="2">
        <f>COUNTIFS('BA History'!$B:$B,$A$50,'BA History'!V:V, 1)</f>
        <v>1</v>
      </c>
      <c r="AD50" s="2">
        <f>COUNTIFS('BA History'!$B:$B,$A$50,'BA History'!W:W, 1)</f>
        <v>0</v>
      </c>
      <c r="AE50" s="2">
        <f>COUNTIFS('BA History'!$B:$B,$A$50,'BA History'!X:X, 1)</f>
        <v>0</v>
      </c>
      <c r="AF50" s="2">
        <f>COUNTIFS('BA History'!$B:$B,$A$50,'BA History'!Y:Y, 1)</f>
        <v>0</v>
      </c>
      <c r="AG50" s="2">
        <f>COUNTIFS('BA History'!$B:$B,$A$50,'BA History'!Z:Z, 1)</f>
        <v>1</v>
      </c>
      <c r="AH50" s="2">
        <f>COUNTIFS('BA History'!$B:$B,$A$50,'BA History'!AA:AA, 1)</f>
        <v>0</v>
      </c>
      <c r="AI50" s="2">
        <f>COUNTIFS('BA History'!$B:$B,$A$50,'BA History'!AB:AB, 1)</f>
        <v>0</v>
      </c>
      <c r="AJ50" s="2">
        <f>COUNTIFS('BA History'!$B:$B,$A$50,'BA History'!AC:AC, 1)</f>
        <v>1</v>
      </c>
      <c r="AK50" s="2">
        <f>COUNTIFS('BA History'!$B:$B,$A$50,'BA History'!AD:AD, 1)</f>
        <v>1</v>
      </c>
      <c r="AL50" s="2">
        <f>COUNTIFS('BA History'!$B:$B,$A$50,'BA History'!AE:AE, 1)</f>
        <v>0</v>
      </c>
      <c r="AM50" s="2">
        <f>COUNTIFS('BA History'!$B:$B,$A$50,'BA History'!AF:AF, 1)</f>
        <v>0</v>
      </c>
    </row>
    <row r="51" spans="1:39" x14ac:dyDescent="0.25">
      <c r="A51" s="2" t="s">
        <v>6</v>
      </c>
      <c r="B51" s="1" t="s">
        <v>158</v>
      </c>
      <c r="C51" s="1"/>
      <c r="D51" s="1">
        <v>1</v>
      </c>
      <c r="E51" s="1">
        <v>1</v>
      </c>
      <c r="F51" s="34">
        <f>SUMIFS('BA History'!C:C,'BA History'!B:B,A51)</f>
        <v>1494</v>
      </c>
      <c r="G51" s="66">
        <f>AVERAGEIFS('BA History'!C:C,'BA History'!B:B,A51)</f>
        <v>22.298507462686569</v>
      </c>
      <c r="H51" s="35">
        <f t="array" ref="H51">MAX(IF('BA History'!B:B=A51, 'BA History'!C:C))</f>
        <v>37</v>
      </c>
      <c r="I51" s="34">
        <f>COUNTIFS('BA History'!B:B,A51,'BA History'!D:D, 1)</f>
        <v>41</v>
      </c>
      <c r="J51" s="2">
        <f>COUNTIFS('BA History'!B:B,A51,'BA History'!D:D, 0)</f>
        <v>26</v>
      </c>
      <c r="K51" s="75">
        <f>LOOKUP(2, 1/('BA History'!$B:$B=A51), 'BA History'!$AJ:$AJ)</f>
        <v>0.61194029850746268</v>
      </c>
      <c r="L51" s="34">
        <f>SUMIFS('BA History'!F:F,'BA History'!B:B,A51)</f>
        <v>146</v>
      </c>
      <c r="M51" s="2">
        <f>SUMIFS('BA History'!E:E,'BA History'!B:B,A51)-L51</f>
        <v>120</v>
      </c>
      <c r="N51" s="75">
        <f>LOOKUP(2, 1/('BA History'!$B:$B=A51), 'BA History'!$AH:$AH)</f>
        <v>0.54746268656716424</v>
      </c>
      <c r="O51" s="34">
        <f>SUMIFS('BA History'!H:H,'BA History'!B:B,A51)</f>
        <v>582</v>
      </c>
      <c r="P51" s="2">
        <f>SUMIFS('BA History'!G:G,'BA History'!B:B,A51)-O51</f>
        <v>525</v>
      </c>
      <c r="Q51" s="89">
        <f>LOOKUP(2, 1/('BA History'!$B:$B=A51), 'BA History'!$AI:$AI)</f>
        <v>0.52417910447761196</v>
      </c>
      <c r="R51" s="2">
        <f>COUNTIFS('BA History'!$B:$B,$A$51,'BA History'!K:K, 1)</f>
        <v>7</v>
      </c>
      <c r="S51" s="2">
        <f>COUNTIFS('BA History'!$B:$B,$A$51,'BA History'!L:L, 1)</f>
        <v>7</v>
      </c>
      <c r="T51" s="2">
        <f>COUNTIFS('BA History'!$B:$B,$A$51,'BA History'!M:M, 1)</f>
        <v>13</v>
      </c>
      <c r="U51" s="2">
        <f>COUNTIFS('BA History'!$B:$B,$A$51,'BA History'!N:N, 1)</f>
        <v>11</v>
      </c>
      <c r="V51" s="2">
        <f>COUNTIFS('BA History'!$B:$B,$A$51,'BA History'!O:O, 1)</f>
        <v>2</v>
      </c>
      <c r="W51" s="2">
        <f>COUNTIFS('BA History'!$B:$B,$A$51,'BA History'!P:P, 1)</f>
        <v>1</v>
      </c>
      <c r="X51" s="2">
        <f>COUNTIFS('BA History'!$B:$B,$A$51,'BA History'!Q:Q, 1)</f>
        <v>5</v>
      </c>
      <c r="Y51" s="2">
        <f>COUNTIFS('BA History'!$B:$B,$A$51,'BA History'!R:R, 1)</f>
        <v>4</v>
      </c>
      <c r="Z51" s="2">
        <f>COUNTIFS('BA History'!$B:$B,$A$51,'BA History'!S:S, 1)</f>
        <v>1</v>
      </c>
      <c r="AA51" s="2">
        <f>COUNTIFS('BA History'!$B:$B,$A$51,'BA History'!T:T, 1)</f>
        <v>0</v>
      </c>
      <c r="AB51" s="2">
        <f>COUNTIFS('BA History'!$B:$B,$A$51,'BA History'!U:U, 1)</f>
        <v>2</v>
      </c>
      <c r="AC51" s="2">
        <f>COUNTIFS('BA History'!$B:$B,$A$51,'BA History'!V:V, 1)</f>
        <v>11</v>
      </c>
      <c r="AD51" s="2">
        <f>COUNTIFS('BA History'!$B:$B,$A$51,'BA History'!W:W, 1)</f>
        <v>4</v>
      </c>
      <c r="AE51" s="2">
        <f>COUNTIFS('BA History'!$B:$B,$A$51,'BA History'!X:X, 1)</f>
        <v>2</v>
      </c>
      <c r="AF51" s="2">
        <f>COUNTIFS('BA History'!$B:$B,$A$51,'BA History'!Y:Y, 1)</f>
        <v>7</v>
      </c>
      <c r="AG51" s="2">
        <f>COUNTIFS('BA History'!$B:$B,$A$51,'BA History'!Z:Z, 1)</f>
        <v>20</v>
      </c>
      <c r="AH51" s="2">
        <f>COUNTIFS('BA History'!$B:$B,$A$51,'BA History'!AA:AA, 1)</f>
        <v>2</v>
      </c>
      <c r="AI51" s="2">
        <f>COUNTIFS('BA History'!$B:$B,$A$51,'BA History'!AB:AB, 1)</f>
        <v>18</v>
      </c>
      <c r="AJ51" s="2">
        <f>COUNTIFS('BA History'!$B:$B,$A$51,'BA History'!AC:AC, 1)</f>
        <v>8</v>
      </c>
      <c r="AK51" s="2">
        <f>COUNTIFS('BA History'!$B:$B,$A$51,'BA History'!AD:AD, 1)</f>
        <v>9</v>
      </c>
      <c r="AL51" s="2">
        <f>COUNTIFS('BA History'!$B:$B,$A$51,'BA History'!AE:AE, 1)</f>
        <v>2</v>
      </c>
      <c r="AM51" s="2">
        <f>COUNTIFS('BA History'!$B:$B,$A$51,'BA History'!AF:AF, 1)</f>
        <v>10</v>
      </c>
    </row>
    <row r="52" spans="1:39" x14ac:dyDescent="0.25">
      <c r="A52" s="2" t="s">
        <v>18</v>
      </c>
      <c r="B52" s="2" t="s">
        <v>79</v>
      </c>
      <c r="C52" s="2"/>
      <c r="D52" s="2"/>
      <c r="E52" s="2"/>
      <c r="F52" s="34">
        <f>SUMIFS('BA History'!C:C,'BA History'!B:B,A52)</f>
        <v>161</v>
      </c>
      <c r="G52" s="66">
        <f>AVERAGEIFS('BA History'!C:C,'BA History'!B:B,A52)</f>
        <v>17.888888888888889</v>
      </c>
      <c r="H52" s="35">
        <f t="array" ref="H52">MAX(IF('BA History'!B:B=A52, 'BA History'!C:C))</f>
        <v>26</v>
      </c>
      <c r="I52" s="34">
        <f>COUNTIFS('BA History'!B:B,A52,'BA History'!D:D, 1)</f>
        <v>7</v>
      </c>
      <c r="J52" s="2">
        <f>COUNTIFS('BA History'!B:B,A52,'BA History'!D:D, 0)</f>
        <v>2</v>
      </c>
      <c r="K52" s="75">
        <f>LOOKUP(2, 1/('BA History'!$B:$B=A52), 'BA History'!$AJ:$AJ)</f>
        <v>0.77777777777777779</v>
      </c>
      <c r="L52" s="34">
        <f>SUMIFS('BA History'!F:F,'BA History'!B:B,A52)</f>
        <v>22</v>
      </c>
      <c r="M52" s="2">
        <f>SUMIFS('BA History'!E:E,'BA History'!B:B,A52)-L52</f>
        <v>10</v>
      </c>
      <c r="N52" s="75">
        <f>LOOKUP(2, 1/('BA History'!$B:$B=A52), 'BA History'!$AH:$AH)</f>
        <v>0.70555555555555549</v>
      </c>
      <c r="O52" s="34">
        <f>SUMIFS('BA History'!H:H,'BA History'!B:B,A52)</f>
        <v>79</v>
      </c>
      <c r="P52" s="2">
        <f>SUMIFS('BA History'!G:G,'BA History'!B:B,A52)-O52</f>
        <v>58</v>
      </c>
      <c r="Q52" s="89">
        <f>LOOKUP(2, 1/('BA History'!$B:$B=A52), 'BA History'!$AI:$AI)</f>
        <v>0.58777777777777773</v>
      </c>
      <c r="R52" s="2">
        <f>COUNTIFS('BA History'!$B:$B,$A$52,'BA History'!K:K, 1)</f>
        <v>0</v>
      </c>
      <c r="S52" s="2">
        <f>COUNTIFS('BA History'!$B:$B,$A$52,'BA History'!L:L, 1)</f>
        <v>4</v>
      </c>
      <c r="T52" s="2">
        <f>COUNTIFS('BA History'!$B:$B,$A$52,'BA History'!M:M, 1)</f>
        <v>1</v>
      </c>
      <c r="U52" s="2">
        <f>COUNTIFS('BA History'!$B:$B,$A$52,'BA History'!N:N, 1)</f>
        <v>3</v>
      </c>
      <c r="V52" s="2">
        <f>COUNTIFS('BA History'!$B:$B,$A$52,'BA History'!O:O, 1)</f>
        <v>0</v>
      </c>
      <c r="W52" s="2">
        <f>COUNTIFS('BA History'!$B:$B,$A$52,'BA History'!P:P, 1)</f>
        <v>0</v>
      </c>
      <c r="X52" s="2">
        <f>COUNTIFS('BA History'!$B:$B,$A$52,'BA History'!Q:Q, 1)</f>
        <v>1</v>
      </c>
      <c r="Y52" s="2">
        <f>COUNTIFS('BA History'!$B:$B,$A$52,'BA History'!R:R, 1)</f>
        <v>1</v>
      </c>
      <c r="Z52" s="2">
        <f>COUNTIFS('BA History'!$B:$B,$A$52,'BA History'!S:S, 1)</f>
        <v>0</v>
      </c>
      <c r="AA52" s="2">
        <f>COUNTIFS('BA History'!$B:$B,$A$52,'BA History'!T:T, 1)</f>
        <v>0</v>
      </c>
      <c r="AB52" s="2">
        <f>COUNTIFS('BA History'!$B:$B,$A$52,'BA History'!U:U, 1)</f>
        <v>0</v>
      </c>
      <c r="AC52" s="2">
        <f>COUNTIFS('BA History'!$B:$B,$A$52,'BA History'!V:V, 1)</f>
        <v>1</v>
      </c>
      <c r="AD52" s="2">
        <f>COUNTIFS('BA History'!$B:$B,$A$52,'BA History'!W:W, 1)</f>
        <v>1</v>
      </c>
      <c r="AE52" s="2">
        <f>COUNTIFS('BA History'!$B:$B,$A$52,'BA History'!X:X, 1)</f>
        <v>1</v>
      </c>
      <c r="AF52" s="2">
        <f>COUNTIFS('BA History'!$B:$B,$A$52,'BA History'!Y:Y, 1)</f>
        <v>1</v>
      </c>
      <c r="AG52" s="2">
        <f>COUNTIFS('BA History'!$B:$B,$A$52,'BA History'!Z:Z, 1)</f>
        <v>3</v>
      </c>
      <c r="AH52" s="2">
        <f>COUNTIFS('BA History'!$B:$B,$A$52,'BA History'!AA:AA, 1)</f>
        <v>1</v>
      </c>
      <c r="AI52" s="2">
        <f>COUNTIFS('BA History'!$B:$B,$A$52,'BA History'!AB:AB, 1)</f>
        <v>2</v>
      </c>
      <c r="AJ52" s="2">
        <f>COUNTIFS('BA History'!$B:$B,$A$52,'BA History'!AC:AC, 1)</f>
        <v>0</v>
      </c>
      <c r="AK52" s="2">
        <f>COUNTIFS('BA History'!$B:$B,$A$52,'BA History'!AD:AD, 1)</f>
        <v>2</v>
      </c>
      <c r="AL52" s="2">
        <f>COUNTIFS('BA History'!$B:$B,$A$52,'BA History'!AE:AE, 1)</f>
        <v>0</v>
      </c>
      <c r="AM52" s="2">
        <f>COUNTIFS('BA History'!$B:$B,$A$52,'BA History'!AF:AF, 1)</f>
        <v>0</v>
      </c>
    </row>
    <row r="53" spans="1:39" x14ac:dyDescent="0.25">
      <c r="A53" s="2" t="s">
        <v>179</v>
      </c>
      <c r="B53" s="2" t="s">
        <v>79</v>
      </c>
      <c r="C53" s="2">
        <v>1</v>
      </c>
      <c r="D53" s="2"/>
      <c r="E53" s="2"/>
      <c r="F53" s="34">
        <f>SUMIFS('BA History'!C:C,'BA History'!B:B,A53)</f>
        <v>26</v>
      </c>
      <c r="G53" s="66">
        <f>AVERAGEIFS('BA History'!C:C,'BA History'!B:B,A53)</f>
        <v>13</v>
      </c>
      <c r="H53" s="35">
        <f t="array" ref="H53">MAX(IF('BA History'!B:B=A53, 'BA History'!C:C))</f>
        <v>16</v>
      </c>
      <c r="I53" s="34">
        <f>COUNTIFS('BA History'!B:B,A53,'BA History'!D:D, 1)</f>
        <v>0</v>
      </c>
      <c r="J53" s="2">
        <f>COUNTIFS('BA History'!B:B,A53,'BA History'!D:D, 0)</f>
        <v>2</v>
      </c>
      <c r="K53" s="75">
        <f>LOOKUP(2, 1/('BA History'!$B:$B=A53), 'BA History'!$AJ:$AJ)</f>
        <v>0</v>
      </c>
      <c r="L53" s="34">
        <f>SUMIFS('BA History'!F:F,'BA History'!B:B,A53)</f>
        <v>3</v>
      </c>
      <c r="M53" s="2">
        <f>SUMIFS('BA History'!E:E,'BA History'!B:B,A53)-L53</f>
        <v>6</v>
      </c>
      <c r="N53" s="75">
        <f>LOOKUP(2, 1/('BA History'!$B:$B=A53), 'BA History'!$AH:$AH)</f>
        <v>0.32500000000000001</v>
      </c>
      <c r="O53" s="34">
        <f>SUMIFS('BA History'!H:H,'BA History'!B:B,A53)</f>
        <v>19</v>
      </c>
      <c r="P53" s="2">
        <f>SUMIFS('BA History'!G:G,'BA History'!B:B,A53)-O53</f>
        <v>22</v>
      </c>
      <c r="Q53" s="89">
        <f>LOOKUP(2, 1/('BA History'!$B:$B=A53), 'BA History'!$AI:$AI)</f>
        <v>0.46499999999999997</v>
      </c>
      <c r="R53" s="2">
        <f>COUNTIFS('BA History'!$B:$B,$A$53,'BA History'!K:K, 1)</f>
        <v>0</v>
      </c>
      <c r="S53" s="2">
        <f>COUNTIFS('BA History'!$B:$B,$A$53,'BA History'!L:L, 1)</f>
        <v>0</v>
      </c>
      <c r="T53" s="2">
        <f>COUNTIFS('BA History'!$B:$B,$A$53,'BA History'!M:M, 1)</f>
        <v>0</v>
      </c>
      <c r="U53" s="2">
        <f>COUNTIFS('BA History'!$B:$B,$A$53,'BA History'!N:N, 1)</f>
        <v>1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0</v>
      </c>
      <c r="Y53" s="2">
        <f>COUNTIFS('BA History'!$B:$B,$A$53,'BA History'!R:R, 1)</f>
        <v>0</v>
      </c>
      <c r="Z53" s="2">
        <f>COUNTIFS('BA History'!$B:$B,$A$53,'BA History'!S:S, 1)</f>
        <v>0</v>
      </c>
      <c r="AA53" s="2">
        <f>COUNTIFS('BA History'!$B:$B,$A$53,'BA History'!T:T, 1)</f>
        <v>0</v>
      </c>
      <c r="AB53" s="2">
        <f>COUNTIFS('BA History'!$B:$B,$A$53,'BA History'!U:U, 1)</f>
        <v>0</v>
      </c>
      <c r="AC53" s="2">
        <f>COUNTIFS('BA History'!$B:$B,$A$53,'BA History'!V:V, 1)</f>
        <v>1</v>
      </c>
      <c r="AD53" s="2">
        <f>COUNTIFS('BA History'!$B:$B,$A$53,'BA History'!W:W, 1)</f>
        <v>0</v>
      </c>
      <c r="AE53" s="2">
        <f>COUNTIFS('BA History'!$B:$B,$A$53,'BA History'!X:X, 1)</f>
        <v>0</v>
      </c>
      <c r="AF53" s="2">
        <f>COUNTIFS('BA History'!$B:$B,$A$53,'BA History'!Y:Y, 1)</f>
        <v>0</v>
      </c>
      <c r="AG53" s="2">
        <f>COUNTIFS('BA History'!$B:$B,$A$53,'BA History'!Z:Z, 1)</f>
        <v>0</v>
      </c>
      <c r="AH53" s="2">
        <f>COUNTIFS('BA History'!$B:$B,$A$53,'BA History'!AA:AA, 1)</f>
        <v>0</v>
      </c>
      <c r="AI53" s="2">
        <f>COUNTIFS('BA History'!$B:$B,$A$53,'BA History'!AB:AB, 1)</f>
        <v>0</v>
      </c>
      <c r="AJ53" s="2">
        <f>COUNTIFS('BA History'!$B:$B,$A$53,'BA History'!AC:AC, 1)</f>
        <v>1</v>
      </c>
      <c r="AK53" s="2">
        <f>COUNTIFS('BA History'!$B:$B,$A$53,'BA History'!AD:AD, 1)</f>
        <v>0</v>
      </c>
      <c r="AL53" s="2">
        <f>COUNTIFS('BA History'!$B:$B,$A$53,'BA History'!AE:AE, 1)</f>
        <v>0</v>
      </c>
      <c r="AM53" s="2">
        <f>COUNTIFS('BA History'!$B:$B,$A$53,'BA History'!AF:AF, 1)</f>
        <v>0</v>
      </c>
    </row>
    <row r="54" spans="1:39" x14ac:dyDescent="0.25">
      <c r="A54" s="2" t="s">
        <v>113</v>
      </c>
      <c r="B54" s="2" t="s">
        <v>79</v>
      </c>
      <c r="C54" s="2">
        <v>1</v>
      </c>
      <c r="D54" s="2">
        <v>1</v>
      </c>
      <c r="E54" s="2"/>
      <c r="F54" s="34">
        <f>SUMIFS('BA History'!C:C,'BA History'!B:B,A54)</f>
        <v>726</v>
      </c>
      <c r="G54" s="66">
        <f>AVERAGEIFS('BA History'!C:C,'BA History'!B:B,A54)</f>
        <v>17.707317073170731</v>
      </c>
      <c r="H54" s="35">
        <f t="array" ref="H54">MAX(IF('BA History'!B:B=A54, 'BA History'!C:C))</f>
        <v>36</v>
      </c>
      <c r="I54" s="34">
        <f>COUNTIFS('BA History'!B:B,A54,'BA History'!D:D, 1)</f>
        <v>21</v>
      </c>
      <c r="J54" s="2">
        <f>COUNTIFS('BA History'!B:B,A54,'BA History'!D:D, 0)</f>
        <v>20</v>
      </c>
      <c r="K54" s="75">
        <f>LOOKUP(2, 1/('BA History'!$B:$B=A54), 'BA History'!$AJ:$AJ)</f>
        <v>0.51219512195121952</v>
      </c>
      <c r="L54" s="34">
        <f>SUMIFS('BA History'!F:F,'BA History'!B:B,A54)</f>
        <v>86</v>
      </c>
      <c r="M54" s="2">
        <f>SUMIFS('BA History'!E:E,'BA History'!B:B,A54)-L54</f>
        <v>75</v>
      </c>
      <c r="N54" s="75">
        <f>LOOKUP(2, 1/('BA History'!$B:$B=A54), 'BA History'!$AH:$AH)</f>
        <v>0.54878048780487798</v>
      </c>
      <c r="O54" s="34">
        <f>SUMIFS('BA History'!H:H,'BA History'!B:B,A54)</f>
        <v>338</v>
      </c>
      <c r="P54" s="2">
        <f>SUMIFS('BA History'!G:G,'BA History'!B:B,A54)-O54</f>
        <v>320</v>
      </c>
      <c r="Q54" s="89">
        <f>LOOKUP(2, 1/('BA History'!$B:$B=A54), 'BA History'!$AI:$AI)</f>
        <v>0.52243902439024403</v>
      </c>
      <c r="R54" s="2">
        <f>COUNTIFS('BA History'!$B:$B,$A$54,'BA History'!K:K, 1)</f>
        <v>2</v>
      </c>
      <c r="S54" s="2">
        <f>COUNTIFS('BA History'!$B:$B,$A$54,'BA History'!L:L, 1)</f>
        <v>6</v>
      </c>
      <c r="T54" s="2">
        <f>COUNTIFS('BA History'!$B:$B,$A$54,'BA History'!M:M, 1)</f>
        <v>11</v>
      </c>
      <c r="U54" s="2">
        <f>COUNTIFS('BA History'!$B:$B,$A$54,'BA History'!N:N, 1)</f>
        <v>8</v>
      </c>
      <c r="V54" s="2">
        <f>COUNTIFS('BA History'!$B:$B,$A$54,'BA History'!O:O, 1)</f>
        <v>2</v>
      </c>
      <c r="W54" s="2">
        <f>COUNTIFS('BA History'!$B:$B,$A$54,'BA History'!P:P, 1)</f>
        <v>1</v>
      </c>
      <c r="X54" s="2">
        <f>COUNTIFS('BA History'!$B:$B,$A$54,'BA History'!Q:Q, 1)</f>
        <v>3</v>
      </c>
      <c r="Y54" s="2">
        <f>COUNTIFS('BA History'!$B:$B,$A$54,'BA History'!R:R, 1)</f>
        <v>2</v>
      </c>
      <c r="Z54" s="2">
        <f>COUNTIFS('BA History'!$B:$B,$A$54,'BA History'!S:S, 1)</f>
        <v>1</v>
      </c>
      <c r="AA54" s="2">
        <f>COUNTIFS('BA History'!$B:$B,$A$54,'BA History'!T:T, 1)</f>
        <v>0</v>
      </c>
      <c r="AB54" s="2">
        <f>COUNTIFS('BA History'!$B:$B,$A$54,'BA History'!U:U, 1)</f>
        <v>2</v>
      </c>
      <c r="AC54" s="2">
        <f>COUNTIFS('BA History'!$B:$B,$A$54,'BA History'!V:V, 1)</f>
        <v>5</v>
      </c>
      <c r="AD54" s="2">
        <f>COUNTIFS('BA History'!$B:$B,$A$54,'BA History'!W:W, 1)</f>
        <v>0</v>
      </c>
      <c r="AE54" s="2">
        <f>COUNTIFS('BA History'!$B:$B,$A$54,'BA History'!X:X, 1)</f>
        <v>0</v>
      </c>
      <c r="AF54" s="2">
        <f>COUNTIFS('BA History'!$B:$B,$A$54,'BA History'!Y:Y, 1)</f>
        <v>8</v>
      </c>
      <c r="AG54" s="2">
        <f>COUNTIFS('BA History'!$B:$B,$A$54,'BA History'!Z:Z, 1)</f>
        <v>9</v>
      </c>
      <c r="AH54" s="2">
        <f>COUNTIFS('BA History'!$B:$B,$A$54,'BA History'!AA:AA, 1)</f>
        <v>0</v>
      </c>
      <c r="AI54" s="2">
        <f>COUNTIFS('BA History'!$B:$B,$A$54,'BA History'!AB:AB, 1)</f>
        <v>12</v>
      </c>
      <c r="AJ54" s="2">
        <f>COUNTIFS('BA History'!$B:$B,$A$54,'BA History'!AC:AC, 1)</f>
        <v>8</v>
      </c>
      <c r="AK54" s="2">
        <f>COUNTIFS('BA History'!$B:$B,$A$54,'BA History'!AD:AD, 1)</f>
        <v>2</v>
      </c>
      <c r="AL54" s="2">
        <f>COUNTIFS('BA History'!$B:$B,$A$54,'BA History'!AE:AE, 1)</f>
        <v>0</v>
      </c>
      <c r="AM54" s="2">
        <f>COUNTIFS('BA History'!$B:$B,$A$54,'BA History'!AF:AF, 1)</f>
        <v>4</v>
      </c>
    </row>
    <row r="55" spans="1:39" x14ac:dyDescent="0.25">
      <c r="A55" s="2" t="s">
        <v>14</v>
      </c>
      <c r="B55" s="2" t="s">
        <v>79</v>
      </c>
      <c r="C55" s="2">
        <v>1</v>
      </c>
      <c r="D55" s="2"/>
      <c r="E55" s="2"/>
      <c r="F55" s="34">
        <f>SUMIFS('BA History'!C:C,'BA History'!B:B,A55)</f>
        <v>352</v>
      </c>
      <c r="G55" s="66">
        <f>AVERAGEIFS('BA History'!C:C,'BA History'!B:B,A55)</f>
        <v>16.761904761904763</v>
      </c>
      <c r="H55" s="35">
        <f t="array" ref="H55">MAX(IF('BA History'!B:B=A55, 'BA History'!C:C))</f>
        <v>30</v>
      </c>
      <c r="I55" s="34">
        <f>COUNTIFS('BA History'!B:B,A55,'BA History'!D:D, 1)</f>
        <v>10</v>
      </c>
      <c r="J55" s="2">
        <f>COUNTIFS('BA History'!B:B,A55,'BA History'!D:D, 0)</f>
        <v>11</v>
      </c>
      <c r="K55" s="75">
        <f>LOOKUP(2, 1/('BA History'!$B:$B=A55), 'BA History'!$AJ:$AJ)</f>
        <v>0.47619047619047616</v>
      </c>
      <c r="L55" s="34">
        <f>SUMIFS('BA History'!F:F,'BA History'!B:B,A55)</f>
        <v>41</v>
      </c>
      <c r="M55" s="2">
        <f>SUMIFS('BA History'!E:E,'BA History'!B:B,A55)-L55</f>
        <v>45</v>
      </c>
      <c r="N55" s="75">
        <f>LOOKUP(2, 1/('BA History'!$B:$B=A55), 'BA History'!$AH:$AH)</f>
        <v>0.48190476190476189</v>
      </c>
      <c r="O55" s="34">
        <f>SUMIFS('BA History'!H:H,'BA History'!B:B,A55)</f>
        <v>176</v>
      </c>
      <c r="P55" s="2">
        <f>SUMIFS('BA History'!G:G,'BA History'!B:B,A55)-O55</f>
        <v>177</v>
      </c>
      <c r="Q55" s="89">
        <f>LOOKUP(2, 1/('BA History'!$B:$B=A55), 'BA History'!$AI:$AI)</f>
        <v>0.49666666666666665</v>
      </c>
      <c r="R55" s="2">
        <f>COUNTIFS('BA History'!$B:$B,$A$55,'BA History'!K:K, 1)</f>
        <v>1</v>
      </c>
      <c r="S55" s="2">
        <f>COUNTIFS('BA History'!$B:$B,$A$55,'BA History'!L:L, 1)</f>
        <v>3</v>
      </c>
      <c r="T55" s="2">
        <f>COUNTIFS('BA History'!$B:$B,$A$55,'BA History'!M:M, 1)</f>
        <v>0</v>
      </c>
      <c r="U55" s="2">
        <f>COUNTIFS('BA History'!$B:$B,$A$55,'BA History'!N:N, 1)</f>
        <v>2</v>
      </c>
      <c r="V55" s="2">
        <f>COUNTIFS('BA History'!$B:$B,$A$55,'BA History'!O:O, 1)</f>
        <v>0</v>
      </c>
      <c r="W55" s="2">
        <f>COUNTIFS('BA History'!$B:$B,$A$55,'BA History'!P:P, 1)</f>
        <v>0</v>
      </c>
      <c r="X55" s="2">
        <f>COUNTIFS('BA History'!$B:$B,$A$55,'BA History'!Q:Q, 1)</f>
        <v>3</v>
      </c>
      <c r="Y55" s="2">
        <f>COUNTIFS('BA History'!$B:$B,$A$55,'BA History'!R:R, 1)</f>
        <v>1</v>
      </c>
      <c r="Z55" s="2">
        <f>COUNTIFS('BA History'!$B:$B,$A$55,'BA History'!S:S, 1)</f>
        <v>0</v>
      </c>
      <c r="AA55" s="2">
        <f>COUNTIFS('BA History'!$B:$B,$A$55,'BA History'!T:T, 1)</f>
        <v>1</v>
      </c>
      <c r="AB55" s="2">
        <f>COUNTIFS('BA History'!$B:$B,$A$55,'BA History'!U:U, 1)</f>
        <v>1</v>
      </c>
      <c r="AC55" s="2">
        <f>COUNTIFS('BA History'!$B:$B,$A$55,'BA History'!V:V, 1)</f>
        <v>2</v>
      </c>
      <c r="AD55" s="2">
        <f>COUNTIFS('BA History'!$B:$B,$A$55,'BA History'!W:W, 1)</f>
        <v>2</v>
      </c>
      <c r="AE55" s="2">
        <f>COUNTIFS('BA History'!$B:$B,$A$55,'BA History'!X:X, 1)</f>
        <v>1</v>
      </c>
      <c r="AF55" s="2">
        <f>COUNTIFS('BA History'!$B:$B,$A$55,'BA History'!Y:Y, 1)</f>
        <v>5</v>
      </c>
      <c r="AG55" s="2">
        <f>COUNTIFS('BA History'!$B:$B,$A$55,'BA History'!Z:Z, 1)</f>
        <v>6</v>
      </c>
      <c r="AH55" s="2">
        <f>COUNTIFS('BA History'!$B:$B,$A$55,'BA History'!AA:AA, 1)</f>
        <v>1</v>
      </c>
      <c r="AI55" s="2">
        <f>COUNTIFS('BA History'!$B:$B,$A$55,'BA History'!AB:AB, 1)</f>
        <v>8</v>
      </c>
      <c r="AJ55" s="2">
        <f>COUNTIFS('BA History'!$B:$B,$A$55,'BA History'!AC:AC, 1)</f>
        <v>4</v>
      </c>
      <c r="AK55" s="2">
        <f>COUNTIFS('BA History'!$B:$B,$A$55,'BA History'!AD:AD, 1)</f>
        <v>0</v>
      </c>
      <c r="AL55" s="2">
        <f>COUNTIFS('BA History'!$B:$B,$A$55,'BA History'!AE:AE, 1)</f>
        <v>0</v>
      </c>
      <c r="AM55" s="2">
        <f>COUNTIFS('BA History'!$B:$B,$A$55,'BA History'!AF:AF, 1)</f>
        <v>0</v>
      </c>
    </row>
    <row r="56" spans="1:39" x14ac:dyDescent="0.25">
      <c r="A56" s="2" t="s">
        <v>70</v>
      </c>
      <c r="B56" s="2" t="s">
        <v>79</v>
      </c>
      <c r="C56" s="2"/>
      <c r="D56" s="2"/>
      <c r="E56" s="2"/>
      <c r="F56" s="34">
        <f>SUMIFS('BA History'!C:C,'BA History'!B:B,A56)</f>
        <v>89</v>
      </c>
      <c r="G56" s="66">
        <f>AVERAGEIFS('BA History'!C:C,'BA History'!B:B,A56)</f>
        <v>11.125</v>
      </c>
      <c r="H56" s="35">
        <f t="array" ref="H56">MAX(IF('BA History'!B:B=A56, 'BA History'!C:C))</f>
        <v>19</v>
      </c>
      <c r="I56" s="34">
        <f>COUNTIFS('BA History'!B:B,A56,'BA History'!D:D, 1)</f>
        <v>5</v>
      </c>
      <c r="J56" s="2">
        <f>COUNTIFS('BA History'!B:B,A56,'BA History'!D:D, 0)</f>
        <v>3</v>
      </c>
      <c r="K56" s="75">
        <f>LOOKUP(2, 1/('BA History'!$B:$B=A56), 'BA History'!$AJ:$AJ)</f>
        <v>0.625</v>
      </c>
      <c r="L56" s="34">
        <f>SUMIFS('BA History'!F:F,'BA History'!B:B,A56)</f>
        <v>17</v>
      </c>
      <c r="M56" s="2">
        <f>SUMIFS('BA History'!E:E,'BA History'!B:B,A56)-L56</f>
        <v>16</v>
      </c>
      <c r="N56" s="75">
        <f>LOOKUP(2, 1/('BA History'!$B:$B=A56), 'BA History'!$AH:$AH)</f>
        <v>0.50625000000000009</v>
      </c>
      <c r="O56" s="34">
        <f>SUMIFS('BA History'!H:H,'BA History'!B:B,A56)</f>
        <v>70</v>
      </c>
      <c r="P56" s="2">
        <f>SUMIFS('BA History'!G:G,'BA History'!B:B,A56)-O56</f>
        <v>68</v>
      </c>
      <c r="Q56" s="89">
        <f>LOOKUP(2, 1/('BA History'!$B:$B=A56), 'BA History'!$AI:$AI)</f>
        <v>0.50624999999999998</v>
      </c>
      <c r="R56" s="2">
        <f>COUNTIFS('BA History'!$B:$B,$A$56,'BA History'!K:K, 1)</f>
        <v>1</v>
      </c>
      <c r="S56" s="2">
        <f>COUNTIFS('BA History'!$B:$B,$A$56,'BA History'!L:L, 1)</f>
        <v>1</v>
      </c>
      <c r="T56" s="2">
        <f>COUNTIFS('BA History'!$B:$B,$A$56,'BA History'!M:M, 1)</f>
        <v>2</v>
      </c>
      <c r="U56" s="2">
        <f>COUNTIFS('BA History'!$B:$B,$A$56,'BA History'!N:N, 1)</f>
        <v>4</v>
      </c>
      <c r="V56" s="2">
        <f>COUNTIFS('BA History'!$B:$B,$A$56,'BA History'!O:O, 1)</f>
        <v>0</v>
      </c>
      <c r="W56" s="2">
        <f>COUNTIFS('BA History'!$B:$B,$A$56,'BA History'!P:P, 1)</f>
        <v>0</v>
      </c>
      <c r="X56" s="2">
        <f>COUNTIFS('BA History'!$B:$B,$A$56,'BA History'!Q:Q, 1)</f>
        <v>0</v>
      </c>
      <c r="Y56" s="2">
        <f>COUNTIFS('BA History'!$B:$B,$A$56,'BA History'!R:R, 1)</f>
        <v>1</v>
      </c>
      <c r="Z56" s="2">
        <f>COUNTIFS('BA History'!$B:$B,$A$56,'BA History'!S:S, 1)</f>
        <v>0</v>
      </c>
      <c r="AA56" s="2">
        <f>COUNTIFS('BA History'!$B:$B,$A$56,'BA History'!T:T, 1)</f>
        <v>0</v>
      </c>
      <c r="AB56" s="2">
        <f>COUNTIFS('BA History'!$B:$B,$A$56,'BA History'!U:U, 1)</f>
        <v>0</v>
      </c>
      <c r="AC56" s="2">
        <f>COUNTIFS('BA History'!$B:$B,$A$56,'BA History'!V:V, 1)</f>
        <v>1</v>
      </c>
      <c r="AD56" s="2">
        <f>COUNTIFS('BA History'!$B:$B,$A$56,'BA History'!W:W, 1)</f>
        <v>1</v>
      </c>
      <c r="AE56" s="2">
        <f>COUNTIFS('BA History'!$B:$B,$A$56,'BA History'!X:X, 1)</f>
        <v>0</v>
      </c>
      <c r="AF56" s="2">
        <f>COUNTIFS('BA History'!$B:$B,$A$56,'BA History'!Y:Y, 1)</f>
        <v>1</v>
      </c>
      <c r="AG56" s="2">
        <f>COUNTIFS('BA History'!$B:$B,$A$56,'BA History'!Z:Z, 1)</f>
        <v>0</v>
      </c>
      <c r="AH56" s="2">
        <f>COUNTIFS('BA History'!$B:$B,$A$56,'BA History'!AA:AA, 1)</f>
        <v>0</v>
      </c>
      <c r="AI56" s="2">
        <f>COUNTIFS('BA History'!$B:$B,$A$56,'BA History'!AB:AB, 1)</f>
        <v>0</v>
      </c>
      <c r="AJ56" s="2">
        <f>COUNTIFS('BA History'!$B:$B,$A$56,'BA History'!AC:AC, 1)</f>
        <v>0</v>
      </c>
      <c r="AK56" s="2">
        <f>COUNTIFS('BA History'!$B:$B,$A$56,'BA History'!AD:AD, 1)</f>
        <v>3</v>
      </c>
      <c r="AL56" s="2">
        <f>COUNTIFS('BA History'!$B:$B,$A$56,'BA History'!AE:AE, 1)</f>
        <v>0</v>
      </c>
      <c r="AM56" s="2">
        <f>COUNTIFS('BA History'!$B:$B,$A$56,'BA History'!AF:AF, 1)</f>
        <v>2</v>
      </c>
    </row>
    <row r="57" spans="1:39" x14ac:dyDescent="0.25">
      <c r="A57" s="2" t="s">
        <v>4</v>
      </c>
      <c r="B57" s="1" t="s">
        <v>158</v>
      </c>
      <c r="C57" s="1">
        <v>1</v>
      </c>
      <c r="D57" s="1">
        <v>1</v>
      </c>
      <c r="E57" s="1"/>
      <c r="F57" s="34">
        <f>SUMIFS('BA History'!C:C,'BA History'!B:B,A57)</f>
        <v>893</v>
      </c>
      <c r="G57" s="66">
        <f>AVERAGEIFS('BA History'!C:C,'BA History'!B:B,A57)</f>
        <v>24.805555555555557</v>
      </c>
      <c r="H57" s="35">
        <f t="array" ref="H57">MAX(IF('BA History'!B:B=A57, 'BA History'!C:C))</f>
        <v>41</v>
      </c>
      <c r="I57" s="34">
        <f>COUNTIFS('BA History'!B:B,A57,'BA History'!D:D, 1)</f>
        <v>13</v>
      </c>
      <c r="J57" s="2">
        <f>COUNTIFS('BA History'!B:B,A57,'BA History'!D:D, 0)</f>
        <v>23</v>
      </c>
      <c r="K57" s="75">
        <f>LOOKUP(2, 1/('BA History'!$B:$B=A57), 'BA History'!$AJ:$AJ)</f>
        <v>0.3611111111111111</v>
      </c>
      <c r="L57" s="34">
        <f>SUMIFS('BA History'!F:F,'BA History'!B:B,A57)</f>
        <v>66</v>
      </c>
      <c r="M57" s="2">
        <f>SUMIFS('BA History'!E:E,'BA History'!B:B,A57)-L57</f>
        <v>82</v>
      </c>
      <c r="N57" s="75">
        <f>LOOKUP(2, 1/('BA History'!$B:$B=A57), 'BA History'!$AH:$AH)</f>
        <v>0.44999999999999996</v>
      </c>
      <c r="O57" s="34">
        <f>SUMIFS('BA History'!H:H,'BA History'!B:B,A57)</f>
        <v>288</v>
      </c>
      <c r="P57" s="2">
        <f>SUMIFS('BA History'!G:G,'BA History'!B:B,A57)-O57</f>
        <v>326</v>
      </c>
      <c r="Q57" s="89">
        <f>LOOKUP(2, 1/('BA History'!$B:$B=A57), 'BA History'!$AI:$AI)</f>
        <v>0.46527777777777779</v>
      </c>
      <c r="R57" s="2">
        <f>COUNTIFS('BA History'!$B:$B,$A$57,'BA History'!K:K, 1)</f>
        <v>3</v>
      </c>
      <c r="S57" s="2">
        <f>COUNTIFS('BA History'!$B:$B,$A$57,'BA History'!L:L, 1)</f>
        <v>7</v>
      </c>
      <c r="T57" s="2">
        <f>COUNTIFS('BA History'!$B:$B,$A$57,'BA History'!M:M, 1)</f>
        <v>6</v>
      </c>
      <c r="U57" s="2">
        <f>COUNTIFS('BA History'!$B:$B,$A$57,'BA History'!N:N, 1)</f>
        <v>8</v>
      </c>
      <c r="V57" s="2">
        <f>COUNTIFS('BA History'!$B:$B,$A$57,'BA History'!O:O, 1)</f>
        <v>1</v>
      </c>
      <c r="W57" s="2">
        <f>COUNTIFS('BA History'!$B:$B,$A$57,'BA History'!P:P, 1)</f>
        <v>0</v>
      </c>
      <c r="X57" s="2">
        <f>COUNTIFS('BA History'!$B:$B,$A$57,'BA History'!Q:Q, 1)</f>
        <v>1</v>
      </c>
      <c r="Y57" s="2">
        <f>COUNTIFS('BA History'!$B:$B,$A$57,'BA History'!R:R, 1)</f>
        <v>0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2</v>
      </c>
      <c r="AC57" s="2">
        <f>COUNTIFS('BA History'!$B:$B,$A$57,'BA History'!V:V, 1)</f>
        <v>2</v>
      </c>
      <c r="AD57" s="2">
        <f>COUNTIFS('BA History'!$B:$B,$A$57,'BA History'!W:W, 1)</f>
        <v>1</v>
      </c>
      <c r="AE57" s="2">
        <f>COUNTIFS('BA History'!$B:$B,$A$57,'BA History'!X:X, 1)</f>
        <v>0</v>
      </c>
      <c r="AF57" s="2">
        <f>COUNTIFS('BA History'!$B:$B,$A$57,'BA History'!Y:Y, 1)</f>
        <v>9</v>
      </c>
      <c r="AG57" s="2">
        <f>COUNTIFS('BA History'!$B:$B,$A$57,'BA History'!Z:Z, 1)</f>
        <v>3</v>
      </c>
      <c r="AH57" s="2">
        <f>COUNTIFS('BA History'!$B:$B,$A$57,'BA History'!AA:AA, 1)</f>
        <v>0</v>
      </c>
      <c r="AI57" s="2">
        <f>COUNTIFS('BA History'!$B:$B,$A$57,'BA History'!AB:AB, 1)</f>
        <v>9</v>
      </c>
      <c r="AJ57" s="2">
        <f>COUNTIFS('BA History'!$B:$B,$A$57,'BA History'!AC:AC, 1)</f>
        <v>7</v>
      </c>
      <c r="AK57" s="2">
        <f>COUNTIFS('BA History'!$B:$B,$A$57,'BA History'!AD:AD, 1)</f>
        <v>5</v>
      </c>
      <c r="AL57" s="2">
        <f>COUNTIFS('BA History'!$B:$B,$A$57,'BA History'!AE:AE, 1)</f>
        <v>1</v>
      </c>
      <c r="AM57" s="2">
        <f>COUNTIFS('BA History'!$B:$B,$A$57,'BA History'!AF:AF, 1)</f>
        <v>1</v>
      </c>
    </row>
    <row r="58" spans="1:39" x14ac:dyDescent="0.25">
      <c r="A58" s="1" t="s">
        <v>107</v>
      </c>
      <c r="B58" s="2" t="s">
        <v>79</v>
      </c>
      <c r="C58" s="2"/>
      <c r="D58" s="2"/>
      <c r="E58" s="2"/>
      <c r="F58" s="34">
        <f>SUMIFS('BA History'!C:C,'BA History'!B:B,A58)</f>
        <v>706</v>
      </c>
      <c r="G58" s="66">
        <f>AVERAGEIFS('BA History'!C:C,'BA History'!B:B,A58)</f>
        <v>16.045454545454547</v>
      </c>
      <c r="H58" s="35">
        <f t="array" ref="H58">MAX(IF('BA History'!B:B=A58, 'BA History'!C:C))</f>
        <v>35</v>
      </c>
      <c r="I58" s="34">
        <f>COUNTIFS('BA History'!B:B,A58,'BA History'!D:D, 1)</f>
        <v>25</v>
      </c>
      <c r="J58" s="2">
        <f>COUNTIFS('BA History'!B:B,A58,'BA History'!D:D, 0)</f>
        <v>19</v>
      </c>
      <c r="K58" s="75">
        <f>LOOKUP(2, 1/('BA History'!$B:$B=A58), 'BA History'!$AJ:$AJ)</f>
        <v>0.56818181818181823</v>
      </c>
      <c r="L58" s="34">
        <f>SUMIFS('BA History'!F:F,'BA History'!B:B,A58)</f>
        <v>92</v>
      </c>
      <c r="M58" s="2">
        <f>SUMIFS('BA History'!E:E,'BA History'!B:B,A58)-L58</f>
        <v>85</v>
      </c>
      <c r="N58" s="75">
        <f>LOOKUP(2, 1/('BA History'!$B:$B=A58), 'BA History'!$AH:$AH)</f>
        <v>0.51022727272727275</v>
      </c>
      <c r="O58" s="34">
        <f>SUMIFS('BA History'!H:H,'BA History'!B:B,A58)</f>
        <v>381</v>
      </c>
      <c r="P58" s="2">
        <f>SUMIFS('BA History'!G:G,'BA History'!B:B,A58)-O58</f>
        <v>352</v>
      </c>
      <c r="Q58" s="89">
        <f>LOOKUP(2, 1/('BA History'!$B:$B=A58), 'BA History'!$AI:$AI)</f>
        <v>0.51545454545454539</v>
      </c>
      <c r="R58" s="2">
        <f>COUNTIFS('BA History'!$B:$B,$A$58,'BA History'!K:K, 1)</f>
        <v>5</v>
      </c>
      <c r="S58" s="2">
        <f>COUNTIFS('BA History'!$B:$B,$A$58,'BA History'!L:L, 1)</f>
        <v>3</v>
      </c>
      <c r="T58" s="2">
        <f>COUNTIFS('BA History'!$B:$B,$A$58,'BA History'!M:M, 1)</f>
        <v>12</v>
      </c>
      <c r="U58" s="2">
        <f>COUNTIFS('BA History'!$B:$B,$A$58,'BA History'!N:N, 1)</f>
        <v>12</v>
      </c>
      <c r="V58" s="2">
        <f>COUNTIFS('BA History'!$B:$B,$A$58,'BA History'!O:O, 1)</f>
        <v>2</v>
      </c>
      <c r="W58" s="2">
        <f>COUNTIFS('BA History'!$B:$B,$A$58,'BA History'!P:P, 1)</f>
        <v>1</v>
      </c>
      <c r="X58" s="2">
        <f>COUNTIFS('BA History'!$B:$B,$A$58,'BA History'!Q:Q, 1)</f>
        <v>2</v>
      </c>
      <c r="Y58" s="2">
        <f>COUNTIFS('BA History'!$B:$B,$A$58,'BA History'!R:R, 1)</f>
        <v>2</v>
      </c>
      <c r="Z58" s="2">
        <f>COUNTIFS('BA History'!$B:$B,$A$58,'BA History'!S:S, 1)</f>
        <v>1</v>
      </c>
      <c r="AA58" s="2">
        <f>COUNTIFS('BA History'!$B:$B,$A$58,'BA History'!T:T, 1)</f>
        <v>0</v>
      </c>
      <c r="AB58" s="2">
        <f>COUNTIFS('BA History'!$B:$B,$A$58,'BA History'!U:U, 1)</f>
        <v>1</v>
      </c>
      <c r="AC58" s="2">
        <f>COUNTIFS('BA History'!$B:$B,$A$58,'BA History'!V:V, 1)</f>
        <v>3</v>
      </c>
      <c r="AD58" s="2">
        <f>COUNTIFS('BA History'!$B:$B,$A$58,'BA History'!W:W, 1)</f>
        <v>2</v>
      </c>
      <c r="AE58" s="2">
        <f>COUNTIFS('BA History'!$B:$B,$A$58,'BA History'!X:X, 1)</f>
        <v>0</v>
      </c>
      <c r="AF58" s="2">
        <f>COUNTIFS('BA History'!$B:$B,$A$58,'BA History'!Y:Y, 1)</f>
        <v>7</v>
      </c>
      <c r="AG58" s="2">
        <f>COUNTIFS('BA History'!$B:$B,$A$58,'BA History'!Z:Z, 1)</f>
        <v>10</v>
      </c>
      <c r="AH58" s="2">
        <f>COUNTIFS('BA History'!$B:$B,$A$58,'BA History'!AA:AA, 1)</f>
        <v>1</v>
      </c>
      <c r="AI58" s="2">
        <f>COUNTIFS('BA History'!$B:$B,$A$58,'BA History'!AB:AB, 1)</f>
        <v>8</v>
      </c>
      <c r="AJ58" s="2">
        <f>COUNTIFS('BA History'!$B:$B,$A$58,'BA History'!AC:AC, 1)</f>
        <v>5</v>
      </c>
      <c r="AK58" s="2">
        <f>COUNTIFS('BA History'!$B:$B,$A$58,'BA History'!AD:AD, 1)</f>
        <v>9</v>
      </c>
      <c r="AL58" s="2">
        <f>COUNTIFS('BA History'!$B:$B,$A$58,'BA History'!AE:AE, 1)</f>
        <v>0</v>
      </c>
      <c r="AM58" s="2">
        <f>COUNTIFS('BA History'!$B:$B,$A$58,'BA History'!AF:AF, 1)</f>
        <v>6</v>
      </c>
    </row>
    <row r="59" spans="1:39" x14ac:dyDescent="0.25">
      <c r="A59" s="2" t="s">
        <v>94</v>
      </c>
      <c r="B59" s="2" t="s">
        <v>79</v>
      </c>
      <c r="C59" s="2"/>
      <c r="D59" s="2"/>
      <c r="E59" s="2"/>
      <c r="F59" s="34">
        <f>SUMIFS('BA History'!C:C,'BA History'!B:B,A59)</f>
        <v>18</v>
      </c>
      <c r="G59" s="66">
        <f>AVERAGEIFS('BA History'!C:C,'BA History'!B:B,A59)</f>
        <v>18</v>
      </c>
      <c r="H59" s="35">
        <f t="array" ref="H59">MAX(IF('BA History'!B:B=A59, 'BA History'!C:C))</f>
        <v>18</v>
      </c>
      <c r="I59" s="34">
        <f>COUNTIFS('BA History'!B:B,A59,'BA History'!D:D, 1)</f>
        <v>1</v>
      </c>
      <c r="J59" s="2">
        <f>COUNTIFS('BA History'!B:B,A59,'BA History'!D:D, 0)</f>
        <v>0</v>
      </c>
      <c r="K59" s="75">
        <f>LOOKUP(2, 1/('BA History'!$B:$B=A59), 'BA History'!$AJ:$AJ)</f>
        <v>1</v>
      </c>
      <c r="L59" s="34">
        <f>SUMIFS('BA History'!F:F,'BA History'!B:B,A59)</f>
        <v>3</v>
      </c>
      <c r="M59" s="2">
        <f>SUMIFS('BA History'!E:E,'BA History'!B:B,A59)-L59</f>
        <v>2</v>
      </c>
      <c r="N59" s="75">
        <f>LOOKUP(2, 1/('BA History'!$B:$B=A59), 'BA History'!$AH:$AH)</f>
        <v>0.6</v>
      </c>
      <c r="O59" s="34">
        <f>SUMIFS('BA History'!H:H,'BA History'!B:B,A59)</f>
        <v>11</v>
      </c>
      <c r="P59" s="2">
        <f>SUMIFS('BA History'!G:G,'BA History'!B:B,A59)-O59</f>
        <v>10</v>
      </c>
      <c r="Q59" s="89">
        <f>LOOKUP(2, 1/('BA History'!$B:$B=A59), 'BA History'!$AI:$AI)</f>
        <v>0.52</v>
      </c>
      <c r="R59" s="2">
        <f>COUNTIFS('BA History'!$B:$B,$A$59,'BA History'!K:K, 1)</f>
        <v>0</v>
      </c>
      <c r="S59" s="2">
        <f>COUNTIFS('BA History'!$B:$B,$A$59,'BA History'!L:L, 1)</f>
        <v>0</v>
      </c>
      <c r="T59" s="2">
        <f>COUNTIFS('BA History'!$B:$B,$A$59,'BA History'!M:M, 1)</f>
        <v>0</v>
      </c>
      <c r="U59" s="2">
        <f>COUNTIFS('BA History'!$B:$B,$A$59,'BA History'!N:N, 1)</f>
        <v>0</v>
      </c>
      <c r="V59" s="2">
        <f>COUNTIFS('BA History'!$B:$B,$A$59,'BA History'!O:O, 1)</f>
        <v>0</v>
      </c>
      <c r="W59" s="2">
        <f>COUNTIFS('BA History'!$B:$B,$A$59,'BA History'!P:P, 1)</f>
        <v>0</v>
      </c>
      <c r="X59" s="2">
        <f>COUNTIFS('BA History'!$B:$B,$A$59,'BA History'!Q:Q, 1)</f>
        <v>0</v>
      </c>
      <c r="Y59" s="2">
        <f>COUNTIFS('BA History'!$B:$B,$A$59,'BA History'!R:R, 1)</f>
        <v>0</v>
      </c>
      <c r="Z59" s="2">
        <f>COUNTIFS('BA History'!$B:$B,$A$59,'BA History'!S:S, 1)</f>
        <v>0</v>
      </c>
      <c r="AA59" s="2">
        <f>COUNTIFS('BA History'!$B:$B,$A$59,'BA History'!T:T, 1)</f>
        <v>0</v>
      </c>
      <c r="AB59" s="2">
        <f>COUNTIFS('BA History'!$B:$B,$A$59,'BA History'!U:U, 1)</f>
        <v>0</v>
      </c>
      <c r="AC59" s="2">
        <f>COUNTIFS('BA History'!$B:$B,$A$59,'BA History'!V:V, 1)</f>
        <v>0</v>
      </c>
      <c r="AD59" s="2">
        <f>COUNTIFS('BA History'!$B:$B,$A$59,'BA History'!W:W, 1)</f>
        <v>1</v>
      </c>
      <c r="AE59" s="2">
        <f>COUNTIFS('BA History'!$B:$B,$A$59,'BA History'!X:X, 1)</f>
        <v>1</v>
      </c>
      <c r="AF59" s="2">
        <f>COUNTIFS('BA History'!$B:$B,$A$59,'BA History'!Y:Y, 1)</f>
        <v>0</v>
      </c>
      <c r="AG59" s="2">
        <f>COUNTIFS('BA History'!$B:$B,$A$59,'BA History'!Z:Z, 1)</f>
        <v>1</v>
      </c>
      <c r="AH59" s="2">
        <f>COUNTIFS('BA History'!$B:$B,$A$59,'BA History'!AA:AA, 1)</f>
        <v>0</v>
      </c>
      <c r="AI59" s="2">
        <f>COUNTIFS('BA History'!$B:$B,$A$59,'BA History'!AB:AB, 1)</f>
        <v>0</v>
      </c>
      <c r="AJ59" s="2">
        <f>COUNTIFS('BA History'!$B:$B,$A$59,'BA History'!AC:AC, 1)</f>
        <v>0</v>
      </c>
      <c r="AK59" s="2">
        <f>COUNTIFS('BA History'!$B:$B,$A$59,'BA History'!AD:AD, 1)</f>
        <v>0</v>
      </c>
      <c r="AL59" s="2">
        <f>COUNTIFS('BA History'!$B:$B,$A$59,'BA History'!AE:AE, 1)</f>
        <v>0</v>
      </c>
      <c r="AM59" s="2">
        <f>COUNTIFS('BA History'!$B:$B,$A$59,'BA History'!AF:AF, 1)</f>
        <v>0</v>
      </c>
    </row>
    <row r="60" spans="1:39" ht="15.75" thickBot="1" x14ac:dyDescent="0.3">
      <c r="A60" s="2" t="s">
        <v>55</v>
      </c>
      <c r="B60" s="2" t="s">
        <v>79</v>
      </c>
      <c r="C60" s="2"/>
      <c r="D60" s="2"/>
      <c r="E60" s="2"/>
      <c r="F60" s="34">
        <f>SUMIFS('BA History'!C:C,'BA History'!B:B,A60)</f>
        <v>2</v>
      </c>
      <c r="G60" s="66">
        <f>AVERAGEIFS('BA History'!C:C,'BA History'!B:B,A60)</f>
        <v>2</v>
      </c>
      <c r="H60" s="35">
        <f t="array" ref="H60">MAX(IF('BA History'!B:B=A60, 'BA History'!C:C))</f>
        <v>2</v>
      </c>
      <c r="I60" s="34">
        <f>COUNTIFS('BA History'!B:B,A60,'BA History'!D:D, 1)</f>
        <v>0</v>
      </c>
      <c r="J60" s="2">
        <f>COUNTIFS('BA History'!B:B,A60,'BA History'!D:D, 0)</f>
        <v>1</v>
      </c>
      <c r="K60" s="75">
        <f>LOOKUP(2, 1/('BA History'!$B:$B=A60), 'BA History'!$AJ:$AJ)</f>
        <v>0</v>
      </c>
      <c r="L60" s="34">
        <f>SUMIFS('BA History'!F:F,'BA History'!B:B,A60)</f>
        <v>0</v>
      </c>
      <c r="M60" s="2">
        <f>SUMIFS('BA History'!E:E,'BA History'!B:B,A60)-L60</f>
        <v>3</v>
      </c>
      <c r="N60" s="75">
        <f>LOOKUP(2, 1/('BA History'!$B:$B=A60), 'BA History'!$AH:$AH)</f>
        <v>0</v>
      </c>
      <c r="O60" s="34">
        <f>SUMIFS('BA History'!H:H,'BA History'!B:B,A60)</f>
        <v>4</v>
      </c>
      <c r="P60" s="48">
        <v>9</v>
      </c>
      <c r="Q60" s="89">
        <f>LOOKUP(2, 1/('BA History'!$B:$B=A60), 'BA History'!$AI:$AI)</f>
        <v>0.31</v>
      </c>
      <c r="R60" s="2">
        <f>COUNTIFS('BA History'!$B:$B,$A$60,'BA History'!K:K, 1)</f>
        <v>0</v>
      </c>
      <c r="S60" s="2">
        <f>COUNTIFS('BA History'!$B:$B,$A$60,'BA History'!L:L, 1)</f>
        <v>0</v>
      </c>
      <c r="T60" s="2">
        <f>COUNTIFS('BA History'!$B:$B,$A$60,'BA History'!M:M, 1)</f>
        <v>0</v>
      </c>
      <c r="U60" s="2">
        <f>COUNTIFS('BA History'!$B:$B,$A$60,'BA History'!N:N, 1)</f>
        <v>0</v>
      </c>
      <c r="V60" s="2">
        <f>COUNTIFS('BA History'!$B:$B,$A$60,'BA History'!O:O, 1)</f>
        <v>0</v>
      </c>
      <c r="W60" s="2">
        <f>COUNTIFS('BA History'!$B:$B,$A$60,'BA History'!P:P, 1)</f>
        <v>0</v>
      </c>
      <c r="X60" s="2">
        <f>COUNTIFS('BA History'!$B:$B,$A$60,'BA History'!Q:Q, 1)</f>
        <v>0</v>
      </c>
      <c r="Y60" s="2">
        <f>COUNTIFS('BA History'!$B:$B,$A$60,'BA History'!R:R, 1)</f>
        <v>0</v>
      </c>
      <c r="Z60" s="2">
        <f>COUNTIFS('BA History'!$B:$B,$A$60,'BA History'!S:S, 1)</f>
        <v>0</v>
      </c>
      <c r="AA60" s="2">
        <f>COUNTIFS('BA History'!$B:$B,$A$60,'BA History'!T:T, 1)</f>
        <v>0</v>
      </c>
      <c r="AB60" s="2">
        <f>COUNTIFS('BA History'!$B:$B,$A$60,'BA History'!U:U, 1)</f>
        <v>0</v>
      </c>
      <c r="AC60" s="2">
        <f>COUNTIFS('BA History'!$B:$B,$A$60,'BA History'!V:V, 1)</f>
        <v>0</v>
      </c>
      <c r="AD60" s="2">
        <f>COUNTIFS('BA History'!$B:$B,$A$60,'BA History'!W:W, 1)</f>
        <v>0</v>
      </c>
      <c r="AE60" s="2">
        <f>COUNTIFS('BA History'!$B:$B,$A$60,'BA History'!X:X, 1)</f>
        <v>0</v>
      </c>
      <c r="AF60" s="2">
        <f>COUNTIFS('BA History'!$B:$B,$A$60,'BA History'!Y:Y, 1)</f>
        <v>0</v>
      </c>
      <c r="AG60" s="2">
        <f>COUNTIFS('BA History'!$B:$B,$A$60,'BA History'!Z:Z, 1)</f>
        <v>0</v>
      </c>
      <c r="AH60" s="2">
        <f>COUNTIFS('BA History'!$B:$B,$A$60,'BA History'!AA:AA, 1)</f>
        <v>0</v>
      </c>
      <c r="AI60" s="2">
        <f>COUNTIFS('BA History'!$B:$B,$A$60,'BA History'!AB:AB, 1)</f>
        <v>0</v>
      </c>
      <c r="AJ60" s="2">
        <f>COUNTIFS('BA History'!$B:$B,$A$60,'BA History'!AC:AC, 1)</f>
        <v>0</v>
      </c>
      <c r="AK60" s="2">
        <f>COUNTIFS('BA History'!$B:$B,$A$60,'BA History'!AD:AD, 1)</f>
        <v>0</v>
      </c>
      <c r="AL60" s="2">
        <f>COUNTIFS('BA History'!$B:$B,$A$60,'BA History'!AE:AE, 1)</f>
        <v>0</v>
      </c>
      <c r="AM60" s="2">
        <f>COUNTIFS('BA History'!$B:$B,$A$60,'BA History'!AF:AF, 1)</f>
        <v>0</v>
      </c>
    </row>
  </sheetData>
  <autoFilter ref="A1:AM60" xr:uid="{DA548192-1F03-46EA-8AB8-115EB9A7CE5D}">
    <sortState xmlns:xlrd2="http://schemas.microsoft.com/office/spreadsheetml/2017/richdata2" ref="A2:AM60">
      <sortCondition ref="A1:A60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1043"/>
  <sheetViews>
    <sheetView workbookViewId="0">
      <pane xSplit="2" ySplit="1" topLeftCell="L1013" activePane="bottomRight" state="frozen"/>
      <selection pane="topRight" activeCell="C1" sqref="C1"/>
      <selection pane="bottomLeft" activeCell="A2" sqref="A2"/>
      <selection pane="bottomRight" activeCell="A1032" sqref="A1032:AF104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168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168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168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  <row r="902" spans="1:36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1</v>
      </c>
      <c r="AE902">
        <v>0</v>
      </c>
      <c r="AF902">
        <v>1</v>
      </c>
      <c r="AG902" s="86">
        <f>AVERAGEIFS($C$2:C902, $B$2:B902, B902)</f>
        <v>26.545454545454547</v>
      </c>
      <c r="AH902" s="86">
        <f>AVERAGEIFS($I$2:I902, $B$2:B902, B902)</f>
        <v>0.49848484848484859</v>
      </c>
      <c r="AI902" s="86">
        <f>AVERAGEIFS($J$2:J902, $B$2:B902, B902)</f>
        <v>0.49727272727272737</v>
      </c>
      <c r="AJ902" s="86">
        <f>AVERAGEIFS($D$2:D902, $B$2:B902, B902)</f>
        <v>0.54545454545454541</v>
      </c>
    </row>
    <row r="903" spans="1:36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1</v>
      </c>
      <c r="AE903">
        <v>0</v>
      </c>
      <c r="AF903">
        <v>1</v>
      </c>
      <c r="AG903" s="86">
        <f>AVERAGEIFS($C$2:C903, $B$2:B903, B903)</f>
        <v>18.508771929824562</v>
      </c>
      <c r="AH903" s="86">
        <f>AVERAGEIFS($I$2:I903, $B$2:B903, B903)</f>
        <v>0.49122807017543846</v>
      </c>
      <c r="AI903" s="86">
        <f>AVERAGEIFS($J$2:J903, $B$2:B903, B903)</f>
        <v>0.48561403508771933</v>
      </c>
      <c r="AJ903" s="86">
        <f>AVERAGEIFS($D$2:D903, $B$2:B903, B903)</f>
        <v>0.43859649122807015</v>
      </c>
    </row>
    <row r="904" spans="1:36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1</v>
      </c>
      <c r="AE904">
        <v>0</v>
      </c>
      <c r="AF904">
        <v>1</v>
      </c>
      <c r="AG904" s="86">
        <f>AVERAGEIFS($C$2:C904, $B$2:B904, B904)</f>
        <v>16.375</v>
      </c>
      <c r="AH904" s="86">
        <f>AVERAGEIFS($I$2:I904, $B$2:B904, B904)</f>
        <v>0.53625</v>
      </c>
      <c r="AI904" s="86">
        <f>AVERAGEIFS($J$2:J904, $B$2:B904, B904)</f>
        <v>0.54049999999999998</v>
      </c>
      <c r="AJ904" s="86">
        <f>AVERAGEIFS($D$2:D904, $B$2:B904, B904)</f>
        <v>0.65</v>
      </c>
    </row>
    <row r="905" spans="1:36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1</v>
      </c>
      <c r="AE905">
        <v>0</v>
      </c>
      <c r="AF905">
        <v>1</v>
      </c>
      <c r="AG905" s="86">
        <f>AVERAGEIFS($C$2:C905, $B$2:B905, B905)</f>
        <v>16.100000000000001</v>
      </c>
      <c r="AH905" s="86">
        <f>AVERAGEIFS($I$2:I905, $B$2:B905, B905)</f>
        <v>0.52500000000000002</v>
      </c>
      <c r="AI905" s="86">
        <f>AVERAGEIFS($J$2:J905, $B$2:B905, B905)</f>
        <v>0.51899999999999991</v>
      </c>
      <c r="AJ905" s="86">
        <f>AVERAGEIFS($D$2:D905, $B$2:B905, B905)</f>
        <v>0.57499999999999996</v>
      </c>
    </row>
    <row r="906" spans="1:36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1</v>
      </c>
      <c r="AE906">
        <v>0</v>
      </c>
      <c r="AF906">
        <v>1</v>
      </c>
      <c r="AG906" s="86">
        <f>AVERAGEIFS($C$2:C906, $B$2:B906, B906)</f>
        <v>12.8</v>
      </c>
      <c r="AH906" s="86">
        <f>AVERAGEIFS($I$2:I906, $B$2:B906, B906)</f>
        <v>0.45499999999999996</v>
      </c>
      <c r="AI906" s="86">
        <f>AVERAGEIFS($J$2:J906, $B$2:B906, B906)</f>
        <v>0.50700000000000001</v>
      </c>
      <c r="AJ906" s="86">
        <f>AVERAGEIFS($D$2:D906, $B$2:B906, B906)</f>
        <v>0.6</v>
      </c>
    </row>
    <row r="907" spans="1:36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1</v>
      </c>
      <c r="AE907">
        <v>0</v>
      </c>
      <c r="AF907">
        <v>1</v>
      </c>
      <c r="AG907" s="86">
        <f>AVERAGEIFS($C$2:C907, $B$2:B907, B907)</f>
        <v>6.333333333333333</v>
      </c>
      <c r="AH907" s="86">
        <f>AVERAGEIFS($I$2:I907, $B$2:B907, B907)</f>
        <v>0.45</v>
      </c>
      <c r="AI907" s="86">
        <f>AVERAGEIFS($J$2:J907, $B$2:B907, B907)</f>
        <v>0.47666666666666663</v>
      </c>
      <c r="AJ907" s="86">
        <f>AVERAGEIFS($D$2:D907, $B$2:B907, B907)</f>
        <v>0.66666666666666663</v>
      </c>
    </row>
    <row r="908" spans="1:36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1</v>
      </c>
      <c r="AC908">
        <v>0</v>
      </c>
      <c r="AD908">
        <v>0</v>
      </c>
      <c r="AE908">
        <v>0</v>
      </c>
      <c r="AF908">
        <v>0</v>
      </c>
      <c r="AG908" s="86">
        <f>AVERAGEIFS($C$2:C908, $B$2:B908, B908)</f>
        <v>20</v>
      </c>
      <c r="AH908" s="86">
        <f>AVERAGEIFS($I$2:I908, $B$2:B908, B908)</f>
        <v>0.60880000000000001</v>
      </c>
      <c r="AI908" s="86">
        <f>AVERAGEIFS($J$2:J908, $B$2:B908, B908)</f>
        <v>0.55360000000000009</v>
      </c>
      <c r="AJ908" s="86">
        <f>AVERAGEIFS($D$2:D908, $B$2:B908, B908)</f>
        <v>0.72</v>
      </c>
    </row>
    <row r="909" spans="1:36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1</v>
      </c>
      <c r="AC909">
        <v>0</v>
      </c>
      <c r="AD909">
        <v>0</v>
      </c>
      <c r="AE909">
        <v>0</v>
      </c>
      <c r="AF909">
        <v>0</v>
      </c>
      <c r="AG909" s="86">
        <f>AVERAGEIFS($C$2:C909, $B$2:B909, B909)</f>
        <v>24.967741935483872</v>
      </c>
      <c r="AH909" s="86">
        <f>AVERAGEIFS($I$2:I909, $B$2:B909, B909)</f>
        <v>0.43064516129032254</v>
      </c>
      <c r="AI909" s="86">
        <f>AVERAGEIFS($J$2:J909, $B$2:B909, B909)</f>
        <v>0.46032258064516129</v>
      </c>
      <c r="AJ909" s="86">
        <f>AVERAGEIFS($D$2:D909, $B$2:B909, B909)</f>
        <v>0.32258064516129031</v>
      </c>
    </row>
    <row r="910" spans="1:36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1</v>
      </c>
      <c r="AC910">
        <v>0</v>
      </c>
      <c r="AD910">
        <v>0</v>
      </c>
      <c r="AE910">
        <v>0</v>
      </c>
      <c r="AF910">
        <v>0</v>
      </c>
      <c r="AG910" s="86">
        <f>AVERAGEIFS($C$2:C910, $B$2:B910, B910)</f>
        <v>17.942857142857143</v>
      </c>
      <c r="AH910" s="86">
        <f>AVERAGEIFS($I$2:I910, $B$2:B910, B910)</f>
        <v>0.56999999999999995</v>
      </c>
      <c r="AI910" s="86">
        <f>AVERAGEIFS($J$2:J910, $B$2:B910, B910)</f>
        <v>0.53342857142857159</v>
      </c>
      <c r="AJ910" s="86">
        <f>AVERAGEIFS($D$2:D910, $B$2:B910, B910)</f>
        <v>0.54285714285714282</v>
      </c>
    </row>
    <row r="911" spans="1:36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1</v>
      </c>
      <c r="AC911">
        <v>0</v>
      </c>
      <c r="AD911">
        <v>0</v>
      </c>
      <c r="AE911">
        <v>0</v>
      </c>
      <c r="AF911">
        <v>0</v>
      </c>
      <c r="AG911" s="86">
        <f>AVERAGEIFS($C$2:C911, $B$2:B911, B911)</f>
        <v>12.045454545454545</v>
      </c>
      <c r="AH911" s="86">
        <f>AVERAGEIFS($I$2:I911, $B$2:B911, B911)</f>
        <v>0.55681818181818177</v>
      </c>
      <c r="AI911" s="86">
        <f>AVERAGEIFS($J$2:J911, $B$2:B911, B911)</f>
        <v>0.53818181818181809</v>
      </c>
      <c r="AJ911" s="86">
        <f>AVERAGEIFS($D$2:D911, $B$2:B911, B911)</f>
        <v>0.5</v>
      </c>
    </row>
    <row r="912" spans="1:36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1</v>
      </c>
      <c r="AC912">
        <v>0</v>
      </c>
      <c r="AD912">
        <v>0</v>
      </c>
      <c r="AE912">
        <v>0</v>
      </c>
      <c r="AF912">
        <v>0</v>
      </c>
      <c r="AG912" s="86">
        <f>AVERAGEIFS($C$2:C912, $B$2:B912, B912)</f>
        <v>12.62962962962963</v>
      </c>
      <c r="AH912" s="86">
        <f>AVERAGEIFS($I$2:I912, $B$2:B912, B912)</f>
        <v>0.45</v>
      </c>
      <c r="AI912" s="86">
        <f>AVERAGEIFS($J$2:J912, $B$2:B912, B912)</f>
        <v>0.47</v>
      </c>
      <c r="AJ912" s="86">
        <f>AVERAGEIFS($D$2:D912, $B$2:B912, B912)</f>
        <v>0.48148148148148145</v>
      </c>
    </row>
    <row r="913" spans="1:36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1</v>
      </c>
      <c r="AC913">
        <v>0</v>
      </c>
      <c r="AD913">
        <v>0</v>
      </c>
      <c r="AE913">
        <v>0</v>
      </c>
      <c r="AF913">
        <v>0</v>
      </c>
      <c r="AG913" s="86">
        <f>AVERAGEIFS($C$2:C913, $B$2:B913, B913)</f>
        <v>5.166666666666667</v>
      </c>
      <c r="AH913" s="86">
        <f>AVERAGEIFS($I$2:I913, $B$2:B913, B913)</f>
        <v>0.65</v>
      </c>
      <c r="AI913" s="86">
        <f>AVERAGEIFS($J$2:J913, $B$2:B913, B913)</f>
        <v>0.54999999999999993</v>
      </c>
      <c r="AJ913" s="86">
        <f>AVERAGEIFS($D$2:D913, $B$2:B913, B913)</f>
        <v>0.66666666666666663</v>
      </c>
    </row>
    <row r="914" spans="1:36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1</v>
      </c>
      <c r="AC914">
        <v>0</v>
      </c>
      <c r="AD914">
        <v>1</v>
      </c>
      <c r="AE914">
        <v>0</v>
      </c>
      <c r="AF914">
        <v>0</v>
      </c>
      <c r="AG914" s="86">
        <f>AVERAGEIFS($C$2:C914, $B$2:B914, B914)</f>
        <v>23.581818181818182</v>
      </c>
      <c r="AH914" s="86">
        <f>AVERAGEIFS($I$2:I914, $B$2:B914, B914)</f>
        <v>0.54309090909090918</v>
      </c>
      <c r="AI914" s="86">
        <f>AVERAGEIFS($J$2:J914, $B$2:B914, B914)</f>
        <v>0.51436363636363625</v>
      </c>
      <c r="AJ914" s="86">
        <f>AVERAGEIFS($D$2:D914, $B$2:B914, B914)</f>
        <v>0.5636363636363636</v>
      </c>
    </row>
    <row r="915" spans="1:36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1</v>
      </c>
      <c r="AC915">
        <v>0</v>
      </c>
      <c r="AD915">
        <v>1</v>
      </c>
      <c r="AE915">
        <v>0</v>
      </c>
      <c r="AF915">
        <v>0</v>
      </c>
      <c r="AG915" s="86">
        <f>AVERAGEIFS($C$2:C915, $B$2:B915, B915)</f>
        <v>25.03125</v>
      </c>
      <c r="AH915" s="86">
        <f>AVERAGEIFS($I$2:I915, $B$2:B915, B915)</f>
        <v>0.43593749999999998</v>
      </c>
      <c r="AI915" s="86">
        <f>AVERAGEIFS($J$2:J915, $B$2:B915, B915)</f>
        <v>0.46406249999999999</v>
      </c>
      <c r="AJ915" s="86">
        <f>AVERAGEIFS($D$2:D915, $B$2:B915, B915)</f>
        <v>0.34375</v>
      </c>
    </row>
    <row r="916" spans="1:36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1</v>
      </c>
      <c r="AC916">
        <v>0</v>
      </c>
      <c r="AD916">
        <v>1</v>
      </c>
      <c r="AE916">
        <v>0</v>
      </c>
      <c r="AF916">
        <v>0</v>
      </c>
      <c r="AG916" s="86">
        <f>AVERAGEIFS($C$2:C916, $B$2:B916, B916)</f>
        <v>18.5</v>
      </c>
      <c r="AH916" s="86">
        <f>AVERAGEIFS($I$2:I916, $B$2:B916, B916)</f>
        <v>0.44000000000000006</v>
      </c>
      <c r="AI916" s="86">
        <f>AVERAGEIFS($J$2:J916, $B$2:B916, B916)</f>
        <v>0.4474999999999999</v>
      </c>
      <c r="AJ916" s="86">
        <f>AVERAGEIFS($D$2:D916, $B$2:B916, B916)</f>
        <v>0.45</v>
      </c>
    </row>
    <row r="917" spans="1:36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1</v>
      </c>
      <c r="AC917">
        <v>0</v>
      </c>
      <c r="AD917">
        <v>1</v>
      </c>
      <c r="AE917">
        <v>0</v>
      </c>
      <c r="AF917">
        <v>0</v>
      </c>
      <c r="AG917" s="86">
        <f>AVERAGEIFS($C$2:C917, $B$2:B917, B917)</f>
        <v>19.794117647058822</v>
      </c>
      <c r="AH917" s="86">
        <f>AVERAGEIFS($I$2:I917, $B$2:B917, B917)</f>
        <v>0.5167647058823529</v>
      </c>
      <c r="AI917" s="86">
        <f>AVERAGEIFS($J$2:J917, $B$2:B917, B917)</f>
        <v>0.49088235294117649</v>
      </c>
      <c r="AJ917" s="86">
        <f>AVERAGEIFS($D$2:D917, $B$2:B917, B917)</f>
        <v>0.52941176470588236</v>
      </c>
    </row>
    <row r="918" spans="1:36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1</v>
      </c>
      <c r="AC918">
        <v>0</v>
      </c>
      <c r="AD918">
        <v>1</v>
      </c>
      <c r="AE918">
        <v>0</v>
      </c>
      <c r="AF918">
        <v>0</v>
      </c>
      <c r="AG918" s="86">
        <f>AVERAGEIFS($C$2:C918, $B$2:B918, B918)</f>
        <v>18.135135135135137</v>
      </c>
      <c r="AH918" s="86">
        <f>AVERAGEIFS($I$2:I918, $B$2:B918, B918)</f>
        <v>0.52243243243243254</v>
      </c>
      <c r="AI918" s="86">
        <f>AVERAGEIFS($J$2:J918, $B$2:B918, B918)</f>
        <v>0.52054054054054044</v>
      </c>
      <c r="AJ918" s="86">
        <f>AVERAGEIFS($D$2:D918, $B$2:B918, B918)</f>
        <v>0.54054054054054057</v>
      </c>
    </row>
    <row r="919" spans="1:36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1</v>
      </c>
      <c r="AC919">
        <v>0</v>
      </c>
      <c r="AD919">
        <v>1</v>
      </c>
      <c r="AE919">
        <v>0</v>
      </c>
      <c r="AF919">
        <v>0</v>
      </c>
      <c r="AG919" s="86">
        <f>AVERAGEIFS($C$2:C919, $B$2:B919, B919)</f>
        <v>16.048780487804876</v>
      </c>
      <c r="AH919" s="86">
        <f>AVERAGEIFS($I$2:I919, $B$2:B919, B919)</f>
        <v>0.52682926829268295</v>
      </c>
      <c r="AI919" s="86">
        <f>AVERAGEIFS($J$2:J919, $B$2:B919, B919)</f>
        <v>0.52048780487804869</v>
      </c>
      <c r="AJ919" s="86">
        <f>AVERAGEIFS($D$2:D919, $B$2:B919, B919)</f>
        <v>0.58536585365853655</v>
      </c>
    </row>
    <row r="920" spans="1:36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 s="86">
        <f>AVERAGEIFS($C$2:C920, $B$2:B920, B920)</f>
        <v>26.647058823529413</v>
      </c>
      <c r="AH920" s="86">
        <f>AVERAGEIFS($I$2:I920, $B$2:B920, B920)</f>
        <v>0.49558823529411766</v>
      </c>
      <c r="AI920" s="86">
        <f>AVERAGEIFS($J$2:J920, $B$2:B920, B920)</f>
        <v>0.49500000000000016</v>
      </c>
      <c r="AJ920" s="86">
        <f>AVERAGEIFS($D$2:D920, $B$2:B920, B920)</f>
        <v>0.52941176470588236</v>
      </c>
    </row>
    <row r="921" spans="1:36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 s="86">
        <f>AVERAGEIFS($C$2:C921, $B$2:B921, B921)</f>
        <v>20</v>
      </c>
      <c r="AH921" s="86">
        <f>AVERAGEIFS($I$2:I921, $B$2:B921, B921)</f>
        <v>0.60076923076923072</v>
      </c>
      <c r="AI921" s="86">
        <f>AVERAGEIFS($J$2:J921, $B$2:B921, B921)</f>
        <v>0.54846153846153856</v>
      </c>
      <c r="AJ921" s="86">
        <f>AVERAGEIFS($D$2:D921, $B$2:B921, B921)</f>
        <v>0.69230769230769229</v>
      </c>
    </row>
    <row r="922" spans="1:36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 s="86">
        <f>AVERAGEIFS($C$2:C922, $B$2:B922, B922)</f>
        <v>18.517241379310345</v>
      </c>
      <c r="AH922" s="86">
        <f>AVERAGEIFS($I$2:I922, $B$2:B922, B922)</f>
        <v>0.48965517241379297</v>
      </c>
      <c r="AI922" s="86">
        <f>AVERAGEIFS($J$2:J922, $B$2:B922, B922)</f>
        <v>0.48448275862068974</v>
      </c>
      <c r="AJ922" s="86">
        <f>AVERAGEIFS($D$2:D922, $B$2:B922, B922)</f>
        <v>0.43103448275862066</v>
      </c>
    </row>
    <row r="923" spans="1:36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 s="86">
        <f>AVERAGEIFS($C$2:C923, $B$2:B923, B923)</f>
        <v>16.414634146341463</v>
      </c>
      <c r="AH923" s="86">
        <f>AVERAGEIFS($I$2:I923, $B$2:B923, B923)</f>
        <v>0.5329268292682926</v>
      </c>
      <c r="AI923" s="86">
        <f>AVERAGEIFS($J$2:J923, $B$2:B923, B923)</f>
        <v>0.53756097560975613</v>
      </c>
      <c r="AJ923" s="86">
        <f>AVERAGEIFS($D$2:D923, $B$2:B923, B923)</f>
        <v>0.63414634146341464</v>
      </c>
    </row>
    <row r="924" spans="1:36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 s="86">
        <f>AVERAGEIFS($C$2:C924, $B$2:B924, B924)</f>
        <v>17.916666666666668</v>
      </c>
      <c r="AH924" s="86">
        <f>AVERAGEIFS($I$2:I924, $B$2:B924, B924)</f>
        <v>0.56527777777777777</v>
      </c>
      <c r="AI924" s="86">
        <f>AVERAGEIFS($J$2:J924, $B$2:B924, B924)</f>
        <v>0.53027777777777796</v>
      </c>
      <c r="AJ924" s="86">
        <f>AVERAGEIFS($D$2:D924, $B$2:B924, B924)</f>
        <v>0.52777777777777779</v>
      </c>
    </row>
    <row r="925" spans="1:36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 s="86">
        <f>AVERAGEIFS($C$2:C925, $B$2:B925, B925)</f>
        <v>11.869565217391305</v>
      </c>
      <c r="AH925" s="86">
        <f>AVERAGEIFS($I$2:I925, $B$2:B925, B925)</f>
        <v>0.55000000000000004</v>
      </c>
      <c r="AI925" s="86">
        <f>AVERAGEIFS($J$2:J925, $B$2:B925, B925)</f>
        <v>0.53304347826086951</v>
      </c>
      <c r="AJ925" s="86">
        <f>AVERAGEIFS($D$2:D925, $B$2:B925, B925)</f>
        <v>0.47826086956521741</v>
      </c>
    </row>
    <row r="926" spans="1:36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1</v>
      </c>
      <c r="AG926" s="86">
        <f>AVERAGEIFS($C$2:C926, $B$2:B926, B926)</f>
        <v>21.9</v>
      </c>
      <c r="AH926" s="86">
        <f>AVERAGEIFS($I$2:I926, $B$2:B926, B926)</f>
        <v>0.52216666666666667</v>
      </c>
      <c r="AI926" s="86">
        <f>AVERAGEIFS($J$2:J926, $B$2:B926, B926)</f>
        <v>0.51883333333333337</v>
      </c>
      <c r="AJ926" s="86">
        <f>AVERAGEIFS($D$2:D926, $B$2:B926, B926)</f>
        <v>0.58333333333333337</v>
      </c>
    </row>
    <row r="927" spans="1:36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1</v>
      </c>
      <c r="AG927" s="86">
        <f>AVERAGEIFS($C$2:C927, $B$2:B927, B927)</f>
        <v>19.857142857142858</v>
      </c>
      <c r="AH927" s="86">
        <f>AVERAGEIFS($I$2:I927, $B$2:B927, B927)</f>
        <v>0.52342857142857147</v>
      </c>
      <c r="AI927" s="86">
        <f>AVERAGEIFS($J$2:J927, $B$2:B927, B927)</f>
        <v>0.49285714285714288</v>
      </c>
      <c r="AJ927" s="86">
        <f>AVERAGEIFS($D$2:D927, $B$2:B927, B927)</f>
        <v>0.54285714285714282</v>
      </c>
    </row>
    <row r="928" spans="1:36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1</v>
      </c>
      <c r="AG928" s="86">
        <f>AVERAGEIFS($C$2:C928, $B$2:B928, B928)</f>
        <v>12.291666666666666</v>
      </c>
      <c r="AH928" s="86">
        <f>AVERAGEIFS($I$2:I928, $B$2:B928, B928)</f>
        <v>0.55833333333333335</v>
      </c>
      <c r="AI928" s="86">
        <f>AVERAGEIFS($J$2:J928, $B$2:B928, B928)</f>
        <v>0.53416666666666657</v>
      </c>
      <c r="AJ928" s="86">
        <f>AVERAGEIFS($D$2:D928, $B$2:B928, B928)</f>
        <v>0.5</v>
      </c>
    </row>
    <row r="929" spans="1:36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1</v>
      </c>
      <c r="AG929" s="86">
        <f>AVERAGEIFS($C$2:C929, $B$2:B929, B929)</f>
        <v>18.560975609756099</v>
      </c>
      <c r="AH929" s="86">
        <f>AVERAGEIFS($I$2:I929, $B$2:B929, B929)</f>
        <v>0.44756097560975611</v>
      </c>
      <c r="AI929" s="86">
        <f>AVERAGEIFS($J$2:J929, $B$2:B929, B929)</f>
        <v>0.45024390243902424</v>
      </c>
      <c r="AJ929" s="86">
        <f>AVERAGEIFS($D$2:D929, $B$2:B929, B929)</f>
        <v>0.46341463414634149</v>
      </c>
    </row>
    <row r="930" spans="1:36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1</v>
      </c>
      <c r="AG930" s="86">
        <f>AVERAGEIFS($C$2:C930, $B$2:B930, B930)</f>
        <v>16.705882352941178</v>
      </c>
      <c r="AH930" s="86">
        <f>AVERAGEIFS($I$2:I930, $B$2:B930, B930)</f>
        <v>0.64411764705882346</v>
      </c>
      <c r="AI930" s="86">
        <f>AVERAGEIFS($J$2:J930, $B$2:B930, B930)</f>
        <v>0.59470588235294131</v>
      </c>
      <c r="AJ930" s="86">
        <f>AVERAGEIFS($D$2:D930, $B$2:B930, B930)</f>
        <v>0.6470588235294118</v>
      </c>
    </row>
    <row r="931" spans="1:36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1</v>
      </c>
      <c r="AG931" s="86">
        <f>AVERAGEIFS($C$2:C931, $B$2:B931, B931)</f>
        <v>17.864864864864863</v>
      </c>
      <c r="AH931" s="86">
        <f>AVERAGEIFS($I$2:I931, $B$2:B931, B931)</f>
        <v>0.57027027027027022</v>
      </c>
      <c r="AI931" s="86">
        <f>AVERAGEIFS($J$2:J931, $B$2:B931, B931)</f>
        <v>0.53108108108108121</v>
      </c>
      <c r="AJ931" s="86">
        <f>AVERAGEIFS($D$2:D931, $B$2:B931, B931)</f>
        <v>0.54054054054054057</v>
      </c>
    </row>
    <row r="932" spans="1:36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 s="86">
        <f>AVERAGEIFS($C$2:C932, $B$2:B932, B932)</f>
        <v>26.8</v>
      </c>
      <c r="AH932" s="86">
        <f>AVERAGEIFS($I$2:I932, $B$2:B932, B932)</f>
        <v>0.4885714285714286</v>
      </c>
      <c r="AI932" s="86">
        <f>AVERAGEIFS($J$2:J932, $B$2:B932, B932)</f>
        <v>0.49342857142857161</v>
      </c>
      <c r="AJ932" s="86">
        <f>AVERAGEIFS($D$2:D932, $B$2:B932, B932)</f>
        <v>0.51428571428571423</v>
      </c>
    </row>
    <row r="933" spans="1:36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 s="86">
        <f>AVERAGEIFS($C$2:C933, $B$2:B933, B933)</f>
        <v>18.576271186440678</v>
      </c>
      <c r="AH933" s="86">
        <f>AVERAGEIFS($I$2:I933, $B$2:B933, B933)</f>
        <v>0.48559322033898289</v>
      </c>
      <c r="AI933" s="86">
        <f>AVERAGEIFS($J$2:J933, $B$2:B933, B933)</f>
        <v>0.48372881355932212</v>
      </c>
      <c r="AJ933" s="86">
        <f>AVERAGEIFS($D$2:D933, $B$2:B933, B933)</f>
        <v>0.42372881355932202</v>
      </c>
    </row>
    <row r="934" spans="1:36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 s="86">
        <f>AVERAGEIFS($C$2:C934, $B$2:B934, B934)</f>
        <v>18.210526315789473</v>
      </c>
      <c r="AH934" s="86">
        <f>AVERAGEIFS($I$2:I934, $B$2:B934, B934)</f>
        <v>0.51526315789473698</v>
      </c>
      <c r="AI934" s="86">
        <f>AVERAGEIFS($J$2:J934, $B$2:B934, B934)</f>
        <v>0.51842105263157878</v>
      </c>
      <c r="AJ934" s="86">
        <f>AVERAGEIFS($D$2:D934, $B$2:B934, B934)</f>
        <v>0.52631578947368418</v>
      </c>
    </row>
    <row r="935" spans="1:36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 s="86">
        <f>AVERAGEIFS($C$2:C935, $B$2:B935, B935)</f>
        <v>16.404761904761905</v>
      </c>
      <c r="AH935" s="86">
        <f>AVERAGEIFS($I$2:I935, $B$2:B935, B935)</f>
        <v>0.5261904761904761</v>
      </c>
      <c r="AI935" s="86">
        <f>AVERAGEIFS($J$2:J935, $B$2:B935, B935)</f>
        <v>0.53523809523809529</v>
      </c>
      <c r="AJ935" s="86">
        <f>AVERAGEIFS($D$2:D935, $B$2:B935, B935)</f>
        <v>0.61904761904761907</v>
      </c>
    </row>
    <row r="936" spans="1:36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 s="86">
        <f>AVERAGEIFS($C$2:C936, $B$2:B936, B936)</f>
        <v>16.023809523809526</v>
      </c>
      <c r="AH936" s="86">
        <f>AVERAGEIFS($I$2:I936, $B$2:B936, B936)</f>
        <v>0.52023809523809528</v>
      </c>
      <c r="AI936" s="86">
        <f>AVERAGEIFS($J$2:J936, $B$2:B936, B936)</f>
        <v>0.51857142857142846</v>
      </c>
      <c r="AJ936" s="86">
        <f>AVERAGEIFS($D$2:D936, $B$2:B936, B936)</f>
        <v>0.5714285714285714</v>
      </c>
    </row>
    <row r="937" spans="1:36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 s="86">
        <f>AVERAGEIFS($C$2:C937, $B$2:B937, B937)</f>
        <v>19.74074074074074</v>
      </c>
      <c r="AH937" s="86">
        <f>AVERAGEIFS($I$2:I937, $B$2:B937, B937)</f>
        <v>0.58777777777777773</v>
      </c>
      <c r="AI937" s="86">
        <f>AVERAGEIFS($J$2:J937, $B$2:B937, B937)</f>
        <v>0.54444444444444451</v>
      </c>
      <c r="AJ937" s="86">
        <f>AVERAGEIFS($D$2:D937, $B$2:B937, B937)</f>
        <v>0.66666666666666663</v>
      </c>
    </row>
    <row r="938" spans="1:36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 s="86">
        <f>AVERAGEIFS($C$2:C938, $B$2:B938, B938)</f>
        <v>22.131147540983605</v>
      </c>
      <c r="AH938" s="86">
        <f>AVERAGEIFS($I$2:I938, $B$2:B938, B938)</f>
        <v>0.52344262295081978</v>
      </c>
      <c r="AI938" s="86">
        <f>AVERAGEIFS($J$2:J938, $B$2:B938, B938)</f>
        <v>0.51918032786885238</v>
      </c>
      <c r="AJ938" s="86">
        <f>AVERAGEIFS($D$2:D938, $B$2:B938, B938)</f>
        <v>0.5901639344262295</v>
      </c>
    </row>
    <row r="939" spans="1:36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 s="86">
        <f>AVERAGEIFS($C$2:C939, $B$2:B939, B939)</f>
        <v>20.25</v>
      </c>
      <c r="AH939" s="86">
        <f>AVERAGEIFS($I$2:I939, $B$2:B939, B939)</f>
        <v>0.58821428571428569</v>
      </c>
      <c r="AI939" s="86">
        <f>AVERAGEIFS($J$2:J939, $B$2:B939, B939)</f>
        <v>0.54428571428571437</v>
      </c>
      <c r="AJ939" s="86">
        <f>AVERAGEIFS($D$2:D939, $B$2:B939, B939)</f>
        <v>0.6785714285714286</v>
      </c>
    </row>
    <row r="940" spans="1:36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 s="86">
        <f>AVERAGEIFS($C$2:C940, $B$2:B940, B940)</f>
        <v>16.279069767441861</v>
      </c>
      <c r="AH940" s="86">
        <f>AVERAGEIFS($I$2:I940, $B$2:B940, B940)</f>
        <v>0.52209302325581397</v>
      </c>
      <c r="AI940" s="86">
        <f>AVERAGEIFS($J$2:J940, $B$2:B940, B940)</f>
        <v>0.5190697674418604</v>
      </c>
      <c r="AJ940" s="86">
        <f>AVERAGEIFS($D$2:D940, $B$2:B940, B940)</f>
        <v>0.58139534883720934</v>
      </c>
    </row>
    <row r="941" spans="1:36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 s="86">
        <f>AVERAGEIFS($C$2:C941, $B$2:B941, B941)</f>
        <v>20.083333333333332</v>
      </c>
      <c r="AH941" s="86">
        <f>AVERAGEIFS($I$2:I941, $B$2:B941, B941)</f>
        <v>0.52555555555555555</v>
      </c>
      <c r="AI941" s="86">
        <f>AVERAGEIFS($J$2:J941, $B$2:B941, B941)</f>
        <v>0.49416666666666664</v>
      </c>
      <c r="AJ941" s="86">
        <f>AVERAGEIFS($D$2:D941, $B$2:B941, B941)</f>
        <v>0.55555555555555558</v>
      </c>
    </row>
    <row r="942" spans="1:36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 s="86">
        <f>AVERAGEIFS($C$2:C942, $B$2:B942, B942)</f>
        <v>16.674418604651162</v>
      </c>
      <c r="AH942" s="86">
        <f>AVERAGEIFS($I$2:I942, $B$2:B942, B942)</f>
        <v>0.52790697674418607</v>
      </c>
      <c r="AI942" s="86">
        <f>AVERAGEIFS($J$2:J942, $B$2:B942, B942)</f>
        <v>0.53534883720930226</v>
      </c>
      <c r="AJ942" s="86">
        <f>AVERAGEIFS($D$2:D942, $B$2:B942, B942)</f>
        <v>0.62790697674418605</v>
      </c>
    </row>
    <row r="943" spans="1:36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 s="86">
        <f>AVERAGEIFS($C$2:C943, $B$2:B943, B943)</f>
        <v>12.84</v>
      </c>
      <c r="AH943" s="86">
        <f>AVERAGEIFS($I$2:I943, $B$2:B943, B943)</f>
        <v>0.56000000000000005</v>
      </c>
      <c r="AI943" s="86">
        <f>AVERAGEIFS($J$2:J943, $B$2:B943, B943)</f>
        <v>0.53439999999999999</v>
      </c>
      <c r="AJ943" s="86">
        <f>AVERAGEIFS($D$2:D943, $B$2:B943, B943)</f>
        <v>0.52</v>
      </c>
    </row>
    <row r="944" spans="1:36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 s="86">
        <f>AVERAGEIFS($C$2:C944, $B$2:B944, B944)</f>
        <v>10.463414634146341</v>
      </c>
      <c r="AH944" s="86">
        <f>AVERAGEIFS($I$2:I944, $B$2:B944, B944)</f>
        <v>0.46170731707317081</v>
      </c>
      <c r="AI944" s="86">
        <f>AVERAGEIFS($J$2:J944, $B$2:B944, B944)</f>
        <v>0.48682926829268286</v>
      </c>
      <c r="AJ944" s="86">
        <f>AVERAGEIFS($D$2:D944, $B$2:B944, B944)</f>
        <v>0.43902439024390244</v>
      </c>
    </row>
    <row r="945" spans="1:36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 s="86">
        <f>AVERAGEIFS($C$2:C945, $B$2:B945, B945)</f>
        <v>10</v>
      </c>
      <c r="AH945" s="86">
        <f>AVERAGEIFS($I$2:I945, $B$2:B945, B945)</f>
        <v>0.48750000000000004</v>
      </c>
      <c r="AI945" s="86">
        <f>AVERAGEIFS($J$2:J945, $B$2:B945, B945)</f>
        <v>0.49249999999999999</v>
      </c>
      <c r="AJ945" s="86">
        <f>AVERAGEIFS($D$2:D945, $B$2:B945, B945)</f>
        <v>0.75</v>
      </c>
    </row>
    <row r="946" spans="1:36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1</v>
      </c>
      <c r="AD946">
        <v>0</v>
      </c>
      <c r="AE946">
        <v>0</v>
      </c>
      <c r="AF946">
        <v>0</v>
      </c>
      <c r="AG946" s="86">
        <f>AVERAGEIFS($C$2:C946, $B$2:B946, B946)</f>
        <v>24</v>
      </c>
      <c r="AH946" s="86">
        <f>AVERAGEIFS($I$2:I946, $B$2:B946, B946)</f>
        <v>0.54053571428571434</v>
      </c>
      <c r="AI946" s="86">
        <f>AVERAGEIFS($J$2:J946, $B$2:B946, B946)</f>
        <v>0.5133928571428571</v>
      </c>
      <c r="AJ946" s="86">
        <f>AVERAGEIFS($D$2:D946, $B$2:B946, B946)</f>
        <v>0.5535714285714286</v>
      </c>
    </row>
    <row r="947" spans="1:36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1</v>
      </c>
      <c r="AD947">
        <v>0</v>
      </c>
      <c r="AE947">
        <v>0</v>
      </c>
      <c r="AF947">
        <v>0</v>
      </c>
      <c r="AG947" s="86">
        <f>AVERAGEIFS($C$2:C947, $B$2:B947, B947)</f>
        <v>22.763157894736842</v>
      </c>
      <c r="AH947" s="86">
        <f>AVERAGEIFS($I$2:I947, $B$2:B947, B947)</f>
        <v>0.5428947368421051</v>
      </c>
      <c r="AI947" s="86">
        <f>AVERAGEIFS($J$2:J947, $B$2:B947, B947)</f>
        <v>0.54105263157894745</v>
      </c>
      <c r="AJ947" s="86">
        <f>AVERAGEIFS($D$2:D947, $B$2:B947, B947)</f>
        <v>0.52631578947368418</v>
      </c>
    </row>
    <row r="948" spans="1:36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1</v>
      </c>
      <c r="AD948">
        <v>0</v>
      </c>
      <c r="AE948">
        <v>0</v>
      </c>
      <c r="AF948">
        <v>0</v>
      </c>
      <c r="AG948" s="86">
        <f>AVERAGEIFS($C$2:C948, $B$2:B948, B948)</f>
        <v>17.921052631578949</v>
      </c>
      <c r="AH948" s="86">
        <f>AVERAGEIFS($I$2:I948, $B$2:B948, B948)</f>
        <v>0.5657894736842104</v>
      </c>
      <c r="AI948" s="86">
        <f>AVERAGEIFS($J$2:J948, $B$2:B948, B948)</f>
        <v>0.52921052631578969</v>
      </c>
      <c r="AJ948" s="86">
        <f>AVERAGEIFS($D$2:D948, $B$2:B948, B948)</f>
        <v>0.52631578947368418</v>
      </c>
    </row>
    <row r="949" spans="1:36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1</v>
      </c>
      <c r="AD949">
        <v>0</v>
      </c>
      <c r="AE949">
        <v>0</v>
      </c>
      <c r="AF949">
        <v>0</v>
      </c>
      <c r="AG949" s="86">
        <f>AVERAGEIFS($C$2:C949, $B$2:B949, B949)</f>
        <v>18.307692307692307</v>
      </c>
      <c r="AH949" s="86">
        <f>AVERAGEIFS($I$2:I949, $B$2:B949, B949)</f>
        <v>0.51230769230769246</v>
      </c>
      <c r="AI949" s="86">
        <f>AVERAGEIFS($J$2:J949, $B$2:B949, B949)</f>
        <v>0.51692307692307682</v>
      </c>
      <c r="AJ949" s="86">
        <f>AVERAGEIFS($D$2:D949, $B$2:B949, B949)</f>
        <v>0.51282051282051277</v>
      </c>
    </row>
    <row r="950" spans="1:36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1</v>
      </c>
      <c r="AD950">
        <v>0</v>
      </c>
      <c r="AE950">
        <v>0</v>
      </c>
      <c r="AF950">
        <v>0</v>
      </c>
      <c r="AG950" s="86">
        <f>AVERAGEIFS($C$2:C950, $B$2:B950, B950)</f>
        <v>14.333333333333334</v>
      </c>
      <c r="AH950" s="86">
        <f>AVERAGEIFS($I$2:I950, $B$2:B950, B950)</f>
        <v>0.48333333333333339</v>
      </c>
      <c r="AI950" s="86">
        <f>AVERAGEIFS($J$2:J950, $B$2:B950, B950)</f>
        <v>0.54666666666666663</v>
      </c>
      <c r="AJ950" s="86">
        <f>AVERAGEIFS($D$2:D950, $B$2:B950, B950)</f>
        <v>0.33333333333333331</v>
      </c>
    </row>
    <row r="951" spans="1:36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1</v>
      </c>
      <c r="AD951">
        <v>0</v>
      </c>
      <c r="AE951">
        <v>0</v>
      </c>
      <c r="AF951">
        <v>0</v>
      </c>
      <c r="AG951" s="86">
        <f>AVERAGEIFS($C$2:C951, $B$2:B951, B951)</f>
        <v>12</v>
      </c>
      <c r="AH951" s="86">
        <f>AVERAGEIFS($I$2:I951, $B$2:B951, B951)</f>
        <v>0.33333333333333331</v>
      </c>
      <c r="AI951" s="86">
        <f>AVERAGEIFS($J$2:J951, $B$2:B951, B951)</f>
        <v>0.37111111111111111</v>
      </c>
      <c r="AJ951" s="86">
        <f>AVERAGEIFS($D$2:D951, $B$2:B951, B951)</f>
        <v>0.22222222222222221</v>
      </c>
    </row>
    <row r="952" spans="1:36" x14ac:dyDescent="0.25">
      <c r="A952" s="85">
        <v>46139</v>
      </c>
      <c r="B952" t="s">
        <v>179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1</v>
      </c>
      <c r="AD952">
        <v>0</v>
      </c>
      <c r="AE952">
        <v>0</v>
      </c>
      <c r="AF952">
        <v>0</v>
      </c>
      <c r="AG952" s="86">
        <f>AVERAGEIFS($C$2:C952, $B$2:B952, B952)</f>
        <v>16</v>
      </c>
      <c r="AH952" s="86">
        <f>AVERAGEIFS($I$2:I952, $B$2:B952, B952)</f>
        <v>0.4</v>
      </c>
      <c r="AI952" s="86">
        <f>AVERAGEIFS($J$2:J952, $B$2:B952, B952)</f>
        <v>0.46</v>
      </c>
      <c r="AJ952" s="86">
        <f>AVERAGEIFS($D$2:D952, $B$2:B952, B952)</f>
        <v>0</v>
      </c>
    </row>
    <row r="953" spans="1:36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1</v>
      </c>
      <c r="AD953">
        <v>0</v>
      </c>
      <c r="AE953">
        <v>0</v>
      </c>
      <c r="AF953">
        <v>0</v>
      </c>
      <c r="AG953" s="86">
        <f>AVERAGEIFS($C$2:C953, $B$2:B953, B953)</f>
        <v>7.8571428571428568</v>
      </c>
      <c r="AH953" s="86">
        <f>AVERAGEIFS($I$2:I953, $B$2:B953, B953)</f>
        <v>0.61428571428571421</v>
      </c>
      <c r="AI953" s="86">
        <f>AVERAGEIFS($J$2:J953, $B$2:B953, B953)</f>
        <v>0.53714285714285714</v>
      </c>
      <c r="AJ953" s="86">
        <f>AVERAGEIFS($D$2:D953, $B$2:B953, B953)</f>
        <v>0.5714285714285714</v>
      </c>
    </row>
    <row r="954" spans="1:36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 s="86">
        <f>AVERAGEIFS($C$2:C954, $B$2:B954, B954)</f>
        <v>26.888888888888889</v>
      </c>
      <c r="AH954" s="86">
        <f>AVERAGEIFS($I$2:I954, $B$2:B954, B954)</f>
        <v>0.48194444444444451</v>
      </c>
      <c r="AI954" s="86">
        <f>AVERAGEIFS($J$2:J954, $B$2:B954, B954)</f>
        <v>0.49277777777777793</v>
      </c>
      <c r="AJ954" s="86">
        <f>AVERAGEIFS($D$2:D954, $B$2:B954, B954)</f>
        <v>0.5</v>
      </c>
    </row>
    <row r="955" spans="1:36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 s="86">
        <f>AVERAGEIFS($C$2:C955, $B$2:B955, B955)</f>
        <v>22.589743589743591</v>
      </c>
      <c r="AH955" s="86">
        <f>AVERAGEIFS($I$2:I955, $B$2:B955, B955)</f>
        <v>0.53538461538461524</v>
      </c>
      <c r="AI955" s="86">
        <f>AVERAGEIFS($J$2:J955, $B$2:B955, B955)</f>
        <v>0.53923076923076929</v>
      </c>
      <c r="AJ955" s="86">
        <f>AVERAGEIFS($D$2:D955, $B$2:B955, B955)</f>
        <v>0.51282051282051277</v>
      </c>
    </row>
    <row r="956" spans="1:36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 s="86">
        <f>AVERAGEIFS($C$2:C956, $B$2:B956, B956)</f>
        <v>18.716666666666665</v>
      </c>
      <c r="AH956" s="86">
        <f>AVERAGEIFS($I$2:I956, $B$2:B956, B956)</f>
        <v>0.48166666666666652</v>
      </c>
      <c r="AI956" s="86">
        <f>AVERAGEIFS($J$2:J956, $B$2:B956, B956)</f>
        <v>0.4835000000000001</v>
      </c>
      <c r="AJ956" s="86">
        <f>AVERAGEIFS($D$2:D956, $B$2:B956, B956)</f>
        <v>0.41666666666666669</v>
      </c>
    </row>
    <row r="957" spans="1:36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 s="86">
        <f>AVERAGEIFS($C$2:C957, $B$2:B957, B957)</f>
        <v>14.73076923076923</v>
      </c>
      <c r="AH957" s="86">
        <f>AVERAGEIFS($I$2:I957, $B$2:B957, B957)</f>
        <v>0.48461538461538467</v>
      </c>
      <c r="AI957" s="86">
        <f>AVERAGEIFS($J$2:J957, $B$2:B957, B957)</f>
        <v>0.49384615384615393</v>
      </c>
      <c r="AJ957" s="86">
        <f>AVERAGEIFS($D$2:D957, $B$2:B957, B957)</f>
        <v>0.38461538461538464</v>
      </c>
    </row>
    <row r="958" spans="1:36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 s="86">
        <f>AVERAGEIFS($C$2:C958, $B$2:B958, B958)</f>
        <v>12.884615384615385</v>
      </c>
      <c r="AH958" s="86">
        <f>AVERAGEIFS($I$2:I958, $B$2:B958, B958)</f>
        <v>0.54807692307692313</v>
      </c>
      <c r="AI958" s="86">
        <f>AVERAGEIFS($J$2:J958, $B$2:B958, B958)</f>
        <v>0.53192307692307694</v>
      </c>
      <c r="AJ958" s="86">
        <f>AVERAGEIFS($D$2:D958, $B$2:B958, B958)</f>
        <v>0.5</v>
      </c>
    </row>
    <row r="959" spans="1:36" x14ac:dyDescent="0.25">
      <c r="A959" s="85">
        <v>46140</v>
      </c>
      <c r="B959" t="s">
        <v>179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 s="86">
        <f>AVERAGEIFS($C$2:C959, $B$2:B959, B959)</f>
        <v>13</v>
      </c>
      <c r="AH959" s="86">
        <f>AVERAGEIFS($I$2:I959, $B$2:B959, B959)</f>
        <v>0.32500000000000001</v>
      </c>
      <c r="AI959" s="86">
        <f>AVERAGEIFS($J$2:J959, $B$2:B959, B959)</f>
        <v>0.46499999999999997</v>
      </c>
      <c r="AJ959" s="86">
        <f>AVERAGEIFS($D$2:D959, $B$2:B959, B959)</f>
        <v>0</v>
      </c>
    </row>
    <row r="960" spans="1:36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1</v>
      </c>
      <c r="AC960">
        <v>0</v>
      </c>
      <c r="AD960">
        <v>0</v>
      </c>
      <c r="AE960">
        <v>0</v>
      </c>
      <c r="AF960">
        <v>0</v>
      </c>
      <c r="AG960" s="86">
        <f>AVERAGEIFS($C$2:C960, $B$2:B960, B960)</f>
        <v>24.939393939393938</v>
      </c>
      <c r="AH960" s="86">
        <f>AVERAGEIFS($I$2:I960, $B$2:B960, B960)</f>
        <v>0.44545454545454544</v>
      </c>
      <c r="AI960" s="86">
        <f>AVERAGEIFS($J$2:J960, $B$2:B960, B960)</f>
        <v>0.46606060606060601</v>
      </c>
      <c r="AJ960" s="86">
        <f>AVERAGEIFS($D$2:D960, $B$2:B960, B960)</f>
        <v>0.36363636363636365</v>
      </c>
    </row>
    <row r="961" spans="1:36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1</v>
      </c>
      <c r="AC961">
        <v>0</v>
      </c>
      <c r="AD961">
        <v>0</v>
      </c>
      <c r="AE961">
        <v>0</v>
      </c>
      <c r="AF961">
        <v>0</v>
      </c>
      <c r="AG961" s="86">
        <f>AVERAGEIFS($C$2:C961, $B$2:B961, B961)</f>
        <v>22.193548387096776</v>
      </c>
      <c r="AH961" s="86">
        <f>AVERAGEIFS($I$2:I961, $B$2:B961, B961)</f>
        <v>0.5270967741935485</v>
      </c>
      <c r="AI961" s="86">
        <f>AVERAGEIFS($J$2:J961, $B$2:B961, B961)</f>
        <v>0.51935483870967736</v>
      </c>
      <c r="AJ961" s="86">
        <f>AVERAGEIFS($D$2:D961, $B$2:B961, B961)</f>
        <v>0.59677419354838712</v>
      </c>
    </row>
    <row r="962" spans="1:36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1</v>
      </c>
      <c r="AC962">
        <v>0</v>
      </c>
      <c r="AD962">
        <v>0</v>
      </c>
      <c r="AE962">
        <v>0</v>
      </c>
      <c r="AF962">
        <v>0</v>
      </c>
      <c r="AG962" s="86">
        <f>AVERAGEIFS($C$2:C962, $B$2:B962, B962)</f>
        <v>18.523809523809526</v>
      </c>
      <c r="AH962" s="86">
        <f>AVERAGEIFS($I$2:I962, $B$2:B962, B962)</f>
        <v>0.45476190476190481</v>
      </c>
      <c r="AI962" s="86">
        <f>AVERAGEIFS($J$2:J962, $B$2:B962, B962)</f>
        <v>0.45214285714285701</v>
      </c>
      <c r="AJ962" s="86">
        <f>AVERAGEIFS($D$2:D962, $B$2:B962, B962)</f>
        <v>0.47619047619047616</v>
      </c>
    </row>
    <row r="963" spans="1:36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1</v>
      </c>
      <c r="AC963">
        <v>0</v>
      </c>
      <c r="AD963">
        <v>0</v>
      </c>
      <c r="AE963">
        <v>0</v>
      </c>
      <c r="AF963">
        <v>0</v>
      </c>
      <c r="AG963" s="86">
        <f>AVERAGEIFS($C$2:C963, $B$2:B963, B963)</f>
        <v>13.363636363636363</v>
      </c>
      <c r="AH963" s="86">
        <f>AVERAGEIFS($I$2:I963, $B$2:B963, B963)</f>
        <v>0.48181818181818181</v>
      </c>
      <c r="AI963" s="86">
        <f>AVERAGEIFS($J$2:J963, $B$2:B963, B963)</f>
        <v>0.50909090909090915</v>
      </c>
      <c r="AJ963" s="86">
        <f>AVERAGEIFS($D$2:D963, $B$2:B963, B963)</f>
        <v>0.63636363636363635</v>
      </c>
    </row>
    <row r="964" spans="1:36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1</v>
      </c>
      <c r="AC964">
        <v>0</v>
      </c>
      <c r="AD964">
        <v>0</v>
      </c>
      <c r="AE964">
        <v>0</v>
      </c>
      <c r="AF964">
        <v>0</v>
      </c>
      <c r="AG964" s="86">
        <f>AVERAGEIFS($C$2:C964, $B$2:B964, B964)</f>
        <v>15</v>
      </c>
      <c r="AH964" s="86">
        <f>AVERAGEIFS($I$2:I964, $B$2:B964, B964)</f>
        <v>0.55000000000000004</v>
      </c>
      <c r="AI964" s="86">
        <f>AVERAGEIFS($J$2:J964, $B$2:B964, B964)</f>
        <v>0.54249999999999998</v>
      </c>
      <c r="AJ964" s="86">
        <f>AVERAGEIFS($D$2:D964, $B$2:B964, B964)</f>
        <v>0.5</v>
      </c>
    </row>
    <row r="965" spans="1:36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1</v>
      </c>
      <c r="AC965">
        <v>0</v>
      </c>
      <c r="AD965">
        <v>0</v>
      </c>
      <c r="AE965">
        <v>0</v>
      </c>
      <c r="AF965">
        <v>0</v>
      </c>
      <c r="AG965" s="86">
        <f>AVERAGEIFS($C$2:C965, $B$2:B965, B965)</f>
        <v>12.535714285714286</v>
      </c>
      <c r="AH965" s="86">
        <f>AVERAGEIFS($I$2:I965, $B$2:B965, B965)</f>
        <v>0.46071428571428574</v>
      </c>
      <c r="AI965" s="86">
        <f>AVERAGEIFS($J$2:J965, $B$2:B965, B965)</f>
        <v>0.47214285714285709</v>
      </c>
      <c r="AJ965" s="86">
        <f>AVERAGEIFS($D$2:D965, $B$2:B965, B965)</f>
        <v>0.5</v>
      </c>
    </row>
    <row r="966" spans="1:36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1</v>
      </c>
      <c r="AB966">
        <v>1</v>
      </c>
      <c r="AC966">
        <v>0</v>
      </c>
      <c r="AD966">
        <v>0</v>
      </c>
      <c r="AE966">
        <v>0</v>
      </c>
      <c r="AF966">
        <v>1</v>
      </c>
      <c r="AG966" s="86">
        <f>AVERAGEIFS($C$2:C966, $B$2:B966, B966)</f>
        <v>20.103448275862068</v>
      </c>
      <c r="AH966" s="86">
        <f>AVERAGEIFS($I$2:I966, $B$2:B966, B966)</f>
        <v>0.60241379310344823</v>
      </c>
      <c r="AI966" s="86">
        <f>AVERAGEIFS($J$2:J966, $B$2:B966, B966)</f>
        <v>0.5475862068965518</v>
      </c>
      <c r="AJ966" s="86">
        <f>AVERAGEIFS($D$2:D966, $B$2:B966, B966)</f>
        <v>0.68965517241379315</v>
      </c>
    </row>
    <row r="967" spans="1:36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1</v>
      </c>
      <c r="AB967">
        <v>1</v>
      </c>
      <c r="AC967">
        <v>0</v>
      </c>
      <c r="AD967">
        <v>0</v>
      </c>
      <c r="AE967">
        <v>0</v>
      </c>
      <c r="AF967">
        <v>1</v>
      </c>
      <c r="AG967" s="86">
        <f>AVERAGEIFS($C$2:C967, $B$2:B967, B967)</f>
        <v>16.613636363636363</v>
      </c>
      <c r="AH967" s="86">
        <f>AVERAGEIFS($I$2:I967, $B$2:B967, B967)</f>
        <v>0.53863636363636358</v>
      </c>
      <c r="AI967" s="86">
        <f>AVERAGEIFS($J$2:J967, $B$2:B967, B967)</f>
        <v>0.53772727272727272</v>
      </c>
      <c r="AJ967" s="86">
        <f>AVERAGEIFS($D$2:D967, $B$2:B967, B967)</f>
        <v>0.63636363636363635</v>
      </c>
    </row>
    <row r="968" spans="1:36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1</v>
      </c>
      <c r="AB968">
        <v>1</v>
      </c>
      <c r="AC968">
        <v>0</v>
      </c>
      <c r="AD968">
        <v>0</v>
      </c>
      <c r="AE968">
        <v>0</v>
      </c>
      <c r="AF968">
        <v>1</v>
      </c>
      <c r="AG968" s="86">
        <f>AVERAGEIFS($C$2:C968, $B$2:B968, B968)</f>
        <v>22.158730158730158</v>
      </c>
      <c r="AH968" s="86">
        <f>AVERAGEIFS($I$2:I968, $B$2:B968, B968)</f>
        <v>0.53460317460317475</v>
      </c>
      <c r="AI968" s="86">
        <f>AVERAGEIFS($J$2:J968, $B$2:B968, B968)</f>
        <v>0.52126984126984122</v>
      </c>
      <c r="AJ968" s="86">
        <f>AVERAGEIFS($D$2:D968, $B$2:B968, B968)</f>
        <v>0.60317460317460314</v>
      </c>
    </row>
    <row r="969" spans="1:36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1</v>
      </c>
      <c r="AB969">
        <v>1</v>
      </c>
      <c r="AC969">
        <v>0</v>
      </c>
      <c r="AD969">
        <v>0</v>
      </c>
      <c r="AE969">
        <v>0</v>
      </c>
      <c r="AF969">
        <v>1</v>
      </c>
      <c r="AG969" s="86">
        <f>AVERAGEIFS($C$2:C969, $B$2:B969, B969)</f>
        <v>11.4</v>
      </c>
      <c r="AH969" s="86">
        <f>AVERAGEIFS($I$2:I969, $B$2:B969, B969)</f>
        <v>0.4</v>
      </c>
      <c r="AI969" s="86">
        <f>AVERAGEIFS($J$2:J969, $B$2:B969, B969)</f>
        <v>0.39800000000000002</v>
      </c>
      <c r="AJ969" s="86">
        <f>AVERAGEIFS($D$2:D969, $B$2:B969, B969)</f>
        <v>0.3</v>
      </c>
    </row>
    <row r="970" spans="1:36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1</v>
      </c>
      <c r="AB970">
        <v>1</v>
      </c>
      <c r="AC970">
        <v>0</v>
      </c>
      <c r="AD970">
        <v>0</v>
      </c>
      <c r="AE970">
        <v>0</v>
      </c>
      <c r="AF970">
        <v>1</v>
      </c>
      <c r="AG970" s="86">
        <f>AVERAGEIFS($C$2:C970, $B$2:B970, B970)</f>
        <v>14.555555555555555</v>
      </c>
      <c r="AH970" s="86">
        <f>AVERAGEIFS($I$2:I970, $B$2:B970, B970)</f>
        <v>0.50370370370370376</v>
      </c>
      <c r="AI970" s="86">
        <f>AVERAGEIFS($J$2:J970, $B$2:B970, B970)</f>
        <v>0.49925925925925935</v>
      </c>
      <c r="AJ970" s="86">
        <f>AVERAGEIFS($D$2:D970, $B$2:B970, B970)</f>
        <v>0.40740740740740738</v>
      </c>
    </row>
    <row r="971" spans="1:36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1</v>
      </c>
      <c r="AB971">
        <v>1</v>
      </c>
      <c r="AC971">
        <v>0</v>
      </c>
      <c r="AD971">
        <v>0</v>
      </c>
      <c r="AE971">
        <v>0</v>
      </c>
      <c r="AF971">
        <v>1</v>
      </c>
      <c r="AG971" s="86">
        <f>AVERAGEIFS($C$2:C971, $B$2:B971, B971)</f>
        <v>19.918918918918919</v>
      </c>
      <c r="AH971" s="86">
        <f>AVERAGEIFS($I$2:I971, $B$2:B971, B971)</f>
        <v>0.53837837837837843</v>
      </c>
      <c r="AI971" s="86">
        <f>AVERAGEIFS($J$2:J971, $B$2:B971, B971)</f>
        <v>0.49810810810810813</v>
      </c>
      <c r="AJ971" s="86">
        <f>AVERAGEIFS($D$2:D971, $B$2:B971, B971)</f>
        <v>0.56756756756756754</v>
      </c>
    </row>
    <row r="972" spans="1:36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 s="86">
        <f>AVERAGEIFS($C$2:C972, $B$2:B972, B972)</f>
        <v>22.274999999999999</v>
      </c>
      <c r="AH972" s="86">
        <f>AVERAGEIFS($I$2:I972, $B$2:B972, B972)</f>
        <v>0.52199999999999991</v>
      </c>
      <c r="AI972" s="86">
        <f>AVERAGEIFS($J$2:J972, $B$2:B972, B972)</f>
        <v>0.53475000000000006</v>
      </c>
      <c r="AJ972" s="86">
        <f>AVERAGEIFS($D$2:D972, $B$2:B972, B972)</f>
        <v>0.5</v>
      </c>
    </row>
    <row r="973" spans="1:36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 s="86">
        <f>AVERAGEIFS($C$2:C973, $B$2:B973, B973)</f>
        <v>23.842105263157894</v>
      </c>
      <c r="AH973" s="86">
        <f>AVERAGEIFS($I$2:I973, $B$2:B973, B973)</f>
        <v>0.53105263157894744</v>
      </c>
      <c r="AI973" s="86">
        <f>AVERAGEIFS($J$2:J973, $B$2:B973, B973)</f>
        <v>0.51070175438596488</v>
      </c>
      <c r="AJ973" s="86">
        <f>AVERAGEIFS($D$2:D973, $B$2:B973, B973)</f>
        <v>0.54385964912280704</v>
      </c>
    </row>
    <row r="974" spans="1:36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 s="86">
        <f>AVERAGEIFS($C$2:C974, $B$2:B974, B974)</f>
        <v>18.372093023255815</v>
      </c>
      <c r="AH974" s="86">
        <f>AVERAGEIFS($I$2:I974, $B$2:B974, B974)</f>
        <v>0.44418604651162796</v>
      </c>
      <c r="AI974" s="86">
        <f>AVERAGEIFS($J$2:J974, $B$2:B974, B974)</f>
        <v>0.44999999999999984</v>
      </c>
      <c r="AJ974" s="86">
        <f>AVERAGEIFS($D$2:D974, $B$2:B974, B974)</f>
        <v>0.46511627906976744</v>
      </c>
    </row>
    <row r="975" spans="1:36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 s="86">
        <f>AVERAGEIFS($C$2:C975, $B$2:B975, B975)</f>
        <v>17.846153846153847</v>
      </c>
      <c r="AH975" s="86">
        <f>AVERAGEIFS($I$2:I975, $B$2:B975, B975)</f>
        <v>0.55128205128205121</v>
      </c>
      <c r="AI975" s="86">
        <f>AVERAGEIFS($J$2:J975, $B$2:B975, B975)</f>
        <v>0.52487179487179503</v>
      </c>
      <c r="AJ975" s="86">
        <f>AVERAGEIFS($D$2:D975, $B$2:B975, B975)</f>
        <v>0.51282051282051277</v>
      </c>
    </row>
    <row r="976" spans="1:36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 s="86">
        <f>AVERAGEIFS($C$2:C976, $B$2:B976, B976)</f>
        <v>16.045454545454547</v>
      </c>
      <c r="AH976" s="86">
        <f>AVERAGEIFS($I$2:I976, $B$2:B976, B976)</f>
        <v>0.51022727272727275</v>
      </c>
      <c r="AI976" s="86">
        <f>AVERAGEIFS($J$2:J976, $B$2:B976, B976)</f>
        <v>0.51545454545454539</v>
      </c>
      <c r="AJ976" s="86">
        <f>AVERAGEIFS($D$2:D976, $B$2:B976, B976)</f>
        <v>0.56818181818181823</v>
      </c>
    </row>
    <row r="977" spans="1:36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 s="86">
        <f>AVERAGEIFS($C$2:C977, $B$2:B977, B977)</f>
        <v>12.275862068965518</v>
      </c>
      <c r="AH977" s="86">
        <f>AVERAGEIFS($I$2:I977, $B$2:B977, B977)</f>
        <v>0.44482758620689655</v>
      </c>
      <c r="AI977" s="86">
        <f>AVERAGEIFS($J$2:J977, $B$2:B977, B977)</f>
        <v>0.46827586206896543</v>
      </c>
      <c r="AJ977" s="86">
        <f>AVERAGEIFS($D$2:D977, $B$2:B977, B977)</f>
        <v>0.48275862068965519</v>
      </c>
    </row>
    <row r="978" spans="1:36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 s="86">
        <f>AVERAGEIFS($C$2:C978, $B$2:B978, B978)</f>
        <v>13.066666666666666</v>
      </c>
      <c r="AH978" s="86">
        <f>AVERAGEIFS($I$2:I978, $B$2:B978, B978)</f>
        <v>0.51</v>
      </c>
      <c r="AI978" s="86">
        <f>AVERAGEIFS($J$2:J978, $B$2:B978, B978)</f>
        <v>0.50266666666666671</v>
      </c>
      <c r="AJ978" s="86">
        <f>AVERAGEIFS($D$2:D978, $B$2:B978, B978)</f>
        <v>0.53333333333333333</v>
      </c>
    </row>
    <row r="979" spans="1:36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 s="86">
        <f>AVERAGEIFS($C$2:C979, $B$2:B979, B979)</f>
        <v>22.296875</v>
      </c>
      <c r="AH979" s="86">
        <f>AVERAGEIFS($I$2:I979, $B$2:B979, B979)</f>
        <v>0.53796875000000011</v>
      </c>
      <c r="AI979" s="86">
        <f>AVERAGEIFS($J$2:J979, $B$2:B979, B979)</f>
        <v>0.52249999999999996</v>
      </c>
      <c r="AJ979" s="86">
        <f>AVERAGEIFS($D$2:D979, $B$2:B979, B979)</f>
        <v>0.609375</v>
      </c>
    </row>
    <row r="980" spans="1:36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 s="86">
        <f>AVERAGEIFS($C$2:C980, $B$2:B980, B980)</f>
        <v>19.866666666666667</v>
      </c>
      <c r="AH980" s="86">
        <f>AVERAGEIFS($I$2:I980, $B$2:B980, B980)</f>
        <v>0.60733333333333328</v>
      </c>
      <c r="AI980" s="86">
        <f>AVERAGEIFS($J$2:J980, $B$2:B980, B980)</f>
        <v>0.54933333333333345</v>
      </c>
      <c r="AJ980" s="86">
        <f>AVERAGEIFS($D$2:D980, $B$2:B980, B980)</f>
        <v>0.7</v>
      </c>
    </row>
    <row r="981" spans="1:36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 s="86">
        <f>AVERAGEIFS($C$2:C981, $B$2:B981, B981)</f>
        <v>17.444444444444443</v>
      </c>
      <c r="AH981" s="86">
        <f>AVERAGEIFS($I$2:I981, $B$2:B981, B981)</f>
        <v>0.64999999999999991</v>
      </c>
      <c r="AI981" s="86">
        <f>AVERAGEIFS($J$2:J981, $B$2:B981, B981)</f>
        <v>0.5950000000000002</v>
      </c>
      <c r="AJ981" s="86">
        <f>AVERAGEIFS($D$2:D981, $B$2:B981, B981)</f>
        <v>0.66666666666666663</v>
      </c>
    </row>
    <row r="982" spans="1:36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 s="86">
        <f>AVERAGEIFS($C$2:C982, $B$2:B982, B982)</f>
        <v>18.655737704918032</v>
      </c>
      <c r="AH982" s="86">
        <f>AVERAGEIFS($I$2:I982, $B$2:B982, B982)</f>
        <v>0.48606557377049164</v>
      </c>
      <c r="AI982" s="86">
        <f>AVERAGEIFS($J$2:J982, $B$2:B982, B982)</f>
        <v>0.48540983606557386</v>
      </c>
      <c r="AJ982" s="86">
        <f>AVERAGEIFS($D$2:D982, $B$2:B982, B982)</f>
        <v>0.42622950819672129</v>
      </c>
    </row>
    <row r="983" spans="1:36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 s="86">
        <f>AVERAGEIFS($C$2:C983, $B$2:B983, B983)</f>
        <v>12.5</v>
      </c>
      <c r="AH983" s="86">
        <f>AVERAGEIFS($I$2:I983, $B$2:B983, B983)</f>
        <v>0.45500000000000002</v>
      </c>
      <c r="AI983" s="86">
        <f>AVERAGEIFS($J$2:J983, $B$2:B983, B983)</f>
        <v>0.47266666666666662</v>
      </c>
      <c r="AJ983" s="86">
        <f>AVERAGEIFS($D$2:D983, $B$2:B983, B983)</f>
        <v>0.5</v>
      </c>
    </row>
    <row r="984" spans="1:36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 s="86">
        <f>AVERAGEIFS($C$2:C984, $B$2:B984, B984)</f>
        <v>12.814814814814815</v>
      </c>
      <c r="AH984" s="86">
        <f>AVERAGEIFS($I$2:I984, $B$2:B984, B984)</f>
        <v>0.53703703703703709</v>
      </c>
      <c r="AI984" s="86">
        <f>AVERAGEIFS($J$2:J984, $B$2:B984, B984)</f>
        <v>0.52703703703703708</v>
      </c>
      <c r="AJ984" s="86">
        <f>AVERAGEIFS($D$2:D984, $B$2:B984, B984)</f>
        <v>0.48148148148148145</v>
      </c>
    </row>
    <row r="985" spans="1:36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 s="86">
        <f>AVERAGEIFS($C$2:C985, $B$2:B985, B985)</f>
        <v>27.081081081081081</v>
      </c>
      <c r="AH985" s="86">
        <f>AVERAGEIFS($I$2:I985, $B$2:B985, B985)</f>
        <v>0.4756756756756757</v>
      </c>
      <c r="AI985" s="86">
        <f>AVERAGEIFS($J$2:J985, $B$2:B985, B985)</f>
        <v>0.49027027027027037</v>
      </c>
      <c r="AJ985" s="86">
        <f>AVERAGEIFS($D$2:D985, $B$2:B985, B985)</f>
        <v>0.48648648648648651</v>
      </c>
    </row>
    <row r="986" spans="1:36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 s="86">
        <f>AVERAGEIFS($C$2:C986, $B$2:B986, B986)</f>
        <v>17.975000000000001</v>
      </c>
      <c r="AH986" s="86">
        <f>AVERAGEIFS($I$2:I986, $B$2:B986, B986)</f>
        <v>0.50575000000000014</v>
      </c>
      <c r="AI986" s="86">
        <f>AVERAGEIFS($J$2:J986, $B$2:B986, B986)</f>
        <v>0.5139999999999999</v>
      </c>
      <c r="AJ986" s="86">
        <f>AVERAGEIFS($D$2:D986, $B$2:B986, B986)</f>
        <v>0.5</v>
      </c>
    </row>
    <row r="987" spans="1:36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 s="86">
        <f>AVERAGEIFS($C$2:C987, $B$2:B987, B987)</f>
        <v>18.613636363636363</v>
      </c>
      <c r="AH987" s="86">
        <f>AVERAGEIFS($I$2:I987, $B$2:B987, B987)</f>
        <v>0.43977272727272732</v>
      </c>
      <c r="AI987" s="86">
        <f>AVERAGEIFS($J$2:J987, $B$2:B987, B987)</f>
        <v>0.44886363636363619</v>
      </c>
      <c r="AJ987" s="86">
        <f>AVERAGEIFS($D$2:D987, $B$2:B987, B987)</f>
        <v>0.45454545454545453</v>
      </c>
    </row>
    <row r="988" spans="1:36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 s="86">
        <f>AVERAGEIFS($C$2:C988, $B$2:B988, B988)</f>
        <v>13.916666666666666</v>
      </c>
      <c r="AH988" s="86">
        <f>AVERAGEIFS($I$2:I988, $B$2:B988, B988)</f>
        <v>0.46249999999999997</v>
      </c>
      <c r="AI988" s="86">
        <f>AVERAGEIFS($J$2:J988, $B$2:B988, B988)</f>
        <v>0.50000000000000011</v>
      </c>
      <c r="AJ988" s="86">
        <f>AVERAGEIFS($D$2:D988, $B$2:B988, B988)</f>
        <v>0.58333333333333337</v>
      </c>
    </row>
    <row r="989" spans="1:36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 s="86">
        <f>AVERAGEIFS($C$2:C989, $B$2:B989, B989)</f>
        <v>11.125</v>
      </c>
      <c r="AH989" s="86">
        <f>AVERAGEIFS($I$2:I989, $B$2:B989, B989)</f>
        <v>0.50625000000000009</v>
      </c>
      <c r="AI989" s="86">
        <f>AVERAGEIFS($J$2:J989, $B$2:B989, B989)</f>
        <v>0.50624999999999998</v>
      </c>
      <c r="AJ989" s="86">
        <f>AVERAGEIFS($D$2:D989, $B$2:B989, B989)</f>
        <v>0.625</v>
      </c>
    </row>
    <row r="990" spans="1:36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1</v>
      </c>
      <c r="AC990">
        <v>0</v>
      </c>
      <c r="AD990">
        <v>1</v>
      </c>
      <c r="AE990">
        <v>0</v>
      </c>
      <c r="AF990">
        <v>0</v>
      </c>
      <c r="AG990" s="86">
        <f>AVERAGEIFS($C$2:C990, $B$2:B990, B990)</f>
        <v>27.263157894736842</v>
      </c>
      <c r="AH990" s="86">
        <f>AVERAGEIFS($I$2:I990, $B$2:B990, B990)</f>
        <v>0.48289473684210532</v>
      </c>
      <c r="AI990" s="86">
        <f>AVERAGEIFS($J$2:J990, $B$2:B990, B990)</f>
        <v>0.4944736842105264</v>
      </c>
      <c r="AJ990" s="86">
        <f>AVERAGEIFS($D$2:D990, $B$2:B990, B990)</f>
        <v>0.5</v>
      </c>
    </row>
    <row r="991" spans="1:36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1</v>
      </c>
      <c r="AC991">
        <v>0</v>
      </c>
      <c r="AD991">
        <v>1</v>
      </c>
      <c r="AE991">
        <v>0</v>
      </c>
      <c r="AF991">
        <v>0</v>
      </c>
      <c r="AG991" s="86">
        <f>AVERAGEIFS($C$2:C991, $B$2:B991, B991)</f>
        <v>22.390243902439025</v>
      </c>
      <c r="AH991" s="86">
        <f>AVERAGEIFS($I$2:I991, $B$2:B991, B991)</f>
        <v>0.52756097560975601</v>
      </c>
      <c r="AI991" s="86">
        <f>AVERAGEIFS($J$2:J991, $B$2:B991, B991)</f>
        <v>0.53756097560975613</v>
      </c>
      <c r="AJ991" s="86">
        <f>AVERAGEIFS($D$2:D991, $B$2:B991, B991)</f>
        <v>0.51219512195121952</v>
      </c>
    </row>
    <row r="992" spans="1:36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1</v>
      </c>
      <c r="AC992">
        <v>0</v>
      </c>
      <c r="AD992">
        <v>1</v>
      </c>
      <c r="AE992">
        <v>0</v>
      </c>
      <c r="AF992">
        <v>0</v>
      </c>
      <c r="AG992" s="86">
        <f>AVERAGEIFS($C$2:C992, $B$2:B992, B992)</f>
        <v>18.79032258064516</v>
      </c>
      <c r="AH992" s="86">
        <f>AVERAGEIFS($I$2:I992, $B$2:B992, B992)</f>
        <v>0.49032258064516115</v>
      </c>
      <c r="AI992" s="86">
        <f>AVERAGEIFS($J$2:J992, $B$2:B992, B992)</f>
        <v>0.48806451612903234</v>
      </c>
      <c r="AJ992" s="86">
        <f>AVERAGEIFS($D$2:D992, $B$2:B992, B992)</f>
        <v>0.43548387096774194</v>
      </c>
    </row>
    <row r="993" spans="1:36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1</v>
      </c>
      <c r="AC993">
        <v>0</v>
      </c>
      <c r="AD993">
        <v>1</v>
      </c>
      <c r="AE993">
        <v>0</v>
      </c>
      <c r="AF993">
        <v>0</v>
      </c>
      <c r="AG993" s="86">
        <f>AVERAGEIFS($C$2:C993, $B$2:B993, B993)</f>
        <v>18.533333333333335</v>
      </c>
      <c r="AH993" s="86">
        <f>AVERAGEIFS($I$2:I993, $B$2:B993, B993)</f>
        <v>0.44666666666666671</v>
      </c>
      <c r="AI993" s="86">
        <f>AVERAGEIFS($J$2:J993, $B$2:B993, B993)</f>
        <v>0.45333333333333314</v>
      </c>
      <c r="AJ993" s="86">
        <f>AVERAGEIFS($D$2:D993, $B$2:B993, B993)</f>
        <v>0.46666666666666667</v>
      </c>
    </row>
    <row r="994" spans="1:36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1</v>
      </c>
      <c r="AC994">
        <v>0</v>
      </c>
      <c r="AD994">
        <v>1</v>
      </c>
      <c r="AE994">
        <v>0</v>
      </c>
      <c r="AF994">
        <v>0</v>
      </c>
      <c r="AG994" s="86">
        <f>AVERAGEIFS($C$2:C994, $B$2:B994, B994)</f>
        <v>12.678571428571429</v>
      </c>
      <c r="AH994" s="86">
        <f>AVERAGEIFS($I$2:I994, $B$2:B994, B994)</f>
        <v>0.5446428571428571</v>
      </c>
      <c r="AI994" s="86">
        <f>AVERAGEIFS($J$2:J994, $B$2:B994, B994)</f>
        <v>0.53142857142857147</v>
      </c>
      <c r="AJ994" s="86">
        <f>AVERAGEIFS($D$2:D994, $B$2:B994, B994)</f>
        <v>0.5</v>
      </c>
    </row>
    <row r="995" spans="1:36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1</v>
      </c>
      <c r="AC995">
        <v>0</v>
      </c>
      <c r="AD995">
        <v>1</v>
      </c>
      <c r="AE995">
        <v>0</v>
      </c>
      <c r="AF995">
        <v>0</v>
      </c>
      <c r="AG995" s="86">
        <f>AVERAGEIFS($C$2:C995, $B$2:B995, B995)</f>
        <v>13.724137931034482</v>
      </c>
      <c r="AH995" s="86">
        <f>AVERAGEIFS($I$2:I995, $B$2:B995, B995)</f>
        <v>0.44413793103448274</v>
      </c>
      <c r="AI995" s="86">
        <f>AVERAGEIFS($J$2:J995, $B$2:B995, B995)</f>
        <v>0.46379310344827579</v>
      </c>
      <c r="AJ995" s="86">
        <f>AVERAGEIFS($D$2:D995, $B$2:B995, B995)</f>
        <v>0.41379310344827586</v>
      </c>
    </row>
    <row r="996" spans="1:36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1</v>
      </c>
      <c r="AC996">
        <v>0</v>
      </c>
      <c r="AD996">
        <v>1</v>
      </c>
      <c r="AE996">
        <v>0</v>
      </c>
      <c r="AF996">
        <v>0</v>
      </c>
      <c r="AG996" s="86">
        <f>AVERAGEIFS($C$2:C996, $B$2:B996, B996)</f>
        <v>14</v>
      </c>
      <c r="AH996" s="86">
        <f>AVERAGEIFS($I$2:I996, $B$2:B996, B996)</f>
        <v>0.48461538461538461</v>
      </c>
      <c r="AI996" s="86">
        <f>AVERAGEIFS($J$2:J996, $B$2:B996, B996)</f>
        <v>0.51153846153846161</v>
      </c>
      <c r="AJ996" s="86">
        <f>AVERAGEIFS($D$2:D996, $B$2:B996, B996)</f>
        <v>0.61538461538461542</v>
      </c>
    </row>
    <row r="997" spans="1:36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1</v>
      </c>
      <c r="AF997">
        <v>0</v>
      </c>
      <c r="AG997" s="86">
        <f>AVERAGEIFS($C$2:C997, $B$2:B997, B997)</f>
        <v>24.941176470588236</v>
      </c>
      <c r="AH997" s="86">
        <f>AVERAGEIFS($I$2:I997, $B$2:B997, B997)</f>
        <v>0.43970588235294117</v>
      </c>
      <c r="AI997" s="86">
        <f>AVERAGEIFS($J$2:J997, $B$2:B997, B997)</f>
        <v>0.46264705882352936</v>
      </c>
      <c r="AJ997" s="86">
        <f>AVERAGEIFS($D$2:D997, $B$2:B997, B997)</f>
        <v>0.35294117647058826</v>
      </c>
    </row>
    <row r="998" spans="1:36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1</v>
      </c>
      <c r="AF998">
        <v>0</v>
      </c>
      <c r="AG998" s="86">
        <f>AVERAGEIFS($C$2:C998, $B$2:B998, B998)</f>
        <v>22.323076923076922</v>
      </c>
      <c r="AH998" s="86">
        <f>AVERAGEIFS($I$2:I998, $B$2:B998, B998)</f>
        <v>0.53353846153846163</v>
      </c>
      <c r="AI998" s="86">
        <f>AVERAGEIFS($J$2:J998, $B$2:B998, B998)</f>
        <v>0.51984615384615385</v>
      </c>
      <c r="AJ998" s="86">
        <f>AVERAGEIFS($D$2:D998, $B$2:B998, B998)</f>
        <v>0.6</v>
      </c>
    </row>
    <row r="999" spans="1:36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1</v>
      </c>
      <c r="AF999">
        <v>0</v>
      </c>
      <c r="AG999" s="86">
        <f>AVERAGEIFS($C$2:C999, $B$2:B999, B999)</f>
        <v>14.75</v>
      </c>
      <c r="AH999" s="86">
        <f>AVERAGEIFS($I$2:I999, $B$2:B999, B999)</f>
        <v>0.49464285714285722</v>
      </c>
      <c r="AI999" s="86">
        <f>AVERAGEIFS($J$2:J999, $B$2:B999, B999)</f>
        <v>0.49392857142857149</v>
      </c>
      <c r="AJ999" s="86">
        <f>AVERAGEIFS($D$2:D999, $B$2:B999, B999)</f>
        <v>0.39285714285714285</v>
      </c>
    </row>
    <row r="1000" spans="1:36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1</v>
      </c>
      <c r="AF1000">
        <v>0</v>
      </c>
      <c r="AG1000" s="86">
        <f>AVERAGEIFS($C$2:C1000, $B$2:B1000, B1000)</f>
        <v>9</v>
      </c>
      <c r="AH1000" s="86">
        <f>AVERAGEIFS($I$2:I1000, $B$2:B1000, B1000)</f>
        <v>0.56874999999999998</v>
      </c>
      <c r="AI1000" s="86">
        <f>AVERAGEIFS($J$2:J1000, $B$2:B1000, B1000)</f>
        <v>0.51374999999999993</v>
      </c>
      <c r="AJ1000" s="86">
        <f>AVERAGEIFS($D$2:D1000, $B$2:B1000, B1000)</f>
        <v>0.5</v>
      </c>
    </row>
    <row r="1001" spans="1:36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1</v>
      </c>
      <c r="AF1001">
        <v>0</v>
      </c>
      <c r="AG1001" s="86">
        <f>AVERAGEIFS($C$2:C1001, $B$2:B1001, B1001)</f>
        <v>14.117647058823529</v>
      </c>
      <c r="AH1001" s="86">
        <f>AVERAGEIFS($I$2:I1001, $B$2:B1001, B1001)</f>
        <v>0.49705882352941172</v>
      </c>
      <c r="AI1001" s="86">
        <f>AVERAGEIFS($J$2:J1001, $B$2:B1001, B1001)</f>
        <v>0.49705882352941172</v>
      </c>
      <c r="AJ1001" s="86">
        <f>AVERAGEIFS($D$2:D1001, $B$2:B1001, B1001)</f>
        <v>0.41176470588235292</v>
      </c>
    </row>
    <row r="1002" spans="1:36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1</v>
      </c>
      <c r="AF1002">
        <v>0</v>
      </c>
      <c r="AG1002" s="86">
        <f>AVERAGEIFS($C$2:C1002, $B$2:B1002, B1002)</f>
        <v>19.710526315789473</v>
      </c>
      <c r="AH1002" s="86">
        <f>AVERAGEIFS($I$2:I1002, $B$2:B1002, B1002)</f>
        <v>0.53078947368421059</v>
      </c>
      <c r="AI1002" s="86">
        <f>AVERAGEIFS($J$2:J1002, $B$2:B1002, B1002)</f>
        <v>0.49421052631578949</v>
      </c>
      <c r="AJ1002" s="86">
        <f>AVERAGEIFS($D$2:D1002, $B$2:B1002, B1002)</f>
        <v>0.55263157894736847</v>
      </c>
    </row>
    <row r="1003" spans="1:36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1</v>
      </c>
      <c r="AF1003">
        <v>0</v>
      </c>
      <c r="AG1003" s="86">
        <f>AVERAGEIFS($C$2:C1003, $B$2:B1003, B1003)</f>
        <v>17.902439024390244</v>
      </c>
      <c r="AH1003" s="86">
        <f>AVERAGEIFS($I$2:I1003, $B$2:B1003, B1003)</f>
        <v>0.49951219512195133</v>
      </c>
      <c r="AI1003" s="86">
        <f>AVERAGEIFS($J$2:J1003, $B$2:B1003, B1003)</f>
        <v>0.5099999999999999</v>
      </c>
      <c r="AJ1003" s="86">
        <f>AVERAGEIFS($D$2:D1003, $B$2:B1003, B1003)</f>
        <v>0.48780487804878048</v>
      </c>
    </row>
    <row r="1004" spans="1:36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1</v>
      </c>
      <c r="AC1004">
        <v>0</v>
      </c>
      <c r="AD1004">
        <v>0</v>
      </c>
      <c r="AE1004">
        <v>0</v>
      </c>
      <c r="AF1004">
        <v>1</v>
      </c>
      <c r="AG1004" s="86">
        <f>AVERAGEIFS($C$2:C1004, $B$2:B1004, B1004)</f>
        <v>19.923076923076923</v>
      </c>
      <c r="AH1004" s="86">
        <f>AVERAGEIFS($I$2:I1004, $B$2:B1004, B1004)</f>
        <v>0.53641025641025641</v>
      </c>
      <c r="AI1004" s="86">
        <f>AVERAGEIFS($J$2:J1004, $B$2:B1004, B1004)</f>
        <v>0.49871794871794878</v>
      </c>
      <c r="AJ1004" s="86">
        <f>AVERAGEIFS($D$2:D1004, $B$2:B1004, B1004)</f>
        <v>0.5641025641025641</v>
      </c>
    </row>
    <row r="1005" spans="1:36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1</v>
      </c>
      <c r="AC1005">
        <v>0</v>
      </c>
      <c r="AD1005">
        <v>0</v>
      </c>
      <c r="AE1005">
        <v>0</v>
      </c>
      <c r="AF1005">
        <v>1</v>
      </c>
      <c r="AG1005" s="86">
        <f>AVERAGEIFS($C$2:C1005, $B$2:B1005, B1005)</f>
        <v>17.88095238095238</v>
      </c>
      <c r="AH1005" s="86">
        <f>AVERAGEIFS($I$2:I1005, $B$2:B1005, B1005)</f>
        <v>0.50547619047619052</v>
      </c>
      <c r="AI1005" s="86">
        <f>AVERAGEIFS($J$2:J1005, $B$2:B1005, B1005)</f>
        <v>0.51380952380952372</v>
      </c>
      <c r="AJ1005" s="86">
        <f>AVERAGEIFS($D$2:D1005, $B$2:B1005, B1005)</f>
        <v>0.5</v>
      </c>
    </row>
    <row r="1006" spans="1:36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1</v>
      </c>
      <c r="AC1006">
        <v>0</v>
      </c>
      <c r="AD1006">
        <v>0</v>
      </c>
      <c r="AE1006">
        <v>0</v>
      </c>
      <c r="AF1006">
        <v>1</v>
      </c>
      <c r="AG1006" s="86">
        <f>AVERAGEIFS($C$2:C1006, $B$2:B1006, B1006)</f>
        <v>23.706896551724139</v>
      </c>
      <c r="AH1006" s="86">
        <f>AVERAGEIFS($I$2:I1006, $B$2:B1006, B1006)</f>
        <v>0.53482758620689663</v>
      </c>
      <c r="AI1006" s="86">
        <f>AVERAGEIFS($J$2:J1006, $B$2:B1006, B1006)</f>
        <v>0.51344827586206887</v>
      </c>
      <c r="AJ1006" s="86">
        <f>AVERAGEIFS($D$2:D1006, $B$2:B1006, B1006)</f>
        <v>0.55172413793103448</v>
      </c>
    </row>
    <row r="1007" spans="1:36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1</v>
      </c>
      <c r="AC1007">
        <v>0</v>
      </c>
      <c r="AD1007">
        <v>0</v>
      </c>
      <c r="AE1007">
        <v>0</v>
      </c>
      <c r="AF1007">
        <v>1</v>
      </c>
      <c r="AG1007" s="86">
        <f>AVERAGEIFS($C$2:C1007, $B$2:B1007, B1007)</f>
        <v>19.741935483870968</v>
      </c>
      <c r="AH1007" s="86">
        <f>AVERAGEIFS($I$2:I1007, $B$2:B1007, B1007)</f>
        <v>0.61193548387096774</v>
      </c>
      <c r="AI1007" s="86">
        <f>AVERAGEIFS($J$2:J1007, $B$2:B1007, B1007)</f>
        <v>0.55322580645161312</v>
      </c>
      <c r="AJ1007" s="86">
        <f>AVERAGEIFS($D$2:D1007, $B$2:B1007, B1007)</f>
        <v>0.70967741935483875</v>
      </c>
    </row>
    <row r="1008" spans="1:36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1</v>
      </c>
      <c r="AC1008">
        <v>0</v>
      </c>
      <c r="AD1008">
        <v>0</v>
      </c>
      <c r="AE1008">
        <v>0</v>
      </c>
      <c r="AF1008">
        <v>1</v>
      </c>
      <c r="AG1008" s="86">
        <f>AVERAGEIFS($C$2:C1008, $B$2:B1008, B1008)</f>
        <v>9.4444444444444446</v>
      </c>
      <c r="AH1008" s="86">
        <f>AVERAGEIFS($I$2:I1008, $B$2:B1008, B1008)</f>
        <v>0.58888888888888891</v>
      </c>
      <c r="AI1008" s="86">
        <f>AVERAGEIFS($J$2:J1008, $B$2:B1008, B1008)</f>
        <v>0.53111111111111109</v>
      </c>
      <c r="AJ1008" s="86">
        <f>AVERAGEIFS($D$2:D1008, $B$2:B1008, B1008)</f>
        <v>0.55555555555555558</v>
      </c>
    </row>
    <row r="1009" spans="1:36" x14ac:dyDescent="0.25">
      <c r="A1009" s="85">
        <v>46146</v>
      </c>
      <c r="B1009" t="s">
        <v>180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1</v>
      </c>
      <c r="AC1009">
        <v>0</v>
      </c>
      <c r="AD1009">
        <v>0</v>
      </c>
      <c r="AE1009">
        <v>0</v>
      </c>
      <c r="AF1009">
        <v>1</v>
      </c>
      <c r="AG1009" s="86">
        <f>AVERAGEIFS($C$2:C1009, $B$2:B1009, B1009)</f>
        <v>11</v>
      </c>
      <c r="AH1009" s="86">
        <f>AVERAGEIFS($I$2:I1009, $B$2:B1009, B1009)</f>
        <v>0.75</v>
      </c>
      <c r="AI1009" s="86">
        <f>AVERAGEIFS($J$2:J1009, $B$2:B1009, B1009)</f>
        <v>0.67</v>
      </c>
      <c r="AJ1009" s="86">
        <f>AVERAGEIFS($D$2:D1009, $B$2:B1009, B1009)</f>
        <v>1</v>
      </c>
    </row>
    <row r="1010" spans="1:36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 s="86">
        <f>AVERAGEIFS($C$2:C1010, $B$2:B1010, B1010)</f>
        <v>14.071428571428571</v>
      </c>
      <c r="AH1010" s="86">
        <f>AVERAGEIFS($I$2:I1010, $B$2:B1010, B1010)</f>
        <v>0.46785714285714286</v>
      </c>
      <c r="AI1010" s="86">
        <f>AVERAGEIFS($J$2:J1010, $B$2:B1010, B1010)</f>
        <v>0.49857142857142867</v>
      </c>
      <c r="AJ1010" s="86">
        <f>AVERAGEIFS($D$2:D1010, $B$2:B1010, B1010)</f>
        <v>0.5714285714285714</v>
      </c>
    </row>
    <row r="1011" spans="1:36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 s="86">
        <f>AVERAGEIFS($C$2:C1011, $B$2:B1011, B1011)</f>
        <v>12.724137931034482</v>
      </c>
      <c r="AH1011" s="86">
        <f>AVERAGEIFS($I$2:I1011, $B$2:B1011, B1011)</f>
        <v>0.53448275862068961</v>
      </c>
      <c r="AI1011" s="86">
        <f>AVERAGEIFS($J$2:J1011, $B$2:B1011, B1011)</f>
        <v>0.52448275862068972</v>
      </c>
      <c r="AJ1011" s="86">
        <f>AVERAGEIFS($D$2:D1011, $B$2:B1011, B1011)</f>
        <v>0.48275862068965519</v>
      </c>
    </row>
    <row r="1012" spans="1:36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 s="86">
        <f>AVERAGEIFS($C$2:C1012, $B$2:B1012, B1012)</f>
        <v>17.263157894736842</v>
      </c>
      <c r="AH1012" s="86">
        <f>AVERAGEIFS($I$2:I1012, $B$2:B1012, B1012)</f>
        <v>0.62894736842105259</v>
      </c>
      <c r="AI1012" s="86">
        <f>AVERAGEIFS($J$2:J1012, $B$2:B1012, B1012)</f>
        <v>0.58105263157894749</v>
      </c>
      <c r="AJ1012" s="86">
        <f>AVERAGEIFS($D$2:D1012, $B$2:B1012, B1012)</f>
        <v>0.63157894736842102</v>
      </c>
    </row>
    <row r="1013" spans="1:36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 s="86">
        <f>AVERAGEIFS($C$2:C1013, $B$2:B1013, B1013)</f>
        <v>24.62857142857143</v>
      </c>
      <c r="AH1013" s="86">
        <f>AVERAGEIFS($I$2:I1013, $B$2:B1013, B1013)</f>
        <v>0.43428571428571427</v>
      </c>
      <c r="AI1013" s="86">
        <f>AVERAGEIFS($J$2:J1013, $B$2:B1013, B1013)</f>
        <v>0.4588571428571428</v>
      </c>
      <c r="AJ1013" s="86">
        <f>AVERAGEIFS($D$2:D1013, $B$2:B1013, B1013)</f>
        <v>0.34285714285714286</v>
      </c>
    </row>
    <row r="1014" spans="1:36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 s="86">
        <f>AVERAGEIFS($C$2:C1014, $B$2:B1014, B1014)</f>
        <v>18.347826086956523</v>
      </c>
      <c r="AH1014" s="86">
        <f>AVERAGEIFS($I$2:I1014, $B$2:B1014, B1014)</f>
        <v>0.44239130434782614</v>
      </c>
      <c r="AI1014" s="86">
        <f>AVERAGEIFS($J$2:J1014, $B$2:B1014, B1014)</f>
        <v>0.45065217391304324</v>
      </c>
      <c r="AJ1014" s="86">
        <f>AVERAGEIFS($D$2:D1014, $B$2:B1014, B1014)</f>
        <v>0.45652173913043476</v>
      </c>
    </row>
    <row r="1015" spans="1:36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 s="86">
        <f>AVERAGEIFS($C$2:C1015, $B$2:B1015, B1015)</f>
        <v>13</v>
      </c>
      <c r="AH1015" s="86">
        <f>AVERAGEIFS($I$2:I1015, $B$2:B1015, B1015)</f>
        <v>0.49000000000000005</v>
      </c>
      <c r="AI1015" s="86">
        <f>AVERAGEIFS($J$2:J1015, $B$2:B1015, B1015)</f>
        <v>0.5</v>
      </c>
      <c r="AJ1015" s="86">
        <f>AVERAGEIFS($D$2:D1015, $B$2:B1015, B1015)</f>
        <v>0.4</v>
      </c>
    </row>
    <row r="1016" spans="1:36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 s="86">
        <f>AVERAGEIFS($C$2:C1016, $B$2:B1016, B1016)</f>
        <v>18.777777777777779</v>
      </c>
      <c r="AH1016" s="86">
        <f>AVERAGEIFS($I$2:I1016, $B$2:B1016, B1016)</f>
        <v>0.48253968253968238</v>
      </c>
      <c r="AI1016" s="86">
        <f>AVERAGEIFS($J$2:J1016, $B$2:B1016, B1016)</f>
        <v>0.4852380952380953</v>
      </c>
      <c r="AJ1016" s="86">
        <f>AVERAGEIFS($D$2:D1016, $B$2:B1016, B1016)</f>
        <v>0.42857142857142855</v>
      </c>
    </row>
    <row r="1017" spans="1:36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 s="86">
        <f>AVERAGEIFS($C$2:C1017, $B$2:B1017, B1017)</f>
        <v>23.745762711864408</v>
      </c>
      <c r="AH1017" s="86">
        <f>AVERAGEIFS($I$2:I1017, $B$2:B1017, B1017)</f>
        <v>0.52576271186440682</v>
      </c>
      <c r="AI1017" s="86">
        <f>AVERAGEIFS($J$2:J1017, $B$2:B1017, B1017)</f>
        <v>0.5099999999999999</v>
      </c>
      <c r="AJ1017" s="86">
        <f>AVERAGEIFS($D$2:D1017, $B$2:B1017, B1017)</f>
        <v>0.5423728813559322</v>
      </c>
    </row>
    <row r="1018" spans="1:36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 s="86">
        <f>AVERAGEIFS($C$2:C1018, $B$2:B1018, B1018)</f>
        <v>22.30952380952381</v>
      </c>
      <c r="AH1018" s="86">
        <f>AVERAGEIFS($I$2:I1018, $B$2:B1018, B1018)</f>
        <v>0.5149999999999999</v>
      </c>
      <c r="AI1018" s="86">
        <f>AVERAGEIFS($J$2:J1018, $B$2:B1018, B1018)</f>
        <v>0.53214285714285714</v>
      </c>
      <c r="AJ1018" s="86">
        <f>AVERAGEIFS($D$2:D1018, $B$2:B1018, B1018)</f>
        <v>0.5</v>
      </c>
    </row>
    <row r="1019" spans="1:36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 s="86">
        <f>AVERAGEIFS($C$2:C1019, $B$2:B1019, B1019)</f>
        <v>17.774999999999999</v>
      </c>
      <c r="AH1019" s="86">
        <f>AVERAGEIFS($I$2:I1019, $B$2:B1019, B1019)</f>
        <v>0.53749999999999987</v>
      </c>
      <c r="AI1019" s="86">
        <f>AVERAGEIFS($J$2:J1019, $B$2:B1019, B1019)</f>
        <v>0.51950000000000007</v>
      </c>
      <c r="AJ1019" s="86">
        <f>AVERAGEIFS($D$2:D1019, $B$2:B1019, B1019)</f>
        <v>0.5</v>
      </c>
    </row>
    <row r="1020" spans="1:36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 s="86">
        <f>AVERAGEIFS($C$2:C1020, $B$2:B1020, B1020)</f>
        <v>14.793103448275861</v>
      </c>
      <c r="AH1020" s="86">
        <f>AVERAGEIFS($I$2:I1020, $B$2:B1020, B1020)</f>
        <v>0.47758620689655179</v>
      </c>
      <c r="AI1020" s="86">
        <f>AVERAGEIFS($J$2:J1020, $B$2:B1020, B1020)</f>
        <v>0.4875862068965518</v>
      </c>
      <c r="AJ1020" s="86">
        <f>AVERAGEIFS($D$2:D1020, $B$2:B1020, B1020)</f>
        <v>0.37931034482758619</v>
      </c>
    </row>
    <row r="1021" spans="1:36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 s="86">
        <f>AVERAGEIFS($C$2:C1021, $B$2:B1021, B1021)</f>
        <v>18.875</v>
      </c>
      <c r="AH1021" s="86">
        <f>AVERAGEIFS($I$2:I1021, $B$2:B1021, B1021)</f>
        <v>0.66874999999999996</v>
      </c>
      <c r="AI1021" s="86">
        <f>AVERAGEIFS($J$2:J1021, $B$2:B1021, B1021)</f>
        <v>0.58124999999999993</v>
      </c>
      <c r="AJ1021" s="86">
        <f>AVERAGEIFS($D$2:D1021, $B$2:B1021, B1021)</f>
        <v>0.75</v>
      </c>
    </row>
    <row r="1022" spans="1:36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 s="86">
        <f>AVERAGEIFS($C$2:C1022, $B$2:B1022, B1022)</f>
        <v>17.837209302325583</v>
      </c>
      <c r="AH1022" s="86">
        <f>AVERAGEIFS($I$2:I1022, $B$2:B1022, B1022)</f>
        <v>0.49372093023255825</v>
      </c>
      <c r="AI1022" s="86">
        <f>AVERAGEIFS($J$2:J1022, $B$2:B1022, B1022)</f>
        <v>0.50906976744186039</v>
      </c>
      <c r="AJ1022" s="86">
        <f>AVERAGEIFS($D$2:D1022, $B$2:B1022, B1022)</f>
        <v>0.48837209302325579</v>
      </c>
    </row>
    <row r="1023" spans="1:36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 s="86">
        <f>AVERAGEIFS($C$2:C1023, $B$2:B1023, B1023)</f>
        <v>14</v>
      </c>
      <c r="AH1023" s="86">
        <f>AVERAGEIFS($I$2:I1023, $B$2:B1023, B1023)</f>
        <v>0.46944444444444439</v>
      </c>
      <c r="AI1023" s="86">
        <f>AVERAGEIFS($J$2:J1023, $B$2:B1023, B1023)</f>
        <v>0.48666666666666664</v>
      </c>
      <c r="AJ1023" s="86">
        <f>AVERAGEIFS($D$2:D1023, $B$2:B1023, B1023)</f>
        <v>0.3888888888888889</v>
      </c>
    </row>
    <row r="1024" spans="1:36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1</v>
      </c>
      <c r="AD1024">
        <v>0</v>
      </c>
      <c r="AE1024">
        <v>0</v>
      </c>
      <c r="AF1024">
        <v>0</v>
      </c>
      <c r="AG1024" s="86">
        <f>AVERAGEIFS($C$2:C1024, $B$2:B1024, B1024)</f>
        <v>18.170212765957448</v>
      </c>
      <c r="AH1024" s="86">
        <f>AVERAGEIFS($I$2:I1024, $B$2:B1024, B1024)</f>
        <v>0.45425531914893619</v>
      </c>
      <c r="AI1024" s="86">
        <f>AVERAGEIFS($J$2:J1024, $B$2:B1024, B1024)</f>
        <v>0.45574468085106362</v>
      </c>
      <c r="AJ1024" s="86">
        <f>AVERAGEIFS($D$2:D1024, $B$2:B1024, B1024)</f>
        <v>0.46808510638297873</v>
      </c>
    </row>
    <row r="1025" spans="1:36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1</v>
      </c>
      <c r="AD1025">
        <v>0</v>
      </c>
      <c r="AE1025">
        <v>0</v>
      </c>
      <c r="AF1025">
        <v>0</v>
      </c>
      <c r="AG1025" s="86">
        <f>AVERAGEIFS($C$2:C1025, $B$2:B1025, B1025)</f>
        <v>27.307692307692307</v>
      </c>
      <c r="AH1025" s="86">
        <f>AVERAGEIFS($I$2:I1025, $B$2:B1025, B1025)</f>
        <v>0.49615384615384617</v>
      </c>
      <c r="AI1025" s="86">
        <f>AVERAGEIFS($J$2:J1025, $B$2:B1025, B1025)</f>
        <v>0.49948717948717958</v>
      </c>
      <c r="AJ1025" s="86">
        <f>AVERAGEIFS($D$2:D1025, $B$2:B1025, B1025)</f>
        <v>0.51282051282051277</v>
      </c>
    </row>
    <row r="1026" spans="1:36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1</v>
      </c>
      <c r="AD1026">
        <v>0</v>
      </c>
      <c r="AE1026">
        <v>0</v>
      </c>
      <c r="AF1026">
        <v>0</v>
      </c>
      <c r="AG1026" s="86">
        <f>AVERAGEIFS($C$2:C1026, $B$2:B1026, B1026)</f>
        <v>22.439393939393938</v>
      </c>
      <c r="AH1026" s="86">
        <f>AVERAGEIFS($I$2:I1026, $B$2:B1026, B1026)</f>
        <v>0.54060606060606076</v>
      </c>
      <c r="AI1026" s="86">
        <f>AVERAGEIFS($J$2:J1026, $B$2:B1026, B1026)</f>
        <v>0.52242424242424235</v>
      </c>
      <c r="AJ1026" s="86">
        <f>AVERAGEIFS($D$2:D1026, $B$2:B1026, B1026)</f>
        <v>0.60606060606060608</v>
      </c>
    </row>
    <row r="1027" spans="1:36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1</v>
      </c>
      <c r="AD1027">
        <v>0</v>
      </c>
      <c r="AE1027">
        <v>0</v>
      </c>
      <c r="AF1027">
        <v>0</v>
      </c>
      <c r="AG1027" s="86">
        <f>AVERAGEIFS($C$2:C1027, $B$2:B1027, B1027)</f>
        <v>24.805555555555557</v>
      </c>
      <c r="AH1027" s="86">
        <f>AVERAGEIFS($I$2:I1027, $B$2:B1027, B1027)</f>
        <v>0.44999999999999996</v>
      </c>
      <c r="AI1027" s="86">
        <f>AVERAGEIFS($J$2:J1027, $B$2:B1027, B1027)</f>
        <v>0.46527777777777779</v>
      </c>
      <c r="AJ1027" s="86">
        <f>AVERAGEIFS($D$2:D1027, $B$2:B1027, B1027)</f>
        <v>0.3611111111111111</v>
      </c>
    </row>
    <row r="1028" spans="1:36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1</v>
      </c>
      <c r="AD1028">
        <v>0</v>
      </c>
      <c r="AE1028">
        <v>0</v>
      </c>
      <c r="AF1028">
        <v>0</v>
      </c>
      <c r="AG1028" s="86">
        <f>AVERAGEIFS($C$2:C1028, $B$2:B1028, B1028)</f>
        <v>19.824999999999999</v>
      </c>
      <c r="AH1028" s="86">
        <f>AVERAGEIFS($I$2:I1028, $B$2:B1028, B1028)</f>
        <v>0.54800000000000004</v>
      </c>
      <c r="AI1028" s="86">
        <f>AVERAGEIFS($J$2:J1028, $B$2:B1028, B1028)</f>
        <v>0.50350000000000006</v>
      </c>
      <c r="AJ1028" s="86">
        <f>AVERAGEIFS($D$2:D1028, $B$2:B1028, B1028)</f>
        <v>0.57499999999999996</v>
      </c>
    </row>
    <row r="1029" spans="1:36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1</v>
      </c>
      <c r="AD1029">
        <v>0</v>
      </c>
      <c r="AE1029">
        <v>0</v>
      </c>
      <c r="AF1029">
        <v>0</v>
      </c>
      <c r="AG1029" s="86">
        <f>AVERAGEIFS($C$2:C1029, $B$2:B1029, B1029)</f>
        <v>14.066666666666666</v>
      </c>
      <c r="AH1029" s="86">
        <f>AVERAGEIFS($I$2:I1029, $B$2:B1029, B1029)</f>
        <v>0.5033333333333333</v>
      </c>
      <c r="AI1029" s="86">
        <f>AVERAGEIFS($J$2:J1029, $B$2:B1029, B1029)</f>
        <v>0.51133333333333342</v>
      </c>
      <c r="AJ1029" s="86">
        <f>AVERAGEIFS($D$2:D1029, $B$2:B1029, B1029)</f>
        <v>0.6</v>
      </c>
    </row>
    <row r="1030" spans="1:36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1</v>
      </c>
      <c r="AD1030">
        <v>0</v>
      </c>
      <c r="AE1030">
        <v>0</v>
      </c>
      <c r="AF1030">
        <v>0</v>
      </c>
      <c r="AG1030" s="86">
        <f>AVERAGEIFS($C$2:C1030, $B$2:B1030, B1030)</f>
        <v>16.761904761904763</v>
      </c>
      <c r="AH1030" s="86">
        <f>AVERAGEIFS($I$2:I1030, $B$2:B1030, B1030)</f>
        <v>0.48190476190476189</v>
      </c>
      <c r="AI1030" s="86">
        <f>AVERAGEIFS($J$2:J1030, $B$2:B1030, B1030)</f>
        <v>0.49666666666666665</v>
      </c>
      <c r="AJ1030" s="86">
        <f>AVERAGEIFS($D$2:D1030, $B$2:B1030, B1030)</f>
        <v>0.47619047619047616</v>
      </c>
    </row>
    <row r="1031" spans="1:36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1</v>
      </c>
      <c r="AD1031">
        <v>0</v>
      </c>
      <c r="AE1031">
        <v>0</v>
      </c>
      <c r="AF1031">
        <v>0</v>
      </c>
      <c r="AG1031" s="86">
        <f>AVERAGEIFS($C$2:C1031, $B$2:B1031, B1031)</f>
        <v>16.666666666666668</v>
      </c>
      <c r="AH1031" s="86">
        <f>AVERAGEIFS($I$2:I1031, $B$2:B1031, B1031)</f>
        <v>0.54888888888888887</v>
      </c>
      <c r="AI1031" s="86">
        <f>AVERAGEIFS($J$2:J1031, $B$2:B1031, B1031)</f>
        <v>0.5411111111111111</v>
      </c>
      <c r="AJ1031" s="86">
        <f>AVERAGEIFS($D$2:D1031, $B$2:B1031, B1031)</f>
        <v>0.64444444444444449</v>
      </c>
    </row>
    <row r="1032" spans="1:36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1</v>
      </c>
      <c r="AC1032">
        <v>0</v>
      </c>
      <c r="AD1032">
        <v>0</v>
      </c>
      <c r="AE1032">
        <v>0</v>
      </c>
      <c r="AF1032">
        <v>0</v>
      </c>
      <c r="AG1032" s="86">
        <f>AVERAGEIFS($C$2:C1032, $B$2:B1032, B1032)</f>
        <v>18</v>
      </c>
      <c r="AH1032" s="86">
        <f>AVERAGEIFS($I$2:I1032, $B$2:B1032, B1032)</f>
        <v>0.46562500000000001</v>
      </c>
      <c r="AI1032" s="86">
        <f>AVERAGEIFS($J$2:J1032, $B$2:B1032, B1032)</f>
        <v>0.45958333333333318</v>
      </c>
      <c r="AJ1032" s="86">
        <f>AVERAGEIFS($D$2:D1032, $B$2:B1032, B1032)</f>
        <v>0.47916666666666669</v>
      </c>
    </row>
    <row r="1033" spans="1:36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1</v>
      </c>
      <c r="AC1033">
        <v>0</v>
      </c>
      <c r="AD1033">
        <v>0</v>
      </c>
      <c r="AE1033">
        <v>0</v>
      </c>
      <c r="AF1033">
        <v>0</v>
      </c>
      <c r="AG1033" s="86">
        <f>AVERAGEIFS($C$2:C1033, $B$2:B1033, B1033)</f>
        <v>22.298507462686569</v>
      </c>
      <c r="AH1033" s="86">
        <f>AVERAGEIFS($I$2:I1033, $B$2:B1033, B1033)</f>
        <v>0.54746268656716424</v>
      </c>
      <c r="AI1033" s="86">
        <f>AVERAGEIFS($J$2:J1033, $B$2:B1033, B1033)</f>
        <v>0.52417910447761196</v>
      </c>
      <c r="AJ1033" s="86">
        <f>AVERAGEIFS($D$2:D1033, $B$2:B1033, B1033)</f>
        <v>0.61194029850746268</v>
      </c>
    </row>
    <row r="1034" spans="1:36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1</v>
      </c>
      <c r="AC1034">
        <v>0</v>
      </c>
      <c r="AD1034">
        <v>0</v>
      </c>
      <c r="AE1034">
        <v>0</v>
      </c>
      <c r="AF1034">
        <v>0</v>
      </c>
      <c r="AG1034" s="86">
        <f>AVERAGEIFS($C$2:C1034, $B$2:B1034, B1034)</f>
        <v>17.707317073170731</v>
      </c>
      <c r="AH1034" s="86">
        <f>AVERAGEIFS($I$2:I1034, $B$2:B1034, B1034)</f>
        <v>0.54878048780487798</v>
      </c>
      <c r="AI1034" s="86">
        <f>AVERAGEIFS($J$2:J1034, $B$2:B1034, B1034)</f>
        <v>0.52243902439024403</v>
      </c>
      <c r="AJ1034" s="86">
        <f>AVERAGEIFS($D$2:D1034, $B$2:B1034, B1034)</f>
        <v>0.51219512195121952</v>
      </c>
    </row>
    <row r="1035" spans="1:36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1</v>
      </c>
      <c r="AC1035">
        <v>0</v>
      </c>
      <c r="AD1035">
        <v>0</v>
      </c>
      <c r="AE1035">
        <v>0</v>
      </c>
      <c r="AF1035">
        <v>0</v>
      </c>
      <c r="AG1035" s="86">
        <f>AVERAGEIFS($C$2:C1035, $B$2:B1035, B1035)</f>
        <v>17.888888888888889</v>
      </c>
      <c r="AH1035" s="86">
        <f>AVERAGEIFS($I$2:I1035, $B$2:B1035, B1035)</f>
        <v>0.70555555555555549</v>
      </c>
      <c r="AI1035" s="86">
        <f>AVERAGEIFS($J$2:J1035, $B$2:B1035, B1035)</f>
        <v>0.58777777777777773</v>
      </c>
      <c r="AJ1035" s="86">
        <f>AVERAGEIFS($D$2:D1035, $B$2:B1035, B1035)</f>
        <v>0.77777777777777779</v>
      </c>
    </row>
    <row r="1036" spans="1:36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1</v>
      </c>
      <c r="AC1036">
        <v>0</v>
      </c>
      <c r="AD1036">
        <v>0</v>
      </c>
      <c r="AE1036">
        <v>0</v>
      </c>
      <c r="AF1036">
        <v>0</v>
      </c>
      <c r="AG1036" s="86">
        <f>AVERAGEIFS($C$2:C1036, $B$2:B1036, B1036)</f>
        <v>12.666666666666666</v>
      </c>
      <c r="AH1036" s="86">
        <f>AVERAGEIFS($I$2:I1036, $B$2:B1036, B1036)</f>
        <v>0.55000000000000004</v>
      </c>
      <c r="AI1036" s="86">
        <f>AVERAGEIFS($J$2:J1036, $B$2:B1036, B1036)</f>
        <v>0.52833333333333343</v>
      </c>
      <c r="AJ1036" s="86">
        <f>AVERAGEIFS($D$2:D1036, $B$2:B1036, B1036)</f>
        <v>0.5</v>
      </c>
    </row>
    <row r="1037" spans="1:36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1</v>
      </c>
      <c r="AC1037">
        <v>0</v>
      </c>
      <c r="AD1037">
        <v>0</v>
      </c>
      <c r="AE1037">
        <v>0</v>
      </c>
      <c r="AF1037">
        <v>0</v>
      </c>
      <c r="AG1037" s="86">
        <f>AVERAGEIFS($C$2:C1037, $B$2:B1037, B1037)</f>
        <v>14.157894736842104</v>
      </c>
      <c r="AH1037" s="86">
        <f>AVERAGEIFS($I$2:I1037, $B$2:B1037, B1037)</f>
        <v>0.49736842105263152</v>
      </c>
      <c r="AI1037" s="86">
        <f>AVERAGEIFS($J$2:J1037, $B$2:B1037, B1037)</f>
        <v>0.4947368421052632</v>
      </c>
      <c r="AJ1037" s="86">
        <f>AVERAGEIFS($D$2:D1037, $B$2:B1037, B1037)</f>
        <v>0.42105263157894735</v>
      </c>
    </row>
    <row r="1038" spans="1:36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 s="86">
        <f>AVERAGEIFS($C$2:C1038, $B$2:B1038, B1038)</f>
        <v>18.6875</v>
      </c>
      <c r="AH1038" s="86">
        <f>AVERAGEIFS($I$2:I1038, $B$2:B1038, B1038)</f>
        <v>0.47499999999999987</v>
      </c>
      <c r="AI1038" s="86">
        <f>AVERAGEIFS($J$2:J1038, $B$2:B1038, B1038)</f>
        <v>0.48328125000000005</v>
      </c>
      <c r="AJ1038" s="86">
        <f>AVERAGEIFS($D$2:D1038, $B$2:B1038, B1038)</f>
        <v>0.421875</v>
      </c>
    </row>
    <row r="1039" spans="1:36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 s="86">
        <f>AVERAGEIFS($C$2:C1039, $B$2:B1039, B1039)</f>
        <v>19.40625</v>
      </c>
      <c r="AH1039" s="86">
        <f>AVERAGEIFS($I$2:I1039, $B$2:B1039, B1039)</f>
        <v>0.59281249999999996</v>
      </c>
      <c r="AI1039" s="86">
        <f>AVERAGEIFS($J$2:J1039, $B$2:B1039, B1039)</f>
        <v>0.54718750000000016</v>
      </c>
      <c r="AJ1039" s="86">
        <f>AVERAGEIFS($D$2:D1039, $B$2:B1039, B1039)</f>
        <v>0.6875</v>
      </c>
    </row>
    <row r="1040" spans="1:36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 s="86">
        <f>AVERAGEIFS($C$2:C1040, $B$2:B1040, B1040)</f>
        <v>17.05</v>
      </c>
      <c r="AH1040" s="86">
        <f>AVERAGEIFS($I$2:I1040, $B$2:B1040, B1040)</f>
        <v>0.59749999999999992</v>
      </c>
      <c r="AI1040" s="86">
        <f>AVERAGEIFS($J$2:J1040, $B$2:B1040, B1040)</f>
        <v>0.57000000000000006</v>
      </c>
      <c r="AJ1040" s="86">
        <f>AVERAGEIFS($D$2:D1040, $B$2:B1040, B1040)</f>
        <v>0.6</v>
      </c>
    </row>
    <row r="1041" spans="1:36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 s="86">
        <f>AVERAGEIFS($C$2:C1041, $B$2:B1041, B1041)</f>
        <v>14.0625</v>
      </c>
      <c r="AH1041" s="86">
        <f>AVERAGEIFS($I$2:I1041, $B$2:B1041, B1041)</f>
        <v>0.47187499999999999</v>
      </c>
      <c r="AI1041" s="86">
        <f>AVERAGEIFS($J$2:J1041, $B$2:B1041, B1041)</f>
        <v>0.50187500000000007</v>
      </c>
      <c r="AJ1041" s="86">
        <f>AVERAGEIFS($D$2:D1041, $B$2:B1041, B1041)</f>
        <v>0.5625</v>
      </c>
    </row>
    <row r="1042" spans="1:36" x14ac:dyDescent="0.25">
      <c r="A1042" s="85">
        <v>46147</v>
      </c>
      <c r="B1042" t="s">
        <v>180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 s="86">
        <f>AVERAGEIFS($C$2:C1042, $B$2:B1042, B1042)</f>
        <v>9.5</v>
      </c>
      <c r="AH1042" s="86">
        <f>AVERAGEIFS($I$2:I1042, $B$2:B1042, B1042)</f>
        <v>0.375</v>
      </c>
      <c r="AI1042" s="86">
        <f>AVERAGEIFS($J$2:J1042, $B$2:B1042, B1042)</f>
        <v>0.51500000000000001</v>
      </c>
      <c r="AJ1042" s="86">
        <f>AVERAGEIFS($D$2:D1042, $B$2:B1042, B1042)</f>
        <v>0.5</v>
      </c>
    </row>
    <row r="1043" spans="1:36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 s="86">
        <f>AVERAGEIFS($C$2:C1043, $B$2:B1043, B1043)</f>
        <v>8.75</v>
      </c>
      <c r="AH1043" s="86">
        <f>AVERAGEIFS($I$2:I1043, $B$2:B1043, B1043)</f>
        <v>0.21875</v>
      </c>
      <c r="AI1043" s="86">
        <f>AVERAGEIFS($J$2:J1043, $B$2:B1043, B1043)</f>
        <v>0.33875</v>
      </c>
      <c r="AJ1043" s="86">
        <f>AVERAGEIFS($D$2:D1043, $B$2:B1043, B1043)</f>
        <v>0.125</v>
      </c>
    </row>
  </sheetData>
  <autoFilter ref="A1:AJ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2" sqref="H32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50</v>
      </c>
      <c r="G2" s="66">
        <f>AVERAGEIFS('BA History S2'!C:C,'BA History S2'!B:B,A2)</f>
        <v>12.5</v>
      </c>
      <c r="H2" s="35">
        <f t="array" ref="H2">MAX(IF('BA History S2'!B:B=A2, 'BA History S2'!C:C))</f>
        <v>22</v>
      </c>
      <c r="I2" s="34">
        <f>COUNTIFS('BA History S2'!B:B,A2,'BA History S2'!D:D, 1)</f>
        <v>3</v>
      </c>
      <c r="J2" s="2">
        <f>COUNTIFS('BA History S2'!B:B,A2,'BA History S2'!D:D, 0)</f>
        <v>1</v>
      </c>
      <c r="K2" s="75">
        <f>LOOKUP(2, 1/('BA History S2'!$B:$B=A2), 'BA History S2'!$AJ:$AJ)</f>
        <v>0.75</v>
      </c>
      <c r="L2" s="34">
        <f>SUMIFS('BA History S2'!F:F,'BA History S2'!B:B,A2)</f>
        <v>9</v>
      </c>
      <c r="M2" s="2">
        <f>SUMIFS('BA History S2'!E:E,'BA History S2'!B:B,A2)-L2</f>
        <v>5</v>
      </c>
      <c r="N2" s="75">
        <f>LOOKUP(2, 1/('BA History S2'!$B:$B=A2), 'BA History S2'!$AH:$AH)</f>
        <v>0.625</v>
      </c>
      <c r="O2" s="34">
        <f>SUMIFS('BA History S2'!H:H,'BA History S2'!B:B,A2)</f>
        <v>33</v>
      </c>
      <c r="P2" s="2">
        <f>SUMIFS('BA History S2'!G:G,'BA History S2'!B:B,A2)-O2</f>
        <v>24</v>
      </c>
      <c r="Q2" s="89">
        <f>LOOKUP(2, 1/('BA History S2'!$B:$B=A2), 'BA History S2'!$AI:$AI)</f>
        <v>0.58499999999999996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2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2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157</v>
      </c>
      <c r="G4" s="66">
        <f>AVERAGEIFS('BA History S2'!C:C,'BA History S2'!B:B,A4)</f>
        <v>12.076923076923077</v>
      </c>
      <c r="H4" s="35">
        <f t="array" ref="H4">MAX(IF('BA History S2'!B:B=A4, 'BA History S2'!C:C))</f>
        <v>23</v>
      </c>
      <c r="I4" s="34">
        <f>COUNTIFS('BA History S2'!B:B,A4,'BA History S2'!D:D, 1)</f>
        <v>5</v>
      </c>
      <c r="J4" s="2">
        <f>COUNTIFS('BA History S2'!B:B,A4,'BA History S2'!D:D, 0)</f>
        <v>8</v>
      </c>
      <c r="K4" s="75">
        <f>LOOKUP(2, 1/('BA History S2'!$B:$B=A4), 'BA History S2'!$AJ:$AJ)</f>
        <v>0.38461538461538464</v>
      </c>
      <c r="L4" s="34">
        <f>SUMIFS('BA History S2'!F:F,'BA History S2'!B:B,A4)</f>
        <v>24</v>
      </c>
      <c r="M4" s="2">
        <f>SUMIFS('BA History S2'!E:E,'BA History S2'!B:B,A4)-L4</f>
        <v>30</v>
      </c>
      <c r="N4" s="75">
        <f>LOOKUP(2, 1/('BA History S2'!$B:$B=A4), 'BA History S2'!$AH:$AH)</f>
        <v>0.42692307692307691</v>
      </c>
      <c r="O4" s="34">
        <f>SUMIFS('BA History S2'!H:H,'BA History S2'!B:B,A4)</f>
        <v>111</v>
      </c>
      <c r="P4" s="2">
        <f>SUMIFS('BA History S2'!G:G,'BA History S2'!B:B,A4)-O4</f>
        <v>123</v>
      </c>
      <c r="Q4" s="89">
        <f>LOOKUP(2, 1/('BA History S2'!$B:$B=A4), 'BA History S2'!$AI:$AI)</f>
        <v>0.46461538461538454</v>
      </c>
      <c r="R4" s="2">
        <f>COUNTIFS('BA History S2'!$B:$B,$A$4,'BA History S2'!K:K, 1)</f>
        <v>3</v>
      </c>
      <c r="S4" s="2">
        <f>COUNTIFS('BA History S2'!$B:$B,$A$4,'BA History S2'!L:L, 1)</f>
        <v>4</v>
      </c>
      <c r="T4" s="2">
        <f>COUNTIFS('BA History S2'!$B:$B,$A$4,'BA History S2'!M:M, 1)</f>
        <v>2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2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1</v>
      </c>
      <c r="AH4" s="2">
        <f>COUNTIFS('BA History S2'!$B:$B,$A$4,'BA History S2'!AA:AA, 1)</f>
        <v>0</v>
      </c>
      <c r="AI4" s="2">
        <f>COUNTIFS('BA History S2'!$B:$B,$A$4,'BA History S2'!AB:AB, 1)</f>
        <v>4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41</v>
      </c>
      <c r="G5" s="66">
        <f>AVERAGEIFS('BA History S2'!C:C,'BA History S2'!B:B,A5)</f>
        <v>6.833333333333333</v>
      </c>
      <c r="H5" s="35">
        <f t="array" ref="H5">MAX(IF('BA History S2'!B:B=A5, 'BA History S2'!C:C))</f>
        <v>10</v>
      </c>
      <c r="I5" s="34">
        <f>COUNTIFS('BA History S2'!B:B,A5,'BA History S2'!D:D, 1)</f>
        <v>2</v>
      </c>
      <c r="J5" s="2">
        <f>COUNTIFS('BA History S2'!B:B,A5,'BA History S2'!D:D, 0)</f>
        <v>4</v>
      </c>
      <c r="K5" s="75">
        <f>LOOKUP(2, 1/('BA History S2'!$B:$B=A5), 'BA History S2'!$AJ:$AJ)</f>
        <v>0.33333333333333331</v>
      </c>
      <c r="L5" s="34">
        <f>SUMIFS('BA History S2'!F:F,'BA History S2'!B:B,A5)</f>
        <v>9</v>
      </c>
      <c r="M5" s="2">
        <f>SUMIFS('BA History S2'!E:E,'BA History S2'!B:B,A5)-L5</f>
        <v>14</v>
      </c>
      <c r="N5" s="75">
        <f>LOOKUP(2, 1/('BA History S2'!$B:$B=A5), 'BA History S2'!$AH:$AH)</f>
        <v>0.39166666666666666</v>
      </c>
      <c r="O5" s="34">
        <f>SUMIFS('BA History S2'!H:H,'BA History S2'!B:B,A5)</f>
        <v>41</v>
      </c>
      <c r="P5" s="2">
        <f>SUMIFS('BA History S2'!G:G,'BA History S2'!B:B,A5)-O5</f>
        <v>52</v>
      </c>
      <c r="Q5" s="89">
        <f>LOOKUP(2, 1/('BA History S2'!$B:$B=A5), 'BA History S2'!$AI:$AI)</f>
        <v>0.46</v>
      </c>
      <c r="R5" s="2">
        <f>COUNTIFS('BA History S2'!$B:$B,$A$5,'BA History S2'!K:K, 1)</f>
        <v>1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334</v>
      </c>
      <c r="G6" s="66">
        <f>AVERAGEIFS('BA History S2'!C:C,'BA History S2'!B:B,A6)</f>
        <v>16.7</v>
      </c>
      <c r="H6" s="35">
        <f t="array" ref="H6">MAX(IF('BA History S2'!B:B=A6, 'BA History S2'!C:C))</f>
        <v>40</v>
      </c>
      <c r="I6" s="34">
        <f>COUNTIFS('BA History S2'!B:B,A6,'BA History S2'!D:D, 1)</f>
        <v>10</v>
      </c>
      <c r="J6" s="2">
        <f>COUNTIFS('BA History S2'!B:B,A6,'BA History S2'!D:D, 0)</f>
        <v>10</v>
      </c>
      <c r="K6" s="75">
        <f>LOOKUP(2, 1/('BA History S2'!$B:$B=A6), 'BA History S2'!$AJ:$AJ)</f>
        <v>0.5</v>
      </c>
      <c r="L6" s="34">
        <f>SUMIFS('BA History S2'!F:F,'BA History S2'!B:B,A6)</f>
        <v>38</v>
      </c>
      <c r="M6" s="2">
        <f>SUMIFS('BA History S2'!E:E,'BA History S2'!B:B,A6)-L6</f>
        <v>39</v>
      </c>
      <c r="N6" s="75">
        <f>LOOKUP(2, 1/('BA History S2'!$B:$B=A6), 'BA History S2'!$AH:$AH)</f>
        <v>0.49249999999999999</v>
      </c>
      <c r="O6" s="34">
        <f>SUMIFS('BA History S2'!H:H,'BA History S2'!B:B,A6)</f>
        <v>152</v>
      </c>
      <c r="P6" s="2">
        <f>SUMIFS('BA History S2'!G:G,'BA History S2'!B:B,A6)-O6</f>
        <v>167</v>
      </c>
      <c r="Q6" s="89">
        <f>LOOKUP(2, 1/('BA History S2'!$B:$B=A6), 'BA History S2'!$AI:$AI)</f>
        <v>0.46750000000000008</v>
      </c>
      <c r="R6" s="2">
        <f>COUNTIFS('BA History S2'!$B:$B,$A$6,'BA History S2'!K:K, 1)</f>
        <v>2</v>
      </c>
      <c r="S6" s="2">
        <f>COUNTIFS('BA History S2'!$B:$B,$A$6,'BA History S2'!L:L, 1)</f>
        <v>1</v>
      </c>
      <c r="T6" s="2">
        <f>COUNTIFS('BA History S2'!$B:$B,$A$6,'BA History S2'!M:M, 1)</f>
        <v>4</v>
      </c>
      <c r="U6" s="2">
        <f>COUNTIFS('BA History S2'!$B:$B,$A$6,'BA History S2'!N:N, 1)</f>
        <v>3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1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3</v>
      </c>
      <c r="AG6" s="2">
        <f>COUNTIFS('BA History S2'!$B:$B,$A$6,'BA History S2'!Z:Z, 1)</f>
        <v>4</v>
      </c>
      <c r="AH6" s="2">
        <f>COUNTIFS('BA History S2'!$B:$B,$A$6,'BA History S2'!AA:AA, 1)</f>
        <v>0</v>
      </c>
      <c r="AI6" s="2">
        <f>COUNTIFS('BA History S2'!$B:$B,$A$6,'BA History S2'!AB:AB, 1)</f>
        <v>9</v>
      </c>
      <c r="AJ6" s="2">
        <f>COUNTIFS('BA History S2'!$B:$B,$A$6,'BA History S2'!AC:AC, 1)</f>
        <v>1</v>
      </c>
      <c r="AK6" s="2">
        <f>COUNTIFS('BA History S2'!$B:$B,$A$6,'BA History S2'!AD:AD, 1)</f>
        <v>3</v>
      </c>
      <c r="AL6" s="2">
        <f>COUNTIFS('BA History S2'!$B:$B,$A$6,'BA History S2'!AE:AE, 1)</f>
        <v>0</v>
      </c>
      <c r="AM6" s="2">
        <f>COUNTIFS('BA History S2'!$B:$B,$A$6,'BA History S2'!AF:AF, 1)</f>
        <v>3</v>
      </c>
    </row>
    <row r="7" spans="1:39" x14ac:dyDescent="0.25">
      <c r="A7" s="2" t="s">
        <v>180</v>
      </c>
      <c r="B7" s="2" t="s">
        <v>79</v>
      </c>
      <c r="C7" s="2"/>
      <c r="D7" s="2"/>
      <c r="E7" s="2"/>
      <c r="F7" s="34">
        <f>SUMIFS('BA History S2'!C:C,'BA History S2'!B:B,A7)</f>
        <v>19</v>
      </c>
      <c r="G7" s="66">
        <f>AVERAGEIFS('BA History S2'!C:C,'BA History S2'!B:B,A7)</f>
        <v>9.5</v>
      </c>
      <c r="H7" s="35">
        <f t="array" ref="H7">MAX(IF('BA History S2'!B:B=A7, 'BA History S2'!C:C))</f>
        <v>11</v>
      </c>
      <c r="I7" s="34">
        <f>COUNTIFS('BA History S2'!B:B,A7,'BA History S2'!D:D, 1)</f>
        <v>1</v>
      </c>
      <c r="J7" s="2">
        <f>COUNTIFS('BA History S2'!B:B,A7,'BA History S2'!D:D, 0)</f>
        <v>1</v>
      </c>
      <c r="K7" s="75">
        <f>LOOKUP(2, 1/('BA History S2'!$B:$B=A7), 'BA History S2'!$AJ:$AJ)</f>
        <v>0.5</v>
      </c>
      <c r="L7" s="34">
        <f>SUMIFS('BA History S2'!F:F,'BA History S2'!B:B,A7)</f>
        <v>3</v>
      </c>
      <c r="M7" s="2">
        <f>SUMIFS('BA History S2'!E:E,'BA History S2'!B:B,A7)-L7</f>
        <v>4</v>
      </c>
      <c r="N7" s="75">
        <f>LOOKUP(2, 1/('BA History S2'!$B:$B=A7), 'BA History S2'!$AH:$AH)</f>
        <v>0.375</v>
      </c>
      <c r="O7" s="34">
        <f>SUMIFS('BA History S2'!H:H,'BA History S2'!B:B,A7)</f>
        <v>15</v>
      </c>
      <c r="P7" s="2">
        <f>SUMIFS('BA History S2'!G:G,'BA History S2'!B:B,A7)-O7</f>
        <v>14</v>
      </c>
      <c r="Q7" s="89">
        <f>LOOKUP(2, 1/('BA History S2'!$B:$B=A7), 'BA History S2'!$AI:$AI)</f>
        <v>0.51500000000000001</v>
      </c>
      <c r="R7" s="2">
        <f>COUNTIFS('BA History S2'!$B:$B,$A$7,'BA History S2'!K:K, 1)</f>
        <v>0</v>
      </c>
      <c r="S7" s="2">
        <f>COUNTIFS('BA History S2'!$B:$B,$A$7,'BA History S2'!L:L, 1)</f>
        <v>1</v>
      </c>
      <c r="T7" s="2">
        <f>COUNTIFS('BA History S2'!$B:$B,$A$7,'BA History S2'!M:M, 1)</f>
        <v>0</v>
      </c>
      <c r="U7" s="2">
        <f>COUNTIFS('BA History S2'!$B:$B,$A$7,'BA History S2'!N:N, 1)</f>
        <v>0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1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1</v>
      </c>
    </row>
    <row r="8" spans="1:39" x14ac:dyDescent="0.25">
      <c r="A8" s="2" t="s">
        <v>146</v>
      </c>
      <c r="B8" s="2" t="s">
        <v>79</v>
      </c>
      <c r="C8" s="2"/>
      <c r="D8" s="2"/>
      <c r="E8" s="2"/>
      <c r="F8" s="34">
        <f>SUMIFS('BA History S2'!C:C,'BA History S2'!B:B,A8)</f>
        <v>27</v>
      </c>
      <c r="G8" s="66">
        <f>AVERAGEIFS('BA History S2'!C:C,'BA History S2'!B:B,A8)</f>
        <v>9</v>
      </c>
      <c r="H8" s="35">
        <f t="array" ref="H8">MAX(IF('BA History S2'!B:B=A8, 'BA History S2'!C:C))</f>
        <v>13</v>
      </c>
      <c r="I8" s="34">
        <f>COUNTIFS('BA History S2'!B:B,A8,'BA History S2'!D:D, 1)</f>
        <v>0</v>
      </c>
      <c r="J8" s="2">
        <f>COUNTIFS('BA History S2'!B:B,A8,'BA History S2'!D:D, 0)</f>
        <v>3</v>
      </c>
      <c r="K8" s="75">
        <f>LOOKUP(2, 1/('BA History S2'!$B:$B=A8), 'BA History S2'!$AJ:$AJ)</f>
        <v>0</v>
      </c>
      <c r="L8" s="34">
        <f>SUMIFS('BA History S2'!F:F,'BA History S2'!B:B,A8)</f>
        <v>1</v>
      </c>
      <c r="M8" s="2">
        <f>SUMIFS('BA History S2'!E:E,'BA History S2'!B:B,A8)-L8</f>
        <v>9</v>
      </c>
      <c r="N8" s="75">
        <f>LOOKUP(2, 1/('BA History S2'!$B:$B=A8), 'BA History S2'!$AH:$AH)</f>
        <v>8.3333333333333329E-2</v>
      </c>
      <c r="O8" s="34">
        <f>SUMIFS('BA History S2'!H:H,'BA History S2'!B:B,A8)</f>
        <v>14</v>
      </c>
      <c r="P8" s="2">
        <f>SUMIFS('BA History S2'!G:G,'BA History S2'!B:B,A8)-O8</f>
        <v>28</v>
      </c>
      <c r="Q8" s="89">
        <f>LOOKUP(2, 1/('BA History S2'!$B:$B=A8), 'BA History S2'!$AI:$AI)</f>
        <v>0.3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27</v>
      </c>
      <c r="B9" s="2" t="s">
        <v>79</v>
      </c>
      <c r="C9" s="2"/>
      <c r="D9" s="2"/>
      <c r="E9" s="2"/>
      <c r="F9" s="34">
        <f>SUMIFS('BA History S2'!C:C,'BA History S2'!B:B,A9)</f>
        <v>21</v>
      </c>
      <c r="G9" s="66">
        <f>AVERAGEIFS('BA History S2'!C:C,'BA History S2'!B:B,A9)</f>
        <v>10.5</v>
      </c>
      <c r="H9" s="35">
        <f t="array" ref="H9">MAX(IF('BA History S2'!B:B=A9, 'BA History S2'!C:C))</f>
        <v>15</v>
      </c>
      <c r="I9" s="34">
        <f>COUNTIFS('BA History S2'!B:B,A9,'BA History S2'!D:D, 1)</f>
        <v>1</v>
      </c>
      <c r="J9" s="2">
        <f>COUNTIFS('BA History S2'!B:B,A9,'BA History S2'!D:D, 0)</f>
        <v>1</v>
      </c>
      <c r="K9" s="75">
        <f>LOOKUP(2, 1/('BA History S2'!$B:$B=A9), 'BA History S2'!$AJ:$AJ)</f>
        <v>0.5</v>
      </c>
      <c r="L9" s="34">
        <f>SUMIFS('BA History S2'!F:F,'BA History S2'!B:B,A9)</f>
        <v>5</v>
      </c>
      <c r="M9" s="2">
        <f>SUMIFS('BA History S2'!E:E,'BA History S2'!B:B,A9)-L9</f>
        <v>3</v>
      </c>
      <c r="N9" s="75">
        <f>LOOKUP(2, 1/('BA History S2'!$B:$B=A9), 'BA History S2'!$AH:$AH)</f>
        <v>0.7</v>
      </c>
      <c r="O9" s="34">
        <f>SUMIFS('BA History S2'!H:H,'BA History S2'!B:B,A9)</f>
        <v>20</v>
      </c>
      <c r="P9" s="2">
        <f>SUMIFS('BA History S2'!G:G,'BA History S2'!B:B,A9)-O9</f>
        <v>18</v>
      </c>
      <c r="Q9" s="89">
        <f>LOOKUP(2, 1/('BA History S2'!$B:$B=A9), 'BA History S2'!$AI:$AI)</f>
        <v>0.55000000000000004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0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1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1</v>
      </c>
      <c r="AI9" s="2">
        <f>COUNTIFS('BA History S2'!$B:$B,$A$9,'BA History S2'!AB:AB, 1)</f>
        <v>1</v>
      </c>
      <c r="AJ9" s="2">
        <f>COUNTIFS('BA History S2'!$B:$B,$A$9,'BA History S2'!AC:AC, 1)</f>
        <v>1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1</v>
      </c>
    </row>
    <row r="10" spans="1:39" x14ac:dyDescent="0.25">
      <c r="A10" s="2" t="s">
        <v>152</v>
      </c>
      <c r="B10" s="2" t="s">
        <v>79</v>
      </c>
      <c r="C10" s="2"/>
      <c r="D10" s="2"/>
      <c r="E10" s="2"/>
      <c r="F10" s="34">
        <f>SUMIFS('BA History S2'!C:C,'BA History S2'!B:B,A10)</f>
        <v>53</v>
      </c>
      <c r="G10" s="66">
        <f>AVERAGEIFS('BA History S2'!C:C,'BA History S2'!B:B,A10)</f>
        <v>13.25</v>
      </c>
      <c r="H10" s="35">
        <f t="array" ref="H10">MAX(IF('BA History S2'!B:B=A10, 'BA History S2'!C:C))</f>
        <v>19</v>
      </c>
      <c r="I10" s="34">
        <f>COUNTIFS('BA History S2'!B:B,A10,'BA History S2'!D:D, 1)</f>
        <v>1</v>
      </c>
      <c r="J10" s="2">
        <f>COUNTIFS('BA History S2'!B:B,A10,'BA History S2'!D:D, 0)</f>
        <v>3</v>
      </c>
      <c r="K10" s="75">
        <f>LOOKUP(2, 1/('BA History S2'!$B:$B=A10), 'BA History S2'!$AJ:$AJ)</f>
        <v>0.25</v>
      </c>
      <c r="L10" s="34">
        <f>SUMIFS('BA History S2'!F:F,'BA History S2'!B:B,A10)</f>
        <v>7</v>
      </c>
      <c r="M10" s="2">
        <f>SUMIFS('BA History S2'!E:E,'BA History S2'!B:B,A10)-L10</f>
        <v>10</v>
      </c>
      <c r="N10" s="75">
        <f>LOOKUP(2, 1/('BA History S2'!$B:$B=A10), 'BA History S2'!$AH:$AH)</f>
        <v>0.41249999999999998</v>
      </c>
      <c r="O10" s="34">
        <f>SUMIFS('BA History S2'!H:H,'BA History S2'!B:B,A10)</f>
        <v>33</v>
      </c>
      <c r="P10" s="2">
        <f>SUMIFS('BA History S2'!G:G,'BA History S2'!B:B,A10)-O10</f>
        <v>41</v>
      </c>
      <c r="Q10" s="89">
        <f>LOOKUP(2, 1/('BA History S2'!$B:$B=A10), 'BA History S2'!$AI:$AI)</f>
        <v>0.44000000000000006</v>
      </c>
      <c r="R10" s="2">
        <f>COUNTIFS('BA History S2'!$B:$B,$A$10,'BA History S2'!K:K, 1)</f>
        <v>1</v>
      </c>
      <c r="S10" s="2">
        <f>COUNTIFS('BA History S2'!$B:$B,$A$10,'BA History S2'!L:L, 1)</f>
        <v>0</v>
      </c>
      <c r="T10" s="2">
        <f>COUNTIFS('BA History S2'!$B:$B,$A$10,'BA History S2'!M:M, 1)</f>
        <v>1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1</v>
      </c>
      <c r="AD10" s="2">
        <f>COUNTIFS('BA History S2'!$B:$B,$A$10,'BA History S2'!W:W, 1)</f>
        <v>1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0</v>
      </c>
      <c r="AH10" s="2">
        <f>COUNTIFS('BA History S2'!$B:$B,$A$10,'BA History S2'!AA:AA, 1)</f>
        <v>0</v>
      </c>
      <c r="AI10" s="2">
        <f>COUNTIFS('BA History S2'!$B:$B,$A$10,'BA History S2'!AB:AB, 1)</f>
        <v>1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50</v>
      </c>
      <c r="B11" s="2" t="s">
        <v>79</v>
      </c>
      <c r="C11" s="2"/>
      <c r="D11" s="2">
        <v>1</v>
      </c>
      <c r="E11" s="2"/>
      <c r="F11" s="34">
        <f>SUMIFS('BA History S2'!C:C,'BA History S2'!B:B,A11)</f>
        <v>155</v>
      </c>
      <c r="G11" s="66">
        <f>AVERAGEIFS('BA History S2'!C:C,'BA History S2'!B:B,A11)</f>
        <v>15.5</v>
      </c>
      <c r="H11" s="35">
        <f t="array" ref="H11">MAX(IF('BA History S2'!B:B=A11, 'BA History S2'!C:C))</f>
        <v>22</v>
      </c>
      <c r="I11" s="34">
        <f>COUNTIFS('BA History S2'!B:B,A11,'BA History S2'!D:D, 1)</f>
        <v>3</v>
      </c>
      <c r="J11" s="2">
        <f>COUNTIFS('BA History S2'!B:B,A11,'BA History S2'!D:D, 0)</f>
        <v>7</v>
      </c>
      <c r="K11" s="75">
        <f>LOOKUP(2, 1/('BA History S2'!$B:$B=A11), 'BA History S2'!$AJ:$AJ)</f>
        <v>0.3</v>
      </c>
      <c r="L11" s="34">
        <f>SUMIFS('BA History S2'!F:F,'BA History S2'!B:B,A11)</f>
        <v>15</v>
      </c>
      <c r="M11" s="2">
        <f>SUMIFS('BA History S2'!E:E,'BA History S2'!B:B,A11)-L11</f>
        <v>26</v>
      </c>
      <c r="N11" s="75">
        <f>LOOKUP(2, 1/('BA History S2'!$B:$B=A11), 'BA History S2'!$AH:$AH)</f>
        <v>0.33500000000000002</v>
      </c>
      <c r="O11" s="34">
        <f>SUMIFS('BA History S2'!H:H,'BA History S2'!B:B,A11)</f>
        <v>75</v>
      </c>
      <c r="P11" s="2">
        <f>SUMIFS('BA History S2'!G:G,'BA History S2'!B:B,A11)-O11</f>
        <v>96</v>
      </c>
      <c r="Q11" s="89">
        <f>LOOKUP(2, 1/('BA History S2'!$B:$B=A11), 'BA History S2'!$AI:$AI)</f>
        <v>0.41999999999999993</v>
      </c>
      <c r="R11" s="2">
        <f>COUNTIFS('BA History S2'!$B:$B,$A$11,'BA History S2'!K:K, 1)</f>
        <v>0</v>
      </c>
      <c r="S11" s="2">
        <f>COUNTIFS('BA History S2'!$B:$B,$A$11,'BA History S2'!L:L, 1)</f>
        <v>1</v>
      </c>
      <c r="T11" s="2">
        <f>COUNTIFS('BA History S2'!$B:$B,$A$11,'BA History S2'!M:M, 1)</f>
        <v>3</v>
      </c>
      <c r="U11" s="2">
        <f>COUNTIFS('BA History S2'!$B:$B,$A$11,'BA History S2'!N:N, 1)</f>
        <v>2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1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0</v>
      </c>
      <c r="AG11" s="2">
        <f>COUNTIFS('BA History S2'!$B:$B,$A$11,'BA History S2'!Z:Z, 1)</f>
        <v>0</v>
      </c>
      <c r="AH11" s="2">
        <f>COUNTIFS('BA History S2'!$B:$B,$A$11,'BA History S2'!AA:AA, 1)</f>
        <v>0</v>
      </c>
      <c r="AI11" s="2">
        <f>COUNTIFS('BA History S2'!$B:$B,$A$11,'BA History S2'!AB:AB, 1)</f>
        <v>3</v>
      </c>
      <c r="AJ11" s="2">
        <f>COUNTIFS('BA History S2'!$B:$B,$A$11,'BA History S2'!AC:AC, 1)</f>
        <v>1</v>
      </c>
      <c r="AK11" s="2">
        <f>COUNTIFS('BA History S2'!$B:$B,$A$11,'BA History S2'!AD:AD, 1)</f>
        <v>1</v>
      </c>
      <c r="AL11" s="2">
        <f>COUNTIFS('BA History S2'!$B:$B,$A$11,'BA History S2'!AE:AE, 1)</f>
        <v>1</v>
      </c>
      <c r="AM11" s="2">
        <f>COUNTIFS('BA History S2'!$B:$B,$A$11,'BA History S2'!AF:AF, 1)</f>
        <v>1</v>
      </c>
    </row>
    <row r="12" spans="1:39" x14ac:dyDescent="0.25">
      <c r="A12" s="2" t="s">
        <v>52</v>
      </c>
      <c r="B12" s="2" t="s">
        <v>79</v>
      </c>
      <c r="C12" s="2">
        <v>1</v>
      </c>
      <c r="D12" s="2"/>
      <c r="E12" s="2"/>
      <c r="F12" s="34">
        <f>SUMIFS('BA History S2'!C:C,'BA History S2'!B:B,A12)</f>
        <v>27</v>
      </c>
      <c r="G12" s="66">
        <f>AVERAGEIFS('BA History S2'!C:C,'BA History S2'!B:B,A12)</f>
        <v>13.5</v>
      </c>
      <c r="H12" s="35">
        <f t="array" ref="H12">MAX(IF('BA History S2'!B:B=A12, 'BA History S2'!C:C))</f>
        <v>17</v>
      </c>
      <c r="I12" s="34">
        <f>COUNTIFS('BA History S2'!B:B,A12,'BA History S2'!D:D, 1)</f>
        <v>0</v>
      </c>
      <c r="J12" s="2">
        <f>COUNTIFS('BA History S2'!B:B,A12,'BA History S2'!D:D, 0)</f>
        <v>2</v>
      </c>
      <c r="K12" s="75">
        <f>LOOKUP(2, 1/('BA History S2'!$B:$B=A12), 'BA History S2'!$AJ:$AJ)</f>
        <v>0</v>
      </c>
      <c r="L12" s="34">
        <f>SUMIFS('BA History S2'!F:F,'BA History S2'!B:B,A12)</f>
        <v>3</v>
      </c>
      <c r="M12" s="2">
        <f>SUMIFS('BA History S2'!E:E,'BA History S2'!B:B,A12)-L12</f>
        <v>6</v>
      </c>
      <c r="N12" s="75">
        <f>LOOKUP(2, 1/('BA History S2'!$B:$B=A12), 'BA History S2'!$AH:$AH)</f>
        <v>0.32500000000000001</v>
      </c>
      <c r="O12" s="34">
        <f>SUMIFS('BA History S2'!H:H,'BA History S2'!B:B,A12)</f>
        <v>17</v>
      </c>
      <c r="P12" s="2">
        <f>SUMIFS('BA History S2'!G:G,'BA History S2'!B:B,A12)-O12</f>
        <v>21</v>
      </c>
      <c r="Q12" s="89">
        <f>LOOKUP(2, 1/('BA History S2'!$B:$B=A12), 'BA History S2'!$AI:$AI)</f>
        <v>0.44499999999999995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1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0</v>
      </c>
      <c r="AJ12" s="2">
        <f>COUNTIFS('BA History S2'!$B:$B,$A$12,'BA History S2'!AC:AC, 1)</f>
        <v>1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44</v>
      </c>
      <c r="B13" s="2" t="s">
        <v>79</v>
      </c>
      <c r="C13" s="2">
        <v>1</v>
      </c>
      <c r="D13" s="2"/>
      <c r="E13" s="2"/>
      <c r="F13" s="34">
        <f>SUMIFS('BA History S2'!C:C,'BA History S2'!B:B,A13)</f>
        <v>303</v>
      </c>
      <c r="G13" s="66">
        <f>AVERAGEIFS('BA History S2'!C:C,'BA History S2'!B:B,A13)</f>
        <v>16.833333333333332</v>
      </c>
      <c r="H13" s="35">
        <f t="array" ref="H13">MAX(IF('BA History S2'!B:B=A13, 'BA History S2'!C:C))</f>
        <v>28</v>
      </c>
      <c r="I13" s="34">
        <f>COUNTIFS('BA History S2'!B:B,A13,'BA History S2'!D:D, 1)</f>
        <v>12</v>
      </c>
      <c r="J13" s="2">
        <f>COUNTIFS('BA History S2'!B:B,A13,'BA History S2'!D:D, 0)</f>
        <v>6</v>
      </c>
      <c r="K13" s="75">
        <f>LOOKUP(2, 1/('BA History S2'!$B:$B=A13), 'BA History S2'!$AJ:$AJ)</f>
        <v>0.66666666666666663</v>
      </c>
      <c r="L13" s="34">
        <f>SUMIFS('BA History S2'!F:F,'BA History S2'!B:B,A13)</f>
        <v>42</v>
      </c>
      <c r="M13" s="2">
        <f>SUMIFS('BA History S2'!E:E,'BA History S2'!B:B,A13)-L13</f>
        <v>30</v>
      </c>
      <c r="N13" s="75">
        <f>LOOKUP(2, 1/('BA History S2'!$B:$B=A13), 'BA History S2'!$AH:$AH)</f>
        <v>0.6</v>
      </c>
      <c r="O13" s="34">
        <f>SUMIFS('BA History S2'!H:H,'BA History S2'!B:B,A13)</f>
        <v>164</v>
      </c>
      <c r="P13" s="2">
        <f>SUMIFS('BA History S2'!G:G,'BA History S2'!B:B,A13)-O13</f>
        <v>140</v>
      </c>
      <c r="Q13" s="89">
        <f>LOOKUP(2, 1/('BA History S2'!$B:$B=A13), 'BA History S2'!$AI:$AI)</f>
        <v>0.55722222222222217</v>
      </c>
      <c r="R13" s="2">
        <f>COUNTIFS('BA History S2'!$B:$B,$A$13,'BA History S2'!K:K, 1)</f>
        <v>1</v>
      </c>
      <c r="S13" s="2">
        <f>COUNTIFS('BA History S2'!$B:$B,$A$13,'BA History S2'!L:L, 1)</f>
        <v>1</v>
      </c>
      <c r="T13" s="2">
        <f>COUNTIFS('BA History S2'!$B:$B,$A$13,'BA History S2'!M:M, 1)</f>
        <v>6</v>
      </c>
      <c r="U13" s="2">
        <f>COUNTIFS('BA History S2'!$B:$B,$A$13,'BA History S2'!N:N, 1)</f>
        <v>5</v>
      </c>
      <c r="V13" s="2">
        <f>COUNTIFS('BA History S2'!$B:$B,$A$13,'BA History S2'!O:O, 1)</f>
        <v>1</v>
      </c>
      <c r="W13" s="2">
        <f>COUNTIFS('BA History S2'!$B:$B,$A$13,'BA History S2'!P:P, 1)</f>
        <v>0</v>
      </c>
      <c r="X13" s="2">
        <f>COUNTIFS('BA History S2'!$B:$B,$A$13,'BA History S2'!Q:Q, 1)</f>
        <v>1</v>
      </c>
      <c r="Y13" s="2">
        <f>COUNTIFS('BA History S2'!$B:$B,$A$13,'BA History S2'!R:R, 1)</f>
        <v>1</v>
      </c>
      <c r="Z13" s="2">
        <f>COUNTIFS('BA History S2'!$B:$B,$A$13,'BA History S2'!S:S, 1)</f>
        <v>1</v>
      </c>
      <c r="AA13" s="2">
        <f>COUNTIFS('BA History S2'!$B:$B,$A$13,'BA History S2'!T:T, 1)</f>
        <v>0</v>
      </c>
      <c r="AB13" s="2">
        <f>COUNTIFS('BA History S2'!$B:$B,$A$13,'BA History S2'!U:U, 1)</f>
        <v>0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3</v>
      </c>
      <c r="AG13" s="2">
        <f>COUNTIFS('BA History S2'!$B:$B,$A$13,'BA History S2'!Z:Z, 1)</f>
        <v>4</v>
      </c>
      <c r="AH13" s="2">
        <f>COUNTIFS('BA History S2'!$B:$B,$A$13,'BA History S2'!AA:AA, 1)</f>
        <v>1</v>
      </c>
      <c r="AI13" s="2">
        <f>COUNTIFS('BA History S2'!$B:$B,$A$13,'BA History S2'!AB:AB, 1)</f>
        <v>6</v>
      </c>
      <c r="AJ13" s="2">
        <f>COUNTIFS('BA History S2'!$B:$B,$A$13,'BA History S2'!AC:AC, 1)</f>
        <v>2</v>
      </c>
      <c r="AK13" s="2">
        <f>COUNTIFS('BA History S2'!$B:$B,$A$13,'BA History S2'!AD:AD, 1)</f>
        <v>2</v>
      </c>
      <c r="AL13" s="2">
        <f>COUNTIFS('BA History S2'!$B:$B,$A$13,'BA History S2'!AE:AE, 1)</f>
        <v>0</v>
      </c>
      <c r="AM13" s="2">
        <f>COUNTIFS('BA History S2'!$B:$B,$A$13,'BA History S2'!AF:AF, 1)</f>
        <v>5</v>
      </c>
    </row>
    <row r="14" spans="1:39" x14ac:dyDescent="0.25">
      <c r="A14" s="2" t="s">
        <v>168</v>
      </c>
      <c r="B14" s="2" t="s">
        <v>79</v>
      </c>
      <c r="C14" s="2"/>
      <c r="D14" s="2"/>
      <c r="E14" s="2"/>
      <c r="F14" s="34">
        <f>SUMIFS('BA History S2'!C:C,'BA History S2'!B:B,A14)</f>
        <v>20</v>
      </c>
      <c r="G14" s="66">
        <f>AVERAGEIFS('BA History S2'!C:C,'BA History S2'!B:B,A14)</f>
        <v>10</v>
      </c>
      <c r="H14" s="35">
        <f t="array" ref="H14">MAX(IF('BA History S2'!B:B=A14, 'BA History S2'!C:C))</f>
        <v>14</v>
      </c>
      <c r="I14" s="34">
        <f>COUNTIFS('BA History S2'!B:B,A14,'BA History S2'!D:D, 1)</f>
        <v>1</v>
      </c>
      <c r="J14" s="2">
        <f>COUNTIFS('BA History S2'!B:B,A14,'BA History S2'!D:D, 0)</f>
        <v>1</v>
      </c>
      <c r="K14" s="75">
        <f>LOOKUP(2, 1/('BA History S2'!$B:$B=A14), 'BA History S2'!$AJ:$AJ)</f>
        <v>0.5</v>
      </c>
      <c r="L14" s="34">
        <f>SUMIFS('BA History S2'!F:F,'BA History S2'!B:B,A14)</f>
        <v>4</v>
      </c>
      <c r="M14" s="2">
        <f>SUMIFS('BA History S2'!E:E,'BA History S2'!B:B,A14)-L14</f>
        <v>4</v>
      </c>
      <c r="N14" s="75">
        <f>LOOKUP(2, 1/('BA History S2'!$B:$B=A14), 'BA History S2'!$AH:$AH)</f>
        <v>0.5</v>
      </c>
      <c r="O14" s="34">
        <f>SUMIFS('BA History S2'!H:H,'BA History S2'!B:B,A14)</f>
        <v>17</v>
      </c>
      <c r="P14" s="2">
        <f>SUMIFS('BA History S2'!G:G,'BA History S2'!B:B,A14)-O14</f>
        <v>17</v>
      </c>
      <c r="Q14" s="89">
        <f>LOOKUP(2, 1/('BA History S2'!$B:$B=A14), 'BA History S2'!$AI:$AI)</f>
        <v>0.5</v>
      </c>
      <c r="R14" s="2">
        <f>COUNTIFS('BA History S2'!$B:$B,$A$14,'BA History S2'!K:K, 1)</f>
        <v>0</v>
      </c>
      <c r="S14" s="2">
        <f>COUNTIFS('BA History S2'!$B:$B,$A$14,'BA History S2'!L:L, 1)</f>
        <v>0</v>
      </c>
      <c r="T14" s="2">
        <f>COUNTIFS('BA History S2'!$B:$B,$A$14,'BA History S2'!M:M, 1)</f>
        <v>0</v>
      </c>
      <c r="U14" s="2">
        <f>COUNTIFS('BA History S2'!$B:$B,$A$14,'BA History S2'!N:N, 1)</f>
        <v>0</v>
      </c>
      <c r="V14" s="2">
        <f>COUNTIFS('BA History S2'!$B:$B,$A$14,'BA History S2'!O:O, 1)</f>
        <v>0</v>
      </c>
      <c r="W14" s="2">
        <f>COUNTIFS('BA History S2'!$B:$B,$A$14,'BA History S2'!P:P, 1)</f>
        <v>0</v>
      </c>
      <c r="X14" s="2">
        <f>COUNTIFS('BA History S2'!$B:$B,$A$14,'BA History S2'!Q:Q, 1)</f>
        <v>0</v>
      </c>
      <c r="Y14" s="2">
        <f>COUNTIFS('BA History S2'!$B:$B,$A$14,'BA History S2'!R:R, 1)</f>
        <v>0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1</v>
      </c>
      <c r="AG14" s="2">
        <f>COUNTIFS('BA History S2'!$B:$B,$A$14,'BA History S2'!Z:Z, 1)</f>
        <v>1</v>
      </c>
      <c r="AH14" s="2">
        <f>COUNTIFS('BA History S2'!$B:$B,$A$14,'BA History S2'!AA:AA, 1)</f>
        <v>0</v>
      </c>
      <c r="AI14" s="2">
        <f>COUNTIFS('BA History S2'!$B:$B,$A$14,'BA History S2'!AB:AB, 1)</f>
        <v>2</v>
      </c>
      <c r="AJ14" s="2">
        <f>COUNTIFS('BA History S2'!$B:$B,$A$14,'BA History S2'!AC:AC, 1)</f>
        <v>0</v>
      </c>
      <c r="AK14" s="2">
        <f>COUNTIFS('BA History S2'!$B:$B,$A$14,'BA History S2'!AD:AD, 1)</f>
        <v>0</v>
      </c>
      <c r="AL14" s="2">
        <f>COUNTIFS('BA History S2'!$B:$B,$A$14,'BA History S2'!AE:AE, 1)</f>
        <v>0</v>
      </c>
      <c r="AM14" s="2">
        <f>COUNTIFS('BA History S2'!$B:$B,$A$14,'BA History S2'!AF:AF, 1)</f>
        <v>0</v>
      </c>
    </row>
    <row r="15" spans="1:39" x14ac:dyDescent="0.25">
      <c r="A15" s="2" t="s">
        <v>1</v>
      </c>
      <c r="B15" s="1" t="s">
        <v>158</v>
      </c>
      <c r="F15" s="34">
        <f>SUMIFS('BA History S2'!C:C,'BA History S2'!B:B,A15)</f>
        <v>437</v>
      </c>
      <c r="G15" s="66">
        <f>AVERAGEIFS('BA History S2'!C:C,'BA History S2'!B:B,A15)</f>
        <v>27.3125</v>
      </c>
      <c r="H15" s="35">
        <f t="array" ref="H15">MAX(IF('BA History S2'!B:B=A15, 'BA History S2'!C:C))</f>
        <v>49</v>
      </c>
      <c r="I15" s="34">
        <f>COUNTIFS('BA History S2'!B:B,A15,'BA History S2'!D:D, 1)</f>
        <v>9</v>
      </c>
      <c r="J15" s="2">
        <f>COUNTIFS('BA History S2'!B:B,A15,'BA History S2'!D:D, 0)</f>
        <v>7</v>
      </c>
      <c r="K15" s="75">
        <f>LOOKUP(2, 1/('BA History S2'!$B:$B=A15), 'BA History S2'!$AJ:$AJ)</f>
        <v>0.5625</v>
      </c>
      <c r="L15" s="34">
        <f>SUMIFS('BA History S2'!F:F,'BA History S2'!B:B,A15)</f>
        <v>35</v>
      </c>
      <c r="M15" s="2">
        <f>SUMIFS('BA History S2'!E:E,'BA History S2'!B:B,A15)-L15</f>
        <v>28</v>
      </c>
      <c r="N15" s="75">
        <f>LOOKUP(2, 1/('BA History S2'!$B:$B=A15), 'BA History S2'!$AH:$AH)</f>
        <v>0.57187500000000002</v>
      </c>
      <c r="O15" s="34">
        <f>SUMIFS('BA History S2'!H:H,'BA History S2'!B:B,A15)</f>
        <v>139</v>
      </c>
      <c r="P15" s="2">
        <f>SUMIFS('BA History S2'!G:G,'BA History S2'!B:B,A15)-O15</f>
        <v>121</v>
      </c>
      <c r="Q15" s="89">
        <f>LOOKUP(2, 1/('BA History S2'!$B:$B=A15), 'BA History S2'!$AI:$AI)</f>
        <v>0.55562499999999992</v>
      </c>
      <c r="R15" s="2">
        <f>COUNTIFS('BA History S2'!$B:$B,$A$15,'BA History S2'!K:K, 1)</f>
        <v>2</v>
      </c>
      <c r="S15" s="2">
        <f>COUNTIFS('BA History S2'!$B:$B,$A$15,'BA History S2'!L:L, 1)</f>
        <v>2</v>
      </c>
      <c r="T15" s="2">
        <f>COUNTIFS('BA History S2'!$B:$B,$A$15,'BA History S2'!M:M, 1)</f>
        <v>2</v>
      </c>
      <c r="U15" s="2">
        <f>COUNTIFS('BA History S2'!$B:$B,$A$15,'BA History S2'!N:N, 1)</f>
        <v>4</v>
      </c>
      <c r="V15" s="2">
        <f>COUNTIFS('BA History S2'!$B:$B,$A$15,'BA History S2'!O:O, 1)</f>
        <v>1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1</v>
      </c>
      <c r="Z15" s="2">
        <f>COUNTIFS('BA History S2'!$B:$B,$A$15,'BA History S2'!S:S, 1)</f>
        <v>1</v>
      </c>
      <c r="AA15" s="2">
        <f>COUNTIFS('BA History S2'!$B:$B,$A$15,'BA History S2'!T:T, 1)</f>
        <v>0</v>
      </c>
      <c r="AB15" s="2">
        <f>COUNTIFS('BA History S2'!$B:$B,$A$15,'BA History S2'!U:U, 1)</f>
        <v>1</v>
      </c>
      <c r="AC15" s="2">
        <f>COUNTIFS('BA History S2'!$B:$B,$A$15,'BA History S2'!V:V, 1)</f>
        <v>2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3</v>
      </c>
      <c r="AG15" s="2">
        <f>COUNTIFS('BA History S2'!$B:$B,$A$15,'BA History S2'!Z:Z, 1)</f>
        <v>3</v>
      </c>
      <c r="AH15" s="2">
        <f>COUNTIFS('BA History S2'!$B:$B,$A$15,'BA History S2'!AA:AA, 1)</f>
        <v>0</v>
      </c>
      <c r="AI15" s="2">
        <f>COUNTIFS('BA History S2'!$B:$B,$A$15,'BA History S2'!AB:AB, 1)</f>
        <v>3</v>
      </c>
      <c r="AJ15" s="2">
        <f>COUNTIFS('BA History S2'!$B:$B,$A$15,'BA History S2'!AC:AC, 1)</f>
        <v>2</v>
      </c>
      <c r="AK15" s="2">
        <f>COUNTIFS('BA History S2'!$B:$B,$A$15,'BA History S2'!AD:AD, 1)</f>
        <v>4</v>
      </c>
      <c r="AL15" s="2">
        <f>COUNTIFS('BA History S2'!$B:$B,$A$15,'BA History S2'!AE:AE, 1)</f>
        <v>0</v>
      </c>
      <c r="AM15" s="2">
        <f>COUNTIFS('BA History S2'!$B:$B,$A$15,'BA History S2'!AF:AF, 1)</f>
        <v>3</v>
      </c>
    </row>
    <row r="16" spans="1:39" ht="15.75" x14ac:dyDescent="0.25">
      <c r="A16" s="2" t="s">
        <v>150</v>
      </c>
      <c r="B16" s="95" t="s">
        <v>79</v>
      </c>
      <c r="C16" s="95">
        <v>1</v>
      </c>
      <c r="D16" s="95"/>
      <c r="E16" s="95"/>
      <c r="F16" s="34">
        <f>SUMIFS('BA History S2'!C:C,'BA History S2'!B:B,A16)</f>
        <v>261</v>
      </c>
      <c r="G16" s="66">
        <f>AVERAGEIFS('BA History S2'!C:C,'BA History S2'!B:B,A16)</f>
        <v>18.642857142857142</v>
      </c>
      <c r="H16" s="35">
        <f t="array" ref="H16">MAX(IF('BA History S2'!B:B=A16, 'BA History S2'!C:C))</f>
        <v>30</v>
      </c>
      <c r="I16" s="34">
        <f>COUNTIFS('BA History S2'!B:B,A16,'BA History S2'!D:D, 1)</f>
        <v>10</v>
      </c>
      <c r="J16" s="2">
        <f>COUNTIFS('BA History S2'!B:B,A16,'BA History S2'!D:D, 0)</f>
        <v>4</v>
      </c>
      <c r="K16" s="75">
        <f>LOOKUP(2, 1/('BA History S2'!$B:$B=A16), 'BA History S2'!$AJ:$AJ)</f>
        <v>0.7142857142857143</v>
      </c>
      <c r="L16" s="34">
        <f>SUMIFS('BA History S2'!F:F,'BA History S2'!B:B,A16)</f>
        <v>34</v>
      </c>
      <c r="M16" s="2">
        <f>SUMIFS('BA History S2'!E:E,'BA History S2'!B:B,A16)-L16</f>
        <v>19</v>
      </c>
      <c r="N16" s="75">
        <f>LOOKUP(2, 1/('BA History S2'!$B:$B=A16), 'BA History S2'!$AH:$AH)</f>
        <v>0.65357142857142858</v>
      </c>
      <c r="O16" s="34">
        <f>SUMIFS('BA History S2'!H:H,'BA History S2'!B:B,A16)</f>
        <v>123</v>
      </c>
      <c r="P16" s="2">
        <f>SUMIFS('BA History S2'!G:G,'BA History S2'!B:B,A16)-O16</f>
        <v>90</v>
      </c>
      <c r="Q16" s="89">
        <f>LOOKUP(2, 1/('BA History S2'!$B:$B=A16), 'BA History S2'!$AI:$AI)</f>
        <v>0.59785714285714275</v>
      </c>
      <c r="R16" s="2">
        <f>COUNTIFS('BA History S2'!$B:$B,$A$16,'BA History S2'!K:K, 1)</f>
        <v>0</v>
      </c>
      <c r="S16" s="2">
        <f>COUNTIFS('BA History S2'!$B:$B,$A$16,'BA History S2'!L:L, 1)</f>
        <v>1</v>
      </c>
      <c r="T16" s="2">
        <f>COUNTIFS('BA History S2'!$B:$B,$A$16,'BA History S2'!M:M, 1)</f>
        <v>4</v>
      </c>
      <c r="U16" s="2">
        <f>COUNTIFS('BA History S2'!$B:$B,$A$16,'BA History S2'!N:N, 1)</f>
        <v>5</v>
      </c>
      <c r="V16" s="2">
        <f>COUNTIFS('BA History S2'!$B:$B,$A$16,'BA History S2'!O:O, 1)</f>
        <v>0</v>
      </c>
      <c r="W16" s="2">
        <f>COUNTIFS('BA History S2'!$B:$B,$A$16,'BA History S2'!P:P, 1)</f>
        <v>1</v>
      </c>
      <c r="X16" s="2">
        <f>COUNTIFS('BA History S2'!$B:$B,$A$16,'BA History S2'!Q:Q, 1)</f>
        <v>1</v>
      </c>
      <c r="Y16" s="2">
        <f>COUNTIFS('BA History S2'!$B:$B,$A$16,'BA History S2'!R:R, 1)</f>
        <v>0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1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2</v>
      </c>
      <c r="AG16" s="2">
        <f>COUNTIFS('BA History S2'!$B:$B,$A$16,'BA History S2'!Z:Z, 1)</f>
        <v>7</v>
      </c>
      <c r="AH16" s="2">
        <f>COUNTIFS('BA History S2'!$B:$B,$A$16,'BA History S2'!AA:AA, 1)</f>
        <v>0</v>
      </c>
      <c r="AI16" s="2">
        <f>COUNTIFS('BA History S2'!$B:$B,$A$16,'BA History S2'!AB:AB, 1)</f>
        <v>4</v>
      </c>
      <c r="AJ16" s="2">
        <f>COUNTIFS('BA History S2'!$B:$B,$A$16,'BA History S2'!AC:AC, 1)</f>
        <v>1</v>
      </c>
      <c r="AK16" s="2">
        <f>COUNTIFS('BA History S2'!$B:$B,$A$16,'BA History S2'!AD:AD, 1)</f>
        <v>2</v>
      </c>
      <c r="AL16" s="2">
        <f>COUNTIFS('BA History S2'!$B:$B,$A$16,'BA History S2'!AE:AE, 1)</f>
        <v>0</v>
      </c>
      <c r="AM16" s="2">
        <f>COUNTIFS('BA History S2'!$B:$B,$A$16,'BA History S2'!AF:AF, 1)</f>
        <v>3</v>
      </c>
    </row>
    <row r="17" spans="1:39" x14ac:dyDescent="0.25">
      <c r="A17" s="2" t="s">
        <v>46</v>
      </c>
      <c r="B17" s="1" t="s">
        <v>158</v>
      </c>
      <c r="F17" s="34">
        <f>SUMIFS('BA History S2'!C:C,'BA History S2'!B:B,A17)</f>
        <v>96</v>
      </c>
      <c r="G17" s="66">
        <f>AVERAGEIFS('BA History S2'!C:C,'BA History S2'!B:B,A17)</f>
        <v>16</v>
      </c>
      <c r="H17" s="35">
        <f t="array" ref="H17">MAX(IF('BA History S2'!B:B=A17, 'BA History S2'!C:C))</f>
        <v>34</v>
      </c>
      <c r="I17" s="34">
        <f>COUNTIFS('BA History S2'!B:B,A17,'BA History S2'!D:D, 1)</f>
        <v>1</v>
      </c>
      <c r="J17" s="2">
        <f>COUNTIFS('BA History S2'!B:B,A17,'BA History S2'!D:D, 0)</f>
        <v>5</v>
      </c>
      <c r="K17" s="75">
        <f>LOOKUP(2, 1/('BA History S2'!$B:$B=A17), 'BA History S2'!$AJ:$AJ)</f>
        <v>0.16666666666666666</v>
      </c>
      <c r="L17" s="34">
        <f>SUMIFS('BA History S2'!F:F,'BA History S2'!B:B,A17)</f>
        <v>8</v>
      </c>
      <c r="M17" s="2">
        <f>SUMIFS('BA History S2'!E:E,'BA History S2'!B:B,A17)-L17</f>
        <v>17</v>
      </c>
      <c r="N17" s="75">
        <f>LOOKUP(2, 1/('BA History S2'!$B:$B=A17), 'BA History S2'!$AH:$AH)</f>
        <v>0.27499999999999997</v>
      </c>
      <c r="O17" s="34">
        <f>SUMIFS('BA History S2'!H:H,'BA History S2'!B:B,A17)</f>
        <v>41</v>
      </c>
      <c r="P17" s="2">
        <f>SUMIFS('BA History S2'!G:G,'BA History S2'!B:B,A17)-O17</f>
        <v>62</v>
      </c>
      <c r="Q17" s="89">
        <f>LOOKUP(2, 1/('BA History S2'!$B:$B=A17), 'BA History S2'!$AI:$AI)</f>
        <v>0.35499999999999998</v>
      </c>
      <c r="R17" s="2">
        <f>COUNTIFS('BA History S2'!$B:$B,$A$17,'BA History S2'!K:K, 1)</f>
        <v>1</v>
      </c>
      <c r="S17" s="2">
        <f>COUNTIFS('BA History S2'!$B:$B,$A$17,'BA History S2'!L:L, 1)</f>
        <v>2</v>
      </c>
      <c r="T17" s="2">
        <f>COUNTIFS('BA History S2'!$B:$B,$A$17,'BA History S2'!M:M, 1)</f>
        <v>0</v>
      </c>
      <c r="U17" s="2">
        <f>COUNTIFS('BA History S2'!$B:$B,$A$17,'BA History S2'!N:N, 1)</f>
        <v>1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1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0</v>
      </c>
      <c r="AH17" s="2">
        <f>COUNTIFS('BA History S2'!$B:$B,$A$17,'BA History S2'!AA:AA, 1)</f>
        <v>0</v>
      </c>
      <c r="AI17" s="2">
        <f>COUNTIFS('BA History S2'!$B:$B,$A$17,'BA History S2'!AB:AB, 1)</f>
        <v>1</v>
      </c>
      <c r="AJ17" s="2">
        <f>COUNTIFS('BA History S2'!$B:$B,$A$17,'BA History S2'!AC:AC, 1)</f>
        <v>0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1</v>
      </c>
    </row>
    <row r="18" spans="1:39" x14ac:dyDescent="0.25">
      <c r="A18" s="2" t="s">
        <v>28</v>
      </c>
      <c r="B18" s="1" t="s">
        <v>79</v>
      </c>
      <c r="F18" s="34">
        <f>SUMIFS('BA History S2'!C:C,'BA History S2'!B:B,A18)</f>
        <v>26</v>
      </c>
      <c r="G18" s="66">
        <f>AVERAGEIFS('BA History S2'!C:C,'BA History S2'!B:B,A18)</f>
        <v>13</v>
      </c>
      <c r="H18" s="35">
        <f t="array" ref="H18">MAX(IF('BA History S2'!B:B=A18, 'BA History S2'!C:C))</f>
        <v>17</v>
      </c>
      <c r="I18" s="34">
        <f>COUNTIFS('BA History S2'!B:B,A18,'BA History S2'!D:D, 1)</f>
        <v>1</v>
      </c>
      <c r="J18" s="2">
        <f>COUNTIFS('BA History S2'!B:B,A18,'BA History S2'!D:D, 0)</f>
        <v>1</v>
      </c>
      <c r="K18" s="75">
        <f>LOOKUP(2, 1/('BA History S2'!$B:$B=A18), 'BA History S2'!$AJ:$AJ)</f>
        <v>0.5</v>
      </c>
      <c r="L18" s="34">
        <f>SUMIFS('BA History S2'!F:F,'BA History S2'!B:B,A18)</f>
        <v>3</v>
      </c>
      <c r="M18" s="2">
        <f>SUMIFS('BA History S2'!E:E,'BA History S2'!B:B,A18)-L18</f>
        <v>4</v>
      </c>
      <c r="N18" s="75">
        <f>LOOKUP(2, 1/('BA History S2'!$B:$B=A18), 'BA History S2'!$AH:$AH)</f>
        <v>0.375</v>
      </c>
      <c r="O18" s="34">
        <f>SUMIFS('BA History S2'!H:H,'BA History S2'!B:B,A18)</f>
        <v>12</v>
      </c>
      <c r="P18" s="2">
        <f>SUMIFS('BA History S2'!G:G,'BA History S2'!B:B,A18)-O18</f>
        <v>15</v>
      </c>
      <c r="Q18" s="89">
        <f>LOOKUP(2, 1/('BA History S2'!$B:$B=A18), 'BA History S2'!$AI:$AI)</f>
        <v>0.375</v>
      </c>
      <c r="R18" s="2">
        <f>COUNTIFS('BA History S2'!$B:$B,$A$18,'BA History S2'!K:K, 1)</f>
        <v>0</v>
      </c>
      <c r="S18" s="2">
        <f>COUNTIFS('BA History S2'!$B:$B,$A$18,'BA History S2'!L:L, 1)</f>
        <v>0</v>
      </c>
      <c r="T18" s="2">
        <f>COUNTIFS('BA History S2'!$B:$B,$A$18,'BA History S2'!M:M, 1)</f>
        <v>0</v>
      </c>
      <c r="U18" s="2">
        <f>COUNTIFS('BA History S2'!$B:$B,$A$18,'BA History S2'!N:N, 1)</f>
        <v>0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1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1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53</v>
      </c>
      <c r="B19" s="2" t="s">
        <v>79</v>
      </c>
      <c r="C19" s="2">
        <v>1</v>
      </c>
      <c r="D19" s="2"/>
      <c r="E19" s="2"/>
      <c r="F19" s="34">
        <f>SUMIFS('BA History S2'!C:C,'BA History S2'!B:B,A19)</f>
        <v>188</v>
      </c>
      <c r="G19" s="66">
        <f>AVERAGEIFS('BA History S2'!C:C,'BA History S2'!B:B,A19)</f>
        <v>13.428571428571429</v>
      </c>
      <c r="H19" s="35">
        <f t="array" ref="H19">MAX(IF('BA History S2'!B:B=A19, 'BA History S2'!C:C))</f>
        <v>27</v>
      </c>
      <c r="I19" s="34">
        <f>COUNTIFS('BA History S2'!B:B,A19,'BA History S2'!D:D, 1)</f>
        <v>3</v>
      </c>
      <c r="J19" s="2">
        <f>COUNTIFS('BA History S2'!B:B,A19,'BA History S2'!D:D, 0)</f>
        <v>11</v>
      </c>
      <c r="K19" s="75">
        <f>LOOKUP(2, 1/('BA History S2'!$B:$B=A19), 'BA History S2'!$AJ:$AJ)</f>
        <v>0.21428571428571427</v>
      </c>
      <c r="L19" s="34">
        <f>SUMIFS('BA History S2'!F:F,'BA History S2'!B:B,A19)</f>
        <v>21</v>
      </c>
      <c r="M19" s="2">
        <f>SUMIFS('BA History S2'!E:E,'BA History S2'!B:B,A19)-L19</f>
        <v>33</v>
      </c>
      <c r="N19" s="75">
        <f>LOOKUP(2, 1/('BA History S2'!$B:$B=A19), 'BA History S2'!$AH:$AH)</f>
        <v>0.40714285714285708</v>
      </c>
      <c r="O19" s="34">
        <f>SUMIFS('BA History S2'!H:H,'BA History S2'!B:B,A19)</f>
        <v>102</v>
      </c>
      <c r="P19" s="2">
        <f>SUMIFS('BA History S2'!G:G,'BA History S2'!B:B,A19)-O19</f>
        <v>125</v>
      </c>
      <c r="Q19" s="89">
        <f>LOOKUP(2, 1/('BA History S2'!$B:$B=A19), 'BA History S2'!$AI:$AI)</f>
        <v>0.45357142857142846</v>
      </c>
      <c r="R19" s="2">
        <f>COUNTIFS('BA History S2'!$B:$B,$A$19,'BA History S2'!K:K, 1)</f>
        <v>1</v>
      </c>
      <c r="S19" s="2">
        <f>COUNTIFS('BA History S2'!$B:$B,$A$19,'BA History S2'!L:L, 1)</f>
        <v>3</v>
      </c>
      <c r="T19" s="2">
        <f>COUNTIFS('BA History S2'!$B:$B,$A$19,'BA History S2'!M:M, 1)</f>
        <v>0</v>
      </c>
      <c r="U19" s="2">
        <f>COUNTIFS('BA History S2'!$B:$B,$A$19,'BA History S2'!N:N, 1)</f>
        <v>3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0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3</v>
      </c>
      <c r="AH19" s="2">
        <f>COUNTIFS('BA History S2'!$B:$B,$A$19,'BA History S2'!AA:AA, 1)</f>
        <v>1</v>
      </c>
      <c r="AI19" s="2">
        <f>COUNTIFS('BA History S2'!$B:$B,$A$19,'BA History S2'!AB:AB, 1)</f>
        <v>3</v>
      </c>
      <c r="AJ19" s="2">
        <f>COUNTIFS('BA History S2'!$B:$B,$A$19,'BA History S2'!AC:AC, 1)</f>
        <v>2</v>
      </c>
      <c r="AK19" s="2">
        <f>COUNTIFS('BA History S2'!$B:$B,$A$19,'BA History S2'!AD:AD, 1)</f>
        <v>0</v>
      </c>
      <c r="AL19" s="2">
        <f>COUNTIFS('BA History S2'!$B:$B,$A$19,'BA History S2'!AE:AE, 1)</f>
        <v>1</v>
      </c>
      <c r="AM19" s="2">
        <f>COUNTIFS('BA History S2'!$B:$B,$A$19,'BA History S2'!AF:AF, 1)</f>
        <v>3</v>
      </c>
    </row>
    <row r="20" spans="1:39" x14ac:dyDescent="0.25">
      <c r="A20" s="2" t="s">
        <v>148</v>
      </c>
      <c r="B20" s="2" t="s">
        <v>79</v>
      </c>
      <c r="C20" s="2"/>
      <c r="D20" s="2"/>
      <c r="E20" s="2"/>
      <c r="F20" s="34">
        <f>SUMIFS('BA History S2'!C:C,'BA History S2'!B:B,A20)</f>
        <v>2</v>
      </c>
      <c r="G20" s="66">
        <f>AVERAGEIFS('BA History S2'!C:C,'BA History S2'!B:B,A20)</f>
        <v>2</v>
      </c>
      <c r="H20" s="35">
        <f t="array" ref="H20">MAX(IF('BA History S2'!B:B=A20, 'BA History S2'!C:C))</f>
        <v>2</v>
      </c>
      <c r="I20" s="34">
        <f>COUNTIFS('BA History S2'!B:B,A20,'BA History S2'!D:D, 1)</f>
        <v>1</v>
      </c>
      <c r="J20" s="2">
        <f>COUNTIFS('BA History S2'!B:B,A20,'BA History S2'!D:D, 0)</f>
        <v>0</v>
      </c>
      <c r="K20" s="75">
        <f>LOOKUP(2, 1/('BA History S2'!$B:$B=A20), 'BA History S2'!$AJ:$AJ)</f>
        <v>1</v>
      </c>
      <c r="L20" s="34">
        <f>SUMIFS('BA History S2'!F:F,'BA History S2'!B:B,A20)</f>
        <v>3</v>
      </c>
      <c r="M20" s="2">
        <f>SUMIFS('BA History S2'!E:E,'BA History S2'!B:B,A20)-L20</f>
        <v>2</v>
      </c>
      <c r="N20" s="75">
        <f>LOOKUP(2, 1/('BA History S2'!$B:$B=A20), 'BA History S2'!$AH:$AH)</f>
        <v>0.6</v>
      </c>
      <c r="O20" s="34">
        <f>SUMIFS('BA History S2'!H:H,'BA History S2'!B:B,A20)</f>
        <v>10</v>
      </c>
      <c r="P20" s="2">
        <f>SUMIFS('BA History S2'!G:G,'BA History S2'!B:B,A20)-O20</f>
        <v>9</v>
      </c>
      <c r="Q20" s="89">
        <f>LOOKUP(2, 1/('BA History S2'!$B:$B=A20), 'BA History S2'!$AI:$AI)</f>
        <v>0.53</v>
      </c>
      <c r="R20" s="2">
        <f>COUNTIFS('BA History S2'!$B:$B,$A$20,'BA History S2'!K:K, 1)</f>
        <v>0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1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0</v>
      </c>
      <c r="AE20" s="2">
        <f>COUNTIFS('BA History S2'!$B:$B,$A$20,'BA History S2'!X:X, 1)</f>
        <v>0</v>
      </c>
      <c r="AF20" s="2">
        <f>COUNTIFS('BA History S2'!$B:$B,$A$20,'BA History S2'!Y:Y, 1)</f>
        <v>0</v>
      </c>
      <c r="AG20" s="2">
        <f>COUNTIFS('BA History S2'!$B:$B,$A$20,'BA History S2'!Z:Z, 1)</f>
        <v>0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0</v>
      </c>
      <c r="AK20" s="2">
        <f>COUNTIFS('BA History S2'!$B:$B,$A$20,'BA History S2'!AD:AD, 1)</f>
        <v>0</v>
      </c>
      <c r="AL20" s="2">
        <f>COUNTIFS('BA History S2'!$B:$B,$A$20,'BA History S2'!AE:AE, 1)</f>
        <v>0</v>
      </c>
      <c r="AM20" s="2">
        <f>COUNTIFS('BA History S2'!$B:$B,$A$20,'BA History S2'!AF:AF, 1)</f>
        <v>0</v>
      </c>
    </row>
    <row r="21" spans="1:39" x14ac:dyDescent="0.25">
      <c r="A21" s="2" t="s">
        <v>161</v>
      </c>
      <c r="B21" s="2" t="s">
        <v>79</v>
      </c>
      <c r="C21" s="2"/>
      <c r="D21" s="2"/>
      <c r="E21" s="2"/>
      <c r="F21" s="34">
        <f>SUMIFS('BA History S2'!C:C,'BA History S2'!B:B,A21)</f>
        <v>85</v>
      </c>
      <c r="G21" s="66">
        <f>AVERAGEIFS('BA History S2'!C:C,'BA History S2'!B:B,A21)</f>
        <v>9.4444444444444446</v>
      </c>
      <c r="H21" s="35">
        <f t="array" ref="H21">MAX(IF('BA History S2'!B:B=A21, 'BA History S2'!C:C))</f>
        <v>24</v>
      </c>
      <c r="I21" s="34">
        <f>COUNTIFS('BA History S2'!B:B,A21,'BA History S2'!D:D, 1)</f>
        <v>5</v>
      </c>
      <c r="J21" s="2">
        <f>COUNTIFS('BA History S2'!B:B,A21,'BA History S2'!D:D, 0)</f>
        <v>4</v>
      </c>
      <c r="K21" s="75">
        <f>LOOKUP(2, 1/('BA History S2'!$B:$B=A21), 'BA History S2'!$AJ:$AJ)</f>
        <v>0.55555555555555558</v>
      </c>
      <c r="L21" s="34">
        <f>SUMIFS('BA History S2'!F:F,'BA History S2'!B:B,A21)</f>
        <v>21</v>
      </c>
      <c r="M21" s="2">
        <f>SUMIFS('BA History S2'!E:E,'BA History S2'!B:B,A21)-L21</f>
        <v>16</v>
      </c>
      <c r="N21" s="75">
        <f>LOOKUP(2, 1/('BA History S2'!$B:$B=A21), 'BA History S2'!$AH:$AH)</f>
        <v>0.58888888888888891</v>
      </c>
      <c r="O21" s="34">
        <f>SUMIFS('BA History S2'!H:H,'BA History S2'!B:B,A21)</f>
        <v>81</v>
      </c>
      <c r="P21" s="2">
        <f>SUMIFS('BA History S2'!G:G,'BA History S2'!B:B,A21)-O21</f>
        <v>76</v>
      </c>
      <c r="Q21" s="89">
        <f>LOOKUP(2, 1/('BA History S2'!$B:$B=A21), 'BA History S2'!$AI:$AI)</f>
        <v>0.53111111111111109</v>
      </c>
      <c r="R21" s="2">
        <f>COUNTIFS('BA History S2'!$B:$B,$A$21,'BA History S2'!K:K, 1)</f>
        <v>1</v>
      </c>
      <c r="S21" s="2">
        <f>COUNTIFS('BA History S2'!$B:$B,$A$21,'BA History S2'!L:L, 1)</f>
        <v>2</v>
      </c>
      <c r="T21" s="2">
        <f>COUNTIFS('BA History S2'!$B:$B,$A$21,'BA History S2'!M:M, 1)</f>
        <v>2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1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1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1</v>
      </c>
      <c r="AG21" s="2">
        <f>COUNTIFS('BA History S2'!$B:$B,$A$21,'BA History S2'!Z:Z, 1)</f>
        <v>3</v>
      </c>
      <c r="AH21" s="2">
        <f>COUNTIFS('BA History S2'!$B:$B,$A$21,'BA History S2'!AA:AA, 1)</f>
        <v>0</v>
      </c>
      <c r="AI21" s="2">
        <f>COUNTIFS('BA History S2'!$B:$B,$A$21,'BA History S2'!AB:AB, 1)</f>
        <v>3</v>
      </c>
      <c r="AJ21" s="2">
        <f>COUNTIFS('BA History S2'!$B:$B,$A$21,'BA History S2'!AC:AC, 1)</f>
        <v>2</v>
      </c>
      <c r="AK21" s="2">
        <f>COUNTIFS('BA History S2'!$B:$B,$A$21,'BA History S2'!AD:AD, 1)</f>
        <v>1</v>
      </c>
      <c r="AL21" s="2">
        <f>COUNTIFS('BA History S2'!$B:$B,$A$21,'BA History S2'!AE:AE, 1)</f>
        <v>1</v>
      </c>
      <c r="AM21" s="2">
        <f>COUNTIFS('BA History S2'!$B:$B,$A$21,'BA History S2'!AF:AF, 1)</f>
        <v>2</v>
      </c>
    </row>
    <row r="22" spans="1:39" x14ac:dyDescent="0.25">
      <c r="A22" s="2" t="s">
        <v>13</v>
      </c>
      <c r="B22" s="2" t="s">
        <v>79</v>
      </c>
      <c r="C22" s="2"/>
      <c r="D22" s="2"/>
      <c r="E22" s="2"/>
      <c r="F22" s="34">
        <f>SUMIFS('BA History S2'!C:C,'BA History S2'!B:B,A22)</f>
        <v>123</v>
      </c>
      <c r="G22" s="66">
        <f>AVERAGEIFS('BA History S2'!C:C,'BA History S2'!B:B,A22)</f>
        <v>15.375</v>
      </c>
      <c r="H22" s="35">
        <f t="array" ref="H22">MAX(IF('BA History S2'!B:B=A22, 'BA History S2'!C:C))</f>
        <v>23</v>
      </c>
      <c r="I22" s="34">
        <f>COUNTIFS('BA History S2'!B:B,A22,'BA History S2'!D:D, 1)</f>
        <v>4</v>
      </c>
      <c r="J22" s="2">
        <f>COUNTIFS('BA History S2'!B:B,A22,'BA History S2'!D:D, 0)</f>
        <v>4</v>
      </c>
      <c r="K22" s="75">
        <f>LOOKUP(2, 1/('BA History S2'!$B:$B=A22), 'BA History S2'!$AJ:$AJ)</f>
        <v>0.5</v>
      </c>
      <c r="L22" s="34">
        <f>SUMIFS('BA History S2'!F:F,'BA History S2'!B:B,A22)</f>
        <v>14</v>
      </c>
      <c r="M22" s="2">
        <f>SUMIFS('BA History S2'!E:E,'BA History S2'!B:B,A22)-L22</f>
        <v>14</v>
      </c>
      <c r="N22" s="75">
        <f>LOOKUP(2, 1/('BA History S2'!$B:$B=A22), 'BA History S2'!$AH:$AH)</f>
        <v>0.5</v>
      </c>
      <c r="O22" s="34">
        <f>SUMIFS('BA History S2'!H:H,'BA History S2'!B:B,A22)</f>
        <v>58</v>
      </c>
      <c r="P22" s="2">
        <f>SUMIFS('BA History S2'!G:G,'BA History S2'!B:B,A22)-O22</f>
        <v>64</v>
      </c>
      <c r="Q22" s="89">
        <f>LOOKUP(2, 1/('BA History S2'!$B:$B=A22), 'BA History S2'!$AI:$AI)</f>
        <v>0.46625</v>
      </c>
      <c r="R22" s="2">
        <f>COUNTIFS('BA History S2'!$B:$B,$A$22,'BA History S2'!K:K, 1)</f>
        <v>1</v>
      </c>
      <c r="S22" s="2">
        <f>COUNTIFS('BA History S2'!$B:$B,$A$22,'BA History S2'!L:L, 1)</f>
        <v>2</v>
      </c>
      <c r="T22" s="2">
        <f>COUNTIFS('BA History S2'!$B:$B,$A$22,'BA History S2'!M:M, 1)</f>
        <v>0</v>
      </c>
      <c r="U22" s="2">
        <f>COUNTIFS('BA History S2'!$B:$B,$A$22,'BA History S2'!N:N, 1)</f>
        <v>0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0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0</v>
      </c>
      <c r="AC22" s="2">
        <f>COUNTIFS('BA History S2'!$B:$B,$A$22,'BA History S2'!V:V, 1)</f>
        <v>0</v>
      </c>
      <c r="AD22" s="2">
        <f>COUNTIFS('BA History S2'!$B:$B,$A$22,'BA History S2'!W:W, 1)</f>
        <v>1</v>
      </c>
      <c r="AE22" s="2">
        <f>COUNTIFS('BA History S2'!$B:$B,$A$22,'BA History S2'!X:X, 1)</f>
        <v>0</v>
      </c>
      <c r="AF22" s="2">
        <f>COUNTIFS('BA History S2'!$B:$B,$A$22,'BA History S2'!Y:Y, 1)</f>
        <v>1</v>
      </c>
      <c r="AG22" s="2">
        <f>COUNTIFS('BA History S2'!$B:$B,$A$22,'BA History S2'!Z:Z, 1)</f>
        <v>2</v>
      </c>
      <c r="AH22" s="2">
        <f>COUNTIFS('BA History S2'!$B:$B,$A$22,'BA History S2'!AA:AA, 1)</f>
        <v>0</v>
      </c>
      <c r="AI22" s="2">
        <f>COUNTIFS('BA History S2'!$B:$B,$A$22,'BA History S2'!AB:AB, 1)</f>
        <v>2</v>
      </c>
      <c r="AJ22" s="2">
        <f>COUNTIFS('BA History S2'!$B:$B,$A$22,'BA History S2'!AC:AC, 1)</f>
        <v>2</v>
      </c>
      <c r="AK22" s="2">
        <f>COUNTIFS('BA History S2'!$B:$B,$A$22,'BA History S2'!AD:AD, 1)</f>
        <v>1</v>
      </c>
      <c r="AL22" s="2">
        <f>COUNTIFS('BA History S2'!$B:$B,$A$22,'BA History S2'!AE:AE, 1)</f>
        <v>1</v>
      </c>
      <c r="AM22" s="2">
        <f>COUNTIFS('BA History S2'!$B:$B,$A$22,'BA History S2'!AF:AF, 1)</f>
        <v>1</v>
      </c>
    </row>
    <row r="23" spans="1:39" x14ac:dyDescent="0.25">
      <c r="A23" s="2" t="s">
        <v>2</v>
      </c>
      <c r="B23" s="1" t="s">
        <v>158</v>
      </c>
      <c r="C23" s="1">
        <v>1</v>
      </c>
      <c r="F23" s="34">
        <f>SUMIFS('BA History S2'!C:C,'BA History S2'!B:B,A23)</f>
        <v>207</v>
      </c>
      <c r="G23" s="66">
        <f>AVERAGEIFS('BA History S2'!C:C,'BA History S2'!B:B,A23)</f>
        <v>17.25</v>
      </c>
      <c r="H23" s="35">
        <f t="array" ref="H23">MAX(IF('BA History S2'!B:B=A23, 'BA History S2'!C:C))</f>
        <v>33</v>
      </c>
      <c r="I23" s="34">
        <f>COUNTIFS('BA History S2'!B:B,A23,'BA History S2'!D:D, 1)</f>
        <v>4</v>
      </c>
      <c r="J23" s="2">
        <f>COUNTIFS('BA History S2'!B:B,A23,'BA History S2'!D:D, 0)</f>
        <v>8</v>
      </c>
      <c r="K23" s="75">
        <f>LOOKUP(2, 1/('BA History S2'!$B:$B=A23), 'BA History S2'!$AJ:$AJ)</f>
        <v>0.33333333333333331</v>
      </c>
      <c r="L23" s="34">
        <f>SUMIFS('BA History S2'!F:F,'BA History S2'!B:B,A23)</f>
        <v>19</v>
      </c>
      <c r="M23" s="2">
        <f>SUMIFS('BA History S2'!E:E,'BA History S2'!B:B,A23)-L23</f>
        <v>27</v>
      </c>
      <c r="N23" s="75">
        <f>LOOKUP(2, 1/('BA History S2'!$B:$B=A23), 'BA History S2'!$AH:$AH)</f>
        <v>0.39999999999999997</v>
      </c>
      <c r="O23" s="34">
        <f>SUMIFS('BA History S2'!H:H,'BA History S2'!B:B,A23)</f>
        <v>96</v>
      </c>
      <c r="P23" s="2">
        <f>SUMIFS('BA History S2'!G:G,'BA History S2'!B:B,A23)-O23</f>
        <v>100</v>
      </c>
      <c r="Q23" s="89">
        <f>LOOKUP(2, 1/('BA History S2'!$B:$B=A23), 'BA History S2'!$AI:$AI)</f>
        <v>0.48083333333333339</v>
      </c>
      <c r="R23" s="2">
        <f>COUNTIFS('BA History S2'!$B:$B,$A$23,'BA History S2'!K:K, 1)</f>
        <v>1</v>
      </c>
      <c r="S23" s="2">
        <f>COUNTIFS('BA History S2'!$B:$B,$A$23,'BA History S2'!L:L, 1)</f>
        <v>1</v>
      </c>
      <c r="T23" s="2">
        <f>COUNTIFS('BA History S2'!$B:$B,$A$23,'BA History S2'!M:M, 1)</f>
        <v>0</v>
      </c>
      <c r="U23" s="2">
        <f>COUNTIFS('BA History S2'!$B:$B,$A$23,'BA History S2'!N:N, 1)</f>
        <v>2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1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1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1</v>
      </c>
      <c r="AH23" s="2">
        <f>COUNTIFS('BA History S2'!$B:$B,$A$23,'BA History S2'!AA:AA, 1)</f>
        <v>0</v>
      </c>
      <c r="AI23" s="2">
        <f>COUNTIFS('BA History S2'!$B:$B,$A$23,'BA History S2'!AB:AB, 1)</f>
        <v>4</v>
      </c>
      <c r="AJ23" s="2">
        <f>COUNTIFS('BA History S2'!$B:$B,$A$23,'BA History S2'!AC:AC, 1)</f>
        <v>2</v>
      </c>
      <c r="AK23" s="2">
        <f>COUNTIFS('BA History S2'!$B:$B,$A$23,'BA History S2'!AD:AD, 1)</f>
        <v>3</v>
      </c>
      <c r="AL23" s="2">
        <f>COUNTIFS('BA History S2'!$B:$B,$A$23,'BA History S2'!AE:AE, 1)</f>
        <v>0</v>
      </c>
      <c r="AM23" s="2">
        <f>COUNTIFS('BA History S2'!$B:$B,$A$23,'BA History S2'!AF:AF, 1)</f>
        <v>2</v>
      </c>
    </row>
    <row r="24" spans="1:39" x14ac:dyDescent="0.25">
      <c r="A24" s="2" t="s">
        <v>54</v>
      </c>
      <c r="B24" s="2" t="s">
        <v>79</v>
      </c>
      <c r="C24" s="2">
        <v>3</v>
      </c>
      <c r="D24" s="2">
        <v>1</v>
      </c>
      <c r="E24" s="2"/>
      <c r="F24" s="34">
        <f>SUMIFS('BA History S2'!C:C,'BA History S2'!B:B,A24)</f>
        <v>268</v>
      </c>
      <c r="G24" s="66">
        <f>AVERAGEIFS('BA History S2'!C:C,'BA History S2'!B:B,A24)</f>
        <v>22.333333333333332</v>
      </c>
      <c r="H24" s="35">
        <f t="array" ref="H24">MAX(IF('BA History S2'!B:B=A24, 'BA History S2'!C:C))</f>
        <v>47</v>
      </c>
      <c r="I24" s="34">
        <f>COUNTIFS('BA History S2'!B:B,A24,'BA History S2'!D:D, 1)</f>
        <v>6</v>
      </c>
      <c r="J24" s="2">
        <f>COUNTIFS('BA History S2'!B:B,A24,'BA History S2'!D:D, 0)</f>
        <v>6</v>
      </c>
      <c r="K24" s="75">
        <f>LOOKUP(2, 1/('BA History S2'!$B:$B=A24), 'BA History S2'!$AJ:$AJ)</f>
        <v>0.5</v>
      </c>
      <c r="L24" s="34">
        <f>SUMIFS('BA History S2'!F:F,'BA History S2'!B:B,A24)</f>
        <v>22</v>
      </c>
      <c r="M24" s="2">
        <f>SUMIFS('BA History S2'!E:E,'BA History S2'!B:B,A24)-L24</f>
        <v>22</v>
      </c>
      <c r="N24" s="75">
        <f>LOOKUP(2, 1/('BA History S2'!$B:$B=A24), 'BA History S2'!$AH:$AH)</f>
        <v>0.5</v>
      </c>
      <c r="O24" s="34">
        <f>SUMIFS('BA History S2'!H:H,'BA History S2'!B:B,A24)</f>
        <v>91</v>
      </c>
      <c r="P24" s="2">
        <f>SUMIFS('BA History S2'!G:G,'BA History S2'!B:B,A24)-O24</f>
        <v>89</v>
      </c>
      <c r="Q24" s="89">
        <f>LOOKUP(2, 1/('BA History S2'!$B:$B=A24), 'BA History S2'!$AI:$AI)</f>
        <v>0.5066666666666666</v>
      </c>
      <c r="R24" s="2">
        <f>COUNTIFS('BA History S2'!$B:$B,$A$24,'BA History S2'!K:K, 1)</f>
        <v>0</v>
      </c>
      <c r="S24" s="2">
        <f>COUNTIFS('BA History S2'!$B:$B,$A$24,'BA History S2'!L:L, 1)</f>
        <v>3</v>
      </c>
      <c r="T24" s="2">
        <f>COUNTIFS('BA History S2'!$B:$B,$A$24,'BA History S2'!M:M, 1)</f>
        <v>2</v>
      </c>
      <c r="U24" s="2">
        <f>COUNTIFS('BA History S2'!$B:$B,$A$24,'BA History S2'!N:N, 1)</f>
        <v>2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1</v>
      </c>
      <c r="Y24" s="2">
        <f>COUNTIFS('BA History S2'!$B:$B,$A$24,'BA History S2'!R:R, 1)</f>
        <v>0</v>
      </c>
      <c r="Z24" s="2">
        <f>COUNTIFS('BA History S2'!$B:$B,$A$24,'BA History S2'!S:S, 1)</f>
        <v>1</v>
      </c>
      <c r="AA24" s="2">
        <f>COUNTIFS('BA History S2'!$B:$B,$A$24,'BA History S2'!T:T, 1)</f>
        <v>0</v>
      </c>
      <c r="AB24" s="2">
        <f>COUNTIFS('BA History S2'!$B:$B,$A$24,'BA History S2'!U:U, 1)</f>
        <v>1</v>
      </c>
      <c r="AC24" s="2">
        <f>COUNTIFS('BA History S2'!$B:$B,$A$24,'BA History S2'!V:V, 1)</f>
        <v>2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2</v>
      </c>
      <c r="AH24" s="2">
        <f>COUNTIFS('BA History S2'!$B:$B,$A$24,'BA History S2'!AA:AA, 1)</f>
        <v>0</v>
      </c>
      <c r="AI24" s="2">
        <f>COUNTIFS('BA History S2'!$B:$B,$A$24,'BA History S2'!AB:AB, 1)</f>
        <v>2</v>
      </c>
      <c r="AJ24" s="2">
        <f>COUNTIFS('BA History S2'!$B:$B,$A$24,'BA History S2'!AC:AC, 1)</f>
        <v>2</v>
      </c>
      <c r="AK24" s="2">
        <f>COUNTIFS('BA History S2'!$B:$B,$A$24,'BA History S2'!AD:AD, 1)</f>
        <v>1</v>
      </c>
      <c r="AL24" s="2">
        <f>COUNTIFS('BA History S2'!$B:$B,$A$24,'BA History S2'!AE:AE, 1)</f>
        <v>0</v>
      </c>
      <c r="AM24" s="2">
        <f>COUNTIFS('BA History S2'!$B:$B,$A$24,'BA History S2'!AF:AF, 1)</f>
        <v>3</v>
      </c>
    </row>
    <row r="25" spans="1:39" x14ac:dyDescent="0.25">
      <c r="A25" s="2" t="s">
        <v>5</v>
      </c>
      <c r="B25" s="1" t="s">
        <v>158</v>
      </c>
      <c r="C25" s="1">
        <v>1</v>
      </c>
      <c r="D25" s="1">
        <v>1</v>
      </c>
      <c r="F25" s="34">
        <f>SUMIFS('BA History S2'!C:C,'BA History S2'!B:B,A25)</f>
        <v>284</v>
      </c>
      <c r="G25" s="66">
        <f>AVERAGEIFS('BA History S2'!C:C,'BA History S2'!B:B,A25)</f>
        <v>17.75</v>
      </c>
      <c r="H25" s="35">
        <f t="array" ref="H25">MAX(IF('BA History S2'!B:B=A25, 'BA History S2'!C:C))</f>
        <v>37</v>
      </c>
      <c r="I25" s="34">
        <f>COUNTIFS('BA History S2'!B:B,A25,'BA History S2'!D:D, 1)</f>
        <v>9</v>
      </c>
      <c r="J25" s="2">
        <f>COUNTIFS('BA History S2'!B:B,A25,'BA History S2'!D:D, 0)</f>
        <v>7</v>
      </c>
      <c r="K25" s="75">
        <f>LOOKUP(2, 1/('BA History S2'!$B:$B=A25), 'BA History S2'!$AJ:$AJ)</f>
        <v>0.5625</v>
      </c>
      <c r="L25" s="34">
        <f>SUMIFS('BA History S2'!F:F,'BA History S2'!B:B,A25)</f>
        <v>34</v>
      </c>
      <c r="M25" s="2">
        <f>SUMIFS('BA History S2'!E:E,'BA History S2'!B:B,A25)-L25</f>
        <v>31</v>
      </c>
      <c r="N25" s="75">
        <f>LOOKUP(2, 1/('BA History S2'!$B:$B=A25), 'BA History S2'!$AH:$AH)</f>
        <v>0.52187500000000009</v>
      </c>
      <c r="O25" s="34">
        <f>SUMIFS('BA History S2'!H:H,'BA History S2'!B:B,A25)</f>
        <v>138</v>
      </c>
      <c r="P25" s="2">
        <f>SUMIFS('BA History S2'!G:G,'BA History S2'!B:B,A25)-O25</f>
        <v>132</v>
      </c>
      <c r="Q25" s="89">
        <f>LOOKUP(2, 1/('BA History S2'!$B:$B=A25), 'BA History S2'!$AI:$AI)</f>
        <v>0.51500000000000001</v>
      </c>
      <c r="R25" s="2">
        <f>COUNTIFS('BA History S2'!$B:$B,$A$25,'BA History S2'!K:K, 1)</f>
        <v>1</v>
      </c>
      <c r="S25" s="2">
        <f>COUNTIFS('BA History S2'!$B:$B,$A$25,'BA History S2'!L:L, 1)</f>
        <v>4</v>
      </c>
      <c r="T25" s="2">
        <f>COUNTIFS('BA History S2'!$B:$B,$A$25,'BA History S2'!M:M, 1)</f>
        <v>5</v>
      </c>
      <c r="U25" s="2">
        <f>COUNTIFS('BA History S2'!$B:$B,$A$25,'BA History S2'!N:N, 1)</f>
        <v>5</v>
      </c>
      <c r="V25" s="2">
        <f>COUNTIFS('BA History S2'!$B:$B,$A$25,'BA History S2'!O:O, 1)</f>
        <v>1</v>
      </c>
      <c r="W25" s="2">
        <f>COUNTIFS('BA History S2'!$B:$B,$A$25,'BA History S2'!P:P, 1)</f>
        <v>0</v>
      </c>
      <c r="X25" s="2">
        <f>COUNTIFS('BA History S2'!$B:$B,$A$25,'BA History S2'!Q:Q, 1)</f>
        <v>0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2</v>
      </c>
      <c r="AG25" s="2">
        <f>COUNTIFS('BA History S2'!$B:$B,$A$25,'BA History S2'!Z:Z, 1)</f>
        <v>4</v>
      </c>
      <c r="AH25" s="2">
        <f>COUNTIFS('BA History S2'!$B:$B,$A$25,'BA History S2'!AA:AA, 1)</f>
        <v>1</v>
      </c>
      <c r="AI25" s="2">
        <f>COUNTIFS('BA History S2'!$B:$B,$A$25,'BA History S2'!AB:AB, 1)</f>
        <v>7</v>
      </c>
      <c r="AJ25" s="2">
        <f>COUNTIFS('BA History S2'!$B:$B,$A$25,'BA History S2'!AC:AC, 1)</f>
        <v>1</v>
      </c>
      <c r="AK25" s="2">
        <f>COUNTIFS('BA History S2'!$B:$B,$A$25,'BA History S2'!AD:AD, 1)</f>
        <v>0</v>
      </c>
      <c r="AL25" s="2">
        <f>COUNTIFS('BA History S2'!$B:$B,$A$25,'BA History S2'!AE:AE, 1)</f>
        <v>0</v>
      </c>
      <c r="AM25" s="2">
        <f>COUNTIFS('BA History S2'!$B:$B,$A$25,'BA History S2'!AF:AF, 1)</f>
        <v>2</v>
      </c>
    </row>
    <row r="26" spans="1:39" x14ac:dyDescent="0.25">
      <c r="A26" s="2" t="s">
        <v>141</v>
      </c>
      <c r="B26" s="2" t="s">
        <v>79</v>
      </c>
      <c r="C26" s="2"/>
      <c r="D26" s="2"/>
      <c r="E26" s="2"/>
      <c r="F26" s="34">
        <f>SUMIFS('BA History S2'!C:C,'BA History S2'!B:B,A26)</f>
        <v>143</v>
      </c>
      <c r="G26" s="66">
        <f>AVERAGEIFS('BA History S2'!C:C,'BA History S2'!B:B,A26)</f>
        <v>14.3</v>
      </c>
      <c r="H26" s="35">
        <f t="array" ref="H26">MAX(IF('BA History S2'!B:B=A26, 'BA History S2'!C:C))</f>
        <v>20</v>
      </c>
      <c r="I26" s="34">
        <f>COUNTIFS('BA History S2'!B:B,A26,'BA History S2'!D:D, 1)</f>
        <v>6</v>
      </c>
      <c r="J26" s="2">
        <f>COUNTIFS('BA History S2'!B:B,A26,'BA History S2'!D:D, 0)</f>
        <v>4</v>
      </c>
      <c r="K26" s="75">
        <f>LOOKUP(2, 1/('BA History S2'!$B:$B=A26), 'BA History S2'!$AJ:$AJ)</f>
        <v>0.6</v>
      </c>
      <c r="L26" s="34">
        <f>SUMIFS('BA History S2'!F:F,'BA History S2'!B:B,A26)</f>
        <v>20</v>
      </c>
      <c r="M26" s="2">
        <f>SUMIFS('BA History S2'!E:E,'BA History S2'!B:B,A26)-L26</f>
        <v>19</v>
      </c>
      <c r="N26" s="75">
        <f>LOOKUP(2, 1/('BA History S2'!$B:$B=A26), 'BA History S2'!$AH:$AH)</f>
        <v>0.495</v>
      </c>
      <c r="O26" s="34">
        <f>SUMIFS('BA History S2'!H:H,'BA History S2'!B:B,A26)</f>
        <v>83</v>
      </c>
      <c r="P26" s="2">
        <f>SUMIFS('BA History S2'!G:G,'BA History S2'!B:B,A26)-O26</f>
        <v>80</v>
      </c>
      <c r="Q26" s="89">
        <f>LOOKUP(2, 1/('BA History S2'!$B:$B=A26), 'BA History S2'!$AI:$AI)</f>
        <v>0.502</v>
      </c>
      <c r="R26" s="2">
        <f>COUNTIFS('BA History S2'!$B:$B,$A$26,'BA History S2'!K:K, 1)</f>
        <v>1</v>
      </c>
      <c r="S26" s="2">
        <f>COUNTIFS('BA History S2'!$B:$B,$A$26,'BA History S2'!L:L, 1)</f>
        <v>1</v>
      </c>
      <c r="T26" s="2">
        <f>COUNTIFS('BA History S2'!$B:$B,$A$26,'BA History S2'!M:M, 1)</f>
        <v>1</v>
      </c>
      <c r="U26" s="2">
        <f>COUNTIFS('BA History S2'!$B:$B,$A$26,'BA History S2'!N:N, 1)</f>
        <v>2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1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1</v>
      </c>
      <c r="AD26" s="2">
        <f>COUNTIFS('BA History S2'!$B:$B,$A$26,'BA History S2'!W:W, 1)</f>
        <v>1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1</v>
      </c>
      <c r="AH26" s="2">
        <f>COUNTIFS('BA History S2'!$B:$B,$A$26,'BA History S2'!AA:AA, 1)</f>
        <v>0</v>
      </c>
      <c r="AI26" s="2">
        <f>COUNTIFS('BA History S2'!$B:$B,$A$26,'BA History S2'!AB:AB, 1)</f>
        <v>3</v>
      </c>
      <c r="AJ26" s="2">
        <f>COUNTIFS('BA History S2'!$B:$B,$A$26,'BA History S2'!AC:AC, 1)</f>
        <v>2</v>
      </c>
      <c r="AK26" s="2">
        <f>COUNTIFS('BA History S2'!$B:$B,$A$26,'BA History S2'!AD:AD, 1)</f>
        <v>3</v>
      </c>
      <c r="AL26" s="2">
        <f>COUNTIFS('BA History S2'!$B:$B,$A$26,'BA History S2'!AE:AE, 1)</f>
        <v>0</v>
      </c>
      <c r="AM26" s="2">
        <f>COUNTIFS('BA History S2'!$B:$B,$A$26,'BA History S2'!AF:AF, 1)</f>
        <v>2</v>
      </c>
    </row>
    <row r="27" spans="1:39" x14ac:dyDescent="0.25">
      <c r="A27" s="2" t="s">
        <v>40</v>
      </c>
      <c r="B27" s="2" t="s">
        <v>79</v>
      </c>
      <c r="C27" s="2"/>
      <c r="D27" s="2"/>
      <c r="E27" s="2"/>
      <c r="F27" s="34">
        <f>SUMIFS('BA History S2'!C:C,'BA History S2'!B:B,A27)</f>
        <v>382</v>
      </c>
      <c r="G27" s="66">
        <f>AVERAGEIFS('BA History S2'!C:C,'BA History S2'!B:B,A27)</f>
        <v>20.105263157894736</v>
      </c>
      <c r="H27" s="35">
        <f t="array" ref="H27">MAX(IF('BA History S2'!B:B=A27, 'BA History S2'!C:C))</f>
        <v>37</v>
      </c>
      <c r="I27" s="34">
        <f>COUNTIFS('BA History S2'!B:B,A27,'BA History S2'!D:D, 1)</f>
        <v>8</v>
      </c>
      <c r="J27" s="2">
        <f>COUNTIFS('BA History S2'!B:B,A27,'BA History S2'!D:D, 0)</f>
        <v>11</v>
      </c>
      <c r="K27" s="75">
        <f>LOOKUP(2, 1/('BA History S2'!$B:$B=A27), 'BA History S2'!$AJ:$AJ)</f>
        <v>0.42105263157894735</v>
      </c>
      <c r="L27" s="34">
        <f>SUMIFS('BA History S2'!F:F,'BA History S2'!B:B,A27)</f>
        <v>35</v>
      </c>
      <c r="M27" s="2">
        <f>SUMIFS('BA History S2'!E:E,'BA History S2'!B:B,A27)-L27</f>
        <v>42</v>
      </c>
      <c r="N27" s="75">
        <f>LOOKUP(2, 1/('BA History S2'!$B:$B=A27), 'BA History S2'!$AH:$AH)</f>
        <v>0.44210526315789478</v>
      </c>
      <c r="O27" s="34">
        <f>SUMIFS('BA History S2'!H:H,'BA History S2'!B:B,A27)</f>
        <v>160</v>
      </c>
      <c r="P27" s="2">
        <f>SUMIFS('BA History S2'!G:G,'BA History S2'!B:B,A27)-O27</f>
        <v>165</v>
      </c>
      <c r="Q27" s="89">
        <f>LOOKUP(2, 1/('BA History S2'!$B:$B=A27), 'BA History S2'!$AI:$AI)</f>
        <v>0.4852631578947369</v>
      </c>
      <c r="R27" s="2">
        <f>COUNTIFS('BA History S2'!$B:$B,$A$27,'BA History S2'!K:K, 1)</f>
        <v>0</v>
      </c>
      <c r="S27" s="2">
        <f>COUNTIFS('BA History S2'!$B:$B,$A$27,'BA History S2'!L:L, 1)</f>
        <v>4</v>
      </c>
      <c r="T27" s="2">
        <f>COUNTIFS('BA History S2'!$B:$B,$A$27,'BA History S2'!M:M, 1)</f>
        <v>4</v>
      </c>
      <c r="U27" s="2">
        <f>COUNTIFS('BA History S2'!$B:$B,$A$27,'BA History S2'!N:N, 1)</f>
        <v>4</v>
      </c>
      <c r="V27" s="2">
        <f>COUNTIFS('BA History S2'!$B:$B,$A$27,'BA History S2'!O:O, 1)</f>
        <v>1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1</v>
      </c>
      <c r="AA27" s="2">
        <f>COUNTIFS('BA History S2'!$B:$B,$A$27,'BA History S2'!T:T, 1)</f>
        <v>0</v>
      </c>
      <c r="AB27" s="2">
        <f>COUNTIFS('BA History S2'!$B:$B,$A$27,'BA History S2'!U:U, 1)</f>
        <v>1</v>
      </c>
      <c r="AC27" s="2">
        <f>COUNTIFS('BA History S2'!$B:$B,$A$27,'BA History S2'!V:V, 1)</f>
        <v>2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1</v>
      </c>
      <c r="AG27" s="2">
        <f>COUNTIFS('BA History S2'!$B:$B,$A$27,'BA History S2'!Z:Z, 1)</f>
        <v>5</v>
      </c>
      <c r="AH27" s="2">
        <f>COUNTIFS('BA History S2'!$B:$B,$A$27,'BA History S2'!AA:AA, 1)</f>
        <v>0</v>
      </c>
      <c r="AI27" s="2">
        <f>COUNTIFS('BA History S2'!$B:$B,$A$27,'BA History S2'!AB:AB, 1)</f>
        <v>3</v>
      </c>
      <c r="AJ27" s="2">
        <f>COUNTIFS('BA History S2'!$B:$B,$A$27,'BA History S2'!AC:AC, 1)</f>
        <v>3</v>
      </c>
      <c r="AK27" s="2">
        <f>COUNTIFS('BA History S2'!$B:$B,$A$27,'BA History S2'!AD:AD, 1)</f>
        <v>3</v>
      </c>
      <c r="AL27" s="2">
        <f>COUNTIFS('BA History S2'!$B:$B,$A$27,'BA History S2'!AE:AE, 1)</f>
        <v>0</v>
      </c>
      <c r="AM27" s="2">
        <f>COUNTIFS('BA History S2'!$B:$B,$A$27,'BA History S2'!AF:AF, 1)</f>
        <v>2</v>
      </c>
    </row>
    <row r="28" spans="1:39" x14ac:dyDescent="0.25">
      <c r="A28" s="2" t="s">
        <v>166</v>
      </c>
      <c r="B28" s="2" t="s">
        <v>79</v>
      </c>
      <c r="C28" s="2">
        <v>1</v>
      </c>
      <c r="D28" s="2"/>
      <c r="E28" s="2"/>
      <c r="F28" s="34">
        <f>SUMIFS('BA History S2'!C:C,'BA History S2'!B:B,A28)</f>
        <v>40</v>
      </c>
      <c r="G28" s="66">
        <f>AVERAGEIFS('BA History S2'!C:C,'BA History S2'!B:B,A28)</f>
        <v>10</v>
      </c>
      <c r="H28" s="35">
        <f t="array" ref="H28">MAX(IF('BA History S2'!B:B=A28, 'BA History S2'!C:C))</f>
        <v>21</v>
      </c>
      <c r="I28" s="34">
        <f>COUNTIFS('BA History S2'!B:B,A28,'BA History S2'!D:D, 1)</f>
        <v>3</v>
      </c>
      <c r="J28" s="2">
        <f>COUNTIFS('BA History S2'!B:B,A28,'BA History S2'!D:D, 0)</f>
        <v>1</v>
      </c>
      <c r="K28" s="75">
        <f>LOOKUP(2, 1/('BA History S2'!$B:$B=A28), 'BA History S2'!$AJ:$AJ)</f>
        <v>0.75</v>
      </c>
      <c r="L28" s="34">
        <f>SUMIFS('BA History S2'!F:F,'BA History S2'!B:B,A28)</f>
        <v>9</v>
      </c>
      <c r="M28" s="2">
        <f>SUMIFS('BA History S2'!E:E,'BA History S2'!B:B,A28)-L28</f>
        <v>8</v>
      </c>
      <c r="N28" s="75">
        <f>LOOKUP(2, 1/('BA History S2'!$B:$B=A28), 'BA History S2'!$AH:$AH)</f>
        <v>0.48750000000000004</v>
      </c>
      <c r="O28" s="34">
        <f>SUMIFS('BA History S2'!H:H,'BA History S2'!B:B,A28)</f>
        <v>38</v>
      </c>
      <c r="P28" s="2">
        <f>SUMIFS('BA History S2'!G:G,'BA History S2'!B:B,A28)-O28</f>
        <v>35</v>
      </c>
      <c r="Q28" s="89">
        <f>LOOKUP(2, 1/('BA History S2'!$B:$B=A28), 'BA History S2'!$AI:$AI)</f>
        <v>0.49249999999999999</v>
      </c>
      <c r="R28" s="2">
        <f>COUNTIFS('BA History S2'!$B:$B,$A$28,'BA History S2'!K:K, 1)</f>
        <v>1</v>
      </c>
      <c r="S28" s="2">
        <f>COUNTIFS('BA History S2'!$B:$B,$A$28,'BA History S2'!L:L, 1)</f>
        <v>0</v>
      </c>
      <c r="T28" s="2">
        <f>COUNTIFS('BA History S2'!$B:$B,$A$28,'BA History S2'!M:M, 1)</f>
        <v>1</v>
      </c>
      <c r="U28" s="2">
        <f>COUNTIFS('BA History S2'!$B:$B,$A$28,'BA History S2'!N:N, 1)</f>
        <v>1</v>
      </c>
      <c r="V28" s="2">
        <f>COUNTIFS('BA History S2'!$B:$B,$A$28,'BA History S2'!O:O, 1)</f>
        <v>0</v>
      </c>
      <c r="W28" s="2">
        <f>COUNTIFS('BA History S2'!$B:$B,$A$28,'BA History S2'!P:P, 1)</f>
        <v>0</v>
      </c>
      <c r="X28" s="2">
        <f>COUNTIFS('BA History S2'!$B:$B,$A$28,'BA History S2'!Q:Q, 1)</f>
        <v>0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1</v>
      </c>
      <c r="AG28" s="2">
        <f>COUNTIFS('BA History S2'!$B:$B,$A$28,'BA History S2'!Z:Z, 1)</f>
        <v>2</v>
      </c>
      <c r="AH28" s="2">
        <f>COUNTIFS('BA History S2'!$B:$B,$A$28,'BA History S2'!AA:AA, 1)</f>
        <v>0</v>
      </c>
      <c r="AI28" s="2">
        <f>COUNTIFS('BA History S2'!$B:$B,$A$28,'BA History S2'!AB:AB, 1)</f>
        <v>1</v>
      </c>
      <c r="AJ28" s="2">
        <f>COUNTIFS('BA History S2'!$B:$B,$A$28,'BA History S2'!AC:AC, 1)</f>
        <v>0</v>
      </c>
      <c r="AK28" s="2">
        <f>COUNTIFS('BA History S2'!$B:$B,$A$28,'BA History S2'!AD:AD, 1)</f>
        <v>1</v>
      </c>
      <c r="AL28" s="2">
        <f>COUNTIFS('BA History S2'!$B:$B,$A$28,'BA History S2'!AE:AE, 1)</f>
        <v>0</v>
      </c>
      <c r="AM28" s="2">
        <f>COUNTIFS('BA History S2'!$B:$B,$A$28,'BA History S2'!AF:AF, 1)</f>
        <v>1</v>
      </c>
    </row>
    <row r="29" spans="1:39" x14ac:dyDescent="0.25">
      <c r="A29" s="2" t="s">
        <v>147</v>
      </c>
      <c r="B29" s="2" t="s">
        <v>79</v>
      </c>
      <c r="C29" s="2"/>
      <c r="D29" s="2"/>
      <c r="E29" s="2"/>
      <c r="F29" s="34">
        <f>SUMIFS('BA History S2'!C:C,'BA History S2'!B:B,A29)</f>
        <v>186</v>
      </c>
      <c r="G29" s="66">
        <f>AVERAGEIFS('BA History S2'!C:C,'BA History S2'!B:B,A29)</f>
        <v>14.307692307692308</v>
      </c>
      <c r="H29" s="35">
        <f t="array" ref="H29">MAX(IF('BA History S2'!B:B=A29, 'BA History S2'!C:C))</f>
        <v>26</v>
      </c>
      <c r="I29" s="34">
        <f>COUNTIFS('BA History S2'!B:B,A29,'BA History S2'!D:D, 1)</f>
        <v>5</v>
      </c>
      <c r="J29" s="2">
        <f>COUNTIFS('BA History S2'!B:B,A29,'BA History S2'!D:D, 0)</f>
        <v>8</v>
      </c>
      <c r="K29" s="75">
        <f>LOOKUP(2, 1/('BA History S2'!$B:$B=A29), 'BA History S2'!$AJ:$AJ)</f>
        <v>0.38461538461538464</v>
      </c>
      <c r="L29" s="34">
        <f>SUMIFS('BA History S2'!F:F,'BA History S2'!B:B,A29)</f>
        <v>26</v>
      </c>
      <c r="M29" s="2">
        <f>SUMIFS('BA History S2'!E:E,'BA History S2'!B:B,A29)-L29</f>
        <v>28</v>
      </c>
      <c r="N29" s="75">
        <f>LOOKUP(2, 1/('BA History S2'!$B:$B=A29), 'BA History S2'!$AH:$AH)</f>
        <v>0.50384615384615383</v>
      </c>
      <c r="O29" s="34">
        <f>SUMIFS('BA History S2'!H:H,'BA History S2'!B:B,A29)</f>
        <v>116</v>
      </c>
      <c r="P29" s="2">
        <f>SUMIFS('BA History S2'!G:G,'BA History S2'!B:B,A29)-O29</f>
        <v>112</v>
      </c>
      <c r="Q29" s="89">
        <f>LOOKUP(2, 1/('BA History S2'!$B:$B=A29), 'BA History S2'!$AI:$AI)</f>
        <v>0.52076923076923076</v>
      </c>
      <c r="R29" s="2">
        <f>COUNTIFS('BA History S2'!$B:$B,$A$29,'BA History S2'!K:K, 1)</f>
        <v>1</v>
      </c>
      <c r="S29" s="2">
        <f>COUNTIFS('BA History S2'!$B:$B,$A$29,'BA History S2'!L:L, 1)</f>
        <v>3</v>
      </c>
      <c r="T29" s="2">
        <f>COUNTIFS('BA History S2'!$B:$B,$A$29,'BA History S2'!M:M, 1)</f>
        <v>1</v>
      </c>
      <c r="U29" s="2">
        <f>COUNTIFS('BA History S2'!$B:$B,$A$29,'BA History S2'!N:N, 1)</f>
        <v>3</v>
      </c>
      <c r="V29" s="2">
        <f>COUNTIFS('BA History S2'!$B:$B,$A$29,'BA History S2'!O:O, 1)</f>
        <v>1</v>
      </c>
      <c r="W29" s="2">
        <f>COUNTIFS('BA History S2'!$B:$B,$A$29,'BA History S2'!P:P, 1)</f>
        <v>1</v>
      </c>
      <c r="X29" s="2">
        <f>COUNTIFS('BA History S2'!$B:$B,$A$29,'BA History S2'!Q:Q, 1)</f>
        <v>1</v>
      </c>
      <c r="Y29" s="2">
        <f>COUNTIFS('BA History S2'!$B:$B,$A$29,'BA History S2'!R:R, 1)</f>
        <v>0</v>
      </c>
      <c r="Z29" s="2">
        <f>COUNTIFS('BA History S2'!$B:$B,$A$29,'BA History S2'!S:S, 1)</f>
        <v>1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1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4</v>
      </c>
      <c r="AH29" s="2">
        <f>COUNTIFS('BA History S2'!$B:$B,$A$29,'BA History S2'!AA:AA, 1)</f>
        <v>0</v>
      </c>
      <c r="AI29" s="2">
        <f>COUNTIFS('BA History S2'!$B:$B,$A$29,'BA History S2'!AB:AB, 1)</f>
        <v>5</v>
      </c>
      <c r="AJ29" s="2">
        <f>COUNTIFS('BA History S2'!$B:$B,$A$29,'BA History S2'!AC:AC, 1)</f>
        <v>0</v>
      </c>
      <c r="AK29" s="2">
        <f>COUNTIFS('BA History S2'!$B:$B,$A$29,'BA History S2'!AD:AD, 1)</f>
        <v>1</v>
      </c>
      <c r="AL29" s="2">
        <f>COUNTIFS('BA History S2'!$B:$B,$A$29,'BA History S2'!AE:AE, 1)</f>
        <v>0</v>
      </c>
      <c r="AM29" s="2">
        <f>COUNTIFS('BA History S2'!$B:$B,$A$29,'BA History S2'!AF:AF, 1)</f>
        <v>2</v>
      </c>
    </row>
    <row r="30" spans="1:39" x14ac:dyDescent="0.25">
      <c r="A30" s="2" t="s">
        <v>17</v>
      </c>
      <c r="B30" s="2" t="s">
        <v>79</v>
      </c>
      <c r="C30" s="2">
        <v>1</v>
      </c>
      <c r="D30" s="2">
        <v>1</v>
      </c>
      <c r="E30" s="2"/>
      <c r="F30" s="34">
        <f>SUMIFS('BA History S2'!C:C,'BA History S2'!B:B,A30)</f>
        <v>254</v>
      </c>
      <c r="G30" s="66">
        <f>AVERAGEIFS('BA History S2'!C:C,'BA History S2'!B:B,A30)</f>
        <v>18.142857142857142</v>
      </c>
      <c r="H30" s="35">
        <f t="array" ref="H30">MAX(IF('BA History S2'!B:B=A30, 'BA History S2'!C:C))</f>
        <v>28</v>
      </c>
      <c r="I30" s="34">
        <f>COUNTIFS('BA History S2'!B:B,A30,'BA History S2'!D:D, 1)</f>
        <v>11</v>
      </c>
      <c r="J30" s="2">
        <f>COUNTIFS('BA History S2'!B:B,A30,'BA History S2'!D:D, 0)</f>
        <v>3</v>
      </c>
      <c r="K30" s="75">
        <f>LOOKUP(2, 1/('BA History S2'!$B:$B=A30), 'BA History S2'!$AJ:$AJ)</f>
        <v>0.7857142857142857</v>
      </c>
      <c r="L30" s="34">
        <f>SUMIFS('BA History S2'!F:F,'BA History S2'!B:B,A30)</f>
        <v>35</v>
      </c>
      <c r="M30" s="2">
        <f>SUMIFS('BA History S2'!E:E,'BA History S2'!B:B,A30)-L30</f>
        <v>20</v>
      </c>
      <c r="N30" s="75">
        <f>LOOKUP(2, 1/('BA History S2'!$B:$B=A30), 'BA History S2'!$AH:$AH)</f>
        <v>0.64642857142857135</v>
      </c>
      <c r="O30" s="34">
        <f>SUMIFS('BA History S2'!H:H,'BA History S2'!B:B,A30)</f>
        <v>124</v>
      </c>
      <c r="P30" s="2">
        <f>SUMIFS('BA History S2'!G:G,'BA History S2'!B:B,A30)-O30</f>
        <v>102</v>
      </c>
      <c r="Q30" s="89">
        <f>LOOKUP(2, 1/('BA History S2'!$B:$B=A30), 'BA History S2'!$AI:$AI)</f>
        <v>0.54428571428571426</v>
      </c>
      <c r="R30" s="2">
        <f>COUNTIFS('BA History S2'!$B:$B,$A$30,'BA History S2'!K:K, 1)</f>
        <v>2</v>
      </c>
      <c r="S30" s="2">
        <f>COUNTIFS('BA History S2'!$B:$B,$A$30,'BA History S2'!L:L, 1)</f>
        <v>2</v>
      </c>
      <c r="T30" s="2">
        <f>COUNTIFS('BA History S2'!$B:$B,$A$30,'BA History S2'!M:M, 1)</f>
        <v>4</v>
      </c>
      <c r="U30" s="2">
        <f>COUNTIFS('BA History S2'!$B:$B,$A$30,'BA History S2'!N:N, 1)</f>
        <v>2</v>
      </c>
      <c r="V30" s="2">
        <f>COUNTIFS('BA History S2'!$B:$B,$A$30,'BA History S2'!O:O, 1)</f>
        <v>0</v>
      </c>
      <c r="W30" s="2">
        <f>COUNTIFS('BA History S2'!$B:$B,$A$30,'BA History S2'!P:P, 1)</f>
        <v>1</v>
      </c>
      <c r="X30" s="2">
        <f>COUNTIFS('BA History S2'!$B:$B,$A$30,'BA History S2'!Q:Q, 1)</f>
        <v>2</v>
      </c>
      <c r="Y30" s="2">
        <f>COUNTIFS('BA History S2'!$B:$B,$A$30,'BA History S2'!R:R, 1)</f>
        <v>0</v>
      </c>
      <c r="Z30" s="2">
        <f>COUNTIFS('BA History S2'!$B:$B,$A$30,'BA History S2'!S:S, 1)</f>
        <v>0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4</v>
      </c>
      <c r="AH30" s="2">
        <f>COUNTIFS('BA History S2'!$B:$B,$A$30,'BA History S2'!AA:AA, 1)</f>
        <v>1</v>
      </c>
      <c r="AI30" s="2">
        <f>COUNTIFS('BA History S2'!$B:$B,$A$30,'BA History S2'!AB:AB, 1)</f>
        <v>5</v>
      </c>
      <c r="AJ30" s="2">
        <f>COUNTIFS('BA History S2'!$B:$B,$A$30,'BA History S2'!AC:AC, 1)</f>
        <v>3</v>
      </c>
      <c r="AK30" s="2">
        <f>COUNTIFS('BA History S2'!$B:$B,$A$30,'BA History S2'!AD:AD, 1)</f>
        <v>3</v>
      </c>
      <c r="AL30" s="2">
        <f>COUNTIFS('BA History S2'!$B:$B,$A$30,'BA History S2'!AE:AE, 1)</f>
        <v>1</v>
      </c>
      <c r="AM30" s="2">
        <f>COUNTIFS('BA History S2'!$B:$B,$A$30,'BA History S2'!AF:AF, 1)</f>
        <v>3</v>
      </c>
    </row>
    <row r="31" spans="1:39" x14ac:dyDescent="0.25">
      <c r="A31" s="2" t="s">
        <v>6</v>
      </c>
      <c r="B31" s="1" t="s">
        <v>158</v>
      </c>
      <c r="D31" s="1">
        <v>1</v>
      </c>
      <c r="E31" s="1">
        <v>1</v>
      </c>
      <c r="F31" s="34">
        <f>SUMIFS('BA History S2'!C:C,'BA History S2'!B:B,A31)</f>
        <v>470</v>
      </c>
      <c r="G31" s="66">
        <f>AVERAGEIFS('BA History S2'!C:C,'BA History S2'!B:B,A31)</f>
        <v>22.38095238095238</v>
      </c>
      <c r="H31" s="35">
        <f t="array" ref="H31">MAX(IF('BA History S2'!B:B=A31, 'BA History S2'!C:C))</f>
        <v>36</v>
      </c>
      <c r="I31" s="34">
        <f>COUNTIFS('BA History S2'!B:B,A31,'BA History S2'!D:D, 1)</f>
        <v>12</v>
      </c>
      <c r="J31" s="2">
        <f>COUNTIFS('BA History S2'!B:B,A31,'BA History S2'!D:D, 0)</f>
        <v>9</v>
      </c>
      <c r="K31" s="75">
        <f>LOOKUP(2, 1/('BA History S2'!$B:$B=A31), 'BA History S2'!$AJ:$AJ)</f>
        <v>0.5714285714285714</v>
      </c>
      <c r="L31" s="34">
        <f>SUMIFS('BA History S2'!F:F,'BA History S2'!B:B,A31)</f>
        <v>44</v>
      </c>
      <c r="M31" s="2">
        <f>SUMIFS('BA History S2'!E:E,'BA History S2'!B:B,A31)-L31</f>
        <v>37</v>
      </c>
      <c r="N31" s="75">
        <f>LOOKUP(2, 1/('BA History S2'!$B:$B=A31), 'BA History S2'!$AH:$AH)</f>
        <v>0.54761904761904767</v>
      </c>
      <c r="O31" s="34">
        <f>SUMIFS('BA History S2'!H:H,'BA History S2'!B:B,A31)</f>
        <v>173</v>
      </c>
      <c r="P31" s="2">
        <f>SUMIFS('BA History S2'!G:G,'BA History S2'!B:B,A31)-O31</f>
        <v>165</v>
      </c>
      <c r="Q31" s="89">
        <f>LOOKUP(2, 1/('BA History S2'!$B:$B=A31), 'BA History S2'!$AI:$AI)</f>
        <v>0.50809523809523804</v>
      </c>
      <c r="R31" s="2">
        <f>COUNTIFS('BA History S2'!$B:$B,$A$31,'BA History S2'!K:K, 1)</f>
        <v>2</v>
      </c>
      <c r="S31" s="2">
        <f>COUNTIFS('BA History S2'!$B:$B,$A$31,'BA History S2'!L:L, 1)</f>
        <v>3</v>
      </c>
      <c r="T31" s="2">
        <f>COUNTIFS('BA History S2'!$B:$B,$A$31,'BA History S2'!M:M, 1)</f>
        <v>5</v>
      </c>
      <c r="U31" s="2">
        <f>COUNTIFS('BA History S2'!$B:$B,$A$31,'BA History S2'!N:N, 1)</f>
        <v>3</v>
      </c>
      <c r="V31" s="2">
        <f>COUNTIFS('BA History S2'!$B:$B,$A$31,'BA History S2'!O:O, 1)</f>
        <v>0</v>
      </c>
      <c r="W31" s="2">
        <f>COUNTIFS('BA History S2'!$B:$B,$A$31,'BA History S2'!P:P, 1)</f>
        <v>1</v>
      </c>
      <c r="X31" s="2">
        <f>COUNTIFS('BA History S2'!$B:$B,$A$31,'BA History S2'!Q:Q, 1)</f>
        <v>1</v>
      </c>
      <c r="Y31" s="2">
        <f>COUNTIFS('BA History S2'!$B:$B,$A$31,'BA History S2'!R:R, 1)</f>
        <v>1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2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2</v>
      </c>
      <c r="AG31" s="2">
        <f>COUNTIFS('BA History S2'!$B:$B,$A$31,'BA History S2'!Z:Z, 1)</f>
        <v>6</v>
      </c>
      <c r="AH31" s="2">
        <f>COUNTIFS('BA History S2'!$B:$B,$A$31,'BA History S2'!AA:AA, 1)</f>
        <v>1</v>
      </c>
      <c r="AI31" s="2">
        <f>COUNTIFS('BA History S2'!$B:$B,$A$31,'BA History S2'!AB:AB, 1)</f>
        <v>7</v>
      </c>
      <c r="AJ31" s="2">
        <f>COUNTIFS('BA History S2'!$B:$B,$A$31,'BA History S2'!AC:AC, 1)</f>
        <v>4</v>
      </c>
      <c r="AK31" s="2">
        <f>COUNTIFS('BA History S2'!$B:$B,$A$31,'BA History S2'!AD:AD, 1)</f>
        <v>1</v>
      </c>
      <c r="AL31" s="2">
        <f>COUNTIFS('BA History S2'!$B:$B,$A$31,'BA History S2'!AE:AE, 1)</f>
        <v>1</v>
      </c>
      <c r="AM31" s="2">
        <f>COUNTIFS('BA History S2'!$B:$B,$A$31,'BA History S2'!AF:AF, 1)</f>
        <v>4</v>
      </c>
    </row>
    <row r="32" spans="1:39" x14ac:dyDescent="0.25">
      <c r="A32" s="2" t="s">
        <v>18</v>
      </c>
      <c r="B32" s="1" t="s">
        <v>79</v>
      </c>
      <c r="F32" s="34">
        <f>SUMIFS('BA History S2'!C:C,'BA History S2'!B:B,A32)</f>
        <v>32</v>
      </c>
      <c r="G32" s="66">
        <f>AVERAGEIFS('BA History S2'!C:C,'BA History S2'!B:B,A32)</f>
        <v>16</v>
      </c>
      <c r="H32" s="35">
        <f t="array" ref="H32">MAX(IF('BA History S2'!B:B=A32, 'BA History S2'!C:C))</f>
        <v>22</v>
      </c>
      <c r="I32" s="34">
        <f>COUNTIFS('BA History S2'!B:B,A32,'BA History S2'!D:D, 1)</f>
        <v>1</v>
      </c>
      <c r="J32" s="2">
        <f>COUNTIFS('BA History S2'!B:B,A32,'BA History S2'!D:D, 0)</f>
        <v>1</v>
      </c>
      <c r="K32" s="75">
        <f>LOOKUP(2, 1/('BA History S2'!$B:$B=A32), 'BA History S2'!$AJ:$AJ)</f>
        <v>0.5</v>
      </c>
      <c r="L32" s="34">
        <f>SUMIFS('BA History S2'!F:F,'BA History S2'!B:B,A32)</f>
        <v>3</v>
      </c>
      <c r="M32" s="2">
        <f>SUMIFS('BA History S2'!E:E,'BA History S2'!B:B,A32)-L32</f>
        <v>3</v>
      </c>
      <c r="N32" s="75">
        <f>LOOKUP(2, 1/('BA History S2'!$B:$B=A32), 'BA History S2'!$AH:$AH)</f>
        <v>0.5</v>
      </c>
      <c r="O32" s="34">
        <f>SUMIFS('BA History S2'!H:H,'BA History S2'!B:B,A32)</f>
        <v>13</v>
      </c>
      <c r="P32" s="2">
        <f>SUMIFS('BA History S2'!G:G,'BA History S2'!B:B,A32)-O32</f>
        <v>14</v>
      </c>
      <c r="Q32" s="89">
        <f>LOOKUP(2, 1/('BA History S2'!$B:$B=A32), 'BA History S2'!$AI:$AI)</f>
        <v>0.47499999999999998</v>
      </c>
      <c r="R32" s="2">
        <f>COUNTIFS('BA History S2'!$B:$B,$A$32,'BA History S2'!K:K, 1)</f>
        <v>0</v>
      </c>
      <c r="S32" s="2">
        <f>COUNTIFS('BA History S2'!$B:$B,$A$32,'BA History S2'!L:L, 1)</f>
        <v>1</v>
      </c>
      <c r="T32" s="2">
        <f>COUNTIFS('BA History S2'!$B:$B,$A$32,'BA History S2'!M:M, 1)</f>
        <v>0</v>
      </c>
      <c r="U32" s="2">
        <f>COUNTIFS('BA History S2'!$B:$B,$A$32,'BA History S2'!N:N, 1)</f>
        <v>0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1</v>
      </c>
      <c r="AH32" s="2">
        <f>COUNTIFS('BA History S2'!$B:$B,$A$32,'BA History S2'!AA:AA, 1)</f>
        <v>0</v>
      </c>
      <c r="AI32" s="2">
        <f>COUNTIFS('BA History S2'!$B:$B,$A$32,'BA History S2'!AB:AB, 1)</f>
        <v>1</v>
      </c>
      <c r="AJ32" s="2">
        <f>COUNTIFS('BA History S2'!$B:$B,$A$32,'BA History S2'!AC:AC, 1)</f>
        <v>0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</row>
    <row r="33" spans="1:39" x14ac:dyDescent="0.25">
      <c r="A33" s="2" t="s">
        <v>179</v>
      </c>
      <c r="B33" s="1" t="s">
        <v>79</v>
      </c>
      <c r="C33" s="1">
        <v>1</v>
      </c>
      <c r="F33" s="34">
        <f>SUMIFS('BA History S2'!C:C,'BA History S2'!B:B,A33)</f>
        <v>26</v>
      </c>
      <c r="G33" s="66">
        <f>AVERAGEIFS('BA History S2'!C:C,'BA History S2'!B:B,A33)</f>
        <v>13</v>
      </c>
      <c r="H33" s="35">
        <f t="array" ref="H33">MAX(IF('BA History S2'!B:B=A33, 'BA History S2'!C:C))</f>
        <v>16</v>
      </c>
      <c r="I33" s="34">
        <f>COUNTIFS('BA History S2'!B:B,A33,'BA History S2'!D:D, 1)</f>
        <v>0</v>
      </c>
      <c r="J33" s="2">
        <f>COUNTIFS('BA History S2'!B:B,A33,'BA History S2'!D:D, 0)</f>
        <v>2</v>
      </c>
      <c r="K33" s="75">
        <f>LOOKUP(2, 1/('BA History S2'!$B:$B=A33), 'BA History S2'!$AJ:$AJ)</f>
        <v>0</v>
      </c>
      <c r="L33" s="34">
        <f>SUMIFS('BA History S2'!F:F,'BA History S2'!B:B,A33)</f>
        <v>3</v>
      </c>
      <c r="M33" s="2">
        <f>SUMIFS('BA History S2'!E:E,'BA History S2'!B:B,A33)-L33</f>
        <v>6</v>
      </c>
      <c r="N33" s="75">
        <f>LOOKUP(2, 1/('BA History S2'!$B:$B=A33), 'BA History S2'!$AH:$AH)</f>
        <v>0.32500000000000001</v>
      </c>
      <c r="O33" s="34">
        <f>SUMIFS('BA History S2'!H:H,'BA History S2'!B:B,A33)</f>
        <v>19</v>
      </c>
      <c r="P33" s="2">
        <f>SUMIFS('BA History S2'!G:G,'BA History S2'!B:B,A33)-O33</f>
        <v>22</v>
      </c>
      <c r="Q33" s="89">
        <f>LOOKUP(2, 1/('BA History S2'!$B:$B=A33), 'BA History S2'!$AI:$AI)</f>
        <v>0.46499999999999997</v>
      </c>
      <c r="R33" s="2">
        <f>COUNTIFS('BA History S2'!$B:$B,$A$33,'BA History S2'!K:K, 1)</f>
        <v>0</v>
      </c>
      <c r="S33" s="2">
        <f>COUNTIFS('BA History S2'!$B:$B,$A$33,'BA History S2'!L:L, 1)</f>
        <v>0</v>
      </c>
      <c r="T33" s="2">
        <f>COUNTIFS('BA History S2'!$B:$B,$A$33,'BA History S2'!M:M, 1)</f>
        <v>0</v>
      </c>
      <c r="U33" s="2">
        <f>COUNTIFS('BA History S2'!$B:$B,$A$33,'BA History S2'!N:N, 1)</f>
        <v>1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1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0</v>
      </c>
      <c r="AG33" s="2">
        <f>COUNTIFS('BA History S2'!$B:$B,$A$33,'BA History S2'!Z:Z, 1)</f>
        <v>0</v>
      </c>
      <c r="AH33" s="2">
        <f>COUNTIFS('BA History S2'!$B:$B,$A$33,'BA History S2'!AA:AA, 1)</f>
        <v>0</v>
      </c>
      <c r="AI33" s="2">
        <f>COUNTIFS('BA History S2'!$B:$B,$A$33,'BA History S2'!AB:AB, 1)</f>
        <v>0</v>
      </c>
      <c r="AJ33" s="2">
        <f>COUNTIFS('BA History S2'!$B:$B,$A$33,'BA History S2'!AC:AC, 1)</f>
        <v>1</v>
      </c>
      <c r="AK33" s="2">
        <f>COUNTIFS('BA History S2'!$B:$B,$A$33,'BA History S2'!AD:AD, 1)</f>
        <v>0</v>
      </c>
      <c r="AL33" s="2">
        <f>COUNTIFS('BA History S2'!$B:$B,$A$33,'BA History S2'!AE:AE, 1)</f>
        <v>0</v>
      </c>
      <c r="AM33" s="2">
        <f>COUNTIFS('BA History S2'!$B:$B,$A$33,'BA History S2'!AF:AF, 1)</f>
        <v>0</v>
      </c>
    </row>
    <row r="34" spans="1:39" x14ac:dyDescent="0.25">
      <c r="A34" s="2" t="s">
        <v>113</v>
      </c>
      <c r="B34" s="2" t="s">
        <v>79</v>
      </c>
      <c r="C34" s="2">
        <v>1</v>
      </c>
      <c r="D34" s="2">
        <v>1</v>
      </c>
      <c r="E34" s="2"/>
      <c r="F34" s="34">
        <f>SUMIFS('BA History S2'!C:C,'BA History S2'!B:B,A34)</f>
        <v>365</v>
      </c>
      <c r="G34" s="66">
        <f>AVERAGEIFS('BA History S2'!C:C,'BA History S2'!B:B,A34)</f>
        <v>19.210526315789473</v>
      </c>
      <c r="H34" s="35">
        <f t="array" ref="H34">MAX(IF('BA History S2'!B:B=A34, 'BA History S2'!C:C))</f>
        <v>36</v>
      </c>
      <c r="I34" s="34">
        <f>COUNTIFS('BA History S2'!B:B,A34,'BA History S2'!D:D, 1)</f>
        <v>10</v>
      </c>
      <c r="J34" s="2">
        <f>COUNTIFS('BA History S2'!B:B,A34,'BA History S2'!D:D, 0)</f>
        <v>9</v>
      </c>
      <c r="K34" s="75">
        <f>LOOKUP(2, 1/('BA History S2'!$B:$B=A34), 'BA History S2'!$AJ:$AJ)</f>
        <v>0.52631578947368418</v>
      </c>
      <c r="L34" s="34">
        <f>SUMIFS('BA History S2'!F:F,'BA History S2'!B:B,A34)</f>
        <v>41</v>
      </c>
      <c r="M34" s="2">
        <f>SUMIFS('BA History S2'!E:E,'BA History S2'!B:B,A34)-L34</f>
        <v>34</v>
      </c>
      <c r="N34" s="75">
        <f>LOOKUP(2, 1/('BA History S2'!$B:$B=A34), 'BA History S2'!$AH:$AH)</f>
        <v>0.56842105263157894</v>
      </c>
      <c r="O34" s="34">
        <f>SUMIFS('BA History S2'!H:H,'BA History S2'!B:B,A34)</f>
        <v>165</v>
      </c>
      <c r="P34" s="2">
        <f>SUMIFS('BA History S2'!G:G,'BA History S2'!B:B,A34)-O34</f>
        <v>150</v>
      </c>
      <c r="Q34" s="89">
        <f>LOOKUP(2, 1/('BA History S2'!$B:$B=A34), 'BA History S2'!$AI:$AI)</f>
        <v>0.55000000000000004</v>
      </c>
      <c r="R34" s="2">
        <f>COUNTIFS('BA History S2'!$B:$B,$A$34,'BA History S2'!K:K, 1)</f>
        <v>0</v>
      </c>
      <c r="S34" s="2">
        <f>COUNTIFS('BA History S2'!$B:$B,$A$34,'BA History S2'!L:L, 1)</f>
        <v>5</v>
      </c>
      <c r="T34" s="2">
        <f>COUNTIFS('BA History S2'!$B:$B,$A$34,'BA History S2'!M:M, 1)</f>
        <v>2</v>
      </c>
      <c r="U34" s="2">
        <f>COUNTIFS('BA History S2'!$B:$B,$A$34,'BA History S2'!N:N, 1)</f>
        <v>3</v>
      </c>
      <c r="V34" s="2">
        <f>COUNTIFS('BA History S2'!$B:$B,$A$34,'BA History S2'!O:O, 1)</f>
        <v>1</v>
      </c>
      <c r="W34" s="2">
        <f>COUNTIFS('BA History S2'!$B:$B,$A$34,'BA History S2'!P:P, 1)</f>
        <v>1</v>
      </c>
      <c r="X34" s="2">
        <f>COUNTIFS('BA History S2'!$B:$B,$A$34,'BA History S2'!Q:Q, 1)</f>
        <v>1</v>
      </c>
      <c r="Y34" s="2">
        <f>COUNTIFS('BA History S2'!$B:$B,$A$34,'BA History S2'!R:R, 1)</f>
        <v>1</v>
      </c>
      <c r="Z34" s="2">
        <f>COUNTIFS('BA History S2'!$B:$B,$A$34,'BA History S2'!S:S, 1)</f>
        <v>1</v>
      </c>
      <c r="AA34" s="2">
        <f>COUNTIFS('BA History S2'!$B:$B,$A$34,'BA History S2'!T:T, 1)</f>
        <v>0</v>
      </c>
      <c r="AB34" s="2">
        <f>COUNTIFS('BA History S2'!$B:$B,$A$34,'BA History S2'!U:U, 1)</f>
        <v>1</v>
      </c>
      <c r="AC34" s="2">
        <f>COUNTIFS('BA History S2'!$B:$B,$A$34,'BA History S2'!V:V, 1)</f>
        <v>2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6</v>
      </c>
      <c r="AH34" s="2">
        <f>COUNTIFS('BA History S2'!$B:$B,$A$34,'BA History S2'!AA:AA, 1)</f>
        <v>0</v>
      </c>
      <c r="AI34" s="2">
        <f>COUNTIFS('BA History S2'!$B:$B,$A$34,'BA History S2'!AB:AB, 1)</f>
        <v>7</v>
      </c>
      <c r="AJ34" s="2">
        <f>COUNTIFS('BA History S2'!$B:$B,$A$34,'BA History S2'!AC:AC, 1)</f>
        <v>4</v>
      </c>
      <c r="AK34" s="2">
        <f>COUNTIFS('BA History S2'!$B:$B,$A$34,'BA History S2'!AD:AD, 1)</f>
        <v>0</v>
      </c>
      <c r="AL34" s="2">
        <f>COUNTIFS('BA History S2'!$B:$B,$A$34,'BA History S2'!AE:AE, 1)</f>
        <v>0</v>
      </c>
      <c r="AM34" s="2">
        <f>COUNTIFS('BA History S2'!$B:$B,$A$34,'BA History S2'!AF:AF, 1)</f>
        <v>4</v>
      </c>
    </row>
    <row r="35" spans="1:39" x14ac:dyDescent="0.25">
      <c r="A35" s="2" t="s">
        <v>14</v>
      </c>
      <c r="B35" s="2" t="s">
        <v>79</v>
      </c>
      <c r="C35" s="2">
        <v>1</v>
      </c>
      <c r="D35" s="2"/>
      <c r="E35" s="2"/>
      <c r="F35" s="34">
        <f>SUMIFS('BA History S2'!C:C,'BA History S2'!B:B,A35)</f>
        <v>66</v>
      </c>
      <c r="G35" s="66">
        <f>AVERAGEIFS('BA History S2'!C:C,'BA History S2'!B:B,A35)</f>
        <v>13.2</v>
      </c>
      <c r="H35" s="35">
        <f t="array" ref="H35">MAX(IF('BA History S2'!B:B=A35, 'BA History S2'!C:C))</f>
        <v>21</v>
      </c>
      <c r="I35" s="34">
        <f>COUNTIFS('BA History S2'!B:B,A35,'BA History S2'!D:D, 1)</f>
        <v>2</v>
      </c>
      <c r="J35" s="2">
        <f>COUNTIFS('BA History S2'!B:B,A35,'BA History S2'!D:D, 0)</f>
        <v>3</v>
      </c>
      <c r="K35" s="75">
        <f>LOOKUP(2, 1/('BA History S2'!$B:$B=A35), 'BA History S2'!$AJ:$AJ)</f>
        <v>0.4</v>
      </c>
      <c r="L35" s="34">
        <f>SUMIFS('BA History S2'!F:F,'BA History S2'!B:B,A35)</f>
        <v>8</v>
      </c>
      <c r="M35" s="2">
        <f>SUMIFS('BA History S2'!E:E,'BA History S2'!B:B,A35)-L35</f>
        <v>11</v>
      </c>
      <c r="N35" s="75">
        <f>LOOKUP(2, 1/('BA History S2'!$B:$B=A35), 'BA History S2'!$AH:$AH)</f>
        <v>0.42000000000000004</v>
      </c>
      <c r="O35" s="34">
        <f>SUMIFS('BA History S2'!H:H,'BA History S2'!B:B,A35)</f>
        <v>34</v>
      </c>
      <c r="P35" s="2">
        <f>SUMIFS('BA History S2'!G:G,'BA History S2'!B:B,A35)-O35</f>
        <v>43</v>
      </c>
      <c r="Q35" s="89">
        <f>LOOKUP(2, 1/('BA History S2'!$B:$B=A35), 'BA History S2'!$AI:$AI)</f>
        <v>0.41</v>
      </c>
      <c r="R35" s="2">
        <f>COUNTIFS('BA History S2'!$B:$B,$A$35,'BA History S2'!K:K, 1)</f>
        <v>0</v>
      </c>
      <c r="S35" s="2">
        <f>COUNTIFS('BA History S2'!$B:$B,$A$35,'BA History S2'!L:L, 1)</f>
        <v>1</v>
      </c>
      <c r="T35" s="2">
        <f>COUNTIFS('BA History S2'!$B:$B,$A$35,'BA History S2'!M:M, 1)</f>
        <v>0</v>
      </c>
      <c r="U35" s="2">
        <f>COUNTIFS('BA History S2'!$B:$B,$A$35,'BA History S2'!N:N, 1)</f>
        <v>1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1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0</v>
      </c>
      <c r="AH35" s="2">
        <f>COUNTIFS('BA History S2'!$B:$B,$A$35,'BA History S2'!AA:AA, 1)</f>
        <v>0</v>
      </c>
      <c r="AI35" s="2">
        <f>COUNTIFS('BA History S2'!$B:$B,$A$35,'BA History S2'!AB:AB, 1)</f>
        <v>3</v>
      </c>
      <c r="AJ35" s="2">
        <f>COUNTIFS('BA History S2'!$B:$B,$A$35,'BA History S2'!AC:AC, 1)</f>
        <v>1</v>
      </c>
      <c r="AK35" s="2">
        <f>COUNTIFS('BA History S2'!$B:$B,$A$35,'BA History S2'!AD:AD, 1)</f>
        <v>0</v>
      </c>
      <c r="AL35" s="2">
        <f>COUNTIFS('BA History S2'!$B:$B,$A$35,'BA History S2'!AE:AE, 1)</f>
        <v>0</v>
      </c>
      <c r="AM35" s="2">
        <f>COUNTIFS('BA History S2'!$B:$B,$A$35,'BA History S2'!AF:AF, 1)</f>
        <v>0</v>
      </c>
    </row>
    <row r="36" spans="1:39" x14ac:dyDescent="0.25">
      <c r="A36" s="2" t="s">
        <v>70</v>
      </c>
      <c r="B36" s="2" t="s">
        <v>79</v>
      </c>
      <c r="C36" s="2"/>
      <c r="D36" s="2"/>
      <c r="E36" s="2"/>
      <c r="F36" s="34">
        <f>SUMIFS('BA History S2'!C:C,'BA History S2'!B:B,A36)</f>
        <v>16</v>
      </c>
      <c r="G36" s="66">
        <f>AVERAGEIFS('BA History S2'!C:C,'BA History S2'!B:B,A36)</f>
        <v>8</v>
      </c>
      <c r="H36" s="35">
        <f t="array" ref="H36">MAX(IF('BA History S2'!B:B=A36, 'BA History S2'!C:C))</f>
        <v>9</v>
      </c>
      <c r="I36" s="34">
        <f>COUNTIFS('BA History S2'!B:B,A36,'BA History S2'!D:D, 1)</f>
        <v>0</v>
      </c>
      <c r="J36" s="2">
        <f>COUNTIFS('BA History S2'!B:B,A36,'BA History S2'!D:D, 0)</f>
        <v>2</v>
      </c>
      <c r="K36" s="75">
        <f>LOOKUP(2, 1/('BA History S2'!$B:$B=A36), 'BA History S2'!$AJ:$AJ)</f>
        <v>0</v>
      </c>
      <c r="L36" s="34">
        <f>SUMIFS('BA History S2'!F:F,'BA History S2'!B:B,A36)</f>
        <v>2</v>
      </c>
      <c r="M36" s="2">
        <f>SUMIFS('BA History S2'!E:E,'BA History S2'!B:B,A36)-L36</f>
        <v>6</v>
      </c>
      <c r="N36" s="75">
        <f>LOOKUP(2, 1/('BA History S2'!$B:$B=A36), 'BA History S2'!$AH:$AH)</f>
        <v>0.25</v>
      </c>
      <c r="O36" s="34">
        <f>SUMIFS('BA History S2'!H:H,'BA History S2'!B:B,A36)</f>
        <v>14</v>
      </c>
      <c r="P36" s="2">
        <f>SUMIFS('BA History S2'!G:G,'BA History S2'!B:B,A36)-O36</f>
        <v>19</v>
      </c>
      <c r="Q36" s="89">
        <f>LOOKUP(2, 1/('BA History S2'!$B:$B=A36), 'BA History S2'!$AI:$AI)</f>
        <v>0.42000000000000004</v>
      </c>
      <c r="R36" s="2">
        <f>COUNTIFS('BA History S2'!$B:$B,$A$36,'BA History S2'!K:K, 1)</f>
        <v>0</v>
      </c>
      <c r="S36" s="2">
        <f>COUNTIFS('BA History S2'!$B:$B,$A$36,'BA History S2'!L:L, 1)</f>
        <v>0</v>
      </c>
      <c r="T36" s="2">
        <f>COUNTIFS('BA History S2'!$B:$B,$A$36,'BA History S2'!M:M, 1)</f>
        <v>0</v>
      </c>
      <c r="U36" s="2">
        <f>COUNTIFS('BA History S2'!$B:$B,$A$36,'BA History S2'!N:N, 1)</f>
        <v>2</v>
      </c>
      <c r="V36" s="2">
        <f>COUNTIFS('BA History S2'!$B:$B,$A$36,'BA History S2'!O:O, 1)</f>
        <v>0</v>
      </c>
      <c r="W36" s="2">
        <f>COUNTIFS('BA History S2'!$B:$B,$A$36,'BA History S2'!P:P, 1)</f>
        <v>0</v>
      </c>
      <c r="X36" s="2">
        <f>COUNTIFS('BA History S2'!$B:$B,$A$36,'BA History S2'!Q:Q, 1)</f>
        <v>0</v>
      </c>
      <c r="Y36" s="2">
        <f>COUNTIFS('BA History S2'!$B:$B,$A$36,'BA History S2'!R:R, 1)</f>
        <v>0</v>
      </c>
      <c r="Z36" s="2">
        <f>COUNTIFS('BA History S2'!$B:$B,$A$36,'BA History S2'!S:S, 1)</f>
        <v>0</v>
      </c>
      <c r="AA36" s="2">
        <f>COUNTIFS('BA History S2'!$B:$B,$A$36,'BA History S2'!T:T, 1)</f>
        <v>0</v>
      </c>
      <c r="AB36" s="2">
        <f>COUNTIFS('BA History S2'!$B:$B,$A$36,'BA History S2'!U:U, 1)</f>
        <v>0</v>
      </c>
      <c r="AC36" s="2">
        <f>COUNTIFS('BA History S2'!$B:$B,$A$36,'BA History S2'!V:V, 1)</f>
        <v>0</v>
      </c>
      <c r="AD36" s="2">
        <f>COUNTIFS('BA History S2'!$B:$B,$A$36,'BA History S2'!W:W, 1)</f>
        <v>0</v>
      </c>
      <c r="AE36" s="2">
        <f>COUNTIFS('BA History S2'!$B:$B,$A$36,'BA History S2'!X:X, 1)</f>
        <v>0</v>
      </c>
      <c r="AF36" s="2">
        <f>COUNTIFS('BA History S2'!$B:$B,$A$36,'BA History S2'!Y:Y, 1)</f>
        <v>0</v>
      </c>
      <c r="AG36" s="2">
        <f>COUNTIFS('BA History S2'!$B:$B,$A$36,'BA History S2'!Z:Z, 1)</f>
        <v>0</v>
      </c>
      <c r="AH36" s="2">
        <f>COUNTIFS('BA History S2'!$B:$B,$A$36,'BA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0</v>
      </c>
      <c r="AK36" s="2">
        <f>COUNTIFS('BA History S2'!$B:$B,$A$36,'BA History S2'!AD:AD, 1)</f>
        <v>0</v>
      </c>
      <c r="AL36" s="2">
        <f>COUNTIFS('BA History S2'!$B:$B,$A$36,'BA History S2'!AE:AE, 1)</f>
        <v>0</v>
      </c>
      <c r="AM36" s="2">
        <f>COUNTIFS('BA History S2'!$B:$B,$A$36,'BA History S2'!AF:AF, 1)</f>
        <v>0</v>
      </c>
    </row>
    <row r="37" spans="1:39" x14ac:dyDescent="0.25">
      <c r="A37" s="2" t="s">
        <v>4</v>
      </c>
      <c r="B37" s="1" t="s">
        <v>158</v>
      </c>
      <c r="C37" s="1">
        <v>1</v>
      </c>
      <c r="D37" s="1">
        <v>1</v>
      </c>
      <c r="F37" s="34">
        <f>SUMIFS('BA History S2'!C:C,'BA History S2'!B:B,A37)</f>
        <v>346</v>
      </c>
      <c r="G37" s="66">
        <f>AVERAGEIFS('BA History S2'!C:C,'BA History S2'!B:B,A37)</f>
        <v>26.615384615384617</v>
      </c>
      <c r="H37" s="35">
        <f t="array" ref="H37">MAX(IF('BA History S2'!B:B=A37, 'BA History S2'!C:C))</f>
        <v>38</v>
      </c>
      <c r="I37" s="34">
        <f>COUNTIFS('BA History S2'!B:B,A37,'BA History S2'!D:D, 1)</f>
        <v>8</v>
      </c>
      <c r="J37" s="2">
        <f>COUNTIFS('BA History S2'!B:B,A37,'BA History S2'!D:D, 0)</f>
        <v>5</v>
      </c>
      <c r="K37" s="75">
        <f>LOOKUP(2, 1/('BA History S2'!$B:$B=A37), 'BA History S2'!$AJ:$AJ)</f>
        <v>0.61538461538461542</v>
      </c>
      <c r="L37" s="34">
        <f>SUMIFS('BA History S2'!F:F,'BA History S2'!B:B,A37)</f>
        <v>30</v>
      </c>
      <c r="M37" s="2">
        <f>SUMIFS('BA History S2'!E:E,'BA History S2'!B:B,A37)-L37</f>
        <v>24</v>
      </c>
      <c r="N37" s="75">
        <f>LOOKUP(2, 1/('BA History S2'!$B:$B=A37), 'BA History S2'!$AH:$AH)</f>
        <v>0.57307692307692304</v>
      </c>
      <c r="O37" s="34">
        <f>SUMIFS('BA History S2'!H:H,'BA History S2'!B:B,A37)</f>
        <v>120</v>
      </c>
      <c r="P37" s="2">
        <f>SUMIFS('BA History S2'!G:G,'BA History S2'!B:B,A37)-O37</f>
        <v>112</v>
      </c>
      <c r="Q37" s="89">
        <f>LOOKUP(2, 1/('BA History S2'!$B:$B=A37), 'BA History S2'!$AI:$AI)</f>
        <v>0.52153846153846151</v>
      </c>
      <c r="R37" s="2">
        <f>COUNTIFS('BA History S2'!$B:$B,$A$37,'BA History S2'!K:K, 1)</f>
        <v>2</v>
      </c>
      <c r="S37" s="2">
        <f>COUNTIFS('BA History S2'!$B:$B,$A$37,'BA History S2'!L:L, 1)</f>
        <v>3</v>
      </c>
      <c r="T37" s="2">
        <f>COUNTIFS('BA History S2'!$B:$B,$A$37,'BA History S2'!M:M, 1)</f>
        <v>3</v>
      </c>
      <c r="U37" s="2">
        <f>COUNTIFS('BA History S2'!$B:$B,$A$37,'BA History S2'!N:N, 1)</f>
        <v>3</v>
      </c>
      <c r="V37" s="2">
        <f>COUNTIFS('BA History S2'!$B:$B,$A$37,'BA History S2'!O:O, 1)</f>
        <v>0</v>
      </c>
      <c r="W37" s="2">
        <f>COUNTIFS('BA History S2'!$B:$B,$A$37,'BA History S2'!P:P, 1)</f>
        <v>0</v>
      </c>
      <c r="X37" s="2">
        <f>COUNTIFS('BA History S2'!$B:$B,$A$37,'BA History S2'!Q:Q, 1)</f>
        <v>0</v>
      </c>
      <c r="Y37" s="2">
        <f>COUNTIFS('BA History S2'!$B:$B,$A$37,'BA History S2'!R:R, 1)</f>
        <v>0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0</v>
      </c>
      <c r="AC37" s="2">
        <f>COUNTIFS('BA History S2'!$B:$B,$A$37,'BA History S2'!V:V, 1)</f>
        <v>1</v>
      </c>
      <c r="AD37" s="2">
        <f>COUNTIFS('BA History S2'!$B:$B,$A$37,'BA History S2'!W:W, 1)</f>
        <v>1</v>
      </c>
      <c r="AE37" s="2">
        <f>COUNTIFS('BA History S2'!$B:$B,$A$37,'BA History S2'!X:X, 1)</f>
        <v>0</v>
      </c>
      <c r="AF37" s="2">
        <f>COUNTIFS('BA History S2'!$B:$B,$A$37,'BA History S2'!Y:Y, 1)</f>
        <v>2</v>
      </c>
      <c r="AG37" s="2">
        <f>COUNTIFS('BA History S2'!$B:$B,$A$37,'BA History S2'!Z:Z, 1)</f>
        <v>1</v>
      </c>
      <c r="AH37" s="2">
        <f>COUNTIFS('BA History S2'!$B:$B,$A$37,'BA History S2'!AA:AA, 1)</f>
        <v>0</v>
      </c>
      <c r="AI37" s="2">
        <f>COUNTIFS('BA History S2'!$B:$B,$A$37,'BA History S2'!AB:AB, 1)</f>
        <v>6</v>
      </c>
      <c r="AJ37" s="2">
        <f>COUNTIFS('BA History S2'!$B:$B,$A$37,'BA History S2'!AC:AC, 1)</f>
        <v>4</v>
      </c>
      <c r="AK37" s="2">
        <f>COUNTIFS('BA History S2'!$B:$B,$A$37,'BA History S2'!AD:AD, 1)</f>
        <v>2</v>
      </c>
      <c r="AL37" s="2">
        <f>COUNTIFS('BA History S2'!$B:$B,$A$37,'BA History S2'!AE:AE, 1)</f>
        <v>1</v>
      </c>
      <c r="AM37" s="2">
        <f>COUNTIFS('BA History S2'!$B:$B,$A$37,'BA History S2'!AF:AF, 1)</f>
        <v>1</v>
      </c>
    </row>
    <row r="38" spans="1:39" x14ac:dyDescent="0.25">
      <c r="A38" s="1" t="s">
        <v>107</v>
      </c>
      <c r="B38" s="2" t="s">
        <v>79</v>
      </c>
      <c r="C38" s="2"/>
      <c r="D38" s="2"/>
      <c r="E38" s="2"/>
      <c r="F38" s="34">
        <f>SUMIFS('BA History S2'!C:C,'BA History S2'!B:B,A38)</f>
        <v>247</v>
      </c>
      <c r="G38" s="66">
        <f>AVERAGEIFS('BA History S2'!C:C,'BA History S2'!B:B,A38)</f>
        <v>14.529411764705882</v>
      </c>
      <c r="H38" s="35">
        <f t="array" ref="H38">MAX(IF('BA History S2'!B:B=A38, 'BA History S2'!C:C))</f>
        <v>27</v>
      </c>
      <c r="I38" s="34">
        <f>COUNTIFS('BA History S2'!B:B,A38,'BA History S2'!D:D, 1)</f>
        <v>9</v>
      </c>
      <c r="J38" s="2">
        <f>COUNTIFS('BA History S2'!B:B,A38,'BA History S2'!D:D, 0)</f>
        <v>8</v>
      </c>
      <c r="K38" s="75">
        <f>LOOKUP(2, 1/('BA History S2'!$B:$B=A38), 'BA History S2'!$AJ:$AJ)</f>
        <v>0.52941176470588236</v>
      </c>
      <c r="L38" s="34">
        <f>SUMIFS('BA History S2'!F:F,'BA History S2'!B:B,A38)</f>
        <v>31</v>
      </c>
      <c r="M38" s="2">
        <f>SUMIFS('BA History S2'!E:E,'BA History S2'!B:B,A38)-L38</f>
        <v>35</v>
      </c>
      <c r="N38" s="75">
        <f>LOOKUP(2, 1/('BA History S2'!$B:$B=A38), 'BA History S2'!$AH:$AH)</f>
        <v>0.438235294117647</v>
      </c>
      <c r="O38" s="34">
        <f>SUMIFS('BA History S2'!H:H,'BA History S2'!B:B,A38)</f>
        <v>133</v>
      </c>
      <c r="P38" s="2">
        <f>SUMIFS('BA History S2'!G:G,'BA History S2'!B:B,A38)-O38</f>
        <v>139</v>
      </c>
      <c r="Q38" s="89">
        <f>LOOKUP(2, 1/('BA History S2'!$B:$B=A38), 'BA History S2'!$AI:$AI)</f>
        <v>0.47529411764705881</v>
      </c>
      <c r="R38" s="2">
        <f>COUNTIFS('BA History S2'!$B:$B,$A$38,'BA History S2'!K:K, 1)</f>
        <v>3</v>
      </c>
      <c r="S38" s="2">
        <f>COUNTIFS('BA History S2'!$B:$B,$A$38,'BA History S2'!L:L, 1)</f>
        <v>1</v>
      </c>
      <c r="T38" s="2">
        <f>COUNTIFS('BA History S2'!$B:$B,$A$38,'BA History S2'!M:M, 1)</f>
        <v>5</v>
      </c>
      <c r="U38" s="2">
        <f>COUNTIFS('BA History S2'!$B:$B,$A$38,'BA History S2'!N:N, 1)</f>
        <v>2</v>
      </c>
      <c r="V38" s="2">
        <f>COUNTIFS('BA History S2'!$B:$B,$A$38,'BA History S2'!O:O, 1)</f>
        <v>0</v>
      </c>
      <c r="W38" s="2">
        <f>COUNTIFS('BA History S2'!$B:$B,$A$38,'BA History S2'!P:P, 1)</f>
        <v>0</v>
      </c>
      <c r="X38" s="2">
        <f>COUNTIFS('BA History S2'!$B:$B,$A$38,'BA History S2'!Q:Q, 1)</f>
        <v>0</v>
      </c>
      <c r="Y38" s="2">
        <f>COUNTIFS('BA History S2'!$B:$B,$A$38,'BA History S2'!R:R, 1)</f>
        <v>1</v>
      </c>
      <c r="Z38" s="2">
        <f>COUNTIFS('BA History S2'!$B:$B,$A$38,'BA History S2'!S:S, 1)</f>
        <v>0</v>
      </c>
      <c r="AA38" s="2">
        <f>COUNTIFS('BA History S2'!$B:$B,$A$38,'BA History S2'!T:T, 1)</f>
        <v>0</v>
      </c>
      <c r="AB38" s="2">
        <f>COUNTIFS('BA History S2'!$B:$B,$A$38,'BA History S2'!U:U, 1)</f>
        <v>1</v>
      </c>
      <c r="AC38" s="2">
        <f>COUNTIFS('BA History S2'!$B:$B,$A$38,'BA History S2'!V:V, 1)</f>
        <v>1</v>
      </c>
      <c r="AD38" s="2">
        <f>COUNTIFS('BA History S2'!$B:$B,$A$38,'BA History S2'!W:W, 1)</f>
        <v>0</v>
      </c>
      <c r="AE38" s="2">
        <f>COUNTIFS('BA History S2'!$B:$B,$A$38,'BA History S2'!X:X, 1)</f>
        <v>0</v>
      </c>
      <c r="AF38" s="2">
        <f>COUNTIFS('BA History S2'!$B:$B,$A$38,'BA History S2'!Y:Y, 1)</f>
        <v>2</v>
      </c>
      <c r="AG38" s="2">
        <f>COUNTIFS('BA History S2'!$B:$B,$A$38,'BA History S2'!Z:Z, 1)</f>
        <v>3</v>
      </c>
      <c r="AH38" s="2">
        <f>COUNTIFS('BA History S2'!$B:$B,$A$38,'BA History S2'!AA:AA, 1)</f>
        <v>0</v>
      </c>
      <c r="AI38" s="2">
        <f>COUNTIFS('BA History S2'!$B:$B,$A$38,'BA History S2'!AB:AB, 1)</f>
        <v>4</v>
      </c>
      <c r="AJ38" s="2">
        <f>COUNTIFS('BA History S2'!$B:$B,$A$38,'BA History S2'!AC:AC, 1)</f>
        <v>2</v>
      </c>
      <c r="AK38" s="2">
        <f>COUNTIFS('BA History S2'!$B:$B,$A$38,'BA History S2'!AD:AD, 1)</f>
        <v>4</v>
      </c>
      <c r="AL38" s="2">
        <f>COUNTIFS('BA History S2'!$B:$B,$A$38,'BA History S2'!AE:AE, 1)</f>
        <v>0</v>
      </c>
      <c r="AM38" s="2">
        <f>COUNTIFS('BA History S2'!$B:$B,$A$38,'BA History S2'!AF:AF, 1)</f>
        <v>2</v>
      </c>
    </row>
  </sheetData>
  <autoFilter ref="A1:AM38" xr:uid="{DA548192-1F03-46EA-8AB8-115EB9A7CE5D}">
    <sortState xmlns:xlrd2="http://schemas.microsoft.com/office/spreadsheetml/2017/richdata2" ref="A2:AM38">
      <sortCondition ref="A1:A38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33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" sqref="B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168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168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  <row r="198" spans="1:36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1</v>
      </c>
      <c r="AE198">
        <v>0</v>
      </c>
      <c r="AF198">
        <v>1</v>
      </c>
      <c r="AG198" s="86">
        <f>AVERAGEIFS($C$2:C198, $B$2:B198, B198)</f>
        <v>24.8</v>
      </c>
      <c r="AH198" s="86">
        <f>AVERAGEIFS($I$2:I198, $B$2:B198, B198)</f>
        <v>0.625</v>
      </c>
      <c r="AI198" s="86">
        <f>AVERAGEIFS($J$2:J198, $B$2:B198, B198)</f>
        <v>0.58199999999999985</v>
      </c>
      <c r="AJ198" s="86">
        <f>AVERAGEIFS($D$2:D198, $B$2:B198, B198)</f>
        <v>0.7</v>
      </c>
    </row>
    <row r="199" spans="1:36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1</v>
      </c>
      <c r="AE199">
        <v>0</v>
      </c>
      <c r="AF199">
        <v>1</v>
      </c>
      <c r="AG199" s="86">
        <f>AVERAGEIFS($C$2:C199, $B$2:B199, B199)</f>
        <v>20.083333333333332</v>
      </c>
      <c r="AH199" s="86">
        <f>AVERAGEIFS($I$2:I199, $B$2:B199, B199)</f>
        <v>0.5</v>
      </c>
      <c r="AI199" s="86">
        <f>AVERAGEIFS($J$2:J199, $B$2:B199, B199)</f>
        <v>0.49750000000000005</v>
      </c>
      <c r="AJ199" s="86">
        <f>AVERAGEIFS($D$2:D199, $B$2:B199, B199)</f>
        <v>0.5</v>
      </c>
    </row>
    <row r="200" spans="1:36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1</v>
      </c>
      <c r="AG200" s="86">
        <f>AVERAGEIFS($C$2:C200, $B$2:B200, B200)</f>
        <v>16</v>
      </c>
      <c r="AH200" s="86">
        <f>AVERAGEIFS($I$2:I200, $B$2:B200, B200)</f>
        <v>0.5807692307692307</v>
      </c>
      <c r="AI200" s="86">
        <f>AVERAGEIFS($J$2:J200, $B$2:B200, B200)</f>
        <v>0.56153846153846143</v>
      </c>
      <c r="AJ200" s="86">
        <f>AVERAGEIFS($D$2:D200, $B$2:B200, B200)</f>
        <v>0.69230769230769229</v>
      </c>
    </row>
    <row r="201" spans="1:36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1</v>
      </c>
      <c r="AG201" s="86">
        <f>AVERAGEIFS($C$2:C201, $B$2:B201, B201)</f>
        <v>14.23076923076923</v>
      </c>
      <c r="AH201" s="86">
        <f>AVERAGEIFS($I$2:I201, $B$2:B201, B201)</f>
        <v>0.46153846153846156</v>
      </c>
      <c r="AI201" s="86">
        <f>AVERAGEIFS($J$2:J201, $B$2:B201, B201)</f>
        <v>0.47384615384615386</v>
      </c>
      <c r="AJ201" s="86">
        <f>AVERAGEIFS($D$2:D201, $B$2:B201, B201)</f>
        <v>0.53846153846153844</v>
      </c>
    </row>
    <row r="202" spans="1:36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1</v>
      </c>
      <c r="AE202">
        <v>0</v>
      </c>
      <c r="AF202">
        <v>1</v>
      </c>
      <c r="AG202" s="86">
        <f>AVERAGEIFS($C$2:C202, $B$2:B202, B202)</f>
        <v>11.5</v>
      </c>
      <c r="AH202" s="86">
        <f>AVERAGEIFS($I$2:I202, $B$2:B202, B202)</f>
        <v>0.48750000000000004</v>
      </c>
      <c r="AI202" s="86">
        <f>AVERAGEIFS($J$2:J202, $B$2:B202, B202)</f>
        <v>0.51500000000000001</v>
      </c>
      <c r="AJ202" s="86">
        <f>AVERAGEIFS($D$2:D202, $B$2:B202, B202)</f>
        <v>0.75</v>
      </c>
    </row>
    <row r="203" spans="1:36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1</v>
      </c>
      <c r="AE203">
        <v>0</v>
      </c>
      <c r="AF203">
        <v>1</v>
      </c>
      <c r="AG203" s="86">
        <f>AVERAGEIFS($C$2:C203, $B$2:B203, B203)</f>
        <v>6.333333333333333</v>
      </c>
      <c r="AH203" s="86">
        <f>AVERAGEIFS($I$2:I203, $B$2:B203, B203)</f>
        <v>0.45</v>
      </c>
      <c r="AI203" s="86">
        <f>AVERAGEIFS($J$2:J203, $B$2:B203, B203)</f>
        <v>0.47666666666666663</v>
      </c>
      <c r="AJ203" s="86">
        <f>AVERAGEIFS($D$2:D203, $B$2:B203, B203)</f>
        <v>0.66666666666666663</v>
      </c>
    </row>
    <row r="204" spans="1:36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1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18.111111111111111</v>
      </c>
      <c r="AH204" s="86">
        <f>AVERAGEIFS($I$2:I204, $B$2:B204, B204)</f>
        <v>0.51111111111111118</v>
      </c>
      <c r="AI204" s="86">
        <f>AVERAGEIFS($J$2:J204, $B$2:B204, B204)</f>
        <v>0.50777777777777777</v>
      </c>
      <c r="AJ204" s="86">
        <f>AVERAGEIFS($D$2:D204, $B$2:B204, B204)</f>
        <v>0.55555555555555558</v>
      </c>
    </row>
    <row r="205" spans="1:36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1</v>
      </c>
      <c r="AC205">
        <v>0</v>
      </c>
      <c r="AD205">
        <v>0</v>
      </c>
      <c r="AE205">
        <v>0</v>
      </c>
      <c r="AF205">
        <v>0</v>
      </c>
      <c r="AG205" s="86">
        <f>AVERAGEIFS($C$2:C205, $B$2:B205, B205)</f>
        <v>28.375</v>
      </c>
      <c r="AH205" s="86">
        <f>AVERAGEIFS($I$2:I205, $B$2:B205, B205)</f>
        <v>0.57500000000000007</v>
      </c>
      <c r="AI205" s="86">
        <f>AVERAGEIFS($J$2:J205, $B$2:B205, B205)</f>
        <v>0.53749999999999998</v>
      </c>
      <c r="AJ205" s="86">
        <f>AVERAGEIFS($D$2:D205, $B$2:B205, B205)</f>
        <v>0.625</v>
      </c>
    </row>
    <row r="206" spans="1:36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1</v>
      </c>
      <c r="AC206">
        <v>0</v>
      </c>
      <c r="AD206">
        <v>0</v>
      </c>
      <c r="AE206">
        <v>0</v>
      </c>
      <c r="AF206">
        <v>0</v>
      </c>
      <c r="AG206" s="86">
        <f>AVERAGEIFS($C$2:C206, $B$2:B206, B206)</f>
        <v>20.53846153846154</v>
      </c>
      <c r="AH206" s="86">
        <f>AVERAGEIFS($I$2:I206, $B$2:B206, B206)</f>
        <v>0.63461538461538458</v>
      </c>
      <c r="AI206" s="86">
        <f>AVERAGEIFS($J$2:J206, $B$2:B206, B206)</f>
        <v>0.5923076923076922</v>
      </c>
      <c r="AJ206" s="86">
        <f>AVERAGEIFS($D$2:D206, $B$2:B206, B206)</f>
        <v>0.61538461538461542</v>
      </c>
    </row>
    <row r="207" spans="1:36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1</v>
      </c>
      <c r="AC207">
        <v>0</v>
      </c>
      <c r="AD207">
        <v>0</v>
      </c>
      <c r="AE207">
        <v>0</v>
      </c>
      <c r="AF207">
        <v>0</v>
      </c>
      <c r="AG207" s="86">
        <f>AVERAGEIFS($C$2:C207, $B$2:B207, B207)</f>
        <v>14.2</v>
      </c>
      <c r="AH207" s="86">
        <f>AVERAGEIFS($I$2:I207, $B$2:B207, B207)</f>
        <v>0.45999999999999996</v>
      </c>
      <c r="AI207" s="86">
        <f>AVERAGEIFS($J$2:J207, $B$2:B207, B207)</f>
        <v>0.55200000000000005</v>
      </c>
      <c r="AJ207" s="86">
        <f>AVERAGEIFS($D$2:D207, $B$2:B207, B207)</f>
        <v>0.2</v>
      </c>
    </row>
    <row r="208" spans="1:36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 s="86">
        <f>AVERAGEIFS($C$2:C208, $B$2:B208, B208)</f>
        <v>12.3</v>
      </c>
      <c r="AH208" s="86">
        <f>AVERAGEIFS($I$2:I208, $B$2:B208, B208)</f>
        <v>0.40499999999999997</v>
      </c>
      <c r="AI208" s="86">
        <f>AVERAGEIFS($J$2:J208, $B$2:B208, B208)</f>
        <v>0.4549999999999999</v>
      </c>
      <c r="AJ208" s="86">
        <f>AVERAGEIFS($D$2:D208, $B$2:B208, B208)</f>
        <v>0.3</v>
      </c>
    </row>
    <row r="209" spans="1:36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  <c r="AC209">
        <v>0</v>
      </c>
      <c r="AD209">
        <v>0</v>
      </c>
      <c r="AE209">
        <v>0</v>
      </c>
      <c r="AF209">
        <v>0</v>
      </c>
      <c r="AG209" s="86">
        <f>AVERAGEIFS($C$2:C209, $B$2:B209, B209)</f>
        <v>5.166666666666667</v>
      </c>
      <c r="AH209" s="86">
        <f>AVERAGEIFS($I$2:I209, $B$2:B209, B209)</f>
        <v>0.65</v>
      </c>
      <c r="AI209" s="86">
        <f>AVERAGEIFS($J$2:J209, $B$2:B209, B209)</f>
        <v>0.54999999999999993</v>
      </c>
      <c r="AJ209" s="86">
        <f>AVERAGEIFS($D$2:D209, $B$2:B209, B209)</f>
        <v>0.66666666666666663</v>
      </c>
    </row>
    <row r="210" spans="1:36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1</v>
      </c>
      <c r="AC210">
        <v>0</v>
      </c>
      <c r="AD210">
        <v>1</v>
      </c>
      <c r="AE210">
        <v>0</v>
      </c>
      <c r="AF210">
        <v>0</v>
      </c>
      <c r="AG210" s="86">
        <f>AVERAGEIFS($C$2:C210, $B$2:B210, B210)</f>
        <v>20.5</v>
      </c>
      <c r="AH210" s="86">
        <f>AVERAGEIFS($I$2:I210, $B$2:B210, B210)</f>
        <v>0.60624999999999996</v>
      </c>
      <c r="AI210" s="86">
        <f>AVERAGEIFS($J$2:J210, $B$2:B210, B210)</f>
        <v>0.53499999999999992</v>
      </c>
      <c r="AJ210" s="86">
        <f>AVERAGEIFS($D$2:D210, $B$2:B210, B210)</f>
        <v>0.625</v>
      </c>
    </row>
    <row r="211" spans="1:36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1</v>
      </c>
      <c r="AC211">
        <v>0</v>
      </c>
      <c r="AD211">
        <v>1</v>
      </c>
      <c r="AE211">
        <v>0</v>
      </c>
      <c r="AF211">
        <v>0</v>
      </c>
      <c r="AG211" s="86">
        <f>AVERAGEIFS($C$2:C211, $B$2:B211, B211)</f>
        <v>28.222222222222221</v>
      </c>
      <c r="AH211" s="86">
        <f>AVERAGEIFS($I$2:I211, $B$2:B211, B211)</f>
        <v>0.57777777777777783</v>
      </c>
      <c r="AI211" s="86">
        <f>AVERAGEIFS($J$2:J211, $B$2:B211, B211)</f>
        <v>0.54222222222222216</v>
      </c>
      <c r="AJ211" s="86">
        <f>AVERAGEIFS($D$2:D211, $B$2:B211, B211)</f>
        <v>0.66666666666666663</v>
      </c>
    </row>
    <row r="212" spans="1:36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1</v>
      </c>
      <c r="AC212">
        <v>0</v>
      </c>
      <c r="AD212">
        <v>1</v>
      </c>
      <c r="AE212">
        <v>0</v>
      </c>
      <c r="AF212">
        <v>0</v>
      </c>
      <c r="AG212" s="86">
        <f>AVERAGEIFS($C$2:C212, $B$2:B212, B212)</f>
        <v>17.5</v>
      </c>
      <c r="AH212" s="86">
        <f>AVERAGEIFS($I$2:I212, $B$2:B212, B212)</f>
        <v>0.42499999999999999</v>
      </c>
      <c r="AI212" s="86">
        <f>AVERAGEIFS($J$2:J212, $B$2:B212, B212)</f>
        <v>0.43249999999999994</v>
      </c>
      <c r="AJ212" s="86">
        <f>AVERAGEIFS($D$2:D212, $B$2:B212, B212)</f>
        <v>0.41666666666666669</v>
      </c>
    </row>
    <row r="213" spans="1:36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1</v>
      </c>
      <c r="AC213">
        <v>0</v>
      </c>
      <c r="AD213">
        <v>1</v>
      </c>
      <c r="AE213">
        <v>0</v>
      </c>
      <c r="AF213">
        <v>0</v>
      </c>
      <c r="AG213" s="86">
        <f>AVERAGEIFS($C$2:C213, $B$2:B213, B213)</f>
        <v>16.75</v>
      </c>
      <c r="AH213" s="86">
        <f>AVERAGEIFS($I$2:I213, $B$2:B213, B213)</f>
        <v>0.58749999999999991</v>
      </c>
      <c r="AI213" s="86">
        <f>AVERAGEIFS($J$2:J213, $B$2:B213, B213)</f>
        <v>0.52124999999999999</v>
      </c>
      <c r="AJ213" s="86">
        <f>AVERAGEIFS($D$2:D213, $B$2:B213, B213)</f>
        <v>0.75</v>
      </c>
    </row>
    <row r="214" spans="1:36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  <c r="AC214">
        <v>0</v>
      </c>
      <c r="AD214">
        <v>1</v>
      </c>
      <c r="AE214">
        <v>0</v>
      </c>
      <c r="AF214">
        <v>0</v>
      </c>
      <c r="AG214" s="86">
        <f>AVERAGEIFS($C$2:C214, $B$2:B214, B214)</f>
        <v>14.75</v>
      </c>
      <c r="AH214" s="86">
        <f>AVERAGEIFS($I$2:I214, $B$2:B214, B214)</f>
        <v>0.36249999999999999</v>
      </c>
      <c r="AI214" s="86">
        <f>AVERAGEIFS($J$2:J214, $B$2:B214, B214)</f>
        <v>0.39249999999999996</v>
      </c>
      <c r="AJ214" s="86">
        <f>AVERAGEIFS($D$2:D214, $B$2:B214, B214)</f>
        <v>0.5</v>
      </c>
    </row>
    <row r="215" spans="1:36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14.214285714285714</v>
      </c>
      <c r="AH215" s="86">
        <f>AVERAGEIFS($I$2:I215, $B$2:B215, B215)</f>
        <v>0.47142857142857142</v>
      </c>
      <c r="AI215" s="86">
        <f>AVERAGEIFS($J$2:J215, $B$2:B215, B215)</f>
        <v>0.48142857142857143</v>
      </c>
      <c r="AJ215" s="86">
        <f>AVERAGEIFS($D$2:D215, $B$2:B215, B215)</f>
        <v>0.5714285714285714</v>
      </c>
    </row>
    <row r="216" spans="1:36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s="86">
        <f>AVERAGEIFS($C$2:C216, $B$2:B216, B216)</f>
        <v>25.272727272727273</v>
      </c>
      <c r="AH216" s="86">
        <f>AVERAGEIFS($I$2:I216, $B$2:B216, B216)</f>
        <v>0.60454545454545461</v>
      </c>
      <c r="AI216" s="86">
        <f>AVERAGEIFS($J$2:J216, $B$2:B216, B216)</f>
        <v>0.56727272727272715</v>
      </c>
      <c r="AJ216" s="86">
        <f>AVERAGEIFS($D$2:D216, $B$2:B216, B216)</f>
        <v>0.63636363636363635</v>
      </c>
    </row>
    <row r="217" spans="1:36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s="86">
        <f>AVERAGEIFS($C$2:C217, $B$2:B217, B217)</f>
        <v>18.3</v>
      </c>
      <c r="AH217" s="86">
        <f>AVERAGEIFS($I$2:I217, $B$2:B217, B217)</f>
        <v>0.50000000000000011</v>
      </c>
      <c r="AI217" s="86">
        <f>AVERAGEIFS($J$2:J217, $B$2:B217, B217)</f>
        <v>0.499</v>
      </c>
      <c r="AJ217" s="86">
        <f>AVERAGEIFS($D$2:D217, $B$2:B217, B217)</f>
        <v>0.5</v>
      </c>
    </row>
    <row r="218" spans="1:36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s="86">
        <f>AVERAGEIFS($C$2:C218, $B$2:B218, B218)</f>
        <v>20</v>
      </c>
      <c r="AH218" s="86">
        <f>AVERAGEIFS($I$2:I218, $B$2:B218, B218)</f>
        <v>0.49230769230769234</v>
      </c>
      <c r="AI218" s="86">
        <f>AVERAGEIFS($J$2:J218, $B$2:B218, B218)</f>
        <v>0.49153846153846159</v>
      </c>
      <c r="AJ218" s="86">
        <f>AVERAGEIFS($D$2:D218, $B$2:B218, B218)</f>
        <v>0.46153846153846156</v>
      </c>
    </row>
    <row r="219" spans="1:36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s="86">
        <f>AVERAGEIFS($C$2:C219, $B$2:B219, B219)</f>
        <v>16.142857142857142</v>
      </c>
      <c r="AH219" s="86">
        <f>AVERAGEIFS($I$2:I219, $B$2:B219, B219)</f>
        <v>0.56785714285714284</v>
      </c>
      <c r="AI219" s="86">
        <f>AVERAGEIFS($J$2:J219, $B$2:B219, B219)</f>
        <v>0.55142857142857138</v>
      </c>
      <c r="AJ219" s="86">
        <f>AVERAGEIFS($D$2:D219, $B$2:B219, B219)</f>
        <v>0.6428571428571429</v>
      </c>
    </row>
    <row r="220" spans="1:36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s="86">
        <f>AVERAGEIFS($C$2:C220, $B$2:B220, B220)</f>
        <v>20.285714285714285</v>
      </c>
      <c r="AH220" s="86">
        <f>AVERAGEIFS($I$2:I220, $B$2:B220, B220)</f>
        <v>0.61785714285714288</v>
      </c>
      <c r="AI220" s="86">
        <f>AVERAGEIFS($J$2:J220, $B$2:B220, B220)</f>
        <v>0.57999999999999996</v>
      </c>
      <c r="AJ220" s="86">
        <f>AVERAGEIFS($D$2:D220, $B$2:B220, B220)</f>
        <v>0.5714285714285714</v>
      </c>
    </row>
    <row r="221" spans="1:36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s="86">
        <f>AVERAGEIFS($C$2:C221, $B$2:B221, B221)</f>
        <v>13.166666666666666</v>
      </c>
      <c r="AH221" s="86">
        <f>AVERAGEIFS($I$2:I221, $B$2:B221, B221)</f>
        <v>0.44999999999999996</v>
      </c>
      <c r="AI221" s="86">
        <f>AVERAGEIFS($J$2:J221, $B$2:B221, B221)</f>
        <v>0.53</v>
      </c>
      <c r="AJ221" s="86">
        <f>AVERAGEIFS($D$2:D221, $B$2:B221, B221)</f>
        <v>0.16666666666666666</v>
      </c>
    </row>
    <row r="222" spans="1:36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 s="86">
        <f>AVERAGEIFS($C$2:C222, $B$2:B222, B222)</f>
        <v>20.714285714285715</v>
      </c>
      <c r="AH222" s="86">
        <f>AVERAGEIFS($I$2:I222, $B$2:B222, B222)</f>
        <v>0.43928571428571433</v>
      </c>
      <c r="AI222" s="86">
        <f>AVERAGEIFS($J$2:J222, $B$2:B222, B222)</f>
        <v>0.47714285714285715</v>
      </c>
      <c r="AJ222" s="86">
        <f>AVERAGEIFS($D$2:D222, $B$2:B222, B222)</f>
        <v>0.42857142857142855</v>
      </c>
    </row>
    <row r="223" spans="1:36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 s="86">
        <f>AVERAGEIFS($C$2:C223, $B$2:B223, B223)</f>
        <v>17.333333333333332</v>
      </c>
      <c r="AH223" s="86">
        <f>AVERAGEIFS($I$2:I223, $B$2:B223, B223)</f>
        <v>0.60555555555555551</v>
      </c>
      <c r="AI223" s="86">
        <f>AVERAGEIFS($J$2:J223, $B$2:B223, B223)</f>
        <v>0.52555555555555555</v>
      </c>
      <c r="AJ223" s="86">
        <f>AVERAGEIFS($D$2:D223, $B$2:B223, B223)</f>
        <v>0.77777777777777779</v>
      </c>
    </row>
    <row r="224" spans="1:36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 s="86">
        <f>AVERAGEIFS($C$2:C224, $B$2:B224, B224)</f>
        <v>14.428571428571429</v>
      </c>
      <c r="AH224" s="86">
        <f>AVERAGEIFS($I$2:I224, $B$2:B224, B224)</f>
        <v>0.49285714285714283</v>
      </c>
      <c r="AI224" s="86">
        <f>AVERAGEIFS($J$2:J224, $B$2:B224, B224)</f>
        <v>0.53428571428571436</v>
      </c>
      <c r="AJ224" s="86">
        <f>AVERAGEIFS($D$2:D224, $B$2:B224, B224)</f>
        <v>0.2857142857142857</v>
      </c>
    </row>
    <row r="225" spans="1:36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 s="86">
        <f>AVERAGEIFS($C$2:C225, $B$2:B225, B225)</f>
        <v>17.76923076923077</v>
      </c>
      <c r="AH225" s="86">
        <f>AVERAGEIFS($I$2:I225, $B$2:B225, B225)</f>
        <v>0.44999999999999996</v>
      </c>
      <c r="AI225" s="86">
        <f>AVERAGEIFS($J$2:J225, $B$2:B225, B225)</f>
        <v>0.44230769230769229</v>
      </c>
      <c r="AJ225" s="86">
        <f>AVERAGEIFS($D$2:D225, $B$2:B225, B225)</f>
        <v>0.46153846153846156</v>
      </c>
    </row>
    <row r="226" spans="1:36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 s="86">
        <f>AVERAGEIFS($C$2:C226, $B$2:B226, B226)</f>
        <v>18.545454545454547</v>
      </c>
      <c r="AH226" s="86">
        <f>AVERAGEIFS($I$2:I226, $B$2:B226, B226)</f>
        <v>0.74090909090909096</v>
      </c>
      <c r="AI226" s="86">
        <f>AVERAGEIFS($J$2:J226, $B$2:B226, B226)</f>
        <v>0.64363636363636367</v>
      </c>
      <c r="AJ226" s="86">
        <f>AVERAGEIFS($D$2:D226, $B$2:B226, B226)</f>
        <v>0.81818181818181823</v>
      </c>
    </row>
    <row r="227" spans="1:36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 s="86">
        <f>AVERAGEIFS($C$2:C227, $B$2:B227, B227)</f>
        <v>20</v>
      </c>
      <c r="AH227" s="86">
        <f>AVERAGEIFS($I$2:I227, $B$2:B227, B227)</f>
        <v>0.62666666666666671</v>
      </c>
      <c r="AI227" s="86">
        <f>AVERAGEIFS($J$2:J227, $B$2:B227, B227)</f>
        <v>0.57866666666666666</v>
      </c>
      <c r="AJ227" s="86">
        <f>AVERAGEIFS($D$2:D227, $B$2:B227, B227)</f>
        <v>0.6</v>
      </c>
    </row>
    <row r="228" spans="1:36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s="86">
        <f>AVERAGEIFS($C$2:C228, $B$2:B228, B228)</f>
        <v>25.833333333333332</v>
      </c>
      <c r="AH228" s="86">
        <f>AVERAGEIFS($I$2:I228, $B$2:B228, B228)</f>
        <v>0.57500000000000007</v>
      </c>
      <c r="AI228" s="86">
        <f>AVERAGEIFS($J$2:J228, $B$2:B228, B228)</f>
        <v>0.55666666666666653</v>
      </c>
      <c r="AJ228" s="86">
        <f>AVERAGEIFS($D$2:D228, $B$2:B228, B228)</f>
        <v>0.58333333333333337</v>
      </c>
    </row>
    <row r="229" spans="1:36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s="86">
        <f>AVERAGEIFS($C$2:C229, $B$2:B229, B229)</f>
        <v>20.142857142857142</v>
      </c>
      <c r="AH229" s="86">
        <f>AVERAGEIFS($I$2:I229, $B$2:B229, B229)</f>
        <v>0.47500000000000003</v>
      </c>
      <c r="AI229" s="86">
        <f>AVERAGEIFS($J$2:J229, $B$2:B229, B229)</f>
        <v>0.48785714285714293</v>
      </c>
      <c r="AJ229" s="86">
        <f>AVERAGEIFS($D$2:D229, $B$2:B229, B229)</f>
        <v>0.42857142857142855</v>
      </c>
    </row>
    <row r="230" spans="1:36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s="86">
        <f>AVERAGEIFS($C$2:C230, $B$2:B230, B230)</f>
        <v>16</v>
      </c>
      <c r="AH230" s="86">
        <f>AVERAGEIFS($I$2:I230, $B$2:B230, B230)</f>
        <v>0.33999999999999997</v>
      </c>
      <c r="AI230" s="86">
        <f>AVERAGEIFS($J$2:J230, $B$2:B230, B230)</f>
        <v>0.40199999999999997</v>
      </c>
      <c r="AJ230" s="86">
        <f>AVERAGEIFS($D$2:D230, $B$2:B230, B230)</f>
        <v>0.4</v>
      </c>
    </row>
    <row r="231" spans="1:36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16.133333333333333</v>
      </c>
      <c r="AH231" s="86">
        <f>AVERAGEIFS($I$2:I231, $B$2:B231, B231)</f>
        <v>0.54666666666666663</v>
      </c>
      <c r="AI231" s="86">
        <f>AVERAGEIFS($J$2:J231, $B$2:B231, B231)</f>
        <v>0.54399999999999993</v>
      </c>
      <c r="AJ231" s="86">
        <f>AVERAGEIFS($D$2:D231, $B$2:B231, B231)</f>
        <v>0.6</v>
      </c>
    </row>
    <row r="232" spans="1:36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14.266666666666667</v>
      </c>
      <c r="AH232" s="86">
        <f>AVERAGEIFS($I$2:I232, $B$2:B232, B232)</f>
        <v>0.45666666666666667</v>
      </c>
      <c r="AI232" s="86">
        <f>AVERAGEIFS($J$2:J232, $B$2:B232, B232)</f>
        <v>0.47866666666666668</v>
      </c>
      <c r="AJ232" s="86">
        <f>AVERAGEIFS($D$2:D232, $B$2:B232, B232)</f>
        <v>0.53333333333333333</v>
      </c>
    </row>
    <row r="233" spans="1:36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17.818181818181817</v>
      </c>
      <c r="AH233" s="86">
        <f>AVERAGEIFS($I$2:I233, $B$2:B233, B233)</f>
        <v>0.47727272727272735</v>
      </c>
      <c r="AI233" s="86">
        <f>AVERAGEIFS($J$2:J233, $B$2:B233, B233)</f>
        <v>0.49363636363636371</v>
      </c>
      <c r="AJ233" s="86">
        <f>AVERAGEIFS($D$2:D233, $B$2:B233, B233)</f>
        <v>0.45454545454545453</v>
      </c>
    </row>
    <row r="234" spans="1:36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21.733333333333334</v>
      </c>
      <c r="AH234" s="86">
        <f>AVERAGEIFS($I$2:I234, $B$2:B234, B234)</f>
        <v>0.45</v>
      </c>
      <c r="AI234" s="86">
        <f>AVERAGEIFS($J$2:J234, $B$2:B234, B234)</f>
        <v>0.48133333333333334</v>
      </c>
      <c r="AJ234" s="86">
        <f>AVERAGEIFS($D$2:D234, $B$2:B234, B234)</f>
        <v>0.46666666666666667</v>
      </c>
    </row>
    <row r="235" spans="1:36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19.166666666666668</v>
      </c>
      <c r="AH235" s="86">
        <f>AVERAGEIFS($I$2:I235, $B$2:B235, B235)</f>
        <v>0.48750000000000004</v>
      </c>
      <c r="AI235" s="86">
        <f>AVERAGEIFS($J$2:J235, $B$2:B235, B235)</f>
        <v>0.49750000000000005</v>
      </c>
      <c r="AJ235" s="86">
        <f>AVERAGEIFS($D$2:D235, $B$2:B235, B235)</f>
        <v>0.5</v>
      </c>
    </row>
    <row r="236" spans="1:36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 s="86">
        <f>AVERAGEIFS($C$2:C236, $B$2:B236, B236)</f>
        <v>15.0625</v>
      </c>
      <c r="AH236" s="86">
        <f>AVERAGEIFS($I$2:I236, $B$2:B236, B236)</f>
        <v>0.46562499999999996</v>
      </c>
      <c r="AI236" s="86">
        <f>AVERAGEIFS($J$2:J236, $B$2:B236, B236)</f>
        <v>0.48250000000000004</v>
      </c>
      <c r="AJ236" s="86">
        <f>AVERAGEIFS($D$2:D236, $B$2:B236, B236)</f>
        <v>0.5625</v>
      </c>
    </row>
    <row r="237" spans="1:36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s="86">
        <f>AVERAGEIFS($C$2:C237, $B$2:B237, B237)</f>
        <v>18.399999999999999</v>
      </c>
      <c r="AH237" s="86">
        <f>AVERAGEIFS($I$2:I237, $B$2:B237, B237)</f>
        <v>0.60499999999999987</v>
      </c>
      <c r="AI237" s="86">
        <f>AVERAGEIFS($J$2:J237, $B$2:B237, B237)</f>
        <v>0.52700000000000002</v>
      </c>
      <c r="AJ237" s="86">
        <f>AVERAGEIFS($D$2:D237, $B$2:B237, B237)</f>
        <v>0.8</v>
      </c>
    </row>
    <row r="238" spans="1:36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s="86">
        <f>AVERAGEIFS($C$2:C238, $B$2:B238, B238)</f>
        <v>16.875</v>
      </c>
      <c r="AH238" s="86">
        <f>AVERAGEIFS($I$2:I238, $B$2:B238, B238)</f>
        <v>0.54999999999999993</v>
      </c>
      <c r="AI238" s="86">
        <f>AVERAGEIFS($J$2:J238, $B$2:B238, B238)</f>
        <v>0.54374999999999996</v>
      </c>
      <c r="AJ238" s="86">
        <f>AVERAGEIFS($D$2:D238, $B$2:B238, B238)</f>
        <v>0.625</v>
      </c>
    </row>
    <row r="239" spans="1:36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 s="86">
        <f>AVERAGEIFS($C$2:C239, $B$2:B239, B239)</f>
        <v>15.875</v>
      </c>
      <c r="AH239" s="86">
        <f>AVERAGEIFS($I$2:I239, $B$2:B239, B239)</f>
        <v>0.50624999999999998</v>
      </c>
      <c r="AI239" s="86">
        <f>AVERAGEIFS($J$2:J239, $B$2:B239, B239)</f>
        <v>0.53500000000000003</v>
      </c>
      <c r="AJ239" s="86">
        <f>AVERAGEIFS($D$2:D239, $B$2:B239, B239)</f>
        <v>0.375</v>
      </c>
    </row>
    <row r="240" spans="1:36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 s="86">
        <f>AVERAGEIFS($C$2:C240, $B$2:B240, B240)</f>
        <v>6.833333333333333</v>
      </c>
      <c r="AH240" s="86">
        <f>AVERAGEIFS($I$2:I240, $B$2:B240, B240)</f>
        <v>0.39166666666666666</v>
      </c>
      <c r="AI240" s="86">
        <f>AVERAGEIFS($J$2:J240, $B$2:B240, B240)</f>
        <v>0.46</v>
      </c>
      <c r="AJ240" s="86">
        <f>AVERAGEIFS($D$2:D240, $B$2:B240, B240)</f>
        <v>0.33333333333333331</v>
      </c>
    </row>
    <row r="241" spans="1:36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10</v>
      </c>
      <c r="AH241" s="86">
        <f>AVERAGEIFS($I$2:I241, $B$2:B241, B241)</f>
        <v>0.48750000000000004</v>
      </c>
      <c r="AI241" s="86">
        <f>AVERAGEIFS($J$2:J241, $B$2:B241, B241)</f>
        <v>0.49249999999999999</v>
      </c>
      <c r="AJ241" s="86">
        <f>AVERAGEIFS($D$2:D241, $B$2:B241, B241)</f>
        <v>0.75</v>
      </c>
    </row>
    <row r="242" spans="1:36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1</v>
      </c>
      <c r="AD242">
        <v>0</v>
      </c>
      <c r="AE242">
        <v>0</v>
      </c>
      <c r="AF242">
        <v>0</v>
      </c>
      <c r="AG242" s="86">
        <f>AVERAGEIFS($C$2:C242, $B$2:B242, B242)</f>
        <v>23.444444444444443</v>
      </c>
      <c r="AH242" s="86">
        <f>AVERAGEIFS($I$2:I242, $B$2:B242, B242)</f>
        <v>0.58333333333333337</v>
      </c>
      <c r="AI242" s="86">
        <f>AVERAGEIFS($J$2:J242, $B$2:B242, B242)</f>
        <v>0.52666666666666662</v>
      </c>
      <c r="AJ242" s="86">
        <f>AVERAGEIFS($D$2:D242, $B$2:B242, B242)</f>
        <v>0.55555555555555558</v>
      </c>
    </row>
    <row r="243" spans="1:36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 s="86">
        <f>AVERAGEIFS($C$2:C243, $B$2:B243, B243)</f>
        <v>16.875</v>
      </c>
      <c r="AH243" s="86">
        <f>AVERAGEIFS($I$2:I243, $B$2:B243, B243)</f>
        <v>0.47499999999999998</v>
      </c>
      <c r="AI243" s="86">
        <f>AVERAGEIFS($J$2:J243, $B$2:B243, B243)</f>
        <v>0.4975</v>
      </c>
      <c r="AJ243" s="86">
        <f>AVERAGEIFS($D$2:D243, $B$2:B243, B243)</f>
        <v>0.375</v>
      </c>
    </row>
    <row r="244" spans="1:36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1</v>
      </c>
      <c r="AD244">
        <v>0</v>
      </c>
      <c r="AE244">
        <v>0</v>
      </c>
      <c r="AF244">
        <v>0</v>
      </c>
      <c r="AG244" s="86">
        <f>AVERAGEIFS($C$2:C244, $B$2:B244, B244)</f>
        <v>20</v>
      </c>
      <c r="AH244" s="86">
        <f>AVERAGEIFS($I$2:I244, $B$2:B244, B244)</f>
        <v>0.61250000000000004</v>
      </c>
      <c r="AI244" s="86">
        <f>AVERAGEIFS($J$2:J244, $B$2:B244, B244)</f>
        <v>0.57125000000000004</v>
      </c>
      <c r="AJ244" s="86">
        <f>AVERAGEIFS($D$2:D244, $B$2:B244, B244)</f>
        <v>0.5625</v>
      </c>
    </row>
    <row r="245" spans="1:36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1</v>
      </c>
      <c r="AD245">
        <v>0</v>
      </c>
      <c r="AE245">
        <v>0</v>
      </c>
      <c r="AF245">
        <v>0</v>
      </c>
      <c r="AG245" s="86">
        <f>AVERAGEIFS($C$2:C245, $B$2:B245, B245)</f>
        <v>17</v>
      </c>
      <c r="AH245" s="86">
        <f>AVERAGEIFS($I$2:I245, $B$2:B245, B245)</f>
        <v>0.35000000000000003</v>
      </c>
      <c r="AI245" s="86">
        <f>AVERAGEIFS($J$2:J245, $B$2:B245, B245)</f>
        <v>0.41166666666666663</v>
      </c>
      <c r="AJ245" s="86">
        <f>AVERAGEIFS($D$2:D245, $B$2:B245, B245)</f>
        <v>0.33333333333333331</v>
      </c>
    </row>
    <row r="246" spans="1:36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1</v>
      </c>
      <c r="AD246">
        <v>0</v>
      </c>
      <c r="AE246">
        <v>0</v>
      </c>
      <c r="AF246">
        <v>0</v>
      </c>
      <c r="AG246" s="86">
        <f>AVERAGEIFS($C$2:C246, $B$2:B246, B246)</f>
        <v>15.5</v>
      </c>
      <c r="AH246" s="86">
        <f>AVERAGEIFS($I$2:I246, $B$2:B246, B246)</f>
        <v>0.32500000000000001</v>
      </c>
      <c r="AI246" s="86">
        <f>AVERAGEIFS($J$2:J246, $B$2:B246, B246)</f>
        <v>0.45</v>
      </c>
      <c r="AJ246" s="86">
        <f>AVERAGEIFS($D$2:D246, $B$2:B246, B246)</f>
        <v>0</v>
      </c>
    </row>
    <row r="247" spans="1:36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 s="86">
        <f>AVERAGEIFS($C$2:C247, $B$2:B247, B247)</f>
        <v>15</v>
      </c>
      <c r="AH247" s="86">
        <f>AVERAGEIFS($I$2:I247, $B$2:B247, B247)</f>
        <v>0.4</v>
      </c>
      <c r="AI247" s="86">
        <f>AVERAGEIFS($J$2:J247, $B$2:B247, B247)</f>
        <v>0.46</v>
      </c>
      <c r="AJ247" s="86">
        <f>AVERAGEIFS($D$2:D247, $B$2:B247, B247)</f>
        <v>0</v>
      </c>
    </row>
    <row r="248" spans="1:36" x14ac:dyDescent="0.25">
      <c r="A248" s="85">
        <v>46139</v>
      </c>
      <c r="B248" t="s">
        <v>179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1</v>
      </c>
      <c r="AD248">
        <v>0</v>
      </c>
      <c r="AE248">
        <v>0</v>
      </c>
      <c r="AF248">
        <v>0</v>
      </c>
      <c r="AG248" s="86">
        <f>AVERAGEIFS($C$2:C248, $B$2:B248, B248)</f>
        <v>16</v>
      </c>
      <c r="AH248" s="86">
        <f>AVERAGEIFS($I$2:I248, $B$2:B248, B248)</f>
        <v>0.4</v>
      </c>
      <c r="AI248" s="86">
        <f>AVERAGEIFS($J$2:J248, $B$2:B248, B248)</f>
        <v>0.46</v>
      </c>
      <c r="AJ248" s="86">
        <f>AVERAGEIFS($D$2:D248, $B$2:B248, B248)</f>
        <v>0</v>
      </c>
    </row>
    <row r="249" spans="1:36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1</v>
      </c>
      <c r="AD249">
        <v>0</v>
      </c>
      <c r="AE249">
        <v>0</v>
      </c>
      <c r="AF249">
        <v>0</v>
      </c>
      <c r="AG249" s="86">
        <f>AVERAGEIFS($C$2:C249, $B$2:B249, B249)</f>
        <v>7.8571428571428568</v>
      </c>
      <c r="AH249" s="86">
        <f>AVERAGEIFS($I$2:I249, $B$2:B249, B249)</f>
        <v>0.61428571428571421</v>
      </c>
      <c r="AI249" s="86">
        <f>AVERAGEIFS($J$2:J249, $B$2:B249, B249)</f>
        <v>0.53714285714285714</v>
      </c>
      <c r="AJ249" s="86">
        <f>AVERAGEIFS($D$2:D249, $B$2:B249, B249)</f>
        <v>0.5714285714285714</v>
      </c>
    </row>
    <row r="250" spans="1:36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26.153846153846153</v>
      </c>
      <c r="AH250" s="86">
        <f>AVERAGEIFS($I$2:I250, $B$2:B250, B250)</f>
        <v>0.55000000000000004</v>
      </c>
      <c r="AI250" s="86">
        <f>AVERAGEIFS($J$2:J250, $B$2:B250, B250)</f>
        <v>0.54999999999999993</v>
      </c>
      <c r="AJ250" s="86">
        <f>AVERAGEIFS($D$2:D250, $B$2:B250, B250)</f>
        <v>0.53846153846153844</v>
      </c>
    </row>
    <row r="251" spans="1:36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16.777777777777779</v>
      </c>
      <c r="AH251" s="86">
        <f>AVERAGEIFS($I$2:I251, $B$2:B251, B251)</f>
        <v>0.44999999999999996</v>
      </c>
      <c r="AI251" s="86">
        <f>AVERAGEIFS($J$2:J251, $B$2:B251, B251)</f>
        <v>0.49444444444444446</v>
      </c>
      <c r="AJ251" s="86">
        <f>AVERAGEIFS($D$2:D251, $B$2:B251, B251)</f>
        <v>0.33333333333333331</v>
      </c>
    </row>
    <row r="252" spans="1:36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20.6</v>
      </c>
      <c r="AH252" s="86">
        <f>AVERAGEIFS($I$2:I252, $B$2:B252, B252)</f>
        <v>0.46</v>
      </c>
      <c r="AI252" s="86">
        <f>AVERAGEIFS($J$2:J252, $B$2:B252, B252)</f>
        <v>0.48666666666666669</v>
      </c>
      <c r="AJ252" s="86">
        <f>AVERAGEIFS($D$2:D252, $B$2:B252, B252)</f>
        <v>0.4</v>
      </c>
    </row>
    <row r="253" spans="1:36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12.909090909090908</v>
      </c>
      <c r="AH253" s="86">
        <f>AVERAGEIFS($I$2:I253, $B$2:B253, B253)</f>
        <v>0.40454545454545449</v>
      </c>
      <c r="AI253" s="86">
        <f>AVERAGEIFS($J$2:J253, $B$2:B253, B253)</f>
        <v>0.45909090909090905</v>
      </c>
      <c r="AJ253" s="86">
        <f>AVERAGEIFS($D$2:D253, $B$2:B253, B253)</f>
        <v>0.18181818181818182</v>
      </c>
    </row>
    <row r="254" spans="1:36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15.666666666666666</v>
      </c>
      <c r="AH254" s="86">
        <f>AVERAGEIFS($I$2:I254, $B$2:B254, B254)</f>
        <v>0.47777777777777775</v>
      </c>
      <c r="AI254" s="86">
        <f>AVERAGEIFS($J$2:J254, $B$2:B254, B254)</f>
        <v>0.52777777777777779</v>
      </c>
      <c r="AJ254" s="86">
        <f>AVERAGEIFS($D$2:D254, $B$2:B254, B254)</f>
        <v>0.33333333333333331</v>
      </c>
    </row>
    <row r="255" spans="1:36" x14ac:dyDescent="0.25">
      <c r="A255" s="85">
        <v>46140</v>
      </c>
      <c r="B255" t="s">
        <v>179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13</v>
      </c>
      <c r="AH255" s="86">
        <f>AVERAGEIFS($I$2:I255, $B$2:B255, B255)</f>
        <v>0.32500000000000001</v>
      </c>
      <c r="AI255" s="86">
        <f>AVERAGEIFS($J$2:J255, $B$2:B255, B255)</f>
        <v>0.46499999999999997</v>
      </c>
      <c r="AJ255" s="86">
        <f>AVERAGEIFS($D$2:D255, $B$2:B255, B255)</f>
        <v>0</v>
      </c>
    </row>
    <row r="256" spans="1:36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1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27.6</v>
      </c>
      <c r="AH256" s="86">
        <f>AVERAGEIFS($I$2:I256, $B$2:B256, B256)</f>
        <v>0.59499999999999997</v>
      </c>
      <c r="AI256" s="86">
        <f>AVERAGEIFS($J$2:J256, $B$2:B256, B256)</f>
        <v>0.54100000000000004</v>
      </c>
      <c r="AJ256" s="86">
        <f>AVERAGEIFS($D$2:D256, $B$2:B256, B256)</f>
        <v>0.7</v>
      </c>
    </row>
    <row r="257" spans="1:36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v>0</v>
      </c>
      <c r="AG257" s="86">
        <f>AVERAGEIFS($C$2:C257, $B$2:B257, B257)</f>
        <v>22</v>
      </c>
      <c r="AH257" s="86">
        <f>AVERAGEIFS($I$2:I257, $B$2:B257, B257)</f>
        <v>0.46875</v>
      </c>
      <c r="AI257" s="86">
        <f>AVERAGEIFS($J$2:J257, $B$2:B257, B257)</f>
        <v>0.484375</v>
      </c>
      <c r="AJ257" s="86">
        <f>AVERAGEIFS($D$2:D257, $B$2:B257, B257)</f>
        <v>0.5</v>
      </c>
    </row>
    <row r="258" spans="1:36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1</v>
      </c>
      <c r="AC258">
        <v>0</v>
      </c>
      <c r="AD258">
        <v>0</v>
      </c>
      <c r="AE258">
        <v>0</v>
      </c>
      <c r="AF258">
        <v>0</v>
      </c>
      <c r="AG258" s="86">
        <f>AVERAGEIFS($C$2:C258, $B$2:B258, B258)</f>
        <v>17.714285714285715</v>
      </c>
      <c r="AH258" s="86">
        <f>AVERAGEIFS($I$2:I258, $B$2:B258, B258)</f>
        <v>0.47142857142857142</v>
      </c>
      <c r="AI258" s="86">
        <f>AVERAGEIFS($J$2:J258, $B$2:B258, B258)</f>
        <v>0.44857142857142857</v>
      </c>
      <c r="AJ258" s="86">
        <f>AVERAGEIFS($D$2:D258, $B$2:B258, B258)</f>
        <v>0.5</v>
      </c>
    </row>
    <row r="259" spans="1:36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1</v>
      </c>
      <c r="AC259">
        <v>0</v>
      </c>
      <c r="AD259">
        <v>0</v>
      </c>
      <c r="AE259">
        <v>0</v>
      </c>
      <c r="AF259">
        <v>0</v>
      </c>
      <c r="AG259" s="86">
        <f>AVERAGEIFS($C$2:C259, $B$2:B259, B259)</f>
        <v>13</v>
      </c>
      <c r="AH259" s="86">
        <f>AVERAGEIFS($I$2:I259, $B$2:B259, B259)</f>
        <v>0.54</v>
      </c>
      <c r="AI259" s="86">
        <f>AVERAGEIFS($J$2:J259, $B$2:B259, B259)</f>
        <v>0.51800000000000002</v>
      </c>
      <c r="AJ259" s="86">
        <f>AVERAGEIFS($D$2:D259, $B$2:B259, B259)</f>
        <v>0.8</v>
      </c>
    </row>
    <row r="260" spans="1:36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1</v>
      </c>
      <c r="AC260">
        <v>0</v>
      </c>
      <c r="AD260">
        <v>0</v>
      </c>
      <c r="AE260">
        <v>0</v>
      </c>
      <c r="AF260">
        <v>0</v>
      </c>
      <c r="AG260" s="86">
        <f>AVERAGEIFS($C$2:C260, $B$2:B260, B260)</f>
        <v>16</v>
      </c>
      <c r="AH260" s="86">
        <f>AVERAGEIFS($I$2:I260, $B$2:B260, B260)</f>
        <v>0.46666666666666662</v>
      </c>
      <c r="AI260" s="86">
        <f>AVERAGEIFS($J$2:J260, $B$2:B260, B260)</f>
        <v>0.47666666666666674</v>
      </c>
      <c r="AJ260" s="86">
        <f>AVERAGEIFS($D$2:D260, $B$2:B260, B260)</f>
        <v>0.33333333333333331</v>
      </c>
    </row>
    <row r="261" spans="1:36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1</v>
      </c>
      <c r="AC261">
        <v>0</v>
      </c>
      <c r="AD261">
        <v>0</v>
      </c>
      <c r="AE261">
        <v>0</v>
      </c>
      <c r="AF261">
        <v>0</v>
      </c>
      <c r="AG261" s="86">
        <f>AVERAGEIFS($C$2:C261, $B$2:B261, B261)</f>
        <v>12.090909090909092</v>
      </c>
      <c r="AH261" s="86">
        <f>AVERAGEIFS($I$2:I261, $B$2:B261, B261)</f>
        <v>0.43636363636363634</v>
      </c>
      <c r="AI261" s="86">
        <f>AVERAGEIFS($J$2:J261, $B$2:B261, B261)</f>
        <v>0.46181818181818174</v>
      </c>
      <c r="AJ261" s="86">
        <f>AVERAGEIFS($D$2:D261, $B$2:B261, B261)</f>
        <v>0.36363636363636365</v>
      </c>
    </row>
    <row r="262" spans="1:36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1</v>
      </c>
      <c r="AB262">
        <v>1</v>
      </c>
      <c r="AC262">
        <v>0</v>
      </c>
      <c r="AD262">
        <v>0</v>
      </c>
      <c r="AE262">
        <v>0</v>
      </c>
      <c r="AF262">
        <v>1</v>
      </c>
      <c r="AG262" s="86">
        <f>AVERAGEIFS($C$2:C262, $B$2:B262, B262)</f>
        <v>18.923076923076923</v>
      </c>
      <c r="AH262" s="86">
        <f>AVERAGEIFS($I$2:I262, $B$2:B262, B262)</f>
        <v>0.52692307692307694</v>
      </c>
      <c r="AI262" s="86">
        <f>AVERAGEIFS($J$2:J262, $B$2:B262, B262)</f>
        <v>0.50846153846153852</v>
      </c>
      <c r="AJ262" s="86">
        <f>AVERAGEIFS($D$2:D262, $B$2:B262, B262)</f>
        <v>0.53846153846153844</v>
      </c>
    </row>
    <row r="263" spans="1:36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1</v>
      </c>
      <c r="AB263">
        <v>1</v>
      </c>
      <c r="AC263">
        <v>0</v>
      </c>
      <c r="AD263">
        <v>0</v>
      </c>
      <c r="AE263">
        <v>0</v>
      </c>
      <c r="AF263">
        <v>1</v>
      </c>
      <c r="AG263" s="86">
        <f>AVERAGEIFS($C$2:C263, $B$2:B263, B263)</f>
        <v>16.705882352941178</v>
      </c>
      <c r="AH263" s="86">
        <f>AVERAGEIFS($I$2:I263, $B$2:B263, B263)</f>
        <v>0.57647058823529407</v>
      </c>
      <c r="AI263" s="86">
        <f>AVERAGEIFS($J$2:J263, $B$2:B263, B263)</f>
        <v>0.54941176470588238</v>
      </c>
      <c r="AJ263" s="86">
        <f>AVERAGEIFS($D$2:D263, $B$2:B263, B263)</f>
        <v>0.6470588235294118</v>
      </c>
    </row>
    <row r="264" spans="1:36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1</v>
      </c>
      <c r="AC264">
        <v>0</v>
      </c>
      <c r="AD264">
        <v>0</v>
      </c>
      <c r="AE264">
        <v>0</v>
      </c>
      <c r="AF264">
        <v>1</v>
      </c>
      <c r="AG264" s="86">
        <f>AVERAGEIFS($C$2:C264, $B$2:B264, B264)</f>
        <v>21.882352941176471</v>
      </c>
      <c r="AH264" s="86">
        <f>AVERAGEIFS($I$2:I264, $B$2:B264, B264)</f>
        <v>0.5</v>
      </c>
      <c r="AI264" s="86">
        <f>AVERAGEIFS($J$2:J264, $B$2:B264, B264)</f>
        <v>0.49352941176470594</v>
      </c>
      <c r="AJ264" s="86">
        <f>AVERAGEIFS($D$2:D264, $B$2:B264, B264)</f>
        <v>0.52941176470588236</v>
      </c>
    </row>
    <row r="265" spans="1:36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1</v>
      </c>
      <c r="AB265">
        <v>1</v>
      </c>
      <c r="AC265">
        <v>0</v>
      </c>
      <c r="AD265">
        <v>0</v>
      </c>
      <c r="AE265">
        <v>0</v>
      </c>
      <c r="AF265">
        <v>1</v>
      </c>
      <c r="AG265" s="86">
        <f>AVERAGEIFS($C$2:C265, $B$2:B265, B265)</f>
        <v>10.5</v>
      </c>
      <c r="AH265" s="86">
        <f>AVERAGEIFS($I$2:I265, $B$2:B265, B265)</f>
        <v>0.7</v>
      </c>
      <c r="AI265" s="86">
        <f>AVERAGEIFS($J$2:J265, $B$2:B265, B265)</f>
        <v>0.55000000000000004</v>
      </c>
      <c r="AJ265" s="86">
        <f>AVERAGEIFS($D$2:D265, $B$2:B265, B265)</f>
        <v>0.5</v>
      </c>
    </row>
    <row r="266" spans="1:36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1</v>
      </c>
      <c r="AB266">
        <v>1</v>
      </c>
      <c r="AC266">
        <v>0</v>
      </c>
      <c r="AD266">
        <v>0</v>
      </c>
      <c r="AE266">
        <v>0</v>
      </c>
      <c r="AF266">
        <v>1</v>
      </c>
      <c r="AG266" s="86">
        <f>AVERAGEIFS($C$2:C266, $B$2:B266, B266)</f>
        <v>12.666666666666666</v>
      </c>
      <c r="AH266" s="86">
        <f>AVERAGEIFS($I$2:I266, $B$2:B266, B266)</f>
        <v>0.45416666666666661</v>
      </c>
      <c r="AI266" s="86">
        <f>AVERAGEIFS($J$2:J266, $B$2:B266, B266)</f>
        <v>0.47416666666666663</v>
      </c>
      <c r="AJ266" s="86">
        <f>AVERAGEIFS($D$2:D266, $B$2:B266, B266)</f>
        <v>0.25</v>
      </c>
    </row>
    <row r="267" spans="1:36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1</v>
      </c>
      <c r="AB267">
        <v>1</v>
      </c>
      <c r="AC267">
        <v>0</v>
      </c>
      <c r="AD267">
        <v>0</v>
      </c>
      <c r="AE267">
        <v>0</v>
      </c>
      <c r="AF267">
        <v>1</v>
      </c>
      <c r="AG267" s="86">
        <f>AVERAGEIFS($C$2:C267, $B$2:B267, B267)</f>
        <v>18</v>
      </c>
      <c r="AH267" s="86">
        <f>AVERAGEIFS($I$2:I267, $B$2:B267, B267)</f>
        <v>0.64090909090909076</v>
      </c>
      <c r="AI267" s="86">
        <f>AVERAGEIFS($J$2:J267, $B$2:B267, B267)</f>
        <v>0.53727272727272724</v>
      </c>
      <c r="AJ267" s="86">
        <f>AVERAGEIFS($D$2:D267, $B$2:B267, B267)</f>
        <v>0.81818181818181823</v>
      </c>
    </row>
    <row r="268" spans="1:36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 s="86">
        <f>AVERAGEIFS($C$2:C268, $B$2:B268, B268)</f>
        <v>16.100000000000001</v>
      </c>
      <c r="AH268" s="86">
        <f>AVERAGEIFS($I$2:I268, $B$2:B268, B268)</f>
        <v>0.40499999999999997</v>
      </c>
      <c r="AI268" s="86">
        <f>AVERAGEIFS($J$2:J268, $B$2:B268, B268)</f>
        <v>0.48100000000000004</v>
      </c>
      <c r="AJ268" s="86">
        <f>AVERAGEIFS($D$2:D268, $B$2:B268, B268)</f>
        <v>0.3</v>
      </c>
    </row>
    <row r="269" spans="1:36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22.6</v>
      </c>
      <c r="AH269" s="86">
        <f>AVERAGEIFS($I$2:I269, $B$2:B269, B269)</f>
        <v>0.52500000000000002</v>
      </c>
      <c r="AI269" s="86">
        <f>AVERAGEIFS($J$2:J269, $B$2:B269, B269)</f>
        <v>0.51</v>
      </c>
      <c r="AJ269" s="86">
        <f>AVERAGEIFS($D$2:D269, $B$2:B269, B269)</f>
        <v>0.5</v>
      </c>
    </row>
    <row r="270" spans="1:36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17.333333333333332</v>
      </c>
      <c r="AH270" s="86">
        <f>AVERAGEIFS($I$2:I270, $B$2:B270, B270)</f>
        <v>0.44</v>
      </c>
      <c r="AI270" s="86">
        <f>AVERAGEIFS($J$2:J270, $B$2:B270, B270)</f>
        <v>0.44266666666666671</v>
      </c>
      <c r="AJ270" s="86">
        <f>AVERAGEIFS($D$2:D270, $B$2:B270, B270)</f>
        <v>0.46666666666666667</v>
      </c>
    </row>
    <row r="271" spans="1:36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19.705882352941178</v>
      </c>
      <c r="AH271" s="86">
        <f>AVERAGEIFS($I$2:I271, $B$2:B271, B271)</f>
        <v>0.57647058823529418</v>
      </c>
      <c r="AI271" s="86">
        <f>AVERAGEIFS($J$2:J271, $B$2:B271, B271)</f>
        <v>0.55882352941176472</v>
      </c>
      <c r="AJ271" s="86">
        <f>AVERAGEIFS($D$2:D271, $B$2:B271, B271)</f>
        <v>0.52941176470588236</v>
      </c>
    </row>
    <row r="272" spans="1:36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14.529411764705882</v>
      </c>
      <c r="AH272" s="86">
        <f>AVERAGEIFS($I$2:I272, $B$2:B272, B272)</f>
        <v>0.438235294117647</v>
      </c>
      <c r="AI272" s="86">
        <f>AVERAGEIFS($J$2:J272, $B$2:B272, B272)</f>
        <v>0.47529411764705881</v>
      </c>
      <c r="AJ272" s="86">
        <f>AVERAGEIFS($D$2:D272, $B$2:B272, B272)</f>
        <v>0.52941176470588236</v>
      </c>
    </row>
    <row r="273" spans="1:36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11.5</v>
      </c>
      <c r="AH273" s="86">
        <f>AVERAGEIFS($I$2:I273, $B$2:B273, B273)</f>
        <v>0.39999999999999997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12.5</v>
      </c>
      <c r="AH274" s="86">
        <f>AVERAGEIFS($I$2:I274, $B$2:B274, B274)</f>
        <v>0.625</v>
      </c>
      <c r="AI274" s="86">
        <f>AVERAGEIFS($J$2:J274, $B$2:B274, B274)</f>
        <v>0.58499999999999996</v>
      </c>
      <c r="AJ274" s="86">
        <f>AVERAGEIFS($D$2:D274, $B$2:B274, B274)</f>
        <v>0.75</v>
      </c>
    </row>
    <row r="275" spans="1:36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 s="86">
        <f>AVERAGEIFS($C$2:C275, $B$2:B275, B275)</f>
        <v>22.388888888888889</v>
      </c>
      <c r="AH275" s="86">
        <f>AVERAGEIFS($I$2:I275, $B$2:B275, B275)</f>
        <v>0.51388888888888884</v>
      </c>
      <c r="AI275" s="86">
        <f>AVERAGEIFS($J$2:J275, $B$2:B275, B275)</f>
        <v>0.49944444444444447</v>
      </c>
      <c r="AJ275" s="86">
        <f>AVERAGEIFS($D$2:D275, $B$2:B275, B275)</f>
        <v>0.55555555555555558</v>
      </c>
    </row>
    <row r="276" spans="1:36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 s="86">
        <f>AVERAGEIFS($C$2:C276, $B$2:B276, B276)</f>
        <v>18.5</v>
      </c>
      <c r="AH276" s="86">
        <f>AVERAGEIFS($I$2:I276, $B$2:B276, B276)</f>
        <v>0.54285714285714293</v>
      </c>
      <c r="AI276" s="86">
        <f>AVERAGEIFS($J$2:J276, $B$2:B276, B276)</f>
        <v>0.51500000000000001</v>
      </c>
      <c r="AJ276" s="86">
        <f>AVERAGEIFS($D$2:D276, $B$2:B276, B276)</f>
        <v>0.5714285714285714</v>
      </c>
    </row>
    <row r="277" spans="1:36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 s="86">
        <f>AVERAGEIFS($C$2:C277, $B$2:B277, B277)</f>
        <v>19.5</v>
      </c>
      <c r="AH277" s="86">
        <f>AVERAGEIFS($I$2:I277, $B$2:B277, B277)</f>
        <v>0.7416666666666667</v>
      </c>
      <c r="AI277" s="86">
        <f>AVERAGEIFS($J$2:J277, $B$2:B277, B277)</f>
        <v>0.64</v>
      </c>
      <c r="AJ277" s="86">
        <f>AVERAGEIFS($D$2:D277, $B$2:B277, B277)</f>
        <v>0.83333333333333337</v>
      </c>
    </row>
    <row r="278" spans="1:36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 s="86">
        <f>AVERAGEIFS($C$2:C278, $B$2:B278, B278)</f>
        <v>20.25</v>
      </c>
      <c r="AH278" s="86">
        <f>AVERAGEIFS($I$2:I278, $B$2:B278, B278)</f>
        <v>0.47812500000000002</v>
      </c>
      <c r="AI278" s="86">
        <f>AVERAGEIFS($J$2:J278, $B$2:B278, B278)</f>
        <v>0.49375000000000002</v>
      </c>
      <c r="AJ278" s="86">
        <f>AVERAGEIFS($D$2:D278, $B$2:B278, B278)</f>
        <v>0.4375</v>
      </c>
    </row>
    <row r="279" spans="1:36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 s="86">
        <f>AVERAGEIFS($C$2:C279, $B$2:B279, B279)</f>
        <v>12.076923076923077</v>
      </c>
      <c r="AH279" s="86">
        <f>AVERAGEIFS($I$2:I279, $B$2:B279, B279)</f>
        <v>0.42692307692307691</v>
      </c>
      <c r="AI279" s="86">
        <f>AVERAGEIFS($J$2:J279, $B$2:B279, B279)</f>
        <v>0.46461538461538454</v>
      </c>
      <c r="AJ279" s="86">
        <f>AVERAGEIFS($D$2:D279, $B$2:B279, B279)</f>
        <v>0.38461538461538464</v>
      </c>
    </row>
    <row r="280" spans="1:36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 s="86">
        <f>AVERAGEIFS($C$2:C280, $B$2:B280, B280)</f>
        <v>15.2</v>
      </c>
      <c r="AH280" s="86">
        <f>AVERAGEIFS($I$2:I280, $B$2:B280, B280)</f>
        <v>0.45499999999999996</v>
      </c>
      <c r="AI280" s="86">
        <f>AVERAGEIFS($J$2:J280, $B$2:B280, B280)</f>
        <v>0.51500000000000001</v>
      </c>
      <c r="AJ280" s="86">
        <f>AVERAGEIFS($D$2:D280, $B$2:B280, B280)</f>
        <v>0.3</v>
      </c>
    </row>
    <row r="281" spans="1:36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26.714285714285715</v>
      </c>
      <c r="AH281" s="86">
        <f>AVERAGEIFS($I$2:I281, $B$2:B281, B281)</f>
        <v>0.52857142857142858</v>
      </c>
      <c r="AI281" s="86">
        <f>AVERAGEIFS($J$2:J281, $B$2:B281, B281)</f>
        <v>0.53928571428571426</v>
      </c>
      <c r="AJ281" s="86">
        <f>AVERAGEIFS($D$2:D281, $B$2:B281, B281)</f>
        <v>0.5</v>
      </c>
    </row>
    <row r="282" spans="1:36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15.285714285714286</v>
      </c>
      <c r="AH282" s="86">
        <f>AVERAGEIFS($I$2:I282, $B$2:B282, B282)</f>
        <v>0.33571428571428574</v>
      </c>
      <c r="AI282" s="86">
        <f>AVERAGEIFS($J$2:J282, $B$2:B282, B282)</f>
        <v>0.41</v>
      </c>
      <c r="AJ282" s="86">
        <f>AVERAGEIFS($D$2:D282, $B$2:B282, B282)</f>
        <v>0.2857142857142857</v>
      </c>
    </row>
    <row r="283" spans="1:36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18.0625</v>
      </c>
      <c r="AH283" s="86">
        <f>AVERAGEIFS($I$2:I283, $B$2:B283, B283)</f>
        <v>0.42812499999999998</v>
      </c>
      <c r="AI283" s="86">
        <f>AVERAGEIFS($J$2:J283, $B$2:B283, B283)</f>
        <v>0.44000000000000006</v>
      </c>
      <c r="AJ283" s="86">
        <f>AVERAGEIFS($D$2:D283, $B$2:B283, B283)</f>
        <v>0.4375</v>
      </c>
    </row>
    <row r="284" spans="1:36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14.166666666666666</v>
      </c>
      <c r="AH284" s="86">
        <f>AVERAGEIFS($I$2:I284, $B$2:B284, B284)</f>
        <v>0.4916666666666667</v>
      </c>
      <c r="AI284" s="86">
        <f>AVERAGEIFS($J$2:J284, $B$2:B284, B284)</f>
        <v>0.49833333333333329</v>
      </c>
      <c r="AJ284" s="86">
        <f>AVERAGEIFS($D$2:D284, $B$2:B284, B284)</f>
        <v>0.66666666666666663</v>
      </c>
    </row>
    <row r="285" spans="1:36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8</v>
      </c>
      <c r="AH285" s="86">
        <f>AVERAGEIFS($I$2:I285, $B$2:B285, B285)</f>
        <v>0.25</v>
      </c>
      <c r="AI285" s="86">
        <f>AVERAGEIFS($J$2:J285, $B$2:B285, B285)</f>
        <v>0.42000000000000004</v>
      </c>
      <c r="AJ285" s="86">
        <f>AVERAGEIFS($D$2:D285, $B$2:B285, B285)</f>
        <v>0</v>
      </c>
    </row>
    <row r="286" spans="1:36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1</v>
      </c>
      <c r="AC286">
        <v>0</v>
      </c>
      <c r="AD286">
        <v>1</v>
      </c>
      <c r="AE286">
        <v>0</v>
      </c>
      <c r="AF286">
        <v>0</v>
      </c>
      <c r="AG286" s="86">
        <f>AVERAGEIFS($C$2:C286, $B$2:B286, B286)</f>
        <v>27.2</v>
      </c>
      <c r="AH286" s="86">
        <f>AVERAGEIFS($I$2:I286, $B$2:B286, B286)</f>
        <v>0.54333333333333333</v>
      </c>
      <c r="AI286" s="86">
        <f>AVERAGEIFS($J$2:J286, $B$2:B286, B286)</f>
        <v>0.54666666666666663</v>
      </c>
      <c r="AJ286" s="86">
        <f>AVERAGEIFS($D$2:D286, $B$2:B286, B286)</f>
        <v>0.53333333333333333</v>
      </c>
    </row>
    <row r="287" spans="1:36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1</v>
      </c>
      <c r="AC287">
        <v>0</v>
      </c>
      <c r="AD287">
        <v>1</v>
      </c>
      <c r="AE287">
        <v>0</v>
      </c>
      <c r="AF287">
        <v>0</v>
      </c>
      <c r="AG287" s="86">
        <f>AVERAGEIFS($C$2:C287, $B$2:B287, B287)</f>
        <v>17.09090909090909</v>
      </c>
      <c r="AH287" s="86">
        <f>AVERAGEIFS($I$2:I287, $B$2:B287, B287)</f>
        <v>0.43636363636363634</v>
      </c>
      <c r="AI287" s="86">
        <f>AVERAGEIFS($J$2:J287, $B$2:B287, B287)</f>
        <v>0.49636363636363645</v>
      </c>
      <c r="AJ287" s="86">
        <f>AVERAGEIFS($D$2:D287, $B$2:B287, B287)</f>
        <v>0.36363636363636365</v>
      </c>
    </row>
    <row r="288" spans="1:36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1</v>
      </c>
      <c r="AC288">
        <v>0</v>
      </c>
      <c r="AD288">
        <v>1</v>
      </c>
      <c r="AE288">
        <v>0</v>
      </c>
      <c r="AF288">
        <v>0</v>
      </c>
      <c r="AG288" s="86">
        <f>AVERAGEIFS($C$2:C288, $B$2:B288, B288)</f>
        <v>20.647058823529413</v>
      </c>
      <c r="AH288" s="86">
        <f>AVERAGEIFS($I$2:I288, $B$2:B288, B288)</f>
        <v>0.49411764705882355</v>
      </c>
      <c r="AI288" s="86">
        <f>AVERAGEIFS($J$2:J288, $B$2:B288, B288)</f>
        <v>0.50294117647058822</v>
      </c>
      <c r="AJ288" s="86">
        <f>AVERAGEIFS($D$2:D288, $B$2:B288, B288)</f>
        <v>0.47058823529411764</v>
      </c>
    </row>
    <row r="289" spans="1:36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1</v>
      </c>
      <c r="AC289">
        <v>0</v>
      </c>
      <c r="AD289">
        <v>1</v>
      </c>
      <c r="AE289">
        <v>0</v>
      </c>
      <c r="AF289">
        <v>0</v>
      </c>
      <c r="AG289" s="86">
        <f>AVERAGEIFS($C$2:C289, $B$2:B289, B289)</f>
        <v>17.882352941176471</v>
      </c>
      <c r="AH289" s="86">
        <f>AVERAGEIFS($I$2:I289, $B$2:B289, B289)</f>
        <v>0.44705882352941173</v>
      </c>
      <c r="AI289" s="86">
        <f>AVERAGEIFS($J$2:J289, $B$2:B289, B289)</f>
        <v>0.45235294117647068</v>
      </c>
      <c r="AJ289" s="86">
        <f>AVERAGEIFS($D$2:D289, $B$2:B289, B289)</f>
        <v>0.47058823529411764</v>
      </c>
    </row>
    <row r="290" spans="1:36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1</v>
      </c>
      <c r="AC290">
        <v>0</v>
      </c>
      <c r="AD290">
        <v>1</v>
      </c>
      <c r="AE290">
        <v>0</v>
      </c>
      <c r="AF290">
        <v>0</v>
      </c>
      <c r="AG290" s="86">
        <f>AVERAGEIFS($C$2:C290, $B$2:B290, B290)</f>
        <v>14.636363636363637</v>
      </c>
      <c r="AH290" s="86">
        <f>AVERAGEIFS($I$2:I290, $B$2:B290, B290)</f>
        <v>0.48181818181818181</v>
      </c>
      <c r="AI290" s="86">
        <f>AVERAGEIFS($J$2:J290, $B$2:B290, B290)</f>
        <v>0.52727272727272734</v>
      </c>
      <c r="AJ290" s="86">
        <f>AVERAGEIFS($D$2:D290, $B$2:B290, B290)</f>
        <v>0.36363636363636365</v>
      </c>
    </row>
    <row r="291" spans="1:36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1</v>
      </c>
      <c r="AC291">
        <v>0</v>
      </c>
      <c r="AD291">
        <v>1</v>
      </c>
      <c r="AE291">
        <v>0</v>
      </c>
      <c r="AF291">
        <v>0</v>
      </c>
      <c r="AG291" s="86">
        <f>AVERAGEIFS($C$2:C291, $B$2:B291, B291)</f>
        <v>13</v>
      </c>
      <c r="AH291" s="86">
        <f>AVERAGEIFS($I$2:I291, $B$2:B291, B291)</f>
        <v>0.375</v>
      </c>
      <c r="AI291" s="86">
        <f>AVERAGEIFS($J$2:J291, $B$2:B291, B291)</f>
        <v>0.375</v>
      </c>
      <c r="AJ291" s="86">
        <f>AVERAGEIFS($D$2:D291, $B$2:B291, B291)</f>
        <v>0.5</v>
      </c>
    </row>
    <row r="292" spans="1:36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1</v>
      </c>
      <c r="AC292">
        <v>0</v>
      </c>
      <c r="AD292">
        <v>1</v>
      </c>
      <c r="AE292">
        <v>0</v>
      </c>
      <c r="AF292">
        <v>0</v>
      </c>
      <c r="AG292" s="86">
        <f>AVERAGEIFS($C$2:C292, $B$2:B292, B292)</f>
        <v>14.285714285714286</v>
      </c>
      <c r="AH292" s="86">
        <f>AVERAGEIFS($I$2:I292, $B$2:B292, B292)</f>
        <v>0.52857142857142858</v>
      </c>
      <c r="AI292" s="86">
        <f>AVERAGEIFS($J$2:J292, $B$2:B292, B292)</f>
        <v>0.51999999999999991</v>
      </c>
      <c r="AJ292" s="86">
        <f>AVERAGEIFS($D$2:D292, $B$2:B292, B292)</f>
        <v>0.7142857142857143</v>
      </c>
    </row>
    <row r="293" spans="1:36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1</v>
      </c>
      <c r="AF293">
        <v>0</v>
      </c>
      <c r="AG293" s="86">
        <f>AVERAGEIFS($C$2:C293, $B$2:B293, B293)</f>
        <v>27.363636363636363</v>
      </c>
      <c r="AH293" s="86">
        <f>AVERAGEIFS($I$2:I293, $B$2:B293, B293)</f>
        <v>0.5636363636363636</v>
      </c>
      <c r="AI293" s="86">
        <f>AVERAGEIFS($J$2:J293, $B$2:B293, B293)</f>
        <v>0.52363636363636357</v>
      </c>
      <c r="AJ293" s="86">
        <f>AVERAGEIFS($D$2:D293, $B$2:B293, B293)</f>
        <v>0.63636363636363635</v>
      </c>
    </row>
    <row r="294" spans="1:36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1</v>
      </c>
      <c r="AF294">
        <v>0</v>
      </c>
      <c r="AG294" s="86">
        <f>AVERAGEIFS($C$2:C294, $B$2:B294, B294)</f>
        <v>22.473684210526315</v>
      </c>
      <c r="AH294" s="86">
        <f>AVERAGEIFS($I$2:I294, $B$2:B294, B294)</f>
        <v>0.5</v>
      </c>
      <c r="AI294" s="86">
        <f>AVERAGEIFS($J$2:J294, $B$2:B294, B294)</f>
        <v>0.49157894736842106</v>
      </c>
      <c r="AJ294" s="86">
        <f>AVERAGEIFS($D$2:D294, $B$2:B294, B294)</f>
        <v>0.52631578947368418</v>
      </c>
    </row>
    <row r="295" spans="1:36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1</v>
      </c>
      <c r="AF295">
        <v>0</v>
      </c>
      <c r="AG295" s="86">
        <f>AVERAGEIFS($C$2:C295, $B$2:B295, B295)</f>
        <v>13.23076923076923</v>
      </c>
      <c r="AH295" s="86">
        <f>AVERAGEIFS($I$2:I295, $B$2:B295, B295)</f>
        <v>0.4384615384615384</v>
      </c>
      <c r="AI295" s="86">
        <f>AVERAGEIFS($J$2:J295, $B$2:B295, B295)</f>
        <v>0.46461538461538454</v>
      </c>
      <c r="AJ295" s="86">
        <f>AVERAGEIFS($D$2:D295, $B$2:B295, B295)</f>
        <v>0.23076923076923078</v>
      </c>
    </row>
    <row r="296" spans="1:36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 s="86">
        <f>AVERAGEIFS($C$2:C296, $B$2:B296, B296)</f>
        <v>9</v>
      </c>
      <c r="AH296" s="86">
        <f>AVERAGEIFS($I$2:I296, $B$2:B296, B296)</f>
        <v>0.56874999999999998</v>
      </c>
      <c r="AI296" s="86">
        <f>AVERAGEIFS($J$2:J296, $B$2:B296, B296)</f>
        <v>0.51374999999999993</v>
      </c>
      <c r="AJ296" s="86">
        <f>AVERAGEIFS($D$2:D296, $B$2:B296, B296)</f>
        <v>0.5</v>
      </c>
    </row>
    <row r="297" spans="1:36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1</v>
      </c>
      <c r="AF297">
        <v>0</v>
      </c>
      <c r="AG297" s="86">
        <f>AVERAGEIFS($C$2:C297, $B$2:B297, B297)</f>
        <v>15.666666666666666</v>
      </c>
      <c r="AH297" s="86">
        <f>AVERAGEIFS($I$2:I297, $B$2:B297, B297)</f>
        <v>0.5</v>
      </c>
      <c r="AI297" s="86">
        <f>AVERAGEIFS($J$2:J297, $B$2:B297, B297)</f>
        <v>0.46333333333333332</v>
      </c>
      <c r="AJ297" s="86">
        <f>AVERAGEIFS($D$2:D297, $B$2:B297, B297)</f>
        <v>0.5</v>
      </c>
    </row>
    <row r="298" spans="1:36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1</v>
      </c>
      <c r="AF298">
        <v>0</v>
      </c>
      <c r="AG298" s="86">
        <f>AVERAGEIFS($C$2:C298, $B$2:B298, B298)</f>
        <v>17.5</v>
      </c>
      <c r="AH298" s="86">
        <f>AVERAGEIFS($I$2:I298, $B$2:B298, B298)</f>
        <v>0.60833333333333328</v>
      </c>
      <c r="AI298" s="86">
        <f>AVERAGEIFS($J$2:J298, $B$2:B298, B298)</f>
        <v>0.52166666666666661</v>
      </c>
      <c r="AJ298" s="86">
        <f>AVERAGEIFS($D$2:D298, $B$2:B298, B298)</f>
        <v>0.75</v>
      </c>
    </row>
    <row r="299" spans="1:36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1</v>
      </c>
      <c r="AF299">
        <v>0</v>
      </c>
      <c r="AG299" s="86">
        <f>AVERAGEIFS($C$2:C299, $B$2:B299, B299)</f>
        <v>15.25</v>
      </c>
      <c r="AH299" s="86">
        <f>AVERAGEIFS($I$2:I299, $B$2:B299, B299)</f>
        <v>0.32500000000000001</v>
      </c>
      <c r="AI299" s="86">
        <f>AVERAGEIFS($J$2:J299, $B$2:B299, B299)</f>
        <v>0.40249999999999997</v>
      </c>
      <c r="AJ299" s="86">
        <f>AVERAGEIFS($D$2:D299, $B$2:B299, B299)</f>
        <v>0.25</v>
      </c>
    </row>
    <row r="300" spans="1:36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1</v>
      </c>
      <c r="AG300" s="86">
        <f>AVERAGEIFS($C$2:C300, $B$2:B300, B300)</f>
        <v>18.307692307692307</v>
      </c>
      <c r="AH300" s="86">
        <f>AVERAGEIFS($I$2:I300, $B$2:B300, B300)</f>
        <v>0.61923076923076914</v>
      </c>
      <c r="AI300" s="86">
        <f>AVERAGEIFS($J$2:J300, $B$2:B300, B300)</f>
        <v>0.533076923076923</v>
      </c>
      <c r="AJ300" s="86">
        <f>AVERAGEIFS($D$2:D300, $B$2:B300, B300)</f>
        <v>0.76923076923076927</v>
      </c>
    </row>
    <row r="301" spans="1:36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1</v>
      </c>
      <c r="AG301" s="86">
        <f>AVERAGEIFS($C$2:C301, $B$2:B301, B301)</f>
        <v>15.444444444444445</v>
      </c>
      <c r="AH301" s="86">
        <f>AVERAGEIFS($I$2:I301, $B$2:B301, B301)</f>
        <v>0.37222222222222223</v>
      </c>
      <c r="AI301" s="86">
        <f>AVERAGEIFS($J$2:J301, $B$2:B301, B301)</f>
        <v>0.43222222222222217</v>
      </c>
      <c r="AJ301" s="86">
        <f>AVERAGEIFS($D$2:D301, $B$2:B301, B301)</f>
        <v>0.33333333333333331</v>
      </c>
    </row>
    <row r="302" spans="1:36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1</v>
      </c>
      <c r="AG302" s="86">
        <f>AVERAGEIFS($C$2:C302, $B$2:B302, B302)</f>
        <v>22</v>
      </c>
      <c r="AH302" s="86">
        <f>AVERAGEIFS($I$2:I302, $B$2:B302, B302)</f>
        <v>0.54545454545454541</v>
      </c>
      <c r="AI302" s="86">
        <f>AVERAGEIFS($J$2:J302, $B$2:B302, B302)</f>
        <v>0.52454545454545454</v>
      </c>
      <c r="AJ302" s="86">
        <f>AVERAGEIFS($D$2:D302, $B$2:B302, B302)</f>
        <v>0.54545454545454541</v>
      </c>
    </row>
    <row r="303" spans="1:36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1</v>
      </c>
      <c r="AG303" s="86">
        <f>AVERAGEIFS($C$2:C303, $B$2:B303, B303)</f>
        <v>18.333333333333332</v>
      </c>
      <c r="AH303" s="86">
        <f>AVERAGEIFS($I$2:I303, $B$2:B303, B303)</f>
        <v>0.55666666666666675</v>
      </c>
      <c r="AI303" s="86">
        <f>AVERAGEIFS($J$2:J303, $B$2:B303, B303)</f>
        <v>0.52533333333333332</v>
      </c>
      <c r="AJ303" s="86">
        <f>AVERAGEIFS($D$2:D303, $B$2:B303, B303)</f>
        <v>0.6</v>
      </c>
    </row>
    <row r="304" spans="1:36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1</v>
      </c>
      <c r="AG304" s="86">
        <f>AVERAGEIFS($C$2:C304, $B$2:B304, B304)</f>
        <v>9.4444444444444446</v>
      </c>
      <c r="AH304" s="86">
        <f>AVERAGEIFS($I$2:I304, $B$2:B304, B304)</f>
        <v>0.58888888888888891</v>
      </c>
      <c r="AI304" s="86">
        <f>AVERAGEIFS($J$2:J304, $B$2:B304, B304)</f>
        <v>0.53111111111111109</v>
      </c>
      <c r="AJ304" s="86">
        <f>AVERAGEIFS($D$2:D304, $B$2:B304, B304)</f>
        <v>0.55555555555555558</v>
      </c>
    </row>
    <row r="305" spans="1:36" x14ac:dyDescent="0.25">
      <c r="A305" s="85">
        <v>46146</v>
      </c>
      <c r="B305" t="s">
        <v>180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1</v>
      </c>
      <c r="AG305" s="86">
        <f>AVERAGEIFS($C$2:C305, $B$2:B305, B305)</f>
        <v>11</v>
      </c>
      <c r="AH305" s="86">
        <f>AVERAGEIFS($I$2:I305, $B$2:B305, B305)</f>
        <v>0.75</v>
      </c>
      <c r="AI305" s="86">
        <f>AVERAGEIFS($J$2:J305, $B$2:B305, B305)</f>
        <v>0.67</v>
      </c>
      <c r="AJ305" s="86">
        <f>AVERAGEIFS($D$2:D305, $B$2:B305, B305)</f>
        <v>1</v>
      </c>
    </row>
    <row r="306" spans="1:36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 s="86">
        <f>AVERAGEIFS($C$2:C306, $B$2:B306, B306)</f>
        <v>14.375</v>
      </c>
      <c r="AH306" s="86">
        <f>AVERAGEIFS($I$2:I306, $B$2:B306, B306)</f>
        <v>0.49375000000000002</v>
      </c>
      <c r="AI306" s="86">
        <f>AVERAGEIFS($J$2:J306, $B$2:B306, B306)</f>
        <v>0.49624999999999997</v>
      </c>
      <c r="AJ306" s="86">
        <f>AVERAGEIFS($D$2:D306, $B$2:B306, B306)</f>
        <v>0.625</v>
      </c>
    </row>
    <row r="307" spans="1:36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 s="86">
        <f>AVERAGEIFS($C$2:C307, $B$2:B307, B307)</f>
        <v>14.583333333333334</v>
      </c>
      <c r="AH307" s="86">
        <f>AVERAGEIFS($I$2:I307, $B$2:B307, B307)</f>
        <v>0.46249999999999997</v>
      </c>
      <c r="AI307" s="86">
        <f>AVERAGEIFS($J$2:J307, $B$2:B307, B307)</f>
        <v>0.51083333333333336</v>
      </c>
      <c r="AJ307" s="86">
        <f>AVERAGEIFS($D$2:D307, $B$2:B307, B307)</f>
        <v>0.33333333333333331</v>
      </c>
    </row>
    <row r="308" spans="1:36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 s="86">
        <f>AVERAGEIFS($C$2:C308, $B$2:B308, B308)</f>
        <v>19.076923076923077</v>
      </c>
      <c r="AH308" s="86">
        <f>AVERAGEIFS($I$2:I308, $B$2:B308, B308)</f>
        <v>0.7038461538461539</v>
      </c>
      <c r="AI308" s="86">
        <f>AVERAGEIFS($J$2:J308, $B$2:B308, B308)</f>
        <v>0.61615384615384616</v>
      </c>
      <c r="AJ308" s="86">
        <f>AVERAGEIFS($D$2:D308, $B$2:B308, B308)</f>
        <v>0.76923076923076927</v>
      </c>
    </row>
    <row r="309" spans="1:36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 s="86">
        <f>AVERAGEIFS($C$2:C309, $B$2:B309, B309)</f>
        <v>26.25</v>
      </c>
      <c r="AH309" s="86">
        <f>AVERAGEIFS($I$2:I309, $B$2:B309, B309)</f>
        <v>0.53749999999999998</v>
      </c>
      <c r="AI309" s="86">
        <f>AVERAGEIFS($J$2:J309, $B$2:B309, B309)</f>
        <v>0.50749999999999995</v>
      </c>
      <c r="AJ309" s="86">
        <f>AVERAGEIFS($D$2:D309, $B$2:B309, B309)</f>
        <v>0.58333333333333337</v>
      </c>
    </row>
    <row r="310" spans="1:36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 s="86">
        <f>AVERAGEIFS($C$2:C310, $B$2:B310, B310)</f>
        <v>17.444444444444443</v>
      </c>
      <c r="AH310" s="86">
        <f>AVERAGEIFS($I$2:I310, $B$2:B310, B310)</f>
        <v>0.43611111111111112</v>
      </c>
      <c r="AI310" s="86">
        <f>AVERAGEIFS($J$2:J310, $B$2:B310, B310)</f>
        <v>0.44555555555555565</v>
      </c>
      <c r="AJ310" s="86">
        <f>AVERAGEIFS($D$2:D310, $B$2:B310, B310)</f>
        <v>0.44444444444444442</v>
      </c>
    </row>
    <row r="311" spans="1:36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 s="86">
        <f>AVERAGEIFS($C$2:C311, $B$2:B311, B311)</f>
        <v>13.25</v>
      </c>
      <c r="AH311" s="86">
        <f>AVERAGEIFS($I$2:I311, $B$2:B311, B311)</f>
        <v>0.41249999999999998</v>
      </c>
      <c r="AI311" s="86">
        <f>AVERAGEIFS($J$2:J311, $B$2:B311, B311)</f>
        <v>0.44000000000000006</v>
      </c>
      <c r="AJ311" s="86">
        <f>AVERAGEIFS($D$2:D311, $B$2:B311, B311)</f>
        <v>0.25</v>
      </c>
    </row>
    <row r="312" spans="1:36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20.5</v>
      </c>
      <c r="AH312" s="86">
        <f>AVERAGEIFS($I$2:I312, $B$2:B312, B312)</f>
        <v>0.46666666666666667</v>
      </c>
      <c r="AI312" s="86">
        <f>AVERAGEIFS($J$2:J312, $B$2:B312, B312)</f>
        <v>0.49222222222222228</v>
      </c>
      <c r="AJ312" s="86">
        <f>AVERAGEIFS($D$2:D312, $B$2:B312, B312)</f>
        <v>0.44444444444444442</v>
      </c>
    </row>
    <row r="313" spans="1:36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22.333333333333332</v>
      </c>
      <c r="AH313" s="86">
        <f>AVERAGEIFS($I$2:I313, $B$2:B313, B313)</f>
        <v>0.5</v>
      </c>
      <c r="AI313" s="86">
        <f>AVERAGEIFS($J$2:J313, $B$2:B313, B313)</f>
        <v>0.5066666666666666</v>
      </c>
      <c r="AJ313" s="86">
        <f>AVERAGEIFS($D$2:D313, $B$2:B313, B313)</f>
        <v>0.5</v>
      </c>
    </row>
    <row r="314" spans="1:36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17.25</v>
      </c>
      <c r="AH314" s="86">
        <f>AVERAGEIFS($I$2:I314, $B$2:B314, B314)</f>
        <v>0.39999999999999997</v>
      </c>
      <c r="AI314" s="86">
        <f>AVERAGEIFS($J$2:J314, $B$2:B314, B314)</f>
        <v>0.48083333333333339</v>
      </c>
      <c r="AJ314" s="86">
        <f>AVERAGEIFS($D$2:D314, $B$2:B314, B314)</f>
        <v>0.33333333333333331</v>
      </c>
    </row>
    <row r="315" spans="1:36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19.444444444444443</v>
      </c>
      <c r="AH315" s="86">
        <f>AVERAGEIFS($I$2:I315, $B$2:B315, B315)</f>
        <v>0.54444444444444451</v>
      </c>
      <c r="AI315" s="86">
        <f>AVERAGEIFS($J$2:J315, $B$2:B315, B315)</f>
        <v>0.54500000000000004</v>
      </c>
      <c r="AJ315" s="86">
        <f>AVERAGEIFS($D$2:D315, $B$2:B315, B315)</f>
        <v>0.5</v>
      </c>
    </row>
    <row r="316" spans="1:36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13.428571428571429</v>
      </c>
      <c r="AH316" s="86">
        <f>AVERAGEIFS($I$2:I316, $B$2:B316, B316)</f>
        <v>0.40714285714285708</v>
      </c>
      <c r="AI316" s="86">
        <f>AVERAGEIFS($J$2:J316, $B$2:B316, B316)</f>
        <v>0.45357142857142846</v>
      </c>
      <c r="AJ316" s="86">
        <f>AVERAGEIFS($D$2:D316, $B$2:B316, B316)</f>
        <v>0.21428571428571427</v>
      </c>
    </row>
    <row r="317" spans="1:36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22</v>
      </c>
      <c r="AH317" s="86">
        <f>AVERAGEIFS($I$2:I317, $B$2:B317, B317)</f>
        <v>0</v>
      </c>
      <c r="AI317" s="86">
        <f>AVERAGEIFS($J$2:J317, $B$2:B317, B317)</f>
        <v>0.31</v>
      </c>
      <c r="AJ317" s="86">
        <f>AVERAGEIFS($D$2:D317, $B$2:B317, B317)</f>
        <v>0</v>
      </c>
    </row>
    <row r="318" spans="1:36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15.5</v>
      </c>
      <c r="AH318" s="86">
        <f>AVERAGEIFS($I$2:I318, $B$2:B318, B318)</f>
        <v>0.33500000000000002</v>
      </c>
      <c r="AI318" s="86">
        <f>AVERAGEIFS($J$2:J318, $B$2:B318, B318)</f>
        <v>0.41999999999999993</v>
      </c>
      <c r="AJ318" s="86">
        <f>AVERAGEIFS($D$2:D318, $B$2:B318, B318)</f>
        <v>0.3</v>
      </c>
    </row>
    <row r="319" spans="1:36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15.142857142857142</v>
      </c>
      <c r="AH319" s="86">
        <f>AVERAGEIFS($I$2:I319, $B$2:B319, B319)</f>
        <v>0.42857142857142855</v>
      </c>
      <c r="AI319" s="86">
        <f>AVERAGEIFS($J$2:J319, $B$2:B319, B319)</f>
        <v>0.44142857142857139</v>
      </c>
      <c r="AJ319" s="86">
        <f>AVERAGEIFS($D$2:D319, $B$2:B319, B319)</f>
        <v>0.42857142857142855</v>
      </c>
    </row>
    <row r="320" spans="1:36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1</v>
      </c>
      <c r="AD320">
        <v>0</v>
      </c>
      <c r="AE320">
        <v>0</v>
      </c>
      <c r="AF320">
        <v>0</v>
      </c>
      <c r="AG320" s="86">
        <f>AVERAGEIFS($C$2:C320, $B$2:B320, B320)</f>
        <v>17.05263157894737</v>
      </c>
      <c r="AH320" s="86">
        <f>AVERAGEIFS($I$2:I320, $B$2:B320, B320)</f>
        <v>0.46578947368421053</v>
      </c>
      <c r="AI320" s="86">
        <f>AVERAGEIFS($J$2:J320, $B$2:B320, B320)</f>
        <v>0.45842105263157901</v>
      </c>
      <c r="AJ320" s="86">
        <f>AVERAGEIFS($D$2:D320, $B$2:B320, B320)</f>
        <v>0.47368421052631576</v>
      </c>
    </row>
    <row r="321" spans="1:36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1</v>
      </c>
      <c r="AD321">
        <v>0</v>
      </c>
      <c r="AE321">
        <v>0</v>
      </c>
      <c r="AF321">
        <v>0</v>
      </c>
      <c r="AG321" s="86">
        <f>AVERAGEIFS($C$2:C321, $B$2:B321, B321)</f>
        <v>27.3125</v>
      </c>
      <c r="AH321" s="86">
        <f>AVERAGEIFS($I$2:I321, $B$2:B321, B321)</f>
        <v>0.57187500000000002</v>
      </c>
      <c r="AI321" s="86">
        <f>AVERAGEIFS($J$2:J321, $B$2:B321, B321)</f>
        <v>0.55562499999999992</v>
      </c>
      <c r="AJ321" s="86">
        <f>AVERAGEIFS($D$2:D321, $B$2:B321, B321)</f>
        <v>0.5625</v>
      </c>
    </row>
    <row r="322" spans="1:36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1</v>
      </c>
      <c r="AD322">
        <v>0</v>
      </c>
      <c r="AE322">
        <v>0</v>
      </c>
      <c r="AF322">
        <v>0</v>
      </c>
      <c r="AG322" s="86">
        <f>AVERAGEIFS($C$2:C322, $B$2:B322, B322)</f>
        <v>22.85</v>
      </c>
      <c r="AH322" s="86">
        <f>AVERAGEIFS($I$2:I322, $B$2:B322, B322)</f>
        <v>0.52500000000000002</v>
      </c>
      <c r="AI322" s="86">
        <f>AVERAGEIFS($J$2:J322, $B$2:B322, B322)</f>
        <v>0.50149999999999995</v>
      </c>
      <c r="AJ322" s="86">
        <f>AVERAGEIFS($D$2:D322, $B$2:B322, B322)</f>
        <v>0.55000000000000004</v>
      </c>
    </row>
    <row r="323" spans="1:36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1</v>
      </c>
      <c r="AD323">
        <v>0</v>
      </c>
      <c r="AE323">
        <v>0</v>
      </c>
      <c r="AF323">
        <v>0</v>
      </c>
      <c r="AG323" s="86">
        <f>AVERAGEIFS($C$2:C323, $B$2:B323, B323)</f>
        <v>26.615384615384617</v>
      </c>
      <c r="AH323" s="86">
        <f>AVERAGEIFS($I$2:I323, $B$2:B323, B323)</f>
        <v>0.57307692307692304</v>
      </c>
      <c r="AI323" s="86">
        <f>AVERAGEIFS($J$2:J323, $B$2:B323, B323)</f>
        <v>0.52153846153846151</v>
      </c>
      <c r="AJ323" s="86">
        <f>AVERAGEIFS($D$2:D323, $B$2:B323, B323)</f>
        <v>0.61538461538461542</v>
      </c>
    </row>
    <row r="324" spans="1:36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1</v>
      </c>
      <c r="AD324">
        <v>0</v>
      </c>
      <c r="AE324">
        <v>0</v>
      </c>
      <c r="AF324">
        <v>0</v>
      </c>
      <c r="AG324" s="86">
        <f>AVERAGEIFS($C$2:C324, $B$2:B324, B324)</f>
        <v>18.142857142857142</v>
      </c>
      <c r="AH324" s="86">
        <f>AVERAGEIFS($I$2:I324, $B$2:B324, B324)</f>
        <v>0.64642857142857135</v>
      </c>
      <c r="AI324" s="86">
        <f>AVERAGEIFS($J$2:J324, $B$2:B324, B324)</f>
        <v>0.54428571428571426</v>
      </c>
      <c r="AJ324" s="86">
        <f>AVERAGEIFS($D$2:D324, $B$2:B324, B324)</f>
        <v>0.7857142857142857</v>
      </c>
    </row>
    <row r="325" spans="1:36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1</v>
      </c>
      <c r="AD325">
        <v>0</v>
      </c>
      <c r="AE325">
        <v>0</v>
      </c>
      <c r="AF325">
        <v>0</v>
      </c>
      <c r="AG325" s="86">
        <f>AVERAGEIFS($C$2:C325, $B$2:B325, B325)</f>
        <v>14.333333333333334</v>
      </c>
      <c r="AH325" s="86">
        <f>AVERAGEIFS($I$2:I325, $B$2:B325, B325)</f>
        <v>0.55000000000000004</v>
      </c>
      <c r="AI325" s="86">
        <f>AVERAGEIFS($J$2:J325, $B$2:B325, B325)</f>
        <v>0.51777777777777778</v>
      </c>
      <c r="AJ325" s="86">
        <f>AVERAGEIFS($D$2:D325, $B$2:B325, B325)</f>
        <v>0.66666666666666663</v>
      </c>
    </row>
    <row r="326" spans="1:36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1</v>
      </c>
      <c r="AD326">
        <v>0</v>
      </c>
      <c r="AE326">
        <v>0</v>
      </c>
      <c r="AF326">
        <v>0</v>
      </c>
      <c r="AG326" s="86">
        <f>AVERAGEIFS($C$2:C326, $B$2:B326, B326)</f>
        <v>13.2</v>
      </c>
      <c r="AH326" s="86">
        <f>AVERAGEIFS($I$2:I326, $B$2:B326, B326)</f>
        <v>0.42000000000000004</v>
      </c>
      <c r="AI326" s="86">
        <f>AVERAGEIFS($J$2:J326, $B$2:B326, B326)</f>
        <v>0.41</v>
      </c>
      <c r="AJ326" s="86">
        <f>AVERAGEIFS($D$2:D326, $B$2:B326, B326)</f>
        <v>0.4</v>
      </c>
    </row>
    <row r="327" spans="1:36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 s="86">
        <f>AVERAGEIFS($C$2:C327, $B$2:B327, B327)</f>
        <v>16.833333333333332</v>
      </c>
      <c r="AH327" s="86">
        <f>AVERAGEIFS($I$2:I327, $B$2:B327, B327)</f>
        <v>0.6</v>
      </c>
      <c r="AI327" s="86">
        <f>AVERAGEIFS($J$2:J327, $B$2:B327, B327)</f>
        <v>0.55722222222222217</v>
      </c>
      <c r="AJ327" s="86">
        <f>AVERAGEIFS($D$2:D327, $B$2:B327, B327)</f>
        <v>0.66666666666666663</v>
      </c>
    </row>
    <row r="328" spans="1:36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1</v>
      </c>
      <c r="AC328">
        <v>0</v>
      </c>
      <c r="AD328">
        <v>0</v>
      </c>
      <c r="AE328">
        <v>0</v>
      </c>
      <c r="AF328">
        <v>0</v>
      </c>
      <c r="AG328" s="86">
        <f>AVERAGEIFS($C$2:C328, $B$2:B328, B328)</f>
        <v>16.7</v>
      </c>
      <c r="AH328" s="86">
        <f>AVERAGEIFS($I$2:I328, $B$2:B328, B328)</f>
        <v>0.49249999999999999</v>
      </c>
      <c r="AI328" s="86">
        <f>AVERAGEIFS($J$2:J328, $B$2:B328, B328)</f>
        <v>0.46750000000000008</v>
      </c>
      <c r="AJ328" s="86">
        <f>AVERAGEIFS($D$2:D328, $B$2:B328, B328)</f>
        <v>0.5</v>
      </c>
    </row>
    <row r="329" spans="1:36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1</v>
      </c>
      <c r="AC329">
        <v>0</v>
      </c>
      <c r="AD329">
        <v>0</v>
      </c>
      <c r="AE329">
        <v>0</v>
      </c>
      <c r="AF329">
        <v>0</v>
      </c>
      <c r="AG329" s="86">
        <f>AVERAGEIFS($C$2:C329, $B$2:B329, B329)</f>
        <v>22.38095238095238</v>
      </c>
      <c r="AH329" s="86">
        <f>AVERAGEIFS($I$2:I329, $B$2:B329, B329)</f>
        <v>0.54761904761904767</v>
      </c>
      <c r="AI329" s="86">
        <f>AVERAGEIFS($J$2:J329, $B$2:B329, B329)</f>
        <v>0.50809523809523804</v>
      </c>
      <c r="AJ329" s="86">
        <f>AVERAGEIFS($D$2:D329, $B$2:B329, B329)</f>
        <v>0.5714285714285714</v>
      </c>
    </row>
    <row r="330" spans="1:36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1</v>
      </c>
      <c r="AC330">
        <v>0</v>
      </c>
      <c r="AD330">
        <v>0</v>
      </c>
      <c r="AE330">
        <v>0</v>
      </c>
      <c r="AF330">
        <v>0</v>
      </c>
      <c r="AG330" s="86">
        <f>AVERAGEIFS($C$2:C330, $B$2:B330, B330)</f>
        <v>19.210526315789473</v>
      </c>
      <c r="AH330" s="86">
        <f>AVERAGEIFS($I$2:I330, $B$2:B330, B330)</f>
        <v>0.56842105263157894</v>
      </c>
      <c r="AI330" s="86">
        <f>AVERAGEIFS($J$2:J330, $B$2:B330, B330)</f>
        <v>0.55000000000000004</v>
      </c>
      <c r="AJ330" s="86">
        <f>AVERAGEIFS($D$2:D330, $B$2:B330, B330)</f>
        <v>0.52631578947368418</v>
      </c>
    </row>
    <row r="331" spans="1:36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1</v>
      </c>
      <c r="AC331">
        <v>0</v>
      </c>
      <c r="AD331">
        <v>0</v>
      </c>
      <c r="AE331">
        <v>0</v>
      </c>
      <c r="AF331">
        <v>0</v>
      </c>
      <c r="AG331" s="86">
        <f>AVERAGEIFS($C$2:C331, $B$2:B331, B331)</f>
        <v>16</v>
      </c>
      <c r="AH331" s="86">
        <f>AVERAGEIFS($I$2:I331, $B$2:B331, B331)</f>
        <v>0.5</v>
      </c>
      <c r="AI331" s="86">
        <f>AVERAGEIFS($J$2:J331, $B$2:B331, B331)</f>
        <v>0.47499999999999998</v>
      </c>
      <c r="AJ331" s="86">
        <f>AVERAGEIFS($D$2:D331, $B$2:B331, B331)</f>
        <v>0.5</v>
      </c>
    </row>
    <row r="332" spans="1:36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1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14.307692307692308</v>
      </c>
      <c r="AH332" s="86">
        <f>AVERAGEIFS($I$2:I332, $B$2:B332, B332)</f>
        <v>0.50384615384615383</v>
      </c>
      <c r="AI332" s="86">
        <f>AVERAGEIFS($J$2:J332, $B$2:B332, B332)</f>
        <v>0.52076923076923076</v>
      </c>
      <c r="AJ332" s="86">
        <f>AVERAGEIFS($D$2:D332, $B$2:B332, B332)</f>
        <v>0.38461538461538464</v>
      </c>
    </row>
    <row r="333" spans="1:36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1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15.375</v>
      </c>
      <c r="AH333" s="86">
        <f>AVERAGEIFS($I$2:I333, $B$2:B333, B333)</f>
        <v>0.5</v>
      </c>
      <c r="AI333" s="86">
        <f>AVERAGEIFS($J$2:J333, $B$2:B333, B333)</f>
        <v>0.46625</v>
      </c>
      <c r="AJ333" s="86">
        <f>AVERAGEIFS($D$2:D333, $B$2:B333, B333)</f>
        <v>0.5</v>
      </c>
    </row>
    <row r="334" spans="1:36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20.105263157894736</v>
      </c>
      <c r="AH334" s="86">
        <f>AVERAGEIFS($I$2:I334, $B$2:B334, B334)</f>
        <v>0.44210526315789478</v>
      </c>
      <c r="AI334" s="86">
        <f>AVERAGEIFS($J$2:J334, $B$2:B334, B334)</f>
        <v>0.4852631578947369</v>
      </c>
      <c r="AJ334" s="86">
        <f>AVERAGEIFS($D$2:D334, $B$2:B334, B334)</f>
        <v>0.42105263157894735</v>
      </c>
    </row>
    <row r="335" spans="1:36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17.75</v>
      </c>
      <c r="AH335" s="86">
        <f>AVERAGEIFS($I$2:I335, $B$2:B335, B335)</f>
        <v>0.52187500000000009</v>
      </c>
      <c r="AI335" s="86">
        <f>AVERAGEIFS($J$2:J335, $B$2:B335, B335)</f>
        <v>0.51500000000000001</v>
      </c>
      <c r="AJ335" s="86">
        <f>AVERAGEIFS($D$2:D335, $B$2:B335, B335)</f>
        <v>0.5625</v>
      </c>
    </row>
    <row r="336" spans="1:36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18.642857142857142</v>
      </c>
      <c r="AH336" s="86">
        <f>AVERAGEIFS($I$2:I336, $B$2:B336, B336)</f>
        <v>0.65357142857142858</v>
      </c>
      <c r="AI336" s="86">
        <f>AVERAGEIFS($J$2:J336, $B$2:B336, B336)</f>
        <v>0.59785714285714275</v>
      </c>
      <c r="AJ336" s="86">
        <f>AVERAGEIFS($D$2:D336, $B$2:B336, B336)</f>
        <v>0.7142857142857143</v>
      </c>
    </row>
    <row r="337" spans="1:36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14.3</v>
      </c>
      <c r="AH337" s="86">
        <f>AVERAGEIFS($I$2:I337, $B$2:B337, B337)</f>
        <v>0.495</v>
      </c>
      <c r="AI337" s="86">
        <f>AVERAGEIFS($J$2:J337, $B$2:B337, B337)</f>
        <v>0.502</v>
      </c>
      <c r="AJ337" s="86">
        <f>AVERAGEIFS($D$2:D337, $B$2:B337, B337)</f>
        <v>0.6</v>
      </c>
    </row>
    <row r="338" spans="1:36" x14ac:dyDescent="0.25">
      <c r="A338" s="85">
        <v>46147</v>
      </c>
      <c r="B338" t="s">
        <v>180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 s="86">
        <f>AVERAGEIFS($C$2:C338, $B$2:B338, B338)</f>
        <v>9.5</v>
      </c>
      <c r="AH338" s="86">
        <f>AVERAGEIFS($I$2:I338, $B$2:B338, B338)</f>
        <v>0.375</v>
      </c>
      <c r="AI338" s="86">
        <f>AVERAGEIFS($J$2:J338, $B$2:B338, B338)</f>
        <v>0.51500000000000001</v>
      </c>
      <c r="AJ338" s="86">
        <f>AVERAGEIFS($D$2:D338, $B$2:B338, B338)</f>
        <v>0.5</v>
      </c>
    </row>
    <row r="339" spans="1:36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 s="86">
        <f>AVERAGEIFS($C$2:C339, $B$2:B339, B339)</f>
        <v>9</v>
      </c>
      <c r="AH339" s="86">
        <f>AVERAGEIFS($I$2:I339, $B$2:B339, B339)</f>
        <v>8.3333333333333329E-2</v>
      </c>
      <c r="AI339" s="86">
        <f>AVERAGEIFS($J$2:J339, $B$2:B339, B339)</f>
        <v>0.3</v>
      </c>
      <c r="AJ339" s="86">
        <f>AVERAGEIFS($D$2:D339, $B$2:B339, B339)</f>
        <v>0</v>
      </c>
    </row>
  </sheetData>
  <autoFilter ref="A1:AJ339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95"/>
  <sheetViews>
    <sheetView topLeftCell="A151" workbookViewId="0">
      <selection activeCell="AA183" sqref="AA183:AD195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47" sqref="E4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22</v>
      </c>
      <c r="E2" s="4">
        <f>AVERAGEIFS('Tourney History'!C:C,'Tourney History'!B:B,A2)</f>
        <v>22</v>
      </c>
      <c r="F2" s="35">
        <f t="array" ref="F2">MAX(IF('Tourney History'!B:B=A2, 'Tourney History'!C:C))</f>
        <v>22</v>
      </c>
      <c r="G2" s="34">
        <f>COUNTIFS('Tourney History'!B:B,A2,'Tourney History'!D:D, 1)</f>
        <v>0</v>
      </c>
      <c r="H2" s="2">
        <f>COUNTIFS('Tourney History'!B:B,A2,'Tourney History'!D:D, 0)</f>
        <v>1</v>
      </c>
      <c r="I2" s="88">
        <f>LOOKUP(2, 1/('Tourney History'!$B:$B=A2), 'Tourney History'!$AD:$AD)</f>
        <v>0</v>
      </c>
      <c r="J2" s="34">
        <f>SUMIFS('Tourney History'!F:F,'Tourney History'!B:B,A2)</f>
        <v>2</v>
      </c>
      <c r="K2" s="2">
        <f>SUMIFS('Tourney History'!E:E,'Tourney History'!B:B,A2)-J2</f>
        <v>3</v>
      </c>
      <c r="L2" s="88">
        <f>LOOKUP(2, 1/('Tourney History'!$B:$B=A2), 'Tourney History'!$AB:$AB)</f>
        <v>0.4</v>
      </c>
      <c r="M2" s="34">
        <f>SUMIFS('Tourney History'!H:H,'Tourney History'!B:B,A2)</f>
        <v>10</v>
      </c>
      <c r="N2" s="2">
        <f>SUMIFS('Tourney History'!G:G,'Tourney History'!B:B,A2)-M2</f>
        <v>13</v>
      </c>
      <c r="O2" s="88">
        <f>LOOKUP(2, 1/('Tourney History'!$B:$B=A2), 'Tourney History'!$AC:$AC)</f>
        <v>0.43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0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34">
        <f>SUMIFS('Tourney History'!C:C,'Tourney History'!B:B,A3)</f>
        <v>126</v>
      </c>
      <c r="E3" s="4">
        <f>AVERAGEIFS('Tourney History'!C:C,'Tourney History'!B:B,A3)</f>
        <v>21</v>
      </c>
      <c r="F3" s="35">
        <f t="array" ref="F3">MAX(IF('Tourney History'!B:B=A3, 'Tourney History'!C:C))</f>
        <v>33</v>
      </c>
      <c r="G3" s="34">
        <f>COUNTIFS('Tourney History'!B:B,A3,'Tourney History'!D:D, 1)</f>
        <v>2</v>
      </c>
      <c r="H3" s="2">
        <f>COUNTIFS('Tourney History'!B:B,A3,'Tourney History'!D:D, 0)</f>
        <v>4</v>
      </c>
      <c r="I3" s="88">
        <f>LOOKUP(2, 1/('Tourney History'!$B:$B=A3), 'Tourney History'!$AD:$AD)</f>
        <v>0.33333333333333331</v>
      </c>
      <c r="J3" s="34">
        <f>SUMIFS('Tourney History'!F:F,'Tourney History'!B:B,A3)</f>
        <v>10</v>
      </c>
      <c r="K3" s="2">
        <f>SUMIFS('Tourney History'!E:E,'Tourney History'!B:B,A3)-J3</f>
        <v>15</v>
      </c>
      <c r="L3" s="88">
        <f>LOOKUP(2, 1/('Tourney History'!$B:$B=A3), 'Tourney History'!$AB:$AB)</f>
        <v>0.375</v>
      </c>
      <c r="M3" s="34">
        <f>SUMIFS('Tourney History'!H:H,'Tourney History'!B:B,A3)</f>
        <v>45</v>
      </c>
      <c r="N3" s="2">
        <f>SUMIFS('Tourney History'!G:G,'Tourney History'!B:B,A3)-M3</f>
        <v>55</v>
      </c>
      <c r="O3" s="88">
        <f>LOOKUP(2, 1/('Tourney History'!$B:$B=A3), 'Tourney History'!$AC:$AC)</f>
        <v>0.43333333333333335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1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3</v>
      </c>
      <c r="AD3" s="2">
        <f>COUNTIFS('Tourney History'!$B:$B,$A$3,'Tourney History'!Y:Y, 1)</f>
        <v>0</v>
      </c>
      <c r="AE3" s="2">
        <f>COUNTIFS('Tourney History'!$B:$B,$A$3,'Tourney History'!Z:Z, 1)</f>
        <v>2</v>
      </c>
    </row>
    <row r="4" spans="1:31" ht="15.75" x14ac:dyDescent="0.25">
      <c r="A4" s="2" t="s">
        <v>35</v>
      </c>
      <c r="B4" s="80" t="s">
        <v>175</v>
      </c>
      <c r="C4" s="2" t="s">
        <v>79</v>
      </c>
      <c r="D4" s="34">
        <f>SUMIFS('Tourney History'!C:C,'Tourney History'!B:B,A4)</f>
        <v>97</v>
      </c>
      <c r="E4" s="4">
        <f>AVERAGEIFS('Tourney History'!C:C,'Tourney History'!B:B,A4)</f>
        <v>16.166666666666668</v>
      </c>
      <c r="F4" s="35">
        <f t="array" ref="F4">MAX(IF('Tourney History'!B:B=A4, 'Tourney History'!C:C))</f>
        <v>32</v>
      </c>
      <c r="G4" s="34">
        <f>COUNTIFS('Tourney History'!B:B,A4,'Tourney History'!D:D, 1)</f>
        <v>4</v>
      </c>
      <c r="H4" s="2">
        <f>COUNTIFS('Tourney History'!B:B,A4,'Tourney History'!D:D, 0)</f>
        <v>2</v>
      </c>
      <c r="I4" s="88">
        <f>LOOKUP(2, 1/('Tourney History'!$B:$B=A4), 'Tourney History'!$AD:$AD)</f>
        <v>0.66666666666666663</v>
      </c>
      <c r="J4" s="34">
        <f>SUMIFS('Tourney History'!F:F,'Tourney History'!B:B,A4)</f>
        <v>13</v>
      </c>
      <c r="K4" s="2">
        <f>SUMIFS('Tourney History'!E:E,'Tourney History'!B:B,A4)-J4</f>
        <v>12</v>
      </c>
      <c r="L4" s="88">
        <f>LOOKUP(2, 1/('Tourney History'!$B:$B=A4), 'Tourney History'!$AB:$AB)</f>
        <v>0.4916666666666667</v>
      </c>
      <c r="M4" s="34">
        <f>SUMIFS('Tourney History'!H:H,'Tourney History'!B:B,A4)</f>
        <v>54</v>
      </c>
      <c r="N4" s="2">
        <f>SUMIFS('Tourney History'!G:G,'Tourney History'!B:B,A4)-M4</f>
        <v>46</v>
      </c>
      <c r="O4" s="88">
        <f>LOOKUP(2, 1/('Tourney History'!$B:$B=A4), 'Tourney History'!$AC:$AC)</f>
        <v>0.52999999999999992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3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2</v>
      </c>
      <c r="AC4" s="2">
        <f>COUNTIFS('Tourney History'!$B:$B,$A$4,'Tourney History'!X:X, 1)</f>
        <v>0</v>
      </c>
      <c r="AD4" s="2">
        <f>COUNTIFS('Tourney History'!$B:$B,$A$4,'Tourney History'!Y:Y, 1)</f>
        <v>0</v>
      </c>
      <c r="AE4" s="2">
        <f>COUNTIFS('Tourney History'!$B:$B,$A$4,'Tourney History'!Z:Z, 1)</f>
        <v>1</v>
      </c>
    </row>
    <row r="5" spans="1:31" ht="15.75" x14ac:dyDescent="0.25">
      <c r="A5" s="2" t="s">
        <v>19</v>
      </c>
      <c r="B5" s="95" t="s">
        <v>79</v>
      </c>
      <c r="C5" s="2" t="s">
        <v>79</v>
      </c>
      <c r="D5" s="34">
        <f>SUMIFS('Tourney History'!C:C,'Tourney History'!B:B,A5)</f>
        <v>135</v>
      </c>
      <c r="E5" s="4">
        <f>AVERAGEIFS('Tourney History'!C:C,'Tourney History'!B:B,A5)</f>
        <v>15</v>
      </c>
      <c r="F5" s="35">
        <f t="array" ref="F5">MAX(IF('Tourney History'!B:B=A5, 'Tourney History'!C:C))</f>
        <v>26</v>
      </c>
      <c r="G5" s="34">
        <f>COUNTIFS('Tourney History'!B:B,A5,'Tourney History'!D:D, 1)</f>
        <v>3</v>
      </c>
      <c r="H5" s="2">
        <f>COUNTIFS('Tourney History'!B:B,A5,'Tourney History'!D:D, 0)</f>
        <v>6</v>
      </c>
      <c r="I5" s="88">
        <f>LOOKUP(2, 1/('Tourney History'!$B:$B=A5), 'Tourney History'!$AD:$AD)</f>
        <v>0.33333333333333331</v>
      </c>
      <c r="J5" s="34">
        <f>SUMIFS('Tourney History'!F:F,'Tourney History'!B:B,A5)</f>
        <v>17</v>
      </c>
      <c r="K5" s="2">
        <f>SUMIFS('Tourney History'!E:E,'Tourney History'!B:B,A5)-J5</f>
        <v>21</v>
      </c>
      <c r="L5" s="88">
        <f>LOOKUP(2, 1/('Tourney History'!$B:$B=A5), 'Tourney History'!$AB:$AB)</f>
        <v>0.44999999999999996</v>
      </c>
      <c r="M5" s="34">
        <f>SUMIFS('Tourney History'!H:H,'Tourney History'!B:B,A5)</f>
        <v>73</v>
      </c>
      <c r="N5" s="2">
        <f>SUMIFS('Tourney History'!G:G,'Tourney History'!B:B,A5)-M5</f>
        <v>82</v>
      </c>
      <c r="O5" s="88">
        <f>LOOKUP(2, 1/('Tourney History'!$B:$B=A5), 'Tourney History'!$AC:$AC)</f>
        <v>0.46555555555555561</v>
      </c>
      <c r="P5" s="2">
        <f>COUNTIFS('Tourney History'!$B:$B,$A$5,'Tourney History'!K:K, 1)</f>
        <v>1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1</v>
      </c>
      <c r="U5" s="2">
        <f>COUNTIFS('Tourney History'!$B:$B,$A$5,'Tourney History'!P:P, 1)</f>
        <v>3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4</v>
      </c>
      <c r="AD5" s="2">
        <f>COUNTIFS('Tourney History'!$B:$B,$A$5,'Tourney History'!Y:Y, 1)</f>
        <v>1</v>
      </c>
      <c r="AE5" s="2">
        <f>COUNTIFS('Tourney History'!$B:$B,$A$5,'Tourney History'!Z:Z, 1)</f>
        <v>3</v>
      </c>
    </row>
    <row r="6" spans="1:31" x14ac:dyDescent="0.25">
      <c r="A6" s="1" t="s">
        <v>42</v>
      </c>
      <c r="B6" s="6" t="s">
        <v>60</v>
      </c>
      <c r="C6" s="2" t="s">
        <v>79</v>
      </c>
      <c r="D6" s="34">
        <f>SUMIFS('Tourney History'!C:C,'Tourney History'!B:B,A6)</f>
        <v>18</v>
      </c>
      <c r="E6" s="4">
        <f>AVERAGEIFS('Tourney History'!C:C,'Tourney History'!B:B,A6)</f>
        <v>9</v>
      </c>
      <c r="F6" s="35">
        <f t="array" ref="F6">MAX(IF('Tourney History'!B:B=A6, 'Tourney History'!C:C))</f>
        <v>12</v>
      </c>
      <c r="G6" s="34">
        <f>COUNTIFS('Tourney History'!B:B,A6,'Tourney History'!D:D, 1)</f>
        <v>2</v>
      </c>
      <c r="H6" s="2">
        <f>COUNTIFS('Tourney History'!B:B,A6,'Tourney History'!D:D, 0)</f>
        <v>0</v>
      </c>
      <c r="I6" s="88">
        <f>LOOKUP(2, 1/('Tourney History'!$B:$B=A6), 'Tourney History'!$AD:$AD)</f>
        <v>1</v>
      </c>
      <c r="J6" s="34">
        <f>SUMIFS('Tourney History'!F:F,'Tourney History'!B:B,A6)</f>
        <v>6</v>
      </c>
      <c r="K6" s="2">
        <f>SUMIFS('Tourney History'!E:E,'Tourney History'!B:B,A6)-J6</f>
        <v>2</v>
      </c>
      <c r="L6" s="88">
        <f>LOOKUP(2, 1/('Tourney History'!$B:$B=A6), 'Tourney History'!$AB:$AB)</f>
        <v>0.8</v>
      </c>
      <c r="M6" s="34">
        <f>SUMIFS('Tourney History'!H:H,'Tourney History'!B:B,A6)</f>
        <v>20</v>
      </c>
      <c r="N6" s="2">
        <f>SUMIFS('Tourney History'!G:G,'Tourney History'!B:B,A6)-M6</f>
        <v>12</v>
      </c>
      <c r="O6" s="88">
        <f>LOOKUP(2, 1/('Tourney History'!$B:$B=A6), 'Tourney History'!$AC:$AC)</f>
        <v>0.66999999999999993</v>
      </c>
      <c r="P6" s="2">
        <f>COUNTIFS('Tourney History'!$B:$B,$A$6,'Tourney History'!K:K, 1)</f>
        <v>0</v>
      </c>
      <c r="Q6" s="2">
        <f>COUNTIFS('Tourney History'!$B:$B,$A$6,'Tourney History'!L:L, 1)</f>
        <v>2</v>
      </c>
      <c r="R6" s="2">
        <f>COUNTIFS('Tourney History'!$B:$B,$A$6,'Tourney History'!M:M, 1)</f>
        <v>1</v>
      </c>
      <c r="S6" s="2">
        <f>COUNTIFS('Tourney History'!$B:$B,$A$6,'Tourney History'!N:N, 1)</f>
        <v>0</v>
      </c>
      <c r="T6" s="2">
        <f>COUNTIFS('Tourney History'!$B:$B,$A$6,'Tourney History'!O:O, 1)</f>
        <v>1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1</v>
      </c>
      <c r="AC6" s="2">
        <f>COUNTIFS('Tourney History'!$B:$B,$A$6,'Tourney History'!X:X, 1)</f>
        <v>0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x14ac:dyDescent="0.25">
      <c r="A7" s="1" t="s">
        <v>25</v>
      </c>
      <c r="B7" s="6" t="s">
        <v>79</v>
      </c>
      <c r="C7" s="2" t="s">
        <v>79</v>
      </c>
      <c r="D7" s="34">
        <f>SUMIFS('Tourney History'!C:C,'Tourney History'!B:B,A7)</f>
        <v>126</v>
      </c>
      <c r="E7" s="4">
        <f>AVERAGEIFS('Tourney History'!C:C,'Tourney History'!B:B,A7)</f>
        <v>25.2</v>
      </c>
      <c r="F7" s="35">
        <f t="array" ref="F7">MAX(IF('Tourney History'!B:B=A7, 'Tourney History'!C:C))</f>
        <v>35</v>
      </c>
      <c r="G7" s="34">
        <f>COUNTIFS('Tourney History'!B:B,A7,'Tourney History'!D:D, 1)</f>
        <v>1</v>
      </c>
      <c r="H7" s="2">
        <f>COUNTIFS('Tourney History'!B:B,A7,'Tourney History'!D:D, 0)</f>
        <v>4</v>
      </c>
      <c r="I7" s="88">
        <f>LOOKUP(2, 1/('Tourney History'!$B:$B=A7), 'Tourney History'!$AD:$AD)</f>
        <v>0.2</v>
      </c>
      <c r="J7" s="34">
        <f>SUMIFS('Tourney History'!F:F,'Tourney History'!B:B,A7)</f>
        <v>10</v>
      </c>
      <c r="K7" s="2">
        <f>SUMIFS('Tourney History'!E:E,'Tourney History'!B:B,A7)-J7</f>
        <v>14</v>
      </c>
      <c r="L7" s="88">
        <f>LOOKUP(2, 1/('Tourney History'!$B:$B=A7), 'Tourney History'!$AB:$AB)</f>
        <v>0.41</v>
      </c>
      <c r="M7" s="34">
        <f>SUMIFS('Tourney History'!H:H,'Tourney History'!B:B,A7)</f>
        <v>49</v>
      </c>
      <c r="N7" s="2">
        <f>SUMIFS('Tourney History'!G:G,'Tourney History'!B:B,A7)-M7</f>
        <v>55</v>
      </c>
      <c r="O7" s="88">
        <f>LOOKUP(2, 1/('Tourney History'!$B:$B=A7), 'Tourney History'!$AC:$AC)</f>
        <v>0.47000000000000003</v>
      </c>
      <c r="P7" s="2">
        <f>COUNTIFS('Tourney History'!$B:$B,$A$7,'Tourney History'!K:K, 1)</f>
        <v>1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1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2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146</v>
      </c>
      <c r="B8" s="6" t="s">
        <v>79</v>
      </c>
      <c r="C8" s="2" t="s">
        <v>79</v>
      </c>
      <c r="D8" s="34">
        <f>SUMIFS('Tourney History'!C:C,'Tourney History'!B:B,A8)</f>
        <v>48</v>
      </c>
      <c r="E8" s="4">
        <f>AVERAGEIFS('Tourney History'!C:C,'Tourney History'!B:B,A8)</f>
        <v>24</v>
      </c>
      <c r="F8" s="35">
        <f t="array" ref="F8">MAX(IF('Tourney History'!B:B=A8, 'Tourney History'!C:C))</f>
        <v>27</v>
      </c>
      <c r="G8" s="34">
        <f>COUNTIFS('Tourney History'!B:B,A8,'Tourney History'!D:D, 1)</f>
        <v>0</v>
      </c>
      <c r="H8" s="2">
        <f>COUNTIFS('Tourney History'!B:B,A8,'Tourney History'!D:D, 0)</f>
        <v>2</v>
      </c>
      <c r="I8" s="88">
        <f>LOOKUP(2, 1/('Tourney History'!$B:$B=A8), 'Tourney History'!$AD:$AD)</f>
        <v>0</v>
      </c>
      <c r="J8" s="34">
        <f>SUMIFS('Tourney History'!F:F,'Tourney History'!B:B,A8)</f>
        <v>4</v>
      </c>
      <c r="K8" s="2">
        <f>SUMIFS('Tourney History'!E:E,'Tourney History'!B:B,A8)-J8</f>
        <v>6</v>
      </c>
      <c r="L8" s="88">
        <f>LOOKUP(2, 1/('Tourney History'!$B:$B=A8), 'Tourney History'!$AB:$AB)</f>
        <v>0.4</v>
      </c>
      <c r="M8" s="34">
        <f>SUMIFS('Tourney History'!H:H,'Tourney History'!B:B,A8)</f>
        <v>18</v>
      </c>
      <c r="N8" s="2">
        <f>SUMIFS('Tourney History'!G:G,'Tourney History'!B:B,A8)-M8</f>
        <v>25</v>
      </c>
      <c r="O8" s="88">
        <f>LOOKUP(2, 1/('Tourney History'!$B:$B=A8), 'Tourney History'!$AC:$AC)</f>
        <v>0.41500000000000004</v>
      </c>
      <c r="P8" s="2">
        <f>COUNTIFS('Tourney History'!$B:$B,$A$8,'Tourney History'!K:K, 1)</f>
        <v>0</v>
      </c>
      <c r="Q8" s="2">
        <f>COUNTIFS('Tourney History'!$B:$B,$A$8,'Tourney History'!L:L, 1)</f>
        <v>1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0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1</v>
      </c>
      <c r="AD8" s="2">
        <f>COUNTIFS('Tourney History'!$B:$B,$A$8,'Tourney History'!Y:Y, 1)</f>
        <v>1</v>
      </c>
      <c r="AE8" s="2">
        <f>COUNTIFS('Tourney History'!$B:$B,$A$8,'Tourney History'!Z:Z, 1)</f>
        <v>0</v>
      </c>
    </row>
    <row r="9" spans="1:31" x14ac:dyDescent="0.25">
      <c r="A9" s="1" t="s">
        <v>27</v>
      </c>
      <c r="B9" s="6" t="s">
        <v>76</v>
      </c>
      <c r="C9" s="6" t="s">
        <v>79</v>
      </c>
      <c r="D9" s="34">
        <f>SUMIFS('Tourney History'!C:C,'Tourney History'!B:B,A9)</f>
        <v>156</v>
      </c>
      <c r="E9" s="4">
        <f>AVERAGEIFS('Tourney History'!C:C,'Tourney History'!B:B,A9)</f>
        <v>19.5</v>
      </c>
      <c r="F9" s="35">
        <f t="array" ref="F9">MAX(IF('Tourney History'!B:B=A9, 'Tourney History'!C:C))</f>
        <v>44</v>
      </c>
      <c r="G9" s="34">
        <f>COUNTIFS('Tourney History'!B:B,A9,'Tourney History'!D:D, 1)</f>
        <v>4</v>
      </c>
      <c r="H9" s="2">
        <f>COUNTIFS('Tourney History'!B:B,A9,'Tourney History'!D:D, 0)</f>
        <v>4</v>
      </c>
      <c r="I9" s="88">
        <f>LOOKUP(2, 1/('Tourney History'!$B:$B=A9), 'Tourney History'!$AD:$AD)</f>
        <v>0.5</v>
      </c>
      <c r="J9" s="34">
        <f>SUMIFS('Tourney History'!F:F,'Tourney History'!B:B,A9)</f>
        <v>17</v>
      </c>
      <c r="K9" s="2">
        <f>SUMIFS('Tourney History'!E:E,'Tourney History'!B:B,A9)-J9</f>
        <v>19</v>
      </c>
      <c r="L9" s="88">
        <f>LOOKUP(2, 1/('Tourney History'!$B:$B=A9), 'Tourney History'!$AB:$AB)</f>
        <v>0.45</v>
      </c>
      <c r="M9" s="34">
        <f>SUMIFS('Tourney History'!H:H,'Tourney History'!B:B,A9)</f>
        <v>72</v>
      </c>
      <c r="N9" s="2">
        <f>SUMIFS('Tourney History'!G:G,'Tourney History'!B:B,A9)-M9</f>
        <v>77</v>
      </c>
      <c r="O9" s="88">
        <f>LOOKUP(2, 1/('Tourney History'!$B:$B=A9), 'Tourney History'!$AC:$AC)</f>
        <v>0.46375</v>
      </c>
      <c r="P9" s="2">
        <f>COUNTIFS('Tourney History'!$B:$B,$A$9,'Tourney History'!K:K, 1)</f>
        <v>0</v>
      </c>
      <c r="Q9" s="2">
        <f>COUNTIFS('Tourney History'!$B:$B,$A$9,'Tourney History'!L:L, 1)</f>
        <v>0</v>
      </c>
      <c r="R9" s="2">
        <f>COUNTIFS('Tourney History'!$B:$B,$A$9,'Tourney History'!M:M, 1)</f>
        <v>1</v>
      </c>
      <c r="S9" s="2">
        <f>COUNTIFS('Tourney History'!$B:$B,$A$9,'Tourney History'!N:N, 1)</f>
        <v>0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1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26</v>
      </c>
      <c r="B10" s="6" t="s">
        <v>124</v>
      </c>
      <c r="C10" s="6" t="s">
        <v>79</v>
      </c>
      <c r="D10" s="34">
        <f>SUMIFS('Tourney History'!C:C,'Tourney History'!B:B,A10)</f>
        <v>149</v>
      </c>
      <c r="E10" s="4">
        <f>AVERAGEIFS('Tourney History'!C:C,'Tourney History'!B:B,A10)</f>
        <v>18.625</v>
      </c>
      <c r="F10" s="35">
        <f t="array" ref="F10">MAX(IF('Tourney History'!B:B=A10, 'Tourney History'!C:C))</f>
        <v>41</v>
      </c>
      <c r="G10" s="34">
        <f>COUNTIFS('Tourney History'!B:B,A10,'Tourney History'!D:D, 1)</f>
        <v>5</v>
      </c>
      <c r="H10" s="2">
        <f>COUNTIFS('Tourney History'!B:B,A10,'Tourney History'!D:D, 0)</f>
        <v>3</v>
      </c>
      <c r="I10" s="88">
        <f>LOOKUP(2, 1/('Tourney History'!$B:$B=A10), 'Tourney History'!$AD:$AD)</f>
        <v>0.625</v>
      </c>
      <c r="J10" s="34">
        <f>SUMIFS('Tourney History'!F:F,'Tourney History'!B:B,A10)</f>
        <v>19</v>
      </c>
      <c r="K10" s="2">
        <f>SUMIFS('Tourney History'!E:E,'Tourney History'!B:B,A10)-J10</f>
        <v>16</v>
      </c>
      <c r="L10" s="88">
        <f>LOOKUP(2, 1/('Tourney History'!$B:$B=A10), 'Tourney History'!$AB:$AB)</f>
        <v>0.55625000000000013</v>
      </c>
      <c r="M10" s="34">
        <f>SUMIFS('Tourney History'!H:H,'Tourney History'!B:B,A10)</f>
        <v>74</v>
      </c>
      <c r="N10" s="2">
        <f>SUMIFS('Tourney History'!G:G,'Tourney History'!B:B,A10)-M10</f>
        <v>70</v>
      </c>
      <c r="O10" s="88">
        <f>LOOKUP(2, 1/('Tourney History'!$B:$B=A10), 'Tourney History'!$AC:$AC)</f>
        <v>0.52500000000000002</v>
      </c>
      <c r="P10" s="2">
        <f>COUNTIFS('Tourney History'!$B:$B,$A$10,'Tourney History'!K:K, 1)</f>
        <v>0</v>
      </c>
      <c r="Q10" s="2">
        <f>COUNTIFS('Tourney History'!$B:$B,$A$10,'Tourney History'!L:L, 1)</f>
        <v>2</v>
      </c>
      <c r="R10" s="2">
        <f>COUNTIFS('Tourney History'!$B:$B,$A$10,'Tourney History'!M:M, 1)</f>
        <v>1</v>
      </c>
      <c r="S10" s="2">
        <f>COUNTIFS('Tourney History'!$B:$B,$A$10,'Tourney History'!N:N, 1)</f>
        <v>2</v>
      </c>
      <c r="T10" s="2">
        <f>COUNTIFS('Tourney History'!$B:$B,$A$10,'Tourney History'!O:O, 1)</f>
        <v>3</v>
      </c>
      <c r="U10" s="2">
        <f>COUNTIFS('Tourney History'!$B:$B,$A$10,'Tourney History'!P:P, 1)</f>
        <v>4</v>
      </c>
      <c r="V10" s="2">
        <f>COUNTIFS('Tourney History'!$B:$B,$A$10,'Tourney History'!Q:Q, 1)</f>
        <v>2</v>
      </c>
      <c r="W10" s="2">
        <f>COUNTIFS('Tourney History'!$B:$B,$A$10,'Tourney History'!R:R, 1)</f>
        <v>1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0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45</v>
      </c>
      <c r="B11" s="80" t="s">
        <v>60</v>
      </c>
      <c r="C11" s="2" t="s">
        <v>79</v>
      </c>
      <c r="D11" s="34">
        <f>SUMIFS('Tourney History'!C:C,'Tourney History'!B:B,A11)</f>
        <v>71</v>
      </c>
      <c r="E11" s="4">
        <f>AVERAGEIFS('Tourney History'!C:C,'Tourney History'!B:B,A11)</f>
        <v>14.2</v>
      </c>
      <c r="F11" s="35">
        <f t="array" ref="F11">MAX(IF('Tourney History'!B:B=A11, 'Tourney History'!C:C))</f>
        <v>17</v>
      </c>
      <c r="G11" s="34">
        <f>COUNTIFS('Tourney History'!B:B,A11,'Tourney History'!D:D, 1)</f>
        <v>2</v>
      </c>
      <c r="H11" s="2">
        <f>COUNTIFS('Tourney History'!B:B,A11,'Tourney History'!D:D, 0)</f>
        <v>3</v>
      </c>
      <c r="I11" s="88">
        <f>LOOKUP(2, 1/('Tourney History'!$B:$B=A11), 'Tourney History'!$AD:$AD)</f>
        <v>0.4</v>
      </c>
      <c r="J11" s="34">
        <f>SUMIFS('Tourney History'!F:F,'Tourney History'!B:B,A11)</f>
        <v>9</v>
      </c>
      <c r="K11" s="2">
        <f>SUMIFS('Tourney History'!E:E,'Tourney History'!B:B,A11)-J11</f>
        <v>11</v>
      </c>
      <c r="L11" s="88">
        <f>LOOKUP(2, 1/('Tourney History'!$B:$B=A11), 'Tourney History'!$AB:$AB)</f>
        <v>0.43</v>
      </c>
      <c r="M11" s="34">
        <f>SUMIFS('Tourney History'!H:H,'Tourney History'!B:B,A11)</f>
        <v>39</v>
      </c>
      <c r="N11" s="2">
        <f>SUMIFS('Tourney History'!G:G,'Tourney History'!B:B,A11)-M11</f>
        <v>41</v>
      </c>
      <c r="O11" s="88">
        <f>LOOKUP(2, 1/('Tourney History'!$B:$B=A11), 'Tourney History'!$AC:$AC)</f>
        <v>0.48599999999999993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50</v>
      </c>
      <c r="B12" s="95" t="s">
        <v>79</v>
      </c>
      <c r="C12" s="2" t="s">
        <v>79</v>
      </c>
      <c r="D12" s="34">
        <f>SUMIFS('Tourney History'!C:C,'Tourney History'!B:B,A12)</f>
        <v>14</v>
      </c>
      <c r="E12" s="4">
        <f>AVERAGEIFS('Tourney History'!C:C,'Tourney History'!B:B,A12)</f>
        <v>14</v>
      </c>
      <c r="F12" s="35">
        <f t="array" ref="F12">MAX(IF('Tourney History'!B:B=A12, 'Tourney History'!C:C))</f>
        <v>14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1</v>
      </c>
      <c r="K12" s="2">
        <f>SUMIFS('Tourney History'!E:E,'Tourney History'!B:B,A12)-J12</f>
        <v>3</v>
      </c>
      <c r="L12" s="88">
        <f>LOOKUP(2, 1/('Tourney History'!$B:$B=A12), 'Tourney History'!$AB:$AB)</f>
        <v>0.25</v>
      </c>
      <c r="M12" s="34">
        <f>SUMIFS('Tourney History'!H:H,'Tourney History'!B:B,A12)</f>
        <v>8</v>
      </c>
      <c r="N12" s="2">
        <f>SUMIFS('Tourney History'!G:G,'Tourney History'!B:B,A12)-M12</f>
        <v>11</v>
      </c>
      <c r="O12" s="88">
        <f>LOOKUP(2, 1/('Tourney History'!$B:$B=A12), 'Tourney History'!$AC:$AC)</f>
        <v>0.42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52</v>
      </c>
      <c r="B13" s="2" t="s">
        <v>79</v>
      </c>
      <c r="C13" s="2" t="s">
        <v>79</v>
      </c>
      <c r="D13" s="34">
        <f>SUMIFS('Tourney History'!C:C,'Tourney History'!B:B,A13)</f>
        <v>5</v>
      </c>
      <c r="E13" s="4">
        <f>AVERAGEIFS('Tourney History'!C:C,'Tourney History'!B:B,A13)</f>
        <v>5</v>
      </c>
      <c r="F13" s="35">
        <f t="array" ref="F13">MAX(IF('Tourney History'!B:B=A13, 'Tourney History'!C:C))</f>
        <v>5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0</v>
      </c>
      <c r="K13" s="2">
        <f>SUMIFS('Tourney History'!E:E,'Tourney History'!B:B,A13)-J13</f>
        <v>3</v>
      </c>
      <c r="L13" s="88">
        <f>LOOKUP(2, 1/('Tourney History'!$B:$B=A13), 'Tourney History'!$AB:$AB)</f>
        <v>0</v>
      </c>
      <c r="M13" s="34">
        <f>SUMIFS('Tourney History'!H:H,'Tourney History'!B:B,A13)</f>
        <v>4</v>
      </c>
      <c r="N13" s="2">
        <f>SUMIFS('Tourney History'!G:G,'Tourney History'!B:B,A13)-M13</f>
        <v>9</v>
      </c>
      <c r="O13" s="88">
        <f>LOOKUP(2, 1/('Tourney History'!$B:$B=A13), 'Tourney History'!$AC:$AC)</f>
        <v>0.31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0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29</v>
      </c>
      <c r="B14" s="6" t="s">
        <v>174</v>
      </c>
      <c r="C14" s="2" t="s">
        <v>79</v>
      </c>
      <c r="D14" s="34">
        <f>SUMIFS('Tourney History'!C:C,'Tourney History'!B:B,A14)</f>
        <v>117</v>
      </c>
      <c r="E14" s="4">
        <f>AVERAGEIFS('Tourney History'!C:C,'Tourney History'!B:B,A14)</f>
        <v>13</v>
      </c>
      <c r="F14" s="35">
        <f t="array" ref="F14">MAX(IF('Tourney History'!B:B=A14, 'Tourney History'!C:C))</f>
        <v>21</v>
      </c>
      <c r="G14" s="34">
        <f>COUNTIFS('Tourney History'!B:B,A14,'Tourney History'!D:D, 1)</f>
        <v>8</v>
      </c>
      <c r="H14" s="2">
        <f>COUNTIFS('Tourney History'!B:B,A14,'Tourney History'!D:D, 0)</f>
        <v>1</v>
      </c>
      <c r="I14" s="88">
        <f>LOOKUP(2, 1/('Tourney History'!$B:$B=A14), 'Tourney History'!$AD:$AD)</f>
        <v>0.88888888888888884</v>
      </c>
      <c r="J14" s="34">
        <f>SUMIFS('Tourney History'!F:F,'Tourney History'!B:B,A14)</f>
        <v>25</v>
      </c>
      <c r="K14" s="2">
        <f>SUMIFS('Tourney History'!E:E,'Tourney History'!B:B,A14)-J14</f>
        <v>14</v>
      </c>
      <c r="L14" s="88">
        <f>LOOKUP(2, 1/('Tourney History'!$B:$B=A14), 'Tourney History'!$AB:$AB)</f>
        <v>0.65555555555555545</v>
      </c>
      <c r="M14" s="34">
        <f>SUMIFS('Tourney History'!H:H,'Tourney History'!B:B,A14)</f>
        <v>94</v>
      </c>
      <c r="N14" s="2">
        <f>SUMIFS('Tourney History'!G:G,'Tourney History'!B:B,A14)-M14</f>
        <v>68</v>
      </c>
      <c r="O14" s="88">
        <f>LOOKUP(2, 1/('Tourney History'!$B:$B=A14), 'Tourney History'!$AC:$AC)</f>
        <v>0.59222222222222221</v>
      </c>
      <c r="P14" s="2">
        <f>COUNTIFS('Tourney History'!$B:$B,$A$14,'Tourney History'!K:K, 1)</f>
        <v>1</v>
      </c>
      <c r="Q14" s="2">
        <f>COUNTIFS('Tourney History'!$B:$B,$A$14,'Tourney History'!L:L, 1)</f>
        <v>4</v>
      </c>
      <c r="R14" s="2">
        <f>COUNTIFS('Tourney History'!$B:$B,$A$14,'Tourney History'!M:M, 1)</f>
        <v>2</v>
      </c>
      <c r="S14" s="2">
        <f>COUNTIFS('Tourney History'!$B:$B,$A$14,'Tourney History'!N:N, 1)</f>
        <v>3</v>
      </c>
      <c r="T14" s="2">
        <f>COUNTIFS('Tourney History'!$B:$B,$A$14,'Tourney History'!O:O, 1)</f>
        <v>4</v>
      </c>
      <c r="U14" s="2">
        <f>COUNTIFS('Tourney History'!$B:$B,$A$14,'Tourney History'!P:P, 1)</f>
        <v>2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4</v>
      </c>
      <c r="AC14" s="2">
        <f>COUNTIFS('Tourney History'!$B:$B,$A$14,'Tourney History'!X:X, 1)</f>
        <v>2</v>
      </c>
      <c r="AD14" s="2">
        <f>COUNTIFS('Tourney History'!$B:$B,$A$14,'Tourney History'!Y:Y, 1)</f>
        <v>0</v>
      </c>
      <c r="AE14" s="2">
        <f>COUNTIFS('Tourney History'!$B:$B,$A$14,'Tourney History'!Z:Z, 1)</f>
        <v>3</v>
      </c>
    </row>
    <row r="15" spans="1:31" x14ac:dyDescent="0.25">
      <c r="A15" s="2" t="s">
        <v>1</v>
      </c>
      <c r="B15" s="6" t="s">
        <v>156</v>
      </c>
      <c r="C15" s="2" t="s">
        <v>79</v>
      </c>
      <c r="D15" s="34">
        <f>SUMIFS('Tourney History'!C:C,'Tourney History'!B:B,A15)</f>
        <v>160</v>
      </c>
      <c r="E15" s="4">
        <f>AVERAGEIFS('Tourney History'!C:C,'Tourney History'!B:B,A15)</f>
        <v>26.666666666666668</v>
      </c>
      <c r="F15" s="35">
        <f t="array" ref="F15">MAX(IF('Tourney History'!B:B=A15, 'Tourney History'!C:C))</f>
        <v>33</v>
      </c>
      <c r="G15" s="34">
        <f>COUNTIFS('Tourney History'!B:B,A15,'Tourney History'!D:D, 1)</f>
        <v>5</v>
      </c>
      <c r="H15" s="2">
        <f>COUNTIFS('Tourney History'!B:B,A15,'Tourney History'!D:D, 0)</f>
        <v>1</v>
      </c>
      <c r="I15" s="88">
        <f>LOOKUP(2, 1/('Tourney History'!$B:$B=A15), 'Tourney History'!$AD:$AD)</f>
        <v>0.83333333333333337</v>
      </c>
      <c r="J15" s="34">
        <f>SUMIFS('Tourney History'!F:F,'Tourney History'!B:B,A15)</f>
        <v>17</v>
      </c>
      <c r="K15" s="2">
        <f>SUMIFS('Tourney History'!E:E,'Tourney History'!B:B,A15)-J15</f>
        <v>9</v>
      </c>
      <c r="L15" s="88">
        <f>LOOKUP(2, 1/('Tourney History'!$B:$B=A15), 'Tourney History'!$AB:$AB)</f>
        <v>0.68333333333333324</v>
      </c>
      <c r="M15" s="34">
        <f>SUMIFS('Tourney History'!H:H,'Tourney History'!B:B,A15)</f>
        <v>63</v>
      </c>
      <c r="N15" s="2">
        <f>SUMIFS('Tourney History'!G:G,'Tourney History'!B:B,A15)-M15</f>
        <v>51</v>
      </c>
      <c r="O15" s="88">
        <f>LOOKUP(2, 1/('Tourney History'!$B:$B=A15), 'Tourney History'!$AC:$AC)</f>
        <v>0.57500000000000007</v>
      </c>
      <c r="P15" s="2">
        <f>COUNTIFS('Tourney History'!$B:$B,$A$15,'Tourney History'!K:K, 1)</f>
        <v>0</v>
      </c>
      <c r="Q15" s="2">
        <f>COUNTIFS('Tourney History'!$B:$B,$A$15,'Tourney History'!L:L, 1)</f>
        <v>3</v>
      </c>
      <c r="R15" s="2">
        <f>COUNTIFS('Tourney History'!$B:$B,$A$15,'Tourney History'!M:M, 1)</f>
        <v>3</v>
      </c>
      <c r="S15" s="2">
        <f>COUNTIFS('Tourney History'!$B:$B,$A$15,'Tourney History'!N:N, 1)</f>
        <v>0</v>
      </c>
      <c r="T15" s="2">
        <f>COUNTIFS('Tourney History'!$B:$B,$A$15,'Tourney History'!O:O, 1)</f>
        <v>2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2</v>
      </c>
      <c r="AE15" s="2">
        <f>COUNTIFS('Tourney History'!$B:$B,$A$15,'Tourney History'!Z:Z, 1)</f>
        <v>3</v>
      </c>
    </row>
    <row r="16" spans="1:31" x14ac:dyDescent="0.25">
      <c r="A16" s="2" t="s">
        <v>46</v>
      </c>
      <c r="B16" s="6" t="s">
        <v>158</v>
      </c>
      <c r="C16" s="2" t="s">
        <v>79</v>
      </c>
      <c r="D16" s="34">
        <f>SUMIFS('Tourney History'!C:C,'Tourney History'!B:B,A16)</f>
        <v>106</v>
      </c>
      <c r="E16" s="4">
        <f>AVERAGEIFS('Tourney History'!C:C,'Tourney History'!B:B,A16)</f>
        <v>21.2</v>
      </c>
      <c r="F16" s="35">
        <f t="array" ref="F16">MAX(IF('Tourney History'!B:B=A16, 'Tourney History'!C:C))</f>
        <v>36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8</v>
      </c>
      <c r="K16" s="2">
        <f>SUMIFS('Tourney History'!E:E,'Tourney History'!B:B,A16)-J16</f>
        <v>11</v>
      </c>
      <c r="L16" s="88">
        <f>LOOKUP(2, 1/('Tourney History'!$B:$B=A16), 'Tourney History'!$AB:$AB)</f>
        <v>0.4</v>
      </c>
      <c r="M16" s="34">
        <f>SUMIFS('Tourney History'!H:H,'Tourney History'!B:B,A16)</f>
        <v>35</v>
      </c>
      <c r="N16" s="2">
        <f>SUMIFS('Tourney History'!G:G,'Tourney History'!B:B,A16)-M16</f>
        <v>45</v>
      </c>
      <c r="O16" s="88">
        <f>LOOKUP(2, 1/('Tourney History'!$B:$B=A16), 'Tourney History'!$AC:$AC)</f>
        <v>0.42800000000000005</v>
      </c>
      <c r="P16" s="2">
        <f>COUNTIFS('Tourney History'!$B:$B,$A$16,'Tourney History'!K:K, 1)</f>
        <v>0</v>
      </c>
      <c r="Q16" s="2">
        <f>COUNTIFS('Tourney History'!$B:$B,$A$16,'Tourney History'!L:L, 1)</f>
        <v>1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0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28</v>
      </c>
      <c r="B17" s="6" t="s">
        <v>60</v>
      </c>
      <c r="C17" s="2" t="s">
        <v>79</v>
      </c>
      <c r="D17" s="34">
        <f>SUMIFS('Tourney History'!C:C,'Tourney History'!B:B,A17)</f>
        <v>166</v>
      </c>
      <c r="E17" s="4">
        <f>AVERAGEIFS('Tourney History'!C:C,'Tourney History'!B:B,A17)</f>
        <v>23.714285714285715</v>
      </c>
      <c r="F17" s="35">
        <f t="array" ref="F17">MAX(IF('Tourney History'!B:B=A17, 'Tourney History'!C:C))</f>
        <v>43</v>
      </c>
      <c r="G17" s="34">
        <f>COUNTIFS('Tourney History'!B:B,A17,'Tourney History'!D:D, 1)</f>
        <v>3</v>
      </c>
      <c r="H17" s="2">
        <f>COUNTIFS('Tourney History'!B:B,A17,'Tourney History'!D:D, 0)</f>
        <v>4</v>
      </c>
      <c r="I17" s="88">
        <f>LOOKUP(2, 1/('Tourney History'!$B:$B=A17), 'Tourney History'!$AD:$AD)</f>
        <v>0.42857142857142855</v>
      </c>
      <c r="J17" s="34">
        <f>SUMIFS('Tourney History'!F:F,'Tourney History'!B:B,A17)</f>
        <v>16</v>
      </c>
      <c r="K17" s="2">
        <f>SUMIFS('Tourney History'!E:E,'Tourney History'!B:B,A17)-J17</f>
        <v>17</v>
      </c>
      <c r="L17" s="88">
        <f>LOOKUP(2, 1/('Tourney History'!$B:$B=A17), 'Tourney History'!$AB:$AB)</f>
        <v>0.48571428571428571</v>
      </c>
      <c r="M17" s="34">
        <f>SUMIFS('Tourney History'!H:H,'Tourney History'!B:B,A17)</f>
        <v>73</v>
      </c>
      <c r="N17" s="2">
        <f>SUMIFS('Tourney History'!G:G,'Tourney History'!B:B,A17)-M17</f>
        <v>74</v>
      </c>
      <c r="O17" s="88">
        <f>LOOKUP(2, 1/('Tourney History'!$B:$B=A17), 'Tourney History'!$AC:$AC)</f>
        <v>0.49571428571428566</v>
      </c>
      <c r="P17" s="2">
        <f>COUNTIFS('Tourney History'!$B:$B,$A$17,'Tourney History'!K:K, 1)</f>
        <v>1</v>
      </c>
      <c r="Q17" s="2">
        <f>COUNTIFS('Tourney History'!$B:$B,$A$17,'Tourney History'!L:L, 1)</f>
        <v>0</v>
      </c>
      <c r="R17" s="2">
        <f>COUNTIFS('Tourney History'!$B:$B,$A$17,'Tourney History'!M:M, 1)</f>
        <v>1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1</v>
      </c>
      <c r="AC17" s="2">
        <f>COUNTIFS('Tourney History'!$B:$B,$A$17,'Tourney History'!X:X, 1)</f>
        <v>4</v>
      </c>
      <c r="AD17" s="2">
        <f>COUNTIFS('Tourney History'!$B:$B,$A$17,'Tourney History'!Y:Y, 1)</f>
        <v>1</v>
      </c>
      <c r="AE17" s="2">
        <f>COUNTIFS('Tourney History'!$B:$B,$A$17,'Tourney History'!Z:Z, 1)</f>
        <v>4</v>
      </c>
    </row>
    <row r="18" spans="1:31" x14ac:dyDescent="0.25">
      <c r="A18" s="2" t="s">
        <v>53</v>
      </c>
      <c r="B18" s="6" t="s">
        <v>60</v>
      </c>
      <c r="C18" s="2" t="s">
        <v>79</v>
      </c>
      <c r="D18" s="34">
        <f>SUMIFS('Tourney History'!C:C,'Tourney History'!B:B,A18)</f>
        <v>43</v>
      </c>
      <c r="E18" s="4">
        <f>AVERAGEIFS('Tourney History'!C:C,'Tourney History'!B:B,A18)</f>
        <v>14.333333333333334</v>
      </c>
      <c r="F18" s="35">
        <f t="array" ref="F18">MAX(IF('Tourney History'!B:B=A18, 'Tourney History'!C:C))</f>
        <v>25</v>
      </c>
      <c r="G18" s="34">
        <f>COUNTIFS('Tourney History'!B:B,A18,'Tourney History'!D:D, 1)</f>
        <v>2</v>
      </c>
      <c r="H18" s="2">
        <f>COUNTIFS('Tourney History'!B:B,A18,'Tourney History'!D:D, 0)</f>
        <v>1</v>
      </c>
      <c r="I18" s="88">
        <f>LOOKUP(2, 1/('Tourney History'!$B:$B=A18), 'Tourney History'!$AD:$AD)</f>
        <v>0.66666666666666663</v>
      </c>
      <c r="J18" s="34">
        <f>SUMIFS('Tourney History'!F:F,'Tourney History'!B:B,A18)</f>
        <v>6</v>
      </c>
      <c r="K18" s="2">
        <f>SUMIFS('Tourney History'!E:E,'Tourney History'!B:B,A18)-J18</f>
        <v>7</v>
      </c>
      <c r="L18" s="88">
        <f>LOOKUP(2, 1/('Tourney History'!$B:$B=A18), 'Tourney History'!$AB:$AB)</f>
        <v>0.39999999999999997</v>
      </c>
      <c r="M18" s="34">
        <f>SUMIFS('Tourney History'!H:H,'Tourney History'!B:B,A18)</f>
        <v>27</v>
      </c>
      <c r="N18" s="2">
        <f>SUMIFS('Tourney History'!G:G,'Tourney History'!B:B,A18)-M18</f>
        <v>26</v>
      </c>
      <c r="O18" s="88">
        <f>LOOKUP(2, 1/('Tourney History'!$B:$B=A18), 'Tourney History'!$AC:$AC)</f>
        <v>0.48666666666666664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1</v>
      </c>
      <c r="T18" s="2">
        <f>COUNTIFS('Tourney History'!$B:$B,$A$18,'Tourney History'!O:O, 1)</f>
        <v>2</v>
      </c>
      <c r="U18" s="2">
        <f>COUNTIFS('Tourney History'!$B:$B,$A$18,'Tourney History'!P:P, 1)</f>
        <v>1</v>
      </c>
      <c r="V18" s="2">
        <f>COUNTIFS('Tourney History'!$B:$B,$A$18,'Tourney History'!Q:Q, 1)</f>
        <v>2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0</v>
      </c>
      <c r="AD18" s="2">
        <f>COUNTIFS('Tourney History'!$B:$B,$A$18,'Tourney History'!Y:Y, 1)</f>
        <v>0</v>
      </c>
      <c r="AE18" s="2">
        <f>COUNTIFS('Tourney History'!$B:$B,$A$18,'Tourney History'!Z:Z, 1)</f>
        <v>0</v>
      </c>
    </row>
    <row r="19" spans="1:31" x14ac:dyDescent="0.25">
      <c r="A19" s="2" t="s">
        <v>51</v>
      </c>
      <c r="B19" s="6" t="s">
        <v>79</v>
      </c>
      <c r="C19" s="2" t="s">
        <v>79</v>
      </c>
      <c r="D19" s="34">
        <f>SUMIFS('Tourney History'!C:C,'Tourney History'!B:B,A19)</f>
        <v>84</v>
      </c>
      <c r="E19" s="4">
        <f>AVERAGEIFS('Tourney History'!C:C,'Tourney History'!B:B,A19)</f>
        <v>16.8</v>
      </c>
      <c r="F19" s="35">
        <f t="array" ref="F19">MAX(IF('Tourney History'!B:B=A19, 'Tourney History'!C:C))</f>
        <v>22</v>
      </c>
      <c r="G19" s="34">
        <f>COUNTIFS('Tourney History'!B:B,A19,'Tourney History'!D:D, 1)</f>
        <v>3</v>
      </c>
      <c r="H19" s="2">
        <f>COUNTIFS('Tourney History'!B:B,A19,'Tourney History'!D:D, 0)</f>
        <v>2</v>
      </c>
      <c r="I19" s="88">
        <f>LOOKUP(2, 1/('Tourney History'!$B:$B=A19), 'Tourney History'!$AD:$AD)</f>
        <v>0.6</v>
      </c>
      <c r="J19" s="34">
        <f>SUMIFS('Tourney History'!F:F,'Tourney History'!B:B,A19)</f>
        <v>12</v>
      </c>
      <c r="K19" s="2">
        <f>SUMIFS('Tourney History'!E:E,'Tourney History'!B:B,A19)-J19</f>
        <v>8</v>
      </c>
      <c r="L19" s="88">
        <f>LOOKUP(2, 1/('Tourney History'!$B:$B=A19), 'Tourney History'!$AB:$AB)</f>
        <v>0.63</v>
      </c>
      <c r="M19" s="34">
        <f>SUMIFS('Tourney History'!H:H,'Tourney History'!B:B,A19)</f>
        <v>41</v>
      </c>
      <c r="N19" s="2">
        <f>SUMIFS('Tourney History'!G:G,'Tourney History'!B:B,A19)-M19</f>
        <v>40</v>
      </c>
      <c r="O19" s="88">
        <f>LOOKUP(2, 1/('Tourney History'!$B:$B=A19), 'Tourney History'!$AC:$AC)</f>
        <v>0.51600000000000001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0</v>
      </c>
      <c r="S19" s="2">
        <f>COUNTIFS('Tourney History'!$B:$B,$A$19,'Tourney History'!N:N, 1)</f>
        <v>2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2</v>
      </c>
      <c r="AC19" s="2">
        <f>COUNTIFS('Tourney History'!$B:$B,$A$19,'Tourney History'!X:X, 1)</f>
        <v>3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ht="15.75" x14ac:dyDescent="0.25">
      <c r="A20" s="2" t="s">
        <v>20</v>
      </c>
      <c r="B20" s="80" t="s">
        <v>60</v>
      </c>
      <c r="C20" s="2" t="s">
        <v>79</v>
      </c>
      <c r="D20" s="34">
        <f>SUMIFS('Tourney History'!C:C,'Tourney History'!B:B,A20)</f>
        <v>164</v>
      </c>
      <c r="E20" s="4">
        <f>AVERAGEIFS('Tourney History'!C:C,'Tourney History'!B:B,A20)</f>
        <v>18.222222222222221</v>
      </c>
      <c r="F20" s="35">
        <f t="array" ref="F20">MAX(IF('Tourney History'!B:B=A20, 'Tourney History'!C:C))</f>
        <v>37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19</v>
      </c>
      <c r="K20" s="2">
        <f>SUMIFS('Tourney History'!E:E,'Tourney History'!B:B,A20)-J20</f>
        <v>21</v>
      </c>
      <c r="L20" s="88">
        <f>LOOKUP(2, 1/('Tourney History'!$B:$B=A20), 'Tourney History'!$AB:$AB)</f>
        <v>0.48333333333333328</v>
      </c>
      <c r="M20" s="34">
        <f>SUMIFS('Tourney History'!H:H,'Tourney History'!B:B,A20)</f>
        <v>83</v>
      </c>
      <c r="N20" s="2">
        <f>SUMIFS('Tourney History'!G:G,'Tourney History'!B:B,A20)-M20</f>
        <v>84</v>
      </c>
      <c r="O20" s="88">
        <f>LOOKUP(2, 1/('Tourney History'!$B:$B=A20), 'Tourney History'!$AC:$AC)</f>
        <v>0.5066666666666666</v>
      </c>
      <c r="P20" s="2">
        <f>COUNTIFS('Tourney History'!$B:$B,$A$20,'Tourney History'!K:K, 1)</f>
        <v>1</v>
      </c>
      <c r="Q20" s="2">
        <f>COUNTIFS('Tourney History'!$B:$B,$A$20,'Tourney History'!L:L, 1)</f>
        <v>1</v>
      </c>
      <c r="R20" s="2">
        <f>COUNTIFS('Tourney History'!$B:$B,$A$20,'Tourney History'!M:M, 1)</f>
        <v>0</v>
      </c>
      <c r="S20" s="2">
        <f>COUNTIFS('Tourney History'!$B:$B,$A$20,'Tourney History'!N:N, 1)</f>
        <v>4</v>
      </c>
      <c r="T20" s="2">
        <f>COUNTIFS('Tourney History'!$B:$B,$A$20,'Tourney History'!O:O, 1)</f>
        <v>0</v>
      </c>
      <c r="U20" s="2">
        <f>COUNTIFS('Tourney History'!$B:$B,$A$20,'Tourney History'!P:P, 1)</f>
        <v>3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4</v>
      </c>
      <c r="AC20" s="2">
        <f>COUNTIFS('Tourney History'!$B:$B,$A$20,'Tourney History'!X:X, 1)</f>
        <v>2</v>
      </c>
      <c r="AD20" s="2">
        <f>COUNTIFS('Tourney History'!$B:$B,$A$20,'Tourney History'!Y:Y, 1)</f>
        <v>1</v>
      </c>
      <c r="AE20" s="2">
        <f>COUNTIFS('Tourney History'!$B:$B,$A$20,'Tourney History'!Z:Z, 1)</f>
        <v>2</v>
      </c>
    </row>
    <row r="21" spans="1:31" x14ac:dyDescent="0.25">
      <c r="A21" s="1" t="s">
        <v>47</v>
      </c>
      <c r="B21" s="2" t="s">
        <v>79</v>
      </c>
      <c r="C21" s="2" t="s">
        <v>79</v>
      </c>
      <c r="D21" s="34">
        <f>SUMIFS('Tourney History'!C:C,'Tourney History'!B:B,A21)</f>
        <v>48</v>
      </c>
      <c r="E21" s="4">
        <f>AVERAGEIFS('Tourney History'!C:C,'Tourney History'!B:B,A21)</f>
        <v>9.6</v>
      </c>
      <c r="F21" s="35">
        <f t="array" ref="F21">MAX(IF('Tourney History'!B:B=A21, 'Tourney History'!C:C))</f>
        <v>13</v>
      </c>
      <c r="G21" s="34">
        <f>COUNTIFS('Tourney History'!B:B,A21,'Tourney History'!D:D, 1)</f>
        <v>2</v>
      </c>
      <c r="H21" s="2">
        <f>COUNTIFS('Tourney History'!B:B,A21,'Tourney History'!D:D, 0)</f>
        <v>3</v>
      </c>
      <c r="I21" s="88">
        <f>LOOKUP(2, 1/('Tourney History'!$B:$B=A21), 'Tourney History'!$AD:$AD)</f>
        <v>0.4</v>
      </c>
      <c r="J21" s="34">
        <f>SUMIFS('Tourney History'!F:F,'Tourney History'!B:B,A21)</f>
        <v>9</v>
      </c>
      <c r="K21" s="2">
        <f>SUMIFS('Tourney History'!E:E,'Tourney History'!B:B,A21)-J21</f>
        <v>11</v>
      </c>
      <c r="L21" s="88">
        <f>LOOKUP(2, 1/('Tourney History'!$B:$B=A21), 'Tourney History'!$AB:$AB)</f>
        <v>0.45</v>
      </c>
      <c r="M21" s="34">
        <f>SUMIFS('Tourney History'!H:H,'Tourney History'!B:B,A21)</f>
        <v>42</v>
      </c>
      <c r="N21" s="2">
        <f>SUMIFS('Tourney History'!G:G,'Tourney History'!B:B,A21)-M21</f>
        <v>44</v>
      </c>
      <c r="O21" s="88">
        <f>LOOKUP(2, 1/('Tourney History'!$B:$B=A21), 'Tourney History'!$AC:$AC)</f>
        <v>0.47400000000000003</v>
      </c>
      <c r="P21" s="2">
        <f>COUNTIFS('Tourney History'!$B:$B,$A$21,'Tourney History'!K:K, 1)</f>
        <v>0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0</v>
      </c>
      <c r="T21" s="2">
        <f>COUNTIFS('Tourney History'!$B:$B,$A$21,'Tourney History'!O:O, 1)</f>
        <v>1</v>
      </c>
      <c r="U21" s="2">
        <f>COUNTIFS('Tourney History'!$B:$B,$A$21,'Tourney History'!P:P, 1)</f>
        <v>2</v>
      </c>
      <c r="V21" s="2">
        <f>COUNTIFS('Tourney History'!$B:$B,$A$21,'Tourney History'!Q:Q, 1)</f>
        <v>0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3</v>
      </c>
    </row>
    <row r="22" spans="1:31" ht="15.75" x14ac:dyDescent="0.25">
      <c r="A22" s="1" t="s">
        <v>3</v>
      </c>
      <c r="B22" s="80" t="s">
        <v>157</v>
      </c>
      <c r="C22" s="2" t="s">
        <v>159</v>
      </c>
      <c r="D22" s="34">
        <f>SUMIFS('Tourney History'!C:C,'Tourney History'!B:B,A22)</f>
        <v>117</v>
      </c>
      <c r="E22" s="4">
        <f>AVERAGEIFS('Tourney History'!C:C,'Tourney History'!B:B,A22)</f>
        <v>29.25</v>
      </c>
      <c r="F22" s="35">
        <f t="array" ref="F22">MAX(IF('Tourney History'!B:B=A22, 'Tourney History'!C:C))</f>
        <v>44</v>
      </c>
      <c r="G22" s="34">
        <f>COUNTIFS('Tourney History'!B:B,A22,'Tourney History'!D:D, 1)</f>
        <v>3</v>
      </c>
      <c r="H22" s="2">
        <f>COUNTIFS('Tourney History'!B:B,A22,'Tourney History'!D:D, 0)</f>
        <v>1</v>
      </c>
      <c r="I22" s="88">
        <f>LOOKUP(2, 1/('Tourney History'!$B:$B=A22), 'Tourney History'!$AD:$AD)</f>
        <v>0.75</v>
      </c>
      <c r="J22" s="34">
        <f>SUMIFS('Tourney History'!F:F,'Tourney History'!B:B,A22)</f>
        <v>10</v>
      </c>
      <c r="K22" s="2">
        <f>SUMIFS('Tourney History'!E:E,'Tourney History'!B:B,A22)-J22</f>
        <v>8</v>
      </c>
      <c r="L22" s="88">
        <f>LOOKUP(2, 1/('Tourney History'!$B:$B=A22), 'Tourney History'!$AB:$AB)</f>
        <v>0.55000000000000004</v>
      </c>
      <c r="M22" s="34">
        <f>SUMIFS('Tourney History'!H:H,'Tourney History'!B:B,A22)</f>
        <v>39</v>
      </c>
      <c r="N22" s="2">
        <f>SUMIFS('Tourney History'!G:G,'Tourney History'!B:B,A22)-M22</f>
        <v>35</v>
      </c>
      <c r="O22" s="88">
        <f>LOOKUP(2, 1/('Tourney History'!$B:$B=A22), 'Tourney History'!$AC:$AC)</f>
        <v>0.52249999999999996</v>
      </c>
      <c r="P22" s="2">
        <f>COUNTIFS('Tourney History'!$B:$B,$A$22,'Tourney History'!K:K, 1)</f>
        <v>0</v>
      </c>
      <c r="Q22" s="2">
        <f>COUNTIFS('Tourney History'!$B:$B,$A$22,'Tourney History'!L:L, 1)</f>
        <v>1</v>
      </c>
      <c r="R22" s="2">
        <f>COUNTIFS('Tourney History'!$B:$B,$A$22,'Tourney History'!M:M, 1)</f>
        <v>1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1</v>
      </c>
      <c r="AE22" s="2">
        <f>COUNTIFS('Tourney History'!$B:$B,$A$22,'Tourney History'!Z:Z, 1)</f>
        <v>0</v>
      </c>
    </row>
    <row r="23" spans="1:31" x14ac:dyDescent="0.25">
      <c r="A23" s="2" t="s">
        <v>15</v>
      </c>
      <c r="B23" s="2" t="s">
        <v>79</v>
      </c>
      <c r="C23" s="2" t="s">
        <v>79</v>
      </c>
      <c r="D23" s="34">
        <f>SUMIFS('Tourney History'!C:C,'Tourney History'!B:B,A23)</f>
        <v>268</v>
      </c>
      <c r="E23" s="4">
        <f>AVERAGEIFS('Tourney History'!C:C,'Tourney History'!B:B,A23)</f>
        <v>33.5</v>
      </c>
      <c r="F23" s="35">
        <f t="array" ref="F23">MAX(IF('Tourney History'!B:B=A23, 'Tourney History'!C:C))</f>
        <v>55</v>
      </c>
      <c r="G23" s="34">
        <f>COUNTIFS('Tourney History'!B:B,A23,'Tourney History'!D:D, 1)</f>
        <v>2</v>
      </c>
      <c r="H23" s="2">
        <f>COUNTIFS('Tourney History'!B:B,A23,'Tourney History'!D:D, 0)</f>
        <v>6</v>
      </c>
      <c r="I23" s="88">
        <f>LOOKUP(2, 1/('Tourney History'!$B:$B=A23), 'Tourney History'!$AD:$AD)</f>
        <v>0.25</v>
      </c>
      <c r="J23" s="34">
        <f>SUMIFS('Tourney History'!F:F,'Tourney History'!B:B,A23)</f>
        <v>16</v>
      </c>
      <c r="K23" s="2">
        <f>SUMIFS('Tourney History'!E:E,'Tourney History'!B:B,A23)-J23</f>
        <v>19</v>
      </c>
      <c r="L23" s="88">
        <f>LOOKUP(2, 1/('Tourney History'!$B:$B=A23), 'Tourney History'!$AB:$AB)</f>
        <v>0.48124999999999996</v>
      </c>
      <c r="M23" s="34">
        <f>SUMIFS('Tourney History'!H:H,'Tourney History'!B:B,A23)</f>
        <v>71</v>
      </c>
      <c r="N23" s="2">
        <f>SUMIFS('Tourney History'!G:G,'Tourney History'!B:B,A23)-M23</f>
        <v>79</v>
      </c>
      <c r="O23" s="88">
        <f>LOOKUP(2, 1/('Tourney History'!$B:$B=A23), 'Tourney History'!$AC:$AC)</f>
        <v>0.48499999999999999</v>
      </c>
      <c r="P23" s="2">
        <f>COUNTIFS('Tourney History'!$B:$B,$A$23,'Tourney History'!K:K, 1)</f>
        <v>1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4</v>
      </c>
      <c r="AD23" s="2">
        <f>COUNTIFS('Tourney History'!$B:$B,$A$23,'Tourney History'!Y:Y, 1)</f>
        <v>1</v>
      </c>
      <c r="AE23" s="2">
        <f>COUNTIFS('Tourney History'!$B:$B,$A$23,'Tourney History'!Z:Z, 1)</f>
        <v>3</v>
      </c>
    </row>
    <row r="24" spans="1:31" x14ac:dyDescent="0.25">
      <c r="A24" s="2" t="s">
        <v>13</v>
      </c>
      <c r="B24" s="6" t="s">
        <v>124</v>
      </c>
      <c r="C24" s="1" t="s">
        <v>159</v>
      </c>
      <c r="D24" s="34">
        <f>SUMIFS('Tourney History'!C:C,'Tourney History'!B:B,A24)</f>
        <v>325</v>
      </c>
      <c r="E24" s="4">
        <f>AVERAGEIFS('Tourney History'!C:C,'Tourney History'!B:B,A24)</f>
        <v>36.111111111111114</v>
      </c>
      <c r="F24" s="35">
        <f t="array" ref="F24">MAX(IF('Tourney History'!B:B=A24, 'Tourney History'!C:C))</f>
        <v>58</v>
      </c>
      <c r="G24" s="34">
        <f>COUNTIFS('Tourney History'!B:B,A24,'Tourney History'!D:D, 1)</f>
        <v>5</v>
      </c>
      <c r="H24" s="2">
        <f>COUNTIFS('Tourney History'!B:B,A24,'Tourney History'!D:D, 0)</f>
        <v>4</v>
      </c>
      <c r="I24" s="88">
        <f>LOOKUP(2, 1/('Tourney History'!$B:$B=A24), 'Tourney History'!$AD:$AD)</f>
        <v>0.55555555555555558</v>
      </c>
      <c r="J24" s="34">
        <f>SUMIFS('Tourney History'!F:F,'Tourney History'!B:B,A24)</f>
        <v>18</v>
      </c>
      <c r="K24" s="2">
        <f>SUMIFS('Tourney History'!E:E,'Tourney History'!B:B,A24)-J24</f>
        <v>20</v>
      </c>
      <c r="L24" s="88">
        <f>LOOKUP(2, 1/('Tourney History'!$B:$B=A24), 'Tourney History'!$AB:$AB)</f>
        <v>0.43888888888888888</v>
      </c>
      <c r="M24" s="34">
        <f>SUMIFS('Tourney History'!H:H,'Tourney History'!B:B,A24)</f>
        <v>78</v>
      </c>
      <c r="N24" s="2">
        <f>SUMIFS('Tourney History'!G:G,'Tourney History'!B:B,A24)-M24</f>
        <v>75</v>
      </c>
      <c r="O24" s="88">
        <f>LOOKUP(2, 1/('Tourney History'!$B:$B=A24), 'Tourney History'!$AC:$AC)</f>
        <v>0.49111111111111111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3</v>
      </c>
      <c r="T24" s="2">
        <f>COUNTIFS('Tourney History'!$B:$B,$A$24,'Tourney History'!O:O, 1)</f>
        <v>3</v>
      </c>
      <c r="U24" s="2">
        <f>COUNTIFS('Tourney History'!$B:$B,$A$24,'Tourney History'!P:P, 1)</f>
        <v>3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0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2" t="s">
        <v>2</v>
      </c>
      <c r="B25" s="6" t="s">
        <v>124</v>
      </c>
      <c r="C25" s="6" t="s">
        <v>79</v>
      </c>
      <c r="D25" s="34">
        <f>SUMIFS('Tourney History'!C:C,'Tourney History'!B:B,A25)</f>
        <v>241</v>
      </c>
      <c r="E25" s="4">
        <f>AVERAGEIFS('Tourney History'!C:C,'Tourney History'!B:B,A25)</f>
        <v>34.428571428571431</v>
      </c>
      <c r="F25" s="35">
        <f t="array" ref="F25">MAX(IF('Tourney History'!B:B=A25, 'Tourney History'!C:C))</f>
        <v>52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16</v>
      </c>
      <c r="K25" s="2">
        <f>SUMIFS('Tourney History'!E:E,'Tourney History'!B:B,A25)-J25</f>
        <v>15</v>
      </c>
      <c r="L25" s="88">
        <f>LOOKUP(2, 1/('Tourney History'!$B:$B=A25), 'Tourney History'!$AB:$AB)</f>
        <v>0.52857142857142858</v>
      </c>
      <c r="M25" s="34">
        <f>SUMIFS('Tourney History'!H:H,'Tourney History'!B:B,A25)</f>
        <v>68</v>
      </c>
      <c r="N25" s="2">
        <f>SUMIFS('Tourney History'!G:G,'Tourney History'!B:B,A25)-M25</f>
        <v>66</v>
      </c>
      <c r="O25" s="88">
        <f>LOOKUP(2, 1/('Tourney History'!$B:$B=A25), 'Tourney History'!$AC:$AC)</f>
        <v>0.52</v>
      </c>
      <c r="P25" s="2">
        <f>COUNTIFS('Tourney History'!$B:$B,$A$25,'Tourney History'!K:K, 1)</f>
        <v>0</v>
      </c>
      <c r="Q25" s="2">
        <f>COUNTIFS('Tourney History'!$B:$B,$A$25,'Tourney History'!L:L, 1)</f>
        <v>3</v>
      </c>
      <c r="R25" s="2">
        <f>COUNTIFS('Tourney History'!$B:$B,$A$25,'Tourney History'!M:M, 1)</f>
        <v>1</v>
      </c>
      <c r="S25" s="2">
        <f>COUNTIFS('Tourney History'!$B:$B,$A$25,'Tourney History'!N:N, 1)</f>
        <v>4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0</v>
      </c>
      <c r="AD25" s="2">
        <f>COUNTIFS('Tourney History'!$B:$B,$A$25,'Tourney History'!Y:Y, 1)</f>
        <v>2</v>
      </c>
      <c r="AE25" s="2">
        <f>COUNTIFS('Tourney History'!$B:$B,$A$25,'Tourney History'!Z:Z, 1)</f>
        <v>2</v>
      </c>
    </row>
    <row r="26" spans="1:31" x14ac:dyDescent="0.25">
      <c r="A26" s="2" t="s">
        <v>54</v>
      </c>
      <c r="B26" s="6" t="s">
        <v>60</v>
      </c>
      <c r="C26" s="6" t="s">
        <v>79</v>
      </c>
      <c r="D26" s="34">
        <f>SUMIFS('Tourney History'!C:C,'Tourney History'!B:B,A26)</f>
        <v>53</v>
      </c>
      <c r="E26" s="4">
        <f>AVERAGEIFS('Tourney History'!C:C,'Tourney History'!B:B,A26)</f>
        <v>26.5</v>
      </c>
      <c r="F26" s="35">
        <f t="array" ref="F26">MAX(IF('Tourney History'!B:B=A26, 'Tourney History'!C:C))</f>
        <v>29</v>
      </c>
      <c r="G26" s="34">
        <f>COUNTIFS('Tourney History'!B:B,A26,'Tourney History'!D:D, 1)</f>
        <v>2</v>
      </c>
      <c r="H26" s="2">
        <f>COUNTIFS('Tourney History'!B:B,A26,'Tourney History'!D:D, 0)</f>
        <v>0</v>
      </c>
      <c r="I26" s="88">
        <f>LOOKUP(2, 1/('Tourney History'!$B:$B=A26), 'Tourney History'!$AD:$AD)</f>
        <v>1</v>
      </c>
      <c r="J26" s="34">
        <f>SUMIFS('Tourney History'!F:F,'Tourney History'!B:B,A26)</f>
        <v>6</v>
      </c>
      <c r="K26" s="2">
        <f>SUMIFS('Tourney History'!E:E,'Tourney History'!B:B,A26)-J26</f>
        <v>4</v>
      </c>
      <c r="L26" s="88">
        <f>LOOKUP(2, 1/('Tourney History'!$B:$B=A26), 'Tourney History'!$AB:$AB)</f>
        <v>0.6</v>
      </c>
      <c r="M26" s="34">
        <f>SUMIFS('Tourney History'!H:H,'Tourney History'!B:B,A26)</f>
        <v>23</v>
      </c>
      <c r="N26" s="2">
        <f>SUMIFS('Tourney History'!G:G,'Tourney History'!B:B,A26)-M26</f>
        <v>17</v>
      </c>
      <c r="O26" s="88">
        <f>LOOKUP(2, 1/('Tourney History'!$B:$B=A26), 'Tourney History'!$AC:$AC)</f>
        <v>0.57499999999999996</v>
      </c>
      <c r="P26" s="2">
        <f>COUNTIFS('Tourney History'!$B:$B,$A$26,'Tourney History'!K:K, 1)</f>
        <v>0</v>
      </c>
      <c r="Q26" s="2">
        <f>COUNTIFS('Tourney History'!$B:$B,$A$26,'Tourney History'!L:L, 1)</f>
        <v>0</v>
      </c>
      <c r="R26" s="2">
        <f>COUNTIFS('Tourney History'!$B:$B,$A$26,'Tourney History'!M:M, 1)</f>
        <v>0</v>
      </c>
      <c r="S26" s="2">
        <f>COUNTIFS('Tourney History'!$B:$B,$A$26,'Tourney History'!N:N, 1)</f>
        <v>1</v>
      </c>
      <c r="T26" s="2">
        <f>COUNTIFS('Tourney History'!$B:$B,$A$26,'Tourney History'!O:O, 1)</f>
        <v>2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0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5</v>
      </c>
      <c r="B27" s="6" t="s">
        <v>178</v>
      </c>
      <c r="C27" s="1" t="s">
        <v>159</v>
      </c>
      <c r="D27" s="34">
        <f>SUMIFS('Tourney History'!C:C,'Tourney History'!B:B,A27)</f>
        <v>199</v>
      </c>
      <c r="E27" s="4">
        <f>AVERAGEIFS('Tourney History'!C:C,'Tourney History'!B:B,A27)</f>
        <v>33.166666666666664</v>
      </c>
      <c r="F27" s="35">
        <f t="array" ref="F27">MAX(IF('Tourney History'!B:B=A27, 'Tourney History'!C:C))</f>
        <v>51</v>
      </c>
      <c r="G27" s="34">
        <f>COUNTIFS('Tourney History'!B:B,A27,'Tourney History'!D:D, 1)</f>
        <v>5</v>
      </c>
      <c r="H27" s="2">
        <f>COUNTIFS('Tourney History'!B:B,A27,'Tourney History'!D:D, 0)</f>
        <v>1</v>
      </c>
      <c r="I27" s="88">
        <f>LOOKUP(2, 1/('Tourney History'!$B:$B=A27), 'Tourney History'!$AD:$AD)</f>
        <v>0.83333333333333337</v>
      </c>
      <c r="J27" s="34">
        <f>SUMIFS('Tourney History'!F:F,'Tourney History'!B:B,A27)</f>
        <v>16</v>
      </c>
      <c r="K27" s="2">
        <f>SUMIFS('Tourney History'!E:E,'Tourney History'!B:B,A27)-J27</f>
        <v>11</v>
      </c>
      <c r="L27" s="88">
        <f>LOOKUP(2, 1/('Tourney History'!$B:$B=A27), 'Tourney History'!$AB:$AB)</f>
        <v>0.59166666666666667</v>
      </c>
      <c r="M27" s="34">
        <f>SUMIFS('Tourney History'!H:H,'Tourney History'!B:B,A27)</f>
        <v>63</v>
      </c>
      <c r="N27" s="2">
        <f>SUMIFS('Tourney History'!G:G,'Tourney History'!B:B,A27)-M27</f>
        <v>53</v>
      </c>
      <c r="O27" s="88">
        <f>LOOKUP(2, 1/('Tourney History'!$B:$B=A27), 'Tourney History'!$AC:$AC)</f>
        <v>0.53833333333333333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2</v>
      </c>
      <c r="S27" s="2">
        <f>COUNTIFS('Tourney History'!$B:$B,$A$27,'Tourney History'!N:N, 1)</f>
        <v>1</v>
      </c>
      <c r="T27" s="2">
        <f>COUNTIFS('Tourney History'!$B:$B,$A$27,'Tourney History'!O:O, 1)</f>
        <v>3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2</v>
      </c>
      <c r="AD27" s="2">
        <f>COUNTIFS('Tourney History'!$B:$B,$A$27,'Tourney History'!Y:Y, 1)</f>
        <v>1</v>
      </c>
      <c r="AE27" s="2">
        <f>COUNTIFS('Tourney History'!$B:$B,$A$27,'Tourney History'!Z:Z, 1)</f>
        <v>1</v>
      </c>
    </row>
    <row r="28" spans="1:31" x14ac:dyDescent="0.25">
      <c r="A28" s="2" t="s">
        <v>38</v>
      </c>
      <c r="B28" s="6" t="s">
        <v>79</v>
      </c>
      <c r="C28" s="6" t="s">
        <v>79</v>
      </c>
      <c r="D28" s="34">
        <f>SUMIFS('Tourney History'!C:C,'Tourney History'!B:B,A28)</f>
        <v>10</v>
      </c>
      <c r="E28" s="4">
        <f>AVERAGEIFS('Tourney History'!C:C,'Tourney History'!B:B,A28)</f>
        <v>5</v>
      </c>
      <c r="F28" s="35">
        <f t="array" ref="F28">MAX(IF('Tourney History'!B:B=A28, 'Tourney History'!C:C))</f>
        <v>6</v>
      </c>
      <c r="G28" s="34">
        <f>COUNTIFS('Tourney History'!B:B,A28,'Tourney History'!D:D, 1)</f>
        <v>1</v>
      </c>
      <c r="H28" s="2">
        <f>COUNTIFS('Tourney History'!B:B,A28,'Tourney History'!D:D, 0)</f>
        <v>1</v>
      </c>
      <c r="I28" s="88">
        <f>LOOKUP(2, 1/('Tourney History'!$B:$B=A28), 'Tourney History'!$AD:$AD)</f>
        <v>0.5</v>
      </c>
      <c r="J28" s="34">
        <f>SUMIFS('Tourney History'!F:F,'Tourney History'!B:B,A28)</f>
        <v>4</v>
      </c>
      <c r="K28" s="2">
        <f>SUMIFS('Tourney History'!E:E,'Tourney History'!B:B,A28)-J28</f>
        <v>4</v>
      </c>
      <c r="L28" s="88">
        <f>LOOKUP(2, 1/('Tourney History'!$B:$B=A28), 'Tourney History'!$AB:$AB)</f>
        <v>0.5</v>
      </c>
      <c r="M28" s="34">
        <f>SUMIFS('Tourney History'!H:H,'Tourney History'!B:B,A28)</f>
        <v>15</v>
      </c>
      <c r="N28" s="2">
        <f>SUMIFS('Tourney History'!G:G,'Tourney History'!B:B,A28)-M28</f>
        <v>19</v>
      </c>
      <c r="O28" s="88">
        <f>LOOKUP(2, 1/('Tourney History'!$B:$B=A28), 'Tourney History'!$AC:$AC)</f>
        <v>0.43500000000000005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0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1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SUMIFS('Tourney History'!C:C,'Tourney History'!B:B,A29)</f>
        <v>94</v>
      </c>
      <c r="E29" s="4">
        <f>AVERAGEIFS('Tourney History'!C:C,'Tourney History'!B:B,A29)</f>
        <v>23.5</v>
      </c>
      <c r="F29" s="35">
        <f t="array" ref="F29">MAX(IF('Tourney History'!B:B=A29, 'Tourney History'!C:C))</f>
        <v>28</v>
      </c>
      <c r="G29" s="34">
        <f>COUNTIFS('Tourney History'!B:B,A29,'Tourney History'!D:D, 1)</f>
        <v>1</v>
      </c>
      <c r="H29" s="2">
        <f>COUNTIFS('Tourney History'!B:B,A29,'Tourney History'!D:D, 0)</f>
        <v>3</v>
      </c>
      <c r="I29" s="88">
        <f>LOOKUP(2, 1/('Tourney History'!$B:$B=A29), 'Tourney History'!$AD:$AD)</f>
        <v>0.25</v>
      </c>
      <c r="J29" s="34">
        <f>SUMIFS('Tourney History'!F:F,'Tourney History'!B:B,A29)</f>
        <v>8</v>
      </c>
      <c r="K29" s="2">
        <f>SUMIFS('Tourney History'!E:E,'Tourney History'!B:B,A29)-J29</f>
        <v>11</v>
      </c>
      <c r="L29" s="88">
        <f>LOOKUP(2, 1/('Tourney History'!$B:$B=A29), 'Tourney History'!$AB:$AB)</f>
        <v>0.41249999999999998</v>
      </c>
      <c r="M29" s="34">
        <f>SUMIFS('Tourney History'!H:H,'Tourney History'!B:B,A29)</f>
        <v>38</v>
      </c>
      <c r="N29" s="2">
        <f>SUMIFS('Tourney History'!G:G,'Tourney History'!B:B,A29)-M29</f>
        <v>44</v>
      </c>
      <c r="O29" s="88">
        <f>LOOKUP(2, 1/('Tourney History'!$B:$B=A29), 'Tourney History'!$AC:$AC)</f>
        <v>0.46</v>
      </c>
      <c r="P29" s="2">
        <f>COUNTIFS('Tourney History'!$B:$B,$A$29,'Tourney History'!K:K, 1)</f>
        <v>1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1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3</v>
      </c>
      <c r="AD29" s="2">
        <f>COUNTIFS('Tourney History'!$B:$B,$A$29,'Tourney History'!Y:Y, 1)</f>
        <v>1</v>
      </c>
      <c r="AE29" s="2">
        <f>COUNTIFS('Tourney History'!$B:$B,$A$29,'Tourney History'!Z:Z, 1)</f>
        <v>2</v>
      </c>
    </row>
    <row r="30" spans="1:31" x14ac:dyDescent="0.25">
      <c r="A30" s="2" t="s">
        <v>147</v>
      </c>
      <c r="B30" s="2" t="s">
        <v>79</v>
      </c>
      <c r="C30" s="2" t="s">
        <v>79</v>
      </c>
      <c r="D30" s="34">
        <f>SUMIFS('Tourney History'!C:C,'Tourney History'!B:B,A30)</f>
        <v>56</v>
      </c>
      <c r="E30" s="4">
        <f>AVERAGEIFS('Tourney History'!C:C,'Tourney History'!B:B,A30)</f>
        <v>28</v>
      </c>
      <c r="F30" s="35">
        <f t="array" ref="F30">MAX(IF('Tourney History'!B:B=A30, 'Tourney History'!C:C))</f>
        <v>34</v>
      </c>
      <c r="G30" s="34">
        <f>COUNTIFS('Tourney History'!B:B,A30,'Tourney History'!D:D, 1)</f>
        <v>0</v>
      </c>
      <c r="H30" s="2">
        <f>COUNTIFS('Tourney History'!B:B,A30,'Tourney History'!D:D, 0)</f>
        <v>2</v>
      </c>
      <c r="I30" s="88">
        <f>LOOKUP(2, 1/('Tourney History'!$B:$B=A30), 'Tourney History'!$AD:$AD)</f>
        <v>0</v>
      </c>
      <c r="J30" s="34">
        <f>SUMIFS('Tourney History'!F:F,'Tourney History'!B:B,A30)</f>
        <v>4</v>
      </c>
      <c r="K30" s="2">
        <f>SUMIFS('Tourney History'!E:E,'Tourney History'!B:B,A30)-J30</f>
        <v>6</v>
      </c>
      <c r="L30" s="88">
        <f>LOOKUP(2, 1/('Tourney History'!$B:$B=A30), 'Tourney History'!$AB:$AB)</f>
        <v>0.4</v>
      </c>
      <c r="M30" s="34">
        <f>SUMIFS('Tourney History'!H:H,'Tourney History'!B:B,A30)</f>
        <v>18</v>
      </c>
      <c r="N30" s="2">
        <f>SUMIFS('Tourney History'!G:G,'Tourney History'!B:B,A30)-M30</f>
        <v>25</v>
      </c>
      <c r="O30" s="88">
        <f>LOOKUP(2, 1/('Tourney History'!$B:$B=A30), 'Tourney History'!$AC:$AC)</f>
        <v>0.41500000000000004</v>
      </c>
      <c r="P30" s="2">
        <f>COUNTIFS('Tourney History'!$B:$B,$A$30,'Tourney History'!K:K, 1)</f>
        <v>0</v>
      </c>
      <c r="Q30" s="2">
        <f>COUNTIFS('Tourney History'!$B:$B,$A$30,'Tourney History'!L:L, 1)</f>
        <v>1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0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1</v>
      </c>
      <c r="AD30" s="2">
        <f>COUNTIFS('Tourney History'!$B:$B,$A$30,'Tourney History'!Y:Y, 1)</f>
        <v>1</v>
      </c>
      <c r="AE30" s="2">
        <f>COUNTIFS('Tourney History'!$B:$B,$A$30,'Tourney History'!Z:Z, 1)</f>
        <v>0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SUMIFS('Tourney History'!C:C,'Tourney History'!B:B,A31)</f>
        <v>280</v>
      </c>
      <c r="E31" s="4">
        <f>AVERAGEIFS('Tourney History'!C:C,'Tourney History'!B:B,A31)</f>
        <v>35</v>
      </c>
      <c r="F31" s="35">
        <f t="array" ref="F31">MAX(IF('Tourney History'!B:B=A31, 'Tourney History'!C:C))</f>
        <v>58</v>
      </c>
      <c r="G31" s="34">
        <f>COUNTIFS('Tourney History'!B:B,A31,'Tourney History'!D:D, 1)</f>
        <v>2</v>
      </c>
      <c r="H31" s="2">
        <f>COUNTIFS('Tourney History'!B:B,A31,'Tourney History'!D:D, 0)</f>
        <v>6</v>
      </c>
      <c r="I31" s="88">
        <f>LOOKUP(2, 1/('Tourney History'!$B:$B=A31), 'Tourney History'!$AD:$AD)</f>
        <v>0.25</v>
      </c>
      <c r="J31" s="34">
        <f>SUMIFS('Tourney History'!F:F,'Tourney History'!B:B,A31)</f>
        <v>16</v>
      </c>
      <c r="K31" s="2">
        <f>SUMIFS('Tourney History'!E:E,'Tourney History'!B:B,A31)-J31</f>
        <v>20</v>
      </c>
      <c r="L31" s="88">
        <f>LOOKUP(2, 1/('Tourney History'!$B:$B=A31), 'Tourney History'!$AB:$AB)</f>
        <v>0.46249999999999997</v>
      </c>
      <c r="M31" s="34">
        <f>SUMIFS('Tourney History'!H:H,'Tourney History'!B:B,A31)</f>
        <v>75</v>
      </c>
      <c r="N31" s="2">
        <f>SUMIFS('Tourney History'!G:G,'Tourney History'!B:B,A31)-M31</f>
        <v>83</v>
      </c>
      <c r="O31" s="88">
        <f>LOOKUP(2, 1/('Tourney History'!$B:$B=A31), 'Tourney History'!$AC:$AC)</f>
        <v>0.48249999999999998</v>
      </c>
      <c r="P31" s="2">
        <f>COUNTIFS('Tourney History'!$B:$B,$A$31,'Tourney History'!K:K, 1)</f>
        <v>1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1</v>
      </c>
      <c r="U31" s="2">
        <f>COUNTIFS('Tourney History'!$B:$B,$A$31,'Tourney History'!P:P, 1)</f>
        <v>1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3</v>
      </c>
      <c r="AC31" s="2">
        <f>COUNTIFS('Tourney History'!$B:$B,$A$31,'Tourney History'!X:X, 1)</f>
        <v>4</v>
      </c>
      <c r="AD31" s="2">
        <f>COUNTIFS('Tourney History'!$B:$B,$A$31,'Tourney History'!Y:Y, 1)</f>
        <v>2</v>
      </c>
      <c r="AE31" s="2">
        <f>COUNTIFS('Tourney History'!$B:$B,$A$31,'Tourney History'!Z:Z, 1)</f>
        <v>4</v>
      </c>
    </row>
    <row r="32" spans="1:31" ht="15.75" x14ac:dyDescent="0.25">
      <c r="A32" s="2" t="s">
        <v>155</v>
      </c>
      <c r="B32" s="97" t="s">
        <v>177</v>
      </c>
      <c r="C32" s="2" t="s">
        <v>79</v>
      </c>
      <c r="D32" s="34">
        <f>SUMIFS('Tourney History'!C:C,'Tourney History'!B:B,A32)</f>
        <v>80</v>
      </c>
      <c r="E32" s="4">
        <f>AVERAGEIFS('Tourney History'!C:C,'Tourney History'!B:B,A32)</f>
        <v>40</v>
      </c>
      <c r="F32" s="35">
        <f t="array" ref="F32">MAX(IF('Tourney History'!B:B=A32, 'Tourney History'!C:C))</f>
        <v>43</v>
      </c>
      <c r="G32" s="34">
        <f>COUNTIFS('Tourney History'!B:B,A32,'Tourney History'!D:D, 1)</f>
        <v>2</v>
      </c>
      <c r="H32" s="2">
        <f>COUNTIFS('Tourney History'!B:B,A32,'Tourney History'!D:D, 0)</f>
        <v>0</v>
      </c>
      <c r="I32" s="88">
        <f>LOOKUP(2, 1/('Tourney History'!$B:$B=A32), 'Tourney History'!$AD:$AD)</f>
        <v>1</v>
      </c>
      <c r="J32" s="34">
        <f>SUMIFS('Tourney History'!F:F,'Tourney History'!B:B,A32)</f>
        <v>6</v>
      </c>
      <c r="K32" s="2">
        <f>SUMIFS('Tourney History'!E:E,'Tourney History'!B:B,A32)-J32</f>
        <v>4</v>
      </c>
      <c r="L32" s="88">
        <f>LOOKUP(2, 1/('Tourney History'!$B:$B=A32), 'Tourney History'!$AB:$AB)</f>
        <v>0.6</v>
      </c>
      <c r="M32" s="34">
        <f>SUMIFS('Tourney History'!H:H,'Tourney History'!B:B,A32)</f>
        <v>23</v>
      </c>
      <c r="N32" s="2">
        <f>SUMIFS('Tourney History'!G:G,'Tourney History'!B:B,A32)-M32</f>
        <v>17</v>
      </c>
      <c r="O32" s="88">
        <f>LOOKUP(2, 1/('Tourney History'!$B:$B=A32), 'Tourney History'!$AC:$AC)</f>
        <v>0.57499999999999996</v>
      </c>
      <c r="P32" s="2">
        <f>COUNTIFS('Tourney History'!$B:$B,$A$32,'Tourney History'!K:K, 1)</f>
        <v>1</v>
      </c>
      <c r="Q32" s="2">
        <f>COUNTIFS('Tourney History'!$B:$B,$A$32,'Tourney History'!L:L, 1)</f>
        <v>1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2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6</v>
      </c>
      <c r="B33" s="2" t="s">
        <v>157</v>
      </c>
      <c r="C33" s="2" t="s">
        <v>79</v>
      </c>
      <c r="D33" s="34">
        <f>SUMIFS('Tourney History'!C:C,'Tourney History'!B:B,A33)</f>
        <v>227</v>
      </c>
      <c r="E33" s="4">
        <f>AVERAGEIFS('Tourney History'!C:C,'Tourney History'!B:B,A33)</f>
        <v>28.375</v>
      </c>
      <c r="F33" s="35">
        <f t="array" ref="F33">MAX(IF('Tourney History'!B:B=A33, 'Tourney History'!C:C))</f>
        <v>51</v>
      </c>
      <c r="G33" s="34">
        <f>COUNTIFS('Tourney History'!B:B,A33,'Tourney History'!D:D, 1)</f>
        <v>5</v>
      </c>
      <c r="H33" s="2">
        <f>COUNTIFS('Tourney History'!B:B,A33,'Tourney History'!D:D, 0)</f>
        <v>3</v>
      </c>
      <c r="I33" s="88">
        <f>LOOKUP(2, 1/('Tourney History'!$B:$B=A33), 'Tourney History'!$AD:$AD)</f>
        <v>0.625</v>
      </c>
      <c r="J33" s="34">
        <f>SUMIFS('Tourney History'!F:F,'Tourney History'!B:B,A33)</f>
        <v>20</v>
      </c>
      <c r="K33" s="2">
        <f>SUMIFS('Tourney History'!E:E,'Tourney History'!B:B,A33)-J33</f>
        <v>13</v>
      </c>
      <c r="L33" s="88">
        <f>LOOKUP(2, 1/('Tourney History'!$B:$B=A33), 'Tourney History'!$AB:$AB)</f>
        <v>0.64375000000000004</v>
      </c>
      <c r="M33" s="34">
        <f>SUMIFS('Tourney History'!H:H,'Tourney History'!B:B,A33)</f>
        <v>73</v>
      </c>
      <c r="N33" s="2">
        <f>SUMIFS('Tourney History'!G:G,'Tourney History'!B:B,A33)-M33</f>
        <v>67</v>
      </c>
      <c r="O33" s="88">
        <f>LOOKUP(2, 1/('Tourney History'!$B:$B=A33), 'Tourney History'!$AC:$AC)</f>
        <v>0.54249999999999998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2</v>
      </c>
      <c r="S33" s="2">
        <f>COUNTIFS('Tourney History'!$B:$B,$A$33,'Tourney History'!N:N, 1)</f>
        <v>1</v>
      </c>
      <c r="T33" s="2">
        <f>COUNTIFS('Tourney History'!$B:$B,$A$33,'Tourney History'!O:O, 1)</f>
        <v>1</v>
      </c>
      <c r="U33" s="2">
        <f>COUNTIFS('Tourney History'!$B:$B,$A$33,'Tourney History'!P:P, 1)</f>
        <v>3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4</v>
      </c>
      <c r="AC33" s="2">
        <f>COUNTIFS('Tourney History'!$B:$B,$A$33,'Tourney History'!X:X, 1)</f>
        <v>1</v>
      </c>
      <c r="AD33" s="2">
        <f>COUNTIFS('Tourney History'!$B:$B,$A$33,'Tourney History'!Y:Y, 1)</f>
        <v>2</v>
      </c>
      <c r="AE33" s="2">
        <f>COUNTIFS('Tourney History'!$B:$B,$A$33,'Tourney History'!Z:Z, 1)</f>
        <v>2</v>
      </c>
    </row>
    <row r="34" spans="1:31" ht="15.75" x14ac:dyDescent="0.25">
      <c r="A34" s="2" t="s">
        <v>18</v>
      </c>
      <c r="B34" s="97" t="s">
        <v>177</v>
      </c>
      <c r="C34" s="2" t="s">
        <v>79</v>
      </c>
      <c r="D34" s="34">
        <f>SUMIFS('Tourney History'!C:C,'Tourney History'!B:B,A34)</f>
        <v>305</v>
      </c>
      <c r="E34" s="4">
        <f>AVERAGEIFS('Tourney History'!C:C,'Tourney History'!B:B,A34)</f>
        <v>33.888888888888886</v>
      </c>
      <c r="F34" s="35">
        <f t="array" ref="F34">MAX(IF('Tourney History'!B:B=A34, 'Tourney History'!C:C))</f>
        <v>55</v>
      </c>
      <c r="G34" s="34">
        <f>COUNTIFS('Tourney History'!B:B,A34,'Tourney History'!D:D, 1)</f>
        <v>4</v>
      </c>
      <c r="H34" s="2">
        <f>COUNTIFS('Tourney History'!B:B,A34,'Tourney History'!D:D, 0)</f>
        <v>5</v>
      </c>
      <c r="I34" s="88">
        <f>LOOKUP(2, 1/('Tourney History'!$B:$B=A34), 'Tourney History'!$AD:$AD)</f>
        <v>0.44444444444444442</v>
      </c>
      <c r="J34" s="34">
        <f>SUMIFS('Tourney History'!F:F,'Tourney History'!B:B,A34)</f>
        <v>19</v>
      </c>
      <c r="K34" s="2">
        <f>SUMIFS('Tourney History'!E:E,'Tourney History'!B:B,A34)-J34</f>
        <v>21</v>
      </c>
      <c r="L34" s="88">
        <f>LOOKUP(2, 1/('Tourney History'!$B:$B=A34), 'Tourney History'!$AB:$AB)</f>
        <v>0.47222222222222221</v>
      </c>
      <c r="M34" s="34">
        <f>SUMIFS('Tourney History'!H:H,'Tourney History'!B:B,A34)</f>
        <v>81</v>
      </c>
      <c r="N34" s="2">
        <f>SUMIFS('Tourney History'!G:G,'Tourney History'!B:B,A34)-M34</f>
        <v>85</v>
      </c>
      <c r="O34" s="88">
        <f>LOOKUP(2, 1/('Tourney History'!$B:$B=A34), 'Tourney History'!$AC:$AC)</f>
        <v>0.48666666666666664</v>
      </c>
      <c r="P34" s="2">
        <f>COUNTIFS('Tourney History'!$B:$B,$A$34,'Tourney History'!K:K, 1)</f>
        <v>2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4</v>
      </c>
      <c r="T34" s="2">
        <f>COUNTIFS('Tourney History'!$B:$B,$A$34,'Tourney History'!O:O, 1)</f>
        <v>2</v>
      </c>
      <c r="U34" s="2">
        <f>COUNTIFS('Tourney History'!$B:$B,$A$34,'Tourney History'!P:P, 1)</f>
        <v>3</v>
      </c>
      <c r="V34" s="2">
        <f>COUNTIFS('Tourney History'!$B:$B,$A$34,'Tourney History'!Q:Q, 1)</f>
        <v>0</v>
      </c>
      <c r="W34" s="2">
        <f>COUNTIFS('Tourney History'!$B:$B,$A$34,'Tourney History'!R:R, 1)</f>
        <v>2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2</v>
      </c>
      <c r="AC34" s="2">
        <f>COUNTIFS('Tourney History'!$B:$B,$A$34,'Tourney History'!X:X, 1)</f>
        <v>2</v>
      </c>
      <c r="AD34" s="2">
        <f>COUNTIFS('Tourney History'!$B:$B,$A$34,'Tourney History'!Y:Y, 1)</f>
        <v>0</v>
      </c>
      <c r="AE34" s="2">
        <f>COUNTIFS('Tourney History'!$B:$B,$A$34,'Tourney History'!Z:Z,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SUMIFS('Tourney History'!C:C,'Tourney History'!B:B,A35)</f>
        <v>49</v>
      </c>
      <c r="E35" s="4">
        <f>AVERAGEIFS('Tourney History'!C:C,'Tourney History'!B:B,A35)</f>
        <v>49</v>
      </c>
      <c r="F35" s="35">
        <f t="array" ref="F35">MAX(IF('Tourney History'!B:B=A35, 'Tourney History'!C:C))</f>
        <v>49</v>
      </c>
      <c r="G35" s="34">
        <f>COUNTIFS('Tourney History'!B:B,A35,'Tourney History'!D:D, 1)</f>
        <v>0</v>
      </c>
      <c r="H35" s="2">
        <f>COUNTIFS('Tourney History'!B:B,A35,'Tourney History'!D:D, 0)</f>
        <v>1</v>
      </c>
      <c r="I35" s="88">
        <f>LOOKUP(2, 1/('Tourney History'!$B:$B=A35), 'Tourney History'!$AD:$AD)</f>
        <v>0</v>
      </c>
      <c r="J35" s="34">
        <f>SUMIFS('Tourney History'!F:F,'Tourney History'!B:B,A35)</f>
        <v>2</v>
      </c>
      <c r="K35" s="2">
        <f>SUMIFS('Tourney History'!E:E,'Tourney History'!B:B,A35)-J35</f>
        <v>3</v>
      </c>
      <c r="L35" s="88">
        <f>LOOKUP(2, 1/('Tourney History'!$B:$B=A35), 'Tourney History'!$AB:$AB)</f>
        <v>0.4</v>
      </c>
      <c r="M35" s="34">
        <f>SUMIFS('Tourney History'!H:H,'Tourney History'!B:B,A35)</f>
        <v>10</v>
      </c>
      <c r="N35" s="2">
        <f>SUMIFS('Tourney History'!G:G,'Tourney History'!B:B,A35)-M35</f>
        <v>13</v>
      </c>
      <c r="O35" s="88">
        <f>LOOKUP(2, 1/('Tourney History'!$B:$B=A35), 'Tourney History'!$AC:$AC)</f>
        <v>0.43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0</v>
      </c>
      <c r="S35" s="2">
        <f>COUNTIFS('Tourney History'!$B:$B,$A$35,'Tourney History'!N:N, 1)</f>
        <v>1</v>
      </c>
      <c r="T35" s="2">
        <f>COUNTIFS('Tourney History'!$B:$B,$A$35,'Tourney History'!O:O, 1)</f>
        <v>0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0</v>
      </c>
      <c r="AE35" s="2">
        <f>COUNTIFS('Tourney History'!$B:$B,$A$35,'Tourney History'!Z:Z, 1)</f>
        <v>0</v>
      </c>
    </row>
    <row r="36" spans="1:31" x14ac:dyDescent="0.25">
      <c r="A36" s="2" t="s">
        <v>14</v>
      </c>
      <c r="B36" s="6" t="s">
        <v>124</v>
      </c>
      <c r="C36" s="6" t="s">
        <v>160</v>
      </c>
      <c r="D36" s="34">
        <f>SUMIFS('Tourney History'!C:C,'Tourney History'!B:B,A36)</f>
        <v>353</v>
      </c>
      <c r="E36" s="4">
        <f>AVERAGEIFS('Tourney History'!C:C,'Tourney History'!B:B,A36)</f>
        <v>39.222222222222221</v>
      </c>
      <c r="F36" s="35">
        <f t="array" ref="F36">MAX(IF('Tourney History'!B:B=A36, 'Tourney History'!C:C))</f>
        <v>56</v>
      </c>
      <c r="G36" s="34">
        <f>COUNTIFS('Tourney History'!B:B,A36,'Tourney History'!D:D, 1)</f>
        <v>5</v>
      </c>
      <c r="H36" s="2">
        <f>COUNTIFS('Tourney History'!B:B,A36,'Tourney History'!D:D, 0)</f>
        <v>4</v>
      </c>
      <c r="I36" s="88">
        <f>LOOKUP(2, 1/('Tourney History'!$B:$B=A36), 'Tourney History'!$AD:$AD)</f>
        <v>0.55555555555555558</v>
      </c>
      <c r="J36" s="34">
        <f>SUMIFS('Tourney History'!F:F,'Tourney History'!B:B,A36)</f>
        <v>20</v>
      </c>
      <c r="K36" s="2">
        <f>SUMIFS('Tourney History'!E:E,'Tourney History'!B:B,A36)-J36</f>
        <v>19</v>
      </c>
      <c r="L36" s="88">
        <f>LOOKUP(2, 1/('Tourney History'!$B:$B=A36), 'Tourney History'!$AB:$AB)</f>
        <v>0.52222222222222225</v>
      </c>
      <c r="M36" s="34">
        <f>SUMIFS('Tourney History'!H:H,'Tourney History'!B:B,A36)</f>
        <v>86</v>
      </c>
      <c r="N36" s="2">
        <f>SUMIFS('Tourney History'!G:G,'Tourney History'!B:B,A36)-M36</f>
        <v>82</v>
      </c>
      <c r="O36" s="88">
        <f>LOOKUP(2, 1/('Tourney History'!$B:$B=A36), 'Tourney History'!$AC:$AC)</f>
        <v>0.52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2</v>
      </c>
      <c r="S36" s="2">
        <f>COUNTIFS('Tourney History'!$B:$B,$A$36,'Tourney History'!N:N, 1)</f>
        <v>0</v>
      </c>
      <c r="T36" s="2">
        <f>COUNTIFS('Tourney History'!$B:$B,$A$36,'Tourney History'!O:O, 1)</f>
        <v>3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0</v>
      </c>
      <c r="AE36" s="2">
        <f>COUNTIFS('Tourney History'!$B:$B,$A$36,'Tourney History'!Z:Z, 1)</f>
        <v>3</v>
      </c>
    </row>
    <row r="37" spans="1:31" x14ac:dyDescent="0.25">
      <c r="A37" s="2" t="s">
        <v>70</v>
      </c>
      <c r="B37" s="6" t="s">
        <v>79</v>
      </c>
      <c r="C37" s="6" t="s">
        <v>79</v>
      </c>
      <c r="D37" s="34">
        <f>SUMIFS('Tourney History'!C:C,'Tourney History'!B:B,A37)</f>
        <v>71</v>
      </c>
      <c r="E37" s="4">
        <f>AVERAGEIFS('Tourney History'!C:C,'Tourney History'!B:B,A37)</f>
        <v>23.666666666666668</v>
      </c>
      <c r="F37" s="35">
        <f t="array" ref="F37">MAX(IF('Tourney History'!B:B=A37, 'Tourney History'!C:C))</f>
        <v>27</v>
      </c>
      <c r="G37" s="34">
        <f>COUNTIFS('Tourney History'!B:B,A37,'Tourney History'!D:D, 1)</f>
        <v>1</v>
      </c>
      <c r="H37" s="2">
        <f>COUNTIFS('Tourney History'!B:B,A37,'Tourney History'!D:D, 0)</f>
        <v>2</v>
      </c>
      <c r="I37" s="88">
        <f>LOOKUP(2, 1/('Tourney History'!$B:$B=A37), 'Tourney History'!$AD:$AD)</f>
        <v>0.33333333333333331</v>
      </c>
      <c r="J37" s="34">
        <f>SUMIFS('Tourney History'!F:F,'Tourney History'!B:B,A37)</f>
        <v>7</v>
      </c>
      <c r="K37" s="2">
        <f>SUMIFS('Tourney History'!E:E,'Tourney History'!B:B,A37)-J37</f>
        <v>8</v>
      </c>
      <c r="L37" s="88">
        <f>LOOKUP(2, 1/('Tourney History'!$B:$B=A37), 'Tourney History'!$AB:$AB)</f>
        <v>0.46666666666666662</v>
      </c>
      <c r="M37" s="34">
        <f>SUMIFS('Tourney History'!H:H,'Tourney History'!B:B,A37)</f>
        <v>32</v>
      </c>
      <c r="N37" s="2">
        <f>SUMIFS('Tourney History'!G:G,'Tourney History'!B:B,A37)-M37</f>
        <v>33</v>
      </c>
      <c r="O37" s="88">
        <f>LOOKUP(2, 1/('Tourney History'!$B:$B=A37), 'Tourney History'!$AC:$AC)</f>
        <v>0.49333333333333323</v>
      </c>
      <c r="P37" s="2">
        <f>COUNTIFS('Tourney History'!$B:$B,$A$37,'Tourney History'!K:K, 1)</f>
        <v>1</v>
      </c>
      <c r="Q37" s="2">
        <f>COUNTIFS('Tourney History'!$B:$B,$A$37,'Tourney History'!L:L, 1)</f>
        <v>0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2</v>
      </c>
      <c r="AD37" s="2">
        <f>COUNTIFS('Tourney History'!$B:$B,$A$37,'Tourney History'!Y:Y, 1)</f>
        <v>0</v>
      </c>
      <c r="AE37" s="2">
        <f>COUNTIFS('Tourney History'!$B:$B,$A$37,'Tourney History'!Z:Z, 1)</f>
        <v>1</v>
      </c>
    </row>
    <row r="38" spans="1:31" x14ac:dyDescent="0.25">
      <c r="A38" s="2" t="s">
        <v>4</v>
      </c>
      <c r="B38" s="6" t="s">
        <v>176</v>
      </c>
      <c r="C38" s="2" t="s">
        <v>79</v>
      </c>
      <c r="D38" s="34">
        <f>SUMIFS('Tourney History'!C:C,'Tourney History'!B:B,A38)</f>
        <v>139</v>
      </c>
      <c r="E38" s="4">
        <f>AVERAGEIFS('Tourney History'!C:C,'Tourney History'!B:B,A38)</f>
        <v>27.8</v>
      </c>
      <c r="F38" s="35">
        <f t="array" ref="F38">MAX(IF('Tourney History'!B:B=A38, 'Tourney History'!C:C))</f>
        <v>46</v>
      </c>
      <c r="G38" s="34">
        <f>COUNTIFS('Tourney History'!B:B,A38,'Tourney History'!D:D, 1)</f>
        <v>4</v>
      </c>
      <c r="H38" s="2">
        <f>COUNTIFS('Tourney History'!B:B,A38,'Tourney History'!D:D, 0)</f>
        <v>1</v>
      </c>
      <c r="I38" s="88">
        <f>LOOKUP(2, 1/('Tourney History'!$B:$B=A38), 'Tourney History'!$AD:$AD)</f>
        <v>0.8</v>
      </c>
      <c r="J38" s="34">
        <f>SUMIFS('Tourney History'!F:F,'Tourney History'!B:B,A38)</f>
        <v>12</v>
      </c>
      <c r="K38" s="2">
        <f>SUMIFS('Tourney History'!E:E,'Tourney History'!B:B,A38)-J38</f>
        <v>10</v>
      </c>
      <c r="L38" s="88">
        <f>LOOKUP(2, 1/('Tourney History'!$B:$B=A38), 'Tourney History'!$AB:$AB)</f>
        <v>0.51</v>
      </c>
      <c r="M38" s="34">
        <f>SUMIFS('Tourney History'!H:H,'Tourney History'!B:B,A38)</f>
        <v>47</v>
      </c>
      <c r="N38" s="2">
        <f>SUMIFS('Tourney History'!G:G,'Tourney History'!B:B,A38)-M38</f>
        <v>42</v>
      </c>
      <c r="O38" s="88">
        <f>LOOKUP(2, 1/('Tourney History'!$B:$B=A38), 'Tourney History'!$AC:$AC)</f>
        <v>0.49799999999999994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1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2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0</v>
      </c>
      <c r="AD38" s="2">
        <f>COUNTIFS('Tourney History'!$B:$B,$A$38,'Tourney History'!Y:Y, 1)</f>
        <v>1</v>
      </c>
      <c r="AE38" s="2">
        <f>COUNTIFS('Tourney History'!$B:$B,$A$38,'Tourney History'!Z:Z, 1)</f>
        <v>1</v>
      </c>
    </row>
    <row r="39" spans="1:31" x14ac:dyDescent="0.25">
      <c r="A39" s="2" t="s">
        <v>55</v>
      </c>
      <c r="B39" s="2" t="s">
        <v>79</v>
      </c>
      <c r="C39" s="2" t="s">
        <v>79</v>
      </c>
      <c r="D39" s="34">
        <f>SUMIFS('Tourney History'!C:C,'Tourney History'!B:B,A39)</f>
        <v>18</v>
      </c>
      <c r="E39" s="4">
        <f>AVERAGEIFS('Tourney History'!C:C,'Tourney History'!B:B,A39)</f>
        <v>9</v>
      </c>
      <c r="F39" s="35">
        <f t="array" ref="F39">MAX(IF('Tourney History'!B:B=A39, 'Tourney History'!C:C))</f>
        <v>12</v>
      </c>
      <c r="G39" s="34">
        <f>COUNTIFS('Tourney History'!B:B,A39,'Tourney History'!D:D, 1)</f>
        <v>1</v>
      </c>
      <c r="H39" s="2">
        <f>COUNTIFS('Tourney History'!B:B,A39,'Tourney History'!D:D, 0)</f>
        <v>1</v>
      </c>
      <c r="I39" s="88">
        <f>LOOKUP(2, 1/('Tourney History'!$B:$B=A39), 'Tourney History'!$AD:$AD)</f>
        <v>0.5</v>
      </c>
      <c r="J39" s="34">
        <f>SUMIFS('Tourney History'!F:F,'Tourney History'!B:B,A39)</f>
        <v>4</v>
      </c>
      <c r="K39" s="2">
        <f>SUMIFS('Tourney History'!E:E,'Tourney History'!B:B,A39)-J39</f>
        <v>5</v>
      </c>
      <c r="L39" s="88">
        <f>LOOKUP(2, 1/('Tourney History'!$B:$B=A39), 'Tourney History'!$AB:$AB)</f>
        <v>0.42499999999999999</v>
      </c>
      <c r="M39" s="34">
        <f>SUMIFS('Tourney History'!H:H,'Tourney History'!B:B,A39)</f>
        <v>18</v>
      </c>
      <c r="N39" s="2">
        <f>SUMIFS('Tourney History'!G:G,'Tourney History'!B:B,A39)-M39</f>
        <v>19</v>
      </c>
      <c r="O39" s="88">
        <f>LOOKUP(2, 1/('Tourney History'!$B:$B=A39), 'Tourney History'!$AC:$AC)</f>
        <v>0.47499999999999998</v>
      </c>
      <c r="P39" s="2">
        <f>COUNTIFS('Tourney History'!$B:$B,$A$39,'Tourney History'!K:K, 1)</f>
        <v>0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1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1</v>
      </c>
      <c r="AD39" s="2">
        <f>COUNTIFS('Tourney History'!$B:$B,$A$39,'Tourney History'!Y:Y, 1)</f>
        <v>0</v>
      </c>
      <c r="AE39" s="2">
        <f>COUNTIFS('Tourney History'!$B:$B,$A$39,'Tourney History'!Z:Z, 1)</f>
        <v>0</v>
      </c>
    </row>
  </sheetData>
  <autoFilter ref="A1:AE39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5"/>
  <sheetViews>
    <sheetView workbookViewId="0">
      <selection activeCell="C13" sqref="C13"/>
    </sheetView>
  </sheetViews>
  <sheetFormatPr defaultRowHeight="15" x14ac:dyDescent="0.25"/>
  <cols>
    <col min="1" max="1" width="29.2851562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181</v>
      </c>
      <c r="B1" s="98" t="s">
        <v>182</v>
      </c>
      <c r="C1" s="98" t="s">
        <v>184</v>
      </c>
      <c r="D1" s="98" t="s">
        <v>183</v>
      </c>
    </row>
    <row r="2" spans="1:4" x14ac:dyDescent="0.25">
      <c r="A2" t="s">
        <v>189</v>
      </c>
      <c r="B2" s="99" t="s">
        <v>188</v>
      </c>
      <c r="C2" t="s">
        <v>192</v>
      </c>
      <c r="D2" t="s">
        <v>186</v>
      </c>
    </row>
    <row r="3" spans="1:4" x14ac:dyDescent="0.25">
      <c r="A3" t="s">
        <v>190</v>
      </c>
      <c r="B3" s="99" t="s">
        <v>191</v>
      </c>
      <c r="C3" t="s">
        <v>192</v>
      </c>
      <c r="D3" t="s">
        <v>193</v>
      </c>
    </row>
    <row r="4" spans="1:4" x14ac:dyDescent="0.25">
      <c r="A4" t="s">
        <v>189</v>
      </c>
      <c r="B4" s="99" t="s">
        <v>194</v>
      </c>
      <c r="C4" t="s">
        <v>192</v>
      </c>
      <c r="D4" t="s">
        <v>186</v>
      </c>
    </row>
    <row r="5" spans="1:4" x14ac:dyDescent="0.25">
      <c r="A5" t="s">
        <v>190</v>
      </c>
      <c r="B5" s="99" t="s">
        <v>195</v>
      </c>
      <c r="C5" t="s">
        <v>192</v>
      </c>
      <c r="D5" t="s">
        <v>193</v>
      </c>
    </row>
    <row r="6" spans="1:4" x14ac:dyDescent="0.25">
      <c r="A6" t="s">
        <v>189</v>
      </c>
      <c r="B6" s="99" t="s">
        <v>196</v>
      </c>
      <c r="C6" t="s">
        <v>192</v>
      </c>
      <c r="D6" t="s">
        <v>186</v>
      </c>
    </row>
    <row r="7" spans="1:4" x14ac:dyDescent="0.25">
      <c r="A7" t="s">
        <v>190</v>
      </c>
      <c r="B7" s="99" t="s">
        <v>197</v>
      </c>
      <c r="C7" t="s">
        <v>192</v>
      </c>
      <c r="D7" t="s">
        <v>193</v>
      </c>
    </row>
    <row r="8" spans="1:4" x14ac:dyDescent="0.25">
      <c r="A8" t="s">
        <v>189</v>
      </c>
      <c r="B8" s="99" t="s">
        <v>205</v>
      </c>
      <c r="C8" t="s">
        <v>192</v>
      </c>
      <c r="D8" t="s">
        <v>186</v>
      </c>
    </row>
    <row r="9" spans="1:4" x14ac:dyDescent="0.25">
      <c r="A9" t="s">
        <v>190</v>
      </c>
      <c r="B9" s="99" t="s">
        <v>206</v>
      </c>
      <c r="C9" t="s">
        <v>192</v>
      </c>
      <c r="D9" t="s">
        <v>193</v>
      </c>
    </row>
    <row r="10" spans="1:4" x14ac:dyDescent="0.25">
      <c r="A10" t="s">
        <v>189</v>
      </c>
      <c r="B10" s="99" t="s">
        <v>207</v>
      </c>
      <c r="C10" t="s">
        <v>192</v>
      </c>
      <c r="D10" t="s">
        <v>186</v>
      </c>
    </row>
    <row r="11" spans="1:4" x14ac:dyDescent="0.25">
      <c r="A11" t="s">
        <v>190</v>
      </c>
      <c r="B11" s="99" t="s">
        <v>208</v>
      </c>
      <c r="C11" t="s">
        <v>192</v>
      </c>
      <c r="D11" t="s">
        <v>193</v>
      </c>
    </row>
    <row r="12" spans="1:4" x14ac:dyDescent="0.25">
      <c r="A12" t="s">
        <v>210</v>
      </c>
      <c r="B12" s="99" t="s">
        <v>187</v>
      </c>
      <c r="C12" t="s">
        <v>211</v>
      </c>
      <c r="D12" t="s">
        <v>185</v>
      </c>
    </row>
    <row r="13" spans="1:4" x14ac:dyDescent="0.25">
      <c r="A13" t="s">
        <v>199</v>
      </c>
      <c r="B13" s="99" t="s">
        <v>198</v>
      </c>
      <c r="C13" t="s">
        <v>202</v>
      </c>
      <c r="D13" t="s">
        <v>185</v>
      </c>
    </row>
    <row r="14" spans="1:4" x14ac:dyDescent="0.25">
      <c r="A14" t="s">
        <v>200</v>
      </c>
      <c r="B14" s="99" t="s">
        <v>201</v>
      </c>
      <c r="C14" t="s">
        <v>202</v>
      </c>
      <c r="D14" t="s">
        <v>209</v>
      </c>
    </row>
    <row r="15" spans="1:4" x14ac:dyDescent="0.25">
      <c r="A15" t="s">
        <v>203</v>
      </c>
      <c r="B15" s="99" t="s">
        <v>204</v>
      </c>
      <c r="C15" t="s">
        <v>202</v>
      </c>
      <c r="D15" t="s">
        <v>209</v>
      </c>
    </row>
    <row r="16" spans="1:4" x14ac:dyDescent="0.25">
      <c r="B16" s="99"/>
    </row>
    <row r="17" spans="2:2" x14ac:dyDescent="0.25">
      <c r="B17" s="99"/>
    </row>
    <row r="18" spans="2:2" x14ac:dyDescent="0.25">
      <c r="B18" s="99"/>
    </row>
    <row r="19" spans="2:2" x14ac:dyDescent="0.25">
      <c r="B19" s="99"/>
    </row>
    <row r="20" spans="2:2" x14ac:dyDescent="0.25">
      <c r="B20" s="99"/>
    </row>
    <row r="21" spans="2:2" x14ac:dyDescent="0.25">
      <c r="B21" s="99"/>
    </row>
    <row r="22" spans="2:2" x14ac:dyDescent="0.25">
      <c r="B22" s="99"/>
    </row>
    <row r="23" spans="2:2" x14ac:dyDescent="0.25">
      <c r="B23" s="99"/>
    </row>
    <row r="24" spans="2:2" x14ac:dyDescent="0.25">
      <c r="B24" s="99"/>
    </row>
    <row r="25" spans="2:2" x14ac:dyDescent="0.25">
      <c r="B25" s="9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3" t="s">
        <v>7</v>
      </c>
      <c r="D1" s="104"/>
      <c r="E1" s="105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3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6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6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6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6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6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6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6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6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2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2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2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2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2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2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2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2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Events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2026-05-07T22:55:38Z</dcterms:modified>
</cp:coreProperties>
</file>