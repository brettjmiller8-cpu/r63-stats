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A341B081-4317-4AED-9CC4-3FA2B7DB044A}" xr6:coauthVersionLast="47" xr6:coauthVersionMax="47" xr10:uidLastSave="{00000000-0000-0000-0000-000000000000}"/>
  <bookViews>
    <workbookView xWindow="-28920" yWindow="-120" windowWidth="29040" windowHeight="15720" activeTab="9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BA comments" sheetId="6" state="hidden" r:id="rId13"/>
    <sheet name="Match Analyzer BA" sheetId="8" state="hidden" r:id="rId14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S2'!$A$1:$AJ$1</definedName>
    <definedName name="_xlnm._FilterDatabase" localSheetId="10" hidden="1">'BA S2'!$A$1:$AJ$24</definedName>
    <definedName name="_xlnm._FilterDatabase" localSheetId="7" hidden="1">'BA v2'!$A$1:$AJ$55</definedName>
    <definedName name="_xlnm._FilterDatabase" localSheetId="1" hidden="1">'OB History'!$A$1:$AD$542</definedName>
    <definedName name="_xlnm._FilterDatabase" localSheetId="3" hidden="1">'OB History S2'!$A$1:$AD$478</definedName>
    <definedName name="_xlnm._FilterDatabase" localSheetId="2" hidden="1">'OB Season 2'!$A$1:$AE$35</definedName>
    <definedName name="_xlnm._FilterDatabase" localSheetId="4" hidden="1">'Old Bow'!$A$1:$AD$37</definedName>
    <definedName name="_xlnm._FilterDatabase" localSheetId="0" hidden="1">'Old Bow v2'!$A$1:$AE$49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35" i="17" l="1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P2" i="11"/>
  <c r="P2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P36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P35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P11" i="13"/>
  <c r="D11" i="13"/>
  <c r="E11" i="13"/>
  <c r="F11" i="13" a="1"/>
  <c r="F11" i="13" s="1"/>
  <c r="G11" i="13"/>
  <c r="H11" i="13"/>
  <c r="I11" i="13"/>
  <c r="J11" i="13"/>
  <c r="K11" i="13" s="1"/>
  <c r="L11" i="13"/>
  <c r="M11" i="13"/>
  <c r="N11" i="13" s="1"/>
  <c r="O11" i="13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P19" i="11"/>
  <c r="D19" i="11"/>
  <c r="E19" i="11"/>
  <c r="F19" i="11" a="1"/>
  <c r="F19" i="11" s="1"/>
  <c r="G19" i="11"/>
  <c r="H19" i="11"/>
  <c r="I19" i="11"/>
  <c r="J19" i="11"/>
  <c r="K19" i="11" s="1"/>
  <c r="L19" i="11"/>
  <c r="M19" i="11"/>
  <c r="N19" i="11" s="1"/>
  <c r="O19" i="11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P20" i="13"/>
  <c r="D20" i="13"/>
  <c r="E20" i="13"/>
  <c r="F20" i="13" a="1"/>
  <c r="F20" i="13" s="1"/>
  <c r="G20" i="13"/>
  <c r="H20" i="13"/>
  <c r="I20" i="13"/>
  <c r="J20" i="13"/>
  <c r="K20" i="13" s="1"/>
  <c r="L20" i="13"/>
  <c r="M20" i="13"/>
  <c r="N20" i="13" s="1"/>
  <c r="O20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P7" i="13"/>
  <c r="D7" i="13"/>
  <c r="E7" i="13"/>
  <c r="F7" i="13" a="1"/>
  <c r="F7" i="13" s="1"/>
  <c r="G7" i="13"/>
  <c r="H7" i="13"/>
  <c r="J7" i="13"/>
  <c r="K7" i="13" s="1"/>
  <c r="M7" i="13"/>
  <c r="N7" i="13" s="1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P12" i="13"/>
  <c r="D12" i="13"/>
  <c r="E12" i="13"/>
  <c r="F12" i="13" a="1"/>
  <c r="F12" i="13" s="1"/>
  <c r="G12" i="13"/>
  <c r="H12" i="13"/>
  <c r="I12" i="13"/>
  <c r="J12" i="13"/>
  <c r="K12" i="13" s="1"/>
  <c r="L12" i="13"/>
  <c r="M12" i="13"/>
  <c r="N12" i="13" s="1"/>
  <c r="O12" i="13"/>
  <c r="D13" i="13"/>
  <c r="E13" i="13"/>
  <c r="F13" i="13" a="1"/>
  <c r="F13" i="13" s="1"/>
  <c r="G13" i="13"/>
  <c r="H13" i="13"/>
  <c r="J13" i="13"/>
  <c r="K13" i="13"/>
  <c r="M13" i="13"/>
  <c r="N13" i="13" s="1"/>
  <c r="P13" i="13"/>
  <c r="Q13" i="13"/>
  <c r="R13" i="13"/>
  <c r="S13" i="13"/>
  <c r="T13" i="13"/>
  <c r="U13" i="13"/>
  <c r="V13" i="13"/>
  <c r="W13" i="13"/>
  <c r="X13" i="13"/>
  <c r="Y13" i="13"/>
  <c r="Z13" i="13"/>
  <c r="AA13" i="13"/>
  <c r="D14" i="13"/>
  <c r="E14" i="13"/>
  <c r="F14" i="13" a="1"/>
  <c r="F14" i="13" s="1"/>
  <c r="G14" i="13"/>
  <c r="H14" i="13"/>
  <c r="I14" i="13"/>
  <c r="J14" i="13"/>
  <c r="K14" i="13" s="1"/>
  <c r="L14" i="13"/>
  <c r="M14" i="13"/>
  <c r="N14" i="13" s="1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D15" i="13"/>
  <c r="E15" i="13"/>
  <c r="F15" i="13" a="1"/>
  <c r="F15" i="13" s="1"/>
  <c r="G15" i="13"/>
  <c r="H15" i="13"/>
  <c r="J15" i="13"/>
  <c r="K15" i="13" s="1"/>
  <c r="M15" i="13"/>
  <c r="N15" i="13" s="1"/>
  <c r="P15" i="13"/>
  <c r="Q15" i="13"/>
  <c r="R15" i="13"/>
  <c r="S15" i="13"/>
  <c r="T15" i="13"/>
  <c r="U15" i="13"/>
  <c r="V15" i="13"/>
  <c r="W15" i="13"/>
  <c r="X15" i="13"/>
  <c r="Y15" i="13"/>
  <c r="Z15" i="13"/>
  <c r="AA15" i="13"/>
  <c r="D16" i="13"/>
  <c r="E16" i="13"/>
  <c r="F16" i="13" a="1"/>
  <c r="F16" i="13" s="1"/>
  <c r="G16" i="13"/>
  <c r="H16" i="13"/>
  <c r="J16" i="13"/>
  <c r="K16" i="13" s="1"/>
  <c r="M16" i="13"/>
  <c r="N16" i="13" s="1"/>
  <c r="P16" i="13"/>
  <c r="Q16" i="13"/>
  <c r="R16" i="13"/>
  <c r="S16" i="13"/>
  <c r="T16" i="13"/>
  <c r="U16" i="13"/>
  <c r="V16" i="13"/>
  <c r="W16" i="13"/>
  <c r="X16" i="13"/>
  <c r="Y16" i="13"/>
  <c r="Z16" i="13"/>
  <c r="AA16" i="13"/>
  <c r="D17" i="13"/>
  <c r="E17" i="13"/>
  <c r="F17" i="13" a="1"/>
  <c r="F17" i="13" s="1"/>
  <c r="G17" i="13"/>
  <c r="H17" i="13"/>
  <c r="I17" i="13"/>
  <c r="J17" i="13"/>
  <c r="K17" i="13" s="1"/>
  <c r="L17" i="13"/>
  <c r="M17" i="13"/>
  <c r="N17" i="13" s="1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D18" i="13"/>
  <c r="E18" i="13"/>
  <c r="F18" i="13" a="1"/>
  <c r="F18" i="13" s="1"/>
  <c r="G18" i="13"/>
  <c r="H18" i="13"/>
  <c r="I18" i="13"/>
  <c r="J18" i="13"/>
  <c r="K18" i="13" s="1"/>
  <c r="L18" i="13"/>
  <c r="M18" i="13"/>
  <c r="N18" i="13" s="1"/>
  <c r="O18" i="13"/>
  <c r="P18" i="13"/>
  <c r="Q18" i="13"/>
  <c r="R18" i="13"/>
  <c r="S18" i="13"/>
  <c r="T18" i="13"/>
  <c r="U18" i="13"/>
  <c r="V18" i="13"/>
  <c r="W18" i="13"/>
  <c r="X18" i="13"/>
  <c r="Y18" i="13"/>
  <c r="Z18" i="13"/>
  <c r="AA18" i="13"/>
  <c r="D19" i="13"/>
  <c r="E19" i="13"/>
  <c r="F19" i="13" a="1"/>
  <c r="F19" i="13"/>
  <c r="G19" i="13"/>
  <c r="H19" i="13"/>
  <c r="J19" i="13"/>
  <c r="K19" i="13" s="1"/>
  <c r="M19" i="13"/>
  <c r="N19" i="13" s="1"/>
  <c r="P19" i="13"/>
  <c r="Q19" i="13"/>
  <c r="R19" i="13"/>
  <c r="S19" i="13"/>
  <c r="T19" i="13"/>
  <c r="U19" i="13"/>
  <c r="V19" i="13"/>
  <c r="W19" i="13"/>
  <c r="X19" i="13"/>
  <c r="Y19" i="13"/>
  <c r="Z19" i="13"/>
  <c r="AA19" i="13"/>
  <c r="D21" i="13"/>
  <c r="E21" i="13"/>
  <c r="F21" i="13" a="1"/>
  <c r="F21" i="13" s="1"/>
  <c r="G21" i="13"/>
  <c r="H21" i="13"/>
  <c r="J21" i="13"/>
  <c r="K21" i="13" s="1"/>
  <c r="M21" i="13"/>
  <c r="N21" i="13" s="1"/>
  <c r="P21" i="13"/>
  <c r="Q21" i="13"/>
  <c r="R21" i="13"/>
  <c r="S21" i="13"/>
  <c r="T21" i="13"/>
  <c r="U21" i="13"/>
  <c r="V21" i="13"/>
  <c r="W21" i="13"/>
  <c r="X21" i="13"/>
  <c r="Y21" i="13"/>
  <c r="Z21" i="13"/>
  <c r="AA21" i="13"/>
  <c r="D22" i="13"/>
  <c r="E22" i="13"/>
  <c r="F22" i="13" a="1"/>
  <c r="F22" i="13" s="1"/>
  <c r="G22" i="13"/>
  <c r="H22" i="13"/>
  <c r="J22" i="13"/>
  <c r="K22" i="13" s="1"/>
  <c r="M22" i="13"/>
  <c r="N22" i="13" s="1"/>
  <c r="P22" i="13"/>
  <c r="Q22" i="13"/>
  <c r="R22" i="13"/>
  <c r="S22" i="13"/>
  <c r="T22" i="13"/>
  <c r="U22" i="13"/>
  <c r="V22" i="13"/>
  <c r="W22" i="13"/>
  <c r="X22" i="13"/>
  <c r="Y22" i="13"/>
  <c r="Z22" i="13"/>
  <c r="AA22" i="13"/>
  <c r="D23" i="13"/>
  <c r="E23" i="13"/>
  <c r="F23" i="13" a="1"/>
  <c r="F23" i="13" s="1"/>
  <c r="G23" i="13"/>
  <c r="H23" i="13"/>
  <c r="I23" i="13"/>
  <c r="J23" i="13"/>
  <c r="K23" i="13" s="1"/>
  <c r="L23" i="13"/>
  <c r="M23" i="13"/>
  <c r="N23" i="13" s="1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D24" i="13"/>
  <c r="E24" i="13"/>
  <c r="F24" i="13" a="1"/>
  <c r="F24" i="13" s="1"/>
  <c r="G24" i="13"/>
  <c r="H24" i="13"/>
  <c r="I24" i="13"/>
  <c r="J24" i="13"/>
  <c r="K24" i="13" s="1"/>
  <c r="L24" i="13"/>
  <c r="M24" i="13"/>
  <c r="N24" i="13" s="1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D25" i="13"/>
  <c r="E25" i="13"/>
  <c r="F25" i="13" a="1"/>
  <c r="F25" i="13" s="1"/>
  <c r="G25" i="13"/>
  <c r="H25" i="13"/>
  <c r="I25" i="13"/>
  <c r="J25" i="13"/>
  <c r="K25" i="13" s="1"/>
  <c r="L25" i="13"/>
  <c r="M25" i="13"/>
  <c r="N25" i="13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D26" i="13"/>
  <c r="E26" i="13"/>
  <c r="F26" i="13" a="1"/>
  <c r="F26" i="13" s="1"/>
  <c r="G26" i="13"/>
  <c r="H26" i="13"/>
  <c r="J26" i="13"/>
  <c r="K26" i="13" s="1"/>
  <c r="M26" i="13"/>
  <c r="N26" i="13" s="1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D27" i="13"/>
  <c r="E27" i="13"/>
  <c r="F27" i="13" a="1"/>
  <c r="F27" i="13" s="1"/>
  <c r="G27" i="13"/>
  <c r="H27" i="13"/>
  <c r="J27" i="13"/>
  <c r="K27" i="13" s="1"/>
  <c r="M27" i="13"/>
  <c r="N27" i="13" s="1"/>
  <c r="P27" i="13"/>
  <c r="Q27" i="13"/>
  <c r="R27" i="13"/>
  <c r="S27" i="13"/>
  <c r="T27" i="13"/>
  <c r="U27" i="13"/>
  <c r="V27" i="13"/>
  <c r="W27" i="13"/>
  <c r="X27" i="13"/>
  <c r="Y27" i="13"/>
  <c r="Z27" i="13"/>
  <c r="AA27" i="13"/>
  <c r="D28" i="13"/>
  <c r="E28" i="13"/>
  <c r="F28" i="13" a="1"/>
  <c r="F28" i="13" s="1"/>
  <c r="G28" i="13"/>
  <c r="H28" i="13"/>
  <c r="J28" i="13"/>
  <c r="K28" i="13" s="1"/>
  <c r="L28" i="13"/>
  <c r="M28" i="13"/>
  <c r="N28" i="13" s="1"/>
  <c r="P28" i="13"/>
  <c r="Q28" i="13"/>
  <c r="R28" i="13"/>
  <c r="S28" i="13"/>
  <c r="T28" i="13"/>
  <c r="U28" i="13"/>
  <c r="V28" i="13"/>
  <c r="W28" i="13"/>
  <c r="X28" i="13"/>
  <c r="Y28" i="13"/>
  <c r="Z28" i="13"/>
  <c r="AA28" i="13"/>
  <c r="D29" i="13"/>
  <c r="E29" i="13"/>
  <c r="F29" i="13" a="1"/>
  <c r="F29" i="13" s="1"/>
  <c r="G29" i="13"/>
  <c r="H29" i="13"/>
  <c r="I29" i="13"/>
  <c r="J29" i="13"/>
  <c r="K29" i="13" s="1"/>
  <c r="L29" i="13"/>
  <c r="M29" i="13"/>
  <c r="N29" i="13" s="1"/>
  <c r="O29" i="13"/>
  <c r="P29" i="13"/>
  <c r="Q29" i="13"/>
  <c r="R29" i="13"/>
  <c r="S29" i="13"/>
  <c r="T29" i="13"/>
  <c r="U29" i="13"/>
  <c r="V29" i="13"/>
  <c r="W29" i="13"/>
  <c r="X29" i="13"/>
  <c r="Y29" i="13"/>
  <c r="Z29" i="13"/>
  <c r="AA2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P9" i="13"/>
  <c r="D9" i="13"/>
  <c r="E9" i="13"/>
  <c r="F9" i="13" a="1"/>
  <c r="F9" i="13" s="1"/>
  <c r="G9" i="13"/>
  <c r="H9" i="13"/>
  <c r="I9" i="13"/>
  <c r="J9" i="13"/>
  <c r="K9" i="13" s="1"/>
  <c r="L9" i="13"/>
  <c r="M9" i="13"/>
  <c r="N9" i="13" s="1"/>
  <c r="O9" i="13"/>
  <c r="AB17" i="13"/>
  <c r="AC17" i="13"/>
  <c r="AD17" i="13"/>
  <c r="AE17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D2" i="13"/>
  <c r="E2" i="13"/>
  <c r="F2" i="13" a="1"/>
  <c r="F2" i="13" s="1"/>
  <c r="G2" i="13"/>
  <c r="H2" i="13"/>
  <c r="I2" i="13"/>
  <c r="J2" i="13"/>
  <c r="K2" i="13" s="1"/>
  <c r="L2" i="13"/>
  <c r="M2" i="13"/>
  <c r="N2" i="13" s="1"/>
  <c r="O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L7" i="13" s="1"/>
  <c r="AC71" i="15"/>
  <c r="O7" i="13" s="1"/>
  <c r="AD71" i="15"/>
  <c r="I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P3" i="13"/>
  <c r="D3" i="13"/>
  <c r="E3" i="13"/>
  <c r="F3" i="13" a="1"/>
  <c r="F3" i="13" s="1"/>
  <c r="G3" i="13"/>
  <c r="H3" i="13"/>
  <c r="J3" i="13"/>
  <c r="K3" i="13" s="1"/>
  <c r="M3" i="13"/>
  <c r="N3" i="13" s="1"/>
  <c r="O3" i="13"/>
  <c r="AB19" i="13"/>
  <c r="AC19" i="13"/>
  <c r="AD19" i="13"/>
  <c r="AE19" i="13"/>
  <c r="D36" i="13"/>
  <c r="E36" i="13"/>
  <c r="F36" i="13" a="1"/>
  <c r="F36" i="13" s="1"/>
  <c r="G36" i="13"/>
  <c r="H36" i="13"/>
  <c r="I36" i="13"/>
  <c r="J36" i="13"/>
  <c r="K36" i="13" s="1"/>
  <c r="L36" i="13"/>
  <c r="M36" i="13"/>
  <c r="N36" i="13" s="1"/>
  <c r="O36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L19" i="13" s="1"/>
  <c r="AC52" i="15"/>
  <c r="O19" i="13" s="1"/>
  <c r="AD52" i="15"/>
  <c r="I19" i="13" s="1"/>
  <c r="AA53" i="15"/>
  <c r="AB53" i="15"/>
  <c r="L27" i="13" s="1"/>
  <c r="AC53" i="15"/>
  <c r="O27" i="13" s="1"/>
  <c r="AD53" i="15"/>
  <c r="I27" i="13" s="1"/>
  <c r="AA54" i="15"/>
  <c r="AB54" i="15"/>
  <c r="AC54" i="15"/>
  <c r="O28" i="13" s="1"/>
  <c r="AD54" i="15"/>
  <c r="I28" i="13" s="1"/>
  <c r="AA55" i="15"/>
  <c r="AB55" i="15"/>
  <c r="AC55" i="15"/>
  <c r="AD55" i="15"/>
  <c r="I8" i="13" s="1"/>
  <c r="AA56" i="15"/>
  <c r="AB56" i="15"/>
  <c r="AC56" i="15"/>
  <c r="AD56" i="15"/>
  <c r="AA57" i="15"/>
  <c r="AB57" i="15"/>
  <c r="L3" i="13" s="1"/>
  <c r="AC57" i="15"/>
  <c r="AD57" i="15"/>
  <c r="I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P13" i="11"/>
  <c r="D13" i="11"/>
  <c r="E13" i="11"/>
  <c r="F13" i="11" a="1"/>
  <c r="F13" i="11" s="1"/>
  <c r="G13" i="11"/>
  <c r="H13" i="11"/>
  <c r="I13" i="11"/>
  <c r="J13" i="11"/>
  <c r="K13" i="11" s="1"/>
  <c r="M13" i="11"/>
  <c r="N13" i="11" s="1"/>
  <c r="O13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D37" i="11"/>
  <c r="E37" i="11"/>
  <c r="F37" i="11" a="1"/>
  <c r="F37" i="11" s="1"/>
  <c r="G37" i="11"/>
  <c r="H37" i="11"/>
  <c r="I37" i="11"/>
  <c r="J37" i="11"/>
  <c r="K37" i="11" s="1"/>
  <c r="L37" i="11"/>
  <c r="M37" i="11"/>
  <c r="N37" i="11" s="1"/>
  <c r="O37" i="11"/>
  <c r="AB13" i="13"/>
  <c r="AC13" i="13"/>
  <c r="AD13" i="13"/>
  <c r="AE13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P10" i="13"/>
  <c r="D10" i="13"/>
  <c r="E10" i="13"/>
  <c r="F10" i="13" a="1"/>
  <c r="F10" i="13" s="1"/>
  <c r="G10" i="13"/>
  <c r="H10" i="13"/>
  <c r="J10" i="13"/>
  <c r="K10" i="13" s="1"/>
  <c r="M10" i="13"/>
  <c r="N10" i="13" s="1"/>
  <c r="AB26" i="13"/>
  <c r="AC26" i="13"/>
  <c r="AD26" i="13"/>
  <c r="AE26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AJ738" i="9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2" i="17"/>
  <c r="AH2" i="17"/>
  <c r="AI2" i="17"/>
  <c r="AJ2" i="17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L26" i="13" s="1"/>
  <c r="AC31" i="15"/>
  <c r="AD31" i="15"/>
  <c r="I26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L21" i="13" s="1"/>
  <c r="AC37" i="15"/>
  <c r="O21" i="13" s="1"/>
  <c r="AD37" i="15"/>
  <c r="I21" i="13" s="1"/>
  <c r="AA38" i="15"/>
  <c r="AB38" i="15"/>
  <c r="AC38" i="15"/>
  <c r="AD38" i="15"/>
  <c r="AA39" i="15"/>
  <c r="AB39" i="15"/>
  <c r="AC39" i="15"/>
  <c r="AD39" i="15"/>
  <c r="AA40" i="15"/>
  <c r="AB40" i="15"/>
  <c r="L10" i="13" s="1"/>
  <c r="AC40" i="15"/>
  <c r="O10" i="13" s="1"/>
  <c r="AD40" i="15"/>
  <c r="I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I30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L15" i="13" s="1"/>
  <c r="AC23" i="15"/>
  <c r="O15" i="13" s="1"/>
  <c r="AD23" i="15"/>
  <c r="I15" i="13" s="1"/>
  <c r="AA24" i="15"/>
  <c r="AB24" i="15"/>
  <c r="AC24" i="15"/>
  <c r="AD24" i="15"/>
  <c r="AA25" i="15"/>
  <c r="AB25" i="15"/>
  <c r="L13" i="13" s="1"/>
  <c r="AC25" i="15"/>
  <c r="O13" i="13" s="1"/>
  <c r="AD25" i="15"/>
  <c r="I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L13" i="11" s="1"/>
  <c r="AC510" i="10"/>
  <c r="AD510" i="10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L16" i="13" s="1"/>
  <c r="AC6" i="15"/>
  <c r="O16" i="13" s="1"/>
  <c r="AD6" i="15"/>
  <c r="I16" i="13" s="1"/>
  <c r="AA7" i="15"/>
  <c r="AB7" i="15"/>
  <c r="L5" i="13" s="1"/>
  <c r="AC7" i="15"/>
  <c r="AD7" i="15"/>
  <c r="I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L22" i="13" s="1"/>
  <c r="AC11" i="15"/>
  <c r="O22" i="13" s="1"/>
  <c r="AD11" i="15"/>
  <c r="I22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P2" i="16"/>
  <c r="Q2" i="16"/>
  <c r="R2" i="16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P3" i="16"/>
  <c r="Q3" i="16"/>
  <c r="R3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O2" i="16"/>
  <c r="N3" i="16"/>
  <c r="N4" i="16"/>
  <c r="N5" i="16"/>
  <c r="N6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" i="16"/>
  <c r="L3" i="16"/>
  <c r="M3" i="16" s="1"/>
  <c r="L4" i="16"/>
  <c r="M4" i="16" s="1"/>
  <c r="L5" i="16"/>
  <c r="M5" i="16" s="1"/>
  <c r="L6" i="16"/>
  <c r="M6" i="16" s="1"/>
  <c r="L7" i="16"/>
  <c r="M7" i="16" s="1"/>
  <c r="L8" i="16"/>
  <c r="M8" i="16" s="1"/>
  <c r="L9" i="16"/>
  <c r="M9" i="16" s="1"/>
  <c r="L10" i="16"/>
  <c r="M10" i="16" s="1"/>
  <c r="L11" i="16"/>
  <c r="M11" i="16" s="1"/>
  <c r="L12" i="16"/>
  <c r="M12" i="16" s="1"/>
  <c r="L13" i="16"/>
  <c r="M13" i="16" s="1"/>
  <c r="L14" i="16"/>
  <c r="M14" i="16" s="1"/>
  <c r="L15" i="16"/>
  <c r="M15" i="16" s="1"/>
  <c r="L16" i="16"/>
  <c r="M16" i="16" s="1"/>
  <c r="L17" i="16"/>
  <c r="M17" i="16" s="1"/>
  <c r="L18" i="16"/>
  <c r="M18" i="16" s="1"/>
  <c r="L19" i="16"/>
  <c r="M19" i="16" s="1"/>
  <c r="L20" i="16"/>
  <c r="M20" i="16" s="1"/>
  <c r="L21" i="16"/>
  <c r="M21" i="16" s="1"/>
  <c r="L22" i="16"/>
  <c r="M22" i="16" s="1"/>
  <c r="L23" i="16"/>
  <c r="M23" i="16" s="1"/>
  <c r="L24" i="16"/>
  <c r="M24" i="16" s="1"/>
  <c r="L2" i="16"/>
  <c r="M2" i="16" s="1"/>
  <c r="K3" i="16"/>
  <c r="K4" i="16"/>
  <c r="K5" i="16"/>
  <c r="K6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" i="16"/>
  <c r="I3" i="16"/>
  <c r="J3" i="16" s="1"/>
  <c r="I4" i="16"/>
  <c r="J4" i="16" s="1"/>
  <c r="I5" i="16"/>
  <c r="J5" i="16" s="1"/>
  <c r="I6" i="16"/>
  <c r="J6" i="16" s="1"/>
  <c r="I7" i="16"/>
  <c r="J7" i="16" s="1"/>
  <c r="I8" i="16"/>
  <c r="J8" i="16" s="1"/>
  <c r="I9" i="16"/>
  <c r="J9" i="16" s="1"/>
  <c r="I10" i="16"/>
  <c r="J10" i="16" s="1"/>
  <c r="I11" i="16"/>
  <c r="J11" i="16" s="1"/>
  <c r="I12" i="16"/>
  <c r="J12" i="16" s="1"/>
  <c r="I13" i="16"/>
  <c r="J13" i="16" s="1"/>
  <c r="I14" i="16"/>
  <c r="J14" i="16" s="1"/>
  <c r="I15" i="16"/>
  <c r="J15" i="16" s="1"/>
  <c r="I16" i="16"/>
  <c r="J16" i="16" s="1"/>
  <c r="I17" i="16"/>
  <c r="J17" i="16" s="1"/>
  <c r="I18" i="16"/>
  <c r="J18" i="16" s="1"/>
  <c r="I19" i="16"/>
  <c r="J19" i="16" s="1"/>
  <c r="I20" i="16"/>
  <c r="J20" i="16" s="1"/>
  <c r="I21" i="16"/>
  <c r="J21" i="16" s="1"/>
  <c r="I22" i="16"/>
  <c r="J22" i="16" s="1"/>
  <c r="I23" i="16"/>
  <c r="J23" i="16" s="1"/>
  <c r="I24" i="16"/>
  <c r="J24" i="16" s="1"/>
  <c r="I2" i="16"/>
  <c r="J2" i="16" s="1"/>
  <c r="H3" i="16"/>
  <c r="H4" i="16"/>
  <c r="H5" i="16"/>
  <c r="H6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" i="16"/>
  <c r="E3" i="16" a="1"/>
  <c r="E3" i="16" s="1"/>
  <c r="E4" i="16" a="1"/>
  <c r="E4" i="16" s="1"/>
  <c r="E5" i="16" a="1"/>
  <c r="E5" i="16" s="1"/>
  <c r="E6" i="16" a="1"/>
  <c r="E6" i="16" s="1"/>
  <c r="E7" i="16" a="1"/>
  <c r="E7" i="16" s="1"/>
  <c r="E8" i="16" a="1"/>
  <c r="E8" i="16" s="1"/>
  <c r="E9" i="16" a="1"/>
  <c r="E9" i="16" s="1"/>
  <c r="E10" i="16" a="1"/>
  <c r="E10" i="16" s="1"/>
  <c r="E11" i="16" a="1"/>
  <c r="E11" i="16" s="1"/>
  <c r="E12" i="16" a="1"/>
  <c r="E12" i="16" s="1"/>
  <c r="E13" i="16" a="1"/>
  <c r="E13" i="16" s="1"/>
  <c r="E14" i="16" a="1"/>
  <c r="E14" i="16" s="1"/>
  <c r="E15" i="16" a="1"/>
  <c r="E15" i="16" s="1"/>
  <c r="E16" i="16" a="1"/>
  <c r="E16" i="16" s="1"/>
  <c r="E17" i="16" a="1"/>
  <c r="E17" i="16" s="1"/>
  <c r="E18" i="16" a="1"/>
  <c r="E18" i="16" s="1"/>
  <c r="E19" i="16" a="1"/>
  <c r="E19" i="16" s="1"/>
  <c r="E20" i="16" a="1"/>
  <c r="E20" i="16" s="1"/>
  <c r="E21" i="16" a="1"/>
  <c r="E21" i="16" s="1"/>
  <c r="E22" i="16" a="1"/>
  <c r="E22" i="16" s="1"/>
  <c r="E23" i="16" a="1"/>
  <c r="E23" i="16" s="1"/>
  <c r="E24" i="16" a="1"/>
  <c r="E24" i="16" s="1"/>
  <c r="E2" i="16" a="1"/>
  <c r="E2" i="16" s="1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" i="16"/>
  <c r="H7" i="16"/>
  <c r="N7" i="16"/>
  <c r="K7" i="16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B14" i="13"/>
  <c r="AC14" i="13"/>
  <c r="AD14" i="13"/>
  <c r="AE14" i="13"/>
  <c r="AB15" i="13"/>
  <c r="AC15" i="13"/>
  <c r="AD15" i="13"/>
  <c r="AE15" i="13"/>
  <c r="AB16" i="13"/>
  <c r="AC16" i="13"/>
  <c r="AD16" i="13"/>
  <c r="AE16" i="13"/>
  <c r="AB18" i="13"/>
  <c r="AC18" i="13"/>
  <c r="AD18" i="13"/>
  <c r="AE18" i="13"/>
  <c r="AB21" i="13"/>
  <c r="AC21" i="13"/>
  <c r="AD21" i="13"/>
  <c r="AE21" i="13"/>
  <c r="AB22" i="13"/>
  <c r="AC22" i="13"/>
  <c r="AD22" i="13"/>
  <c r="AE22" i="13"/>
  <c r="AB23" i="13"/>
  <c r="AC23" i="13"/>
  <c r="AD23" i="13"/>
  <c r="AE23" i="13"/>
  <c r="AB24" i="13"/>
  <c r="AC24" i="13"/>
  <c r="AD24" i="13"/>
  <c r="AE24" i="13"/>
  <c r="AB25" i="13"/>
  <c r="AC25" i="13"/>
  <c r="AD25" i="13"/>
  <c r="AE25" i="13"/>
  <c r="AB27" i="13"/>
  <c r="AC27" i="13"/>
  <c r="AD27" i="13"/>
  <c r="AE27" i="13"/>
  <c r="AB28" i="13"/>
  <c r="AC28" i="13"/>
  <c r="AD28" i="13"/>
  <c r="AE28" i="13"/>
  <c r="AB29" i="13"/>
  <c r="AC29" i="13"/>
  <c r="AD29" i="13"/>
  <c r="AE29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P34" i="13"/>
  <c r="P33" i="13"/>
  <c r="P32" i="13"/>
  <c r="P31" i="13"/>
  <c r="P30" i="13"/>
  <c r="P8" i="13"/>
  <c r="P6" i="13"/>
  <c r="P5" i="13"/>
  <c r="P4" i="13"/>
  <c r="O8" i="13"/>
  <c r="O30" i="13"/>
  <c r="O32" i="13"/>
  <c r="O33" i="13"/>
  <c r="M4" i="13"/>
  <c r="N4" i="13" s="1"/>
  <c r="M5" i="13"/>
  <c r="N5" i="13" s="1"/>
  <c r="M6" i="13"/>
  <c r="N6" i="13" s="1"/>
  <c r="M8" i="13"/>
  <c r="N8" i="13" s="1"/>
  <c r="M30" i="13"/>
  <c r="N30" i="13" s="1"/>
  <c r="M31" i="13"/>
  <c r="N31" i="13" s="1"/>
  <c r="M32" i="13"/>
  <c r="N32" i="13" s="1"/>
  <c r="M33" i="13"/>
  <c r="N33" i="13" s="1"/>
  <c r="M34" i="13"/>
  <c r="N34" i="13" s="1"/>
  <c r="M35" i="13"/>
  <c r="N35" i="13" s="1"/>
  <c r="J4" i="13"/>
  <c r="K4" i="13" s="1"/>
  <c r="J5" i="13"/>
  <c r="K5" i="13" s="1"/>
  <c r="J6" i="13"/>
  <c r="K6" i="13" s="1"/>
  <c r="J8" i="13"/>
  <c r="K8" i="13" s="1"/>
  <c r="J30" i="13"/>
  <c r="K30" i="13" s="1"/>
  <c r="J31" i="13"/>
  <c r="K31" i="13" s="1"/>
  <c r="J32" i="13"/>
  <c r="K32" i="13" s="1"/>
  <c r="J33" i="13"/>
  <c r="K33" i="13" s="1"/>
  <c r="J34" i="13"/>
  <c r="K34" i="13" s="1"/>
  <c r="J35" i="13"/>
  <c r="K35" i="13" s="1"/>
  <c r="I35" i="13"/>
  <c r="H4" i="13"/>
  <c r="H5" i="13"/>
  <c r="H6" i="13"/>
  <c r="H8" i="13"/>
  <c r="H30" i="13"/>
  <c r="H31" i="13"/>
  <c r="H32" i="13"/>
  <c r="H33" i="13"/>
  <c r="H34" i="13"/>
  <c r="H35" i="13"/>
  <c r="G4" i="13"/>
  <c r="G5" i="13"/>
  <c r="G6" i="13"/>
  <c r="G8" i="13"/>
  <c r="G30" i="13"/>
  <c r="G31" i="13"/>
  <c r="G32" i="13"/>
  <c r="G33" i="13"/>
  <c r="G34" i="13"/>
  <c r="G35" i="13"/>
  <c r="F4" i="13" a="1"/>
  <c r="F4" i="13" s="1"/>
  <c r="F5" i="13" a="1"/>
  <c r="F5" i="13" s="1"/>
  <c r="F6" i="13" a="1"/>
  <c r="F6" i="13" s="1"/>
  <c r="F8" i="13" a="1"/>
  <c r="F8" i="13" s="1"/>
  <c r="F30" i="13" a="1"/>
  <c r="F30" i="13" s="1"/>
  <c r="F31" i="13" a="1"/>
  <c r="F31" i="13" s="1"/>
  <c r="F32" i="13" a="1"/>
  <c r="F32" i="13" s="1"/>
  <c r="F33" i="13" a="1"/>
  <c r="F33" i="13" s="1"/>
  <c r="F34" i="13" a="1"/>
  <c r="F34" i="13" s="1"/>
  <c r="F35" i="13" a="1"/>
  <c r="F35" i="13" s="1"/>
  <c r="E4" i="13"/>
  <c r="E5" i="13"/>
  <c r="E6" i="13"/>
  <c r="E8" i="13"/>
  <c r="E30" i="13"/>
  <c r="E31" i="13"/>
  <c r="E32" i="13"/>
  <c r="E33" i="13"/>
  <c r="E34" i="13"/>
  <c r="E35" i="13"/>
  <c r="D4" i="13"/>
  <c r="D5" i="13"/>
  <c r="D6" i="13"/>
  <c r="D8" i="13"/>
  <c r="D30" i="13"/>
  <c r="D31" i="13"/>
  <c r="D32" i="13"/>
  <c r="D33" i="13"/>
  <c r="D34" i="13"/>
  <c r="D35" i="13"/>
  <c r="O5" i="13"/>
  <c r="L33" i="13"/>
  <c r="I33" i="13"/>
  <c r="L32" i="13"/>
  <c r="I32" i="13"/>
  <c r="L6" i="13"/>
  <c r="O6" i="13"/>
  <c r="I6" i="13"/>
  <c r="L34" i="13"/>
  <c r="O34" i="13"/>
  <c r="I34" i="13"/>
  <c r="L31" i="13"/>
  <c r="O31" i="13"/>
  <c r="I31" i="13"/>
  <c r="L8" i="13"/>
  <c r="L35" i="13"/>
  <c r="O35" i="13"/>
  <c r="L4" i="13"/>
  <c r="O4" i="13"/>
  <c r="I4" i="13"/>
  <c r="L30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N7" i="12"/>
  <c r="N9" i="12"/>
  <c r="N18" i="12"/>
  <c r="N20" i="12"/>
  <c r="N22" i="12"/>
  <c r="N35" i="12"/>
  <c r="N36" i="12"/>
  <c r="N40" i="12"/>
  <c r="N41" i="12"/>
  <c r="N42" i="12"/>
  <c r="N43" i="12"/>
  <c r="N47" i="12"/>
  <c r="N49" i="12"/>
  <c r="N50" i="12"/>
  <c r="N52" i="12"/>
  <c r="N53" i="12"/>
  <c r="K7" i="12"/>
  <c r="K9" i="12"/>
  <c r="K18" i="12"/>
  <c r="K20" i="12"/>
  <c r="K22" i="12"/>
  <c r="K35" i="12"/>
  <c r="K36" i="12"/>
  <c r="K40" i="12"/>
  <c r="K41" i="12"/>
  <c r="K42" i="12"/>
  <c r="K43" i="12"/>
  <c r="K47" i="12"/>
  <c r="K49" i="12"/>
  <c r="K50" i="12"/>
  <c r="K52" i="12"/>
  <c r="K53" i="12"/>
  <c r="H7" i="12"/>
  <c r="H9" i="12"/>
  <c r="H18" i="12"/>
  <c r="H20" i="12"/>
  <c r="H22" i="12"/>
  <c r="H35" i="12"/>
  <c r="H36" i="12"/>
  <c r="H40" i="12"/>
  <c r="H41" i="12"/>
  <c r="H42" i="12"/>
  <c r="H43" i="12"/>
  <c r="H44" i="12"/>
  <c r="H45" i="12"/>
  <c r="H47" i="12"/>
  <c r="H49" i="12"/>
  <c r="H50" i="12"/>
  <c r="H52" i="12"/>
  <c r="H53" i="12"/>
  <c r="H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K14" i="12" s="1"/>
  <c r="AI39" i="9"/>
  <c r="N14" i="12" s="1"/>
  <c r="AJ39" i="9"/>
  <c r="H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K16" i="12" s="1"/>
  <c r="AI51" i="9"/>
  <c r="N16" i="12" s="1"/>
  <c r="AJ51" i="9"/>
  <c r="H16" i="12" s="1"/>
  <c r="AG52" i="9"/>
  <c r="AH52" i="9"/>
  <c r="K55" i="12" s="1"/>
  <c r="AI52" i="9"/>
  <c r="N55" i="12" s="1"/>
  <c r="AJ52" i="9"/>
  <c r="H55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K33" i="12" s="1"/>
  <c r="AI58" i="9"/>
  <c r="N33" i="12" s="1"/>
  <c r="AJ58" i="9"/>
  <c r="H33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K28" i="12" s="1"/>
  <c r="AI81" i="9"/>
  <c r="N28" i="12" s="1"/>
  <c r="AJ81" i="9"/>
  <c r="H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K54" i="12" s="1"/>
  <c r="AI102" i="9"/>
  <c r="N54" i="12" s="1"/>
  <c r="AJ102" i="9"/>
  <c r="H54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K44" i="12" s="1"/>
  <c r="AI183" i="9"/>
  <c r="N44" i="12" s="1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K6" i="12" s="1"/>
  <c r="AI253" i="9"/>
  <c r="N6" i="12" s="1"/>
  <c r="AJ253" i="9"/>
  <c r="H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K8" i="12" s="1"/>
  <c r="AI259" i="9"/>
  <c r="N8" i="12" s="1"/>
  <c r="AJ259" i="9"/>
  <c r="H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K30" i="12" s="1"/>
  <c r="AI266" i="9"/>
  <c r="N30" i="12" s="1"/>
  <c r="AJ266" i="9"/>
  <c r="H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K31" i="12" s="1"/>
  <c r="AI325" i="9"/>
  <c r="N31" i="12" s="1"/>
  <c r="AJ325" i="9"/>
  <c r="H31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K11" i="12" s="1"/>
  <c r="AI364" i="9"/>
  <c r="N11" i="12" s="1"/>
  <c r="AJ364" i="9"/>
  <c r="H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K21" i="12" s="1"/>
  <c r="AI381" i="9"/>
  <c r="N21" i="12" s="1"/>
  <c r="AJ381" i="9"/>
  <c r="H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K46" i="12" s="1"/>
  <c r="AI436" i="9"/>
  <c r="N46" i="12" s="1"/>
  <c r="AJ436" i="9"/>
  <c r="H46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K32" i="12" s="1"/>
  <c r="AI467" i="9"/>
  <c r="N32" i="12" s="1"/>
  <c r="AJ467" i="9"/>
  <c r="H32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K45" i="12" s="1"/>
  <c r="AI476" i="9"/>
  <c r="N45" i="12" s="1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K4" i="12" s="1"/>
  <c r="AI481" i="9"/>
  <c r="N4" i="12" s="1"/>
  <c r="AJ481" i="9"/>
  <c r="H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K27" i="12" s="1"/>
  <c r="AI497" i="9"/>
  <c r="N27" i="12" s="1"/>
  <c r="AJ497" i="9"/>
  <c r="H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K3" i="12" s="1"/>
  <c r="AI502" i="9"/>
  <c r="N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K10" i="12" s="1"/>
  <c r="AI515" i="9"/>
  <c r="N10" i="12" s="1"/>
  <c r="AJ515" i="9"/>
  <c r="H10" i="12" s="1"/>
  <c r="AG516" i="9"/>
  <c r="AH516" i="9"/>
  <c r="K17" i="12" s="1"/>
  <c r="AI516" i="9"/>
  <c r="N17" i="12" s="1"/>
  <c r="AJ516" i="9"/>
  <c r="H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K38" i="12" s="1"/>
  <c r="AI527" i="9"/>
  <c r="N38" i="12" s="1"/>
  <c r="AJ527" i="9"/>
  <c r="H38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K51" i="12" s="1"/>
  <c r="AI564" i="9"/>
  <c r="N51" i="12" s="1"/>
  <c r="AJ564" i="9"/>
  <c r="H51" i="12" s="1"/>
  <c r="AG565" i="9"/>
  <c r="AH565" i="9"/>
  <c r="K12" i="12" s="1"/>
  <c r="AI565" i="9"/>
  <c r="N12" i="12" s="1"/>
  <c r="AJ565" i="9"/>
  <c r="H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K23" i="12" s="1"/>
  <c r="AI571" i="9"/>
  <c r="N23" i="12" s="1"/>
  <c r="AJ571" i="9"/>
  <c r="H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K15" i="12" s="1"/>
  <c r="AI575" i="9"/>
  <c r="N15" i="12" s="1"/>
  <c r="AJ575" i="9"/>
  <c r="H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K13" i="12" s="1"/>
  <c r="AI593" i="9"/>
  <c r="N13" i="12" s="1"/>
  <c r="AJ593" i="9"/>
  <c r="H13" i="12" s="1"/>
  <c r="AG594" i="9"/>
  <c r="AH594" i="9"/>
  <c r="K37" i="12" s="1"/>
  <c r="AI594" i="9"/>
  <c r="N37" i="12" s="1"/>
  <c r="AJ594" i="9"/>
  <c r="H37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K19" i="12" s="1"/>
  <c r="AI621" i="9"/>
  <c r="N19" i="12" s="1"/>
  <c r="AJ621" i="9"/>
  <c r="H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K26" i="12" s="1"/>
  <c r="AI648" i="9"/>
  <c r="N26" i="12" s="1"/>
  <c r="AJ648" i="9"/>
  <c r="H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K24" i="12" s="1"/>
  <c r="AI652" i="9"/>
  <c r="N24" i="12" s="1"/>
  <c r="AJ652" i="9"/>
  <c r="H24" i="12" s="1"/>
  <c r="AG653" i="9"/>
  <c r="AH653" i="9"/>
  <c r="AI653" i="9"/>
  <c r="AJ653" i="9"/>
  <c r="AG654" i="9"/>
  <c r="AH654" i="9"/>
  <c r="K29" i="12" s="1"/>
  <c r="AI654" i="9"/>
  <c r="N29" i="12" s="1"/>
  <c r="AJ654" i="9"/>
  <c r="H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K25" i="12" s="1"/>
  <c r="AI668" i="9"/>
  <c r="N25" i="12" s="1"/>
  <c r="AJ668" i="9"/>
  <c r="H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K48" i="12" s="1"/>
  <c r="AI678" i="9"/>
  <c r="N48" i="12" s="1"/>
  <c r="AJ678" i="9"/>
  <c r="H48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K2" i="12" s="1"/>
  <c r="AI683" i="9"/>
  <c r="N2" i="12" s="1"/>
  <c r="AJ683" i="9"/>
  <c r="H2" i="12" s="1"/>
  <c r="AG684" i="9"/>
  <c r="AH684" i="9"/>
  <c r="AI684" i="9"/>
  <c r="AJ684" i="9"/>
  <c r="AG685" i="9"/>
  <c r="AH685" i="9"/>
  <c r="AI685" i="9"/>
  <c r="AJ685" i="9"/>
  <c r="AG686" i="9"/>
  <c r="AH686" i="9"/>
  <c r="K5" i="12" s="1"/>
  <c r="AI686" i="9"/>
  <c r="N5" i="12" s="1"/>
  <c r="AJ686" i="9"/>
  <c r="H5" i="12" s="1"/>
  <c r="AG687" i="9"/>
  <c r="AH687" i="9"/>
  <c r="AI687" i="9"/>
  <c r="AJ687" i="9"/>
  <c r="AG688" i="9"/>
  <c r="AH688" i="9"/>
  <c r="K39" i="12" s="1"/>
  <c r="AI688" i="9"/>
  <c r="N39" i="12" s="1"/>
  <c r="AJ688" i="9"/>
  <c r="H39" i="12" s="1"/>
  <c r="AG689" i="9"/>
  <c r="AH689" i="9"/>
  <c r="K34" i="12" s="1"/>
  <c r="AI689" i="9"/>
  <c r="N34" i="12" s="1"/>
  <c r="AJ689" i="9"/>
  <c r="H34" i="12" s="1"/>
  <c r="AI2" i="9"/>
  <c r="AH2" i="9"/>
  <c r="AA475" i="10"/>
  <c r="AB475" i="10"/>
  <c r="L32" i="11" s="1"/>
  <c r="AC475" i="10"/>
  <c r="O32" i="11" s="1"/>
  <c r="AD475" i="10"/>
  <c r="I32" i="11" s="1"/>
  <c r="AA476" i="10"/>
  <c r="AB476" i="10"/>
  <c r="L3" i="11" s="1"/>
  <c r="AC476" i="10"/>
  <c r="O3" i="11" s="1"/>
  <c r="AD476" i="10"/>
  <c r="I3" i="11" s="1"/>
  <c r="AA477" i="10"/>
  <c r="AB477" i="10"/>
  <c r="L26" i="11" s="1"/>
  <c r="AC477" i="10"/>
  <c r="AD477" i="10"/>
  <c r="I26" i="11" s="1"/>
  <c r="AA478" i="10"/>
  <c r="AB478" i="10"/>
  <c r="L12" i="11" s="1"/>
  <c r="AC478" i="10"/>
  <c r="O12" i="11" s="1"/>
  <c r="AD478" i="10"/>
  <c r="I12" i="11" s="1"/>
  <c r="AA479" i="10"/>
  <c r="AB479" i="10"/>
  <c r="L20" i="11" s="1"/>
  <c r="AC479" i="10"/>
  <c r="O20" i="11" s="1"/>
  <c r="AD479" i="10"/>
  <c r="I20" i="11" s="1"/>
  <c r="AA480" i="10"/>
  <c r="AB480" i="10"/>
  <c r="L42" i="11" s="1"/>
  <c r="AC480" i="10"/>
  <c r="O42" i="11" s="1"/>
  <c r="AD480" i="10"/>
  <c r="I42" i="11" s="1"/>
  <c r="AA481" i="10"/>
  <c r="AB481" i="10"/>
  <c r="L30" i="11" s="1"/>
  <c r="AC481" i="10"/>
  <c r="AD481" i="10"/>
  <c r="I30" i="11" s="1"/>
  <c r="AA482" i="10"/>
  <c r="AB482" i="10"/>
  <c r="L41" i="11" s="1"/>
  <c r="AC482" i="10"/>
  <c r="O41" i="11" s="1"/>
  <c r="AD482" i="10"/>
  <c r="I41" i="11" s="1"/>
  <c r="AA483" i="10"/>
  <c r="AB483" i="10"/>
  <c r="L9" i="11" s="1"/>
  <c r="AC483" i="10"/>
  <c r="O9" i="11" s="1"/>
  <c r="AD483" i="10"/>
  <c r="I9" i="11" s="1"/>
  <c r="AA484" i="10"/>
  <c r="AB484" i="10"/>
  <c r="L10" i="11" s="1"/>
  <c r="AC484" i="10"/>
  <c r="O10" i="11" s="1"/>
  <c r="AD484" i="10"/>
  <c r="I10" i="11" s="1"/>
  <c r="AA485" i="10"/>
  <c r="AB485" i="10"/>
  <c r="L29" i="11" s="1"/>
  <c r="AC485" i="10"/>
  <c r="AD485" i="10"/>
  <c r="I29" i="11" s="1"/>
  <c r="AA486" i="10"/>
  <c r="AB486" i="10"/>
  <c r="L2" i="11" s="1"/>
  <c r="AC486" i="10"/>
  <c r="O2" i="11" s="1"/>
  <c r="AD486" i="10"/>
  <c r="I2" i="11" s="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D2" i="11"/>
  <c r="E2" i="11"/>
  <c r="F2" i="11" a="1"/>
  <c r="F2" i="11" s="1"/>
  <c r="G2" i="11"/>
  <c r="H2" i="11"/>
  <c r="J2" i="11"/>
  <c r="K2" i="11" s="1"/>
  <c r="M2" i="11"/>
  <c r="N2" i="11" s="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P42" i="11"/>
  <c r="D42" i="11"/>
  <c r="E42" i="11"/>
  <c r="F42" i="11" a="1"/>
  <c r="F42" i="11" s="1"/>
  <c r="G42" i="11"/>
  <c r="H42" i="11"/>
  <c r="J42" i="11"/>
  <c r="K42" i="11" s="1"/>
  <c r="M42" i="11"/>
  <c r="N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L40" i="11" s="1"/>
  <c r="AC470" i="10"/>
  <c r="AD470" i="10"/>
  <c r="I40" i="11" s="1"/>
  <c r="AA471" i="10"/>
  <c r="AB471" i="10"/>
  <c r="L15" i="11" s="1"/>
  <c r="AC471" i="10"/>
  <c r="O15" i="11" s="1"/>
  <c r="AD471" i="10"/>
  <c r="I15" i="11" s="1"/>
  <c r="AA472" i="10"/>
  <c r="AB472" i="10"/>
  <c r="AC472" i="10"/>
  <c r="AD472" i="10"/>
  <c r="AA473" i="10"/>
  <c r="AB473" i="10"/>
  <c r="AC473" i="10"/>
  <c r="AD473" i="10"/>
  <c r="AA474" i="10"/>
  <c r="AB474" i="10"/>
  <c r="L49" i="11" s="1"/>
  <c r="AC474" i="10"/>
  <c r="O49" i="11" s="1"/>
  <c r="AD474" i="10"/>
  <c r="I49" i="11" s="1"/>
  <c r="AA451" i="10"/>
  <c r="AB451" i="10"/>
  <c r="L46" i="11" s="1"/>
  <c r="AC451" i="10"/>
  <c r="O46" i="11" s="1"/>
  <c r="AD451" i="10"/>
  <c r="I46" i="11" s="1"/>
  <c r="AA452" i="10"/>
  <c r="AB452" i="10"/>
  <c r="L18" i="11" s="1"/>
  <c r="AC452" i="10"/>
  <c r="O18" i="11" s="1"/>
  <c r="AD452" i="10"/>
  <c r="I18" i="11" s="1"/>
  <c r="AA453" i="10"/>
  <c r="AB453" i="10"/>
  <c r="L43" i="11" s="1"/>
  <c r="AC453" i="10"/>
  <c r="O43" i="11" s="1"/>
  <c r="AD453" i="10"/>
  <c r="I43" i="11" s="1"/>
  <c r="AA454" i="10"/>
  <c r="AB454" i="10"/>
  <c r="AC454" i="10"/>
  <c r="AD454" i="10"/>
  <c r="AA455" i="10"/>
  <c r="AB455" i="10"/>
  <c r="AC455" i="10"/>
  <c r="AD455" i="10"/>
  <c r="AA456" i="10"/>
  <c r="AB456" i="10"/>
  <c r="L8" i="11" s="1"/>
  <c r="AC456" i="10"/>
  <c r="O8" i="11" s="1"/>
  <c r="AD456" i="10"/>
  <c r="I8" i="11" s="1"/>
  <c r="AA457" i="10"/>
  <c r="AB457" i="10"/>
  <c r="L48" i="11" s="1"/>
  <c r="AC457" i="10"/>
  <c r="O48" i="11" s="1"/>
  <c r="AD457" i="10"/>
  <c r="I48" i="11" s="1"/>
  <c r="AA458" i="10"/>
  <c r="AB458" i="10"/>
  <c r="L4" i="11" s="1"/>
  <c r="AC458" i="10"/>
  <c r="O4" i="11" s="1"/>
  <c r="AD458" i="10"/>
  <c r="I4" i="11" s="1"/>
  <c r="AA459" i="10"/>
  <c r="AB459" i="10"/>
  <c r="AC459" i="10"/>
  <c r="AD459" i="10"/>
  <c r="AA460" i="10"/>
  <c r="AB460" i="10"/>
  <c r="L7" i="11" s="1"/>
  <c r="AC460" i="10"/>
  <c r="O7" i="11" s="1"/>
  <c r="AD460" i="10"/>
  <c r="I7" i="11" s="1"/>
  <c r="AA461" i="10"/>
  <c r="AB461" i="10"/>
  <c r="L11" i="11" s="1"/>
  <c r="AC461" i="10"/>
  <c r="O11" i="11" s="1"/>
  <c r="AD461" i="10"/>
  <c r="I11" i="11" s="1"/>
  <c r="AA462" i="10"/>
  <c r="AB462" i="10"/>
  <c r="L27" i="11" s="1"/>
  <c r="AC462" i="10"/>
  <c r="O27" i="11" s="1"/>
  <c r="AD462" i="10"/>
  <c r="I27" i="11" s="1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C40" i="12"/>
  <c r="D40" i="12"/>
  <c r="E40" i="12" a="1"/>
  <c r="E40" i="12" s="1"/>
  <c r="F40" i="12"/>
  <c r="G40" i="12"/>
  <c r="I40" i="12"/>
  <c r="J40" i="12" s="1"/>
  <c r="L40" i="12"/>
  <c r="M40" i="12" s="1"/>
  <c r="AA441" i="10"/>
  <c r="AB441" i="10"/>
  <c r="AC441" i="10"/>
  <c r="AD441" i="10"/>
  <c r="AA442" i="10"/>
  <c r="AB442" i="10"/>
  <c r="L6" i="11" s="1"/>
  <c r="AC442" i="10"/>
  <c r="O6" i="11" s="1"/>
  <c r="AD442" i="10"/>
  <c r="I6" i="11" s="1"/>
  <c r="AA443" i="10"/>
  <c r="AB443" i="10"/>
  <c r="AC443" i="10"/>
  <c r="AD443" i="10"/>
  <c r="AA444" i="10"/>
  <c r="AB444" i="10"/>
  <c r="AC444" i="10"/>
  <c r="AD444" i="10"/>
  <c r="AA445" i="10"/>
  <c r="AB445" i="10"/>
  <c r="L23" i="11" s="1"/>
  <c r="AC445" i="10"/>
  <c r="O23" i="11" s="1"/>
  <c r="AD445" i="10"/>
  <c r="I23" i="11" s="1"/>
  <c r="AA446" i="10"/>
  <c r="AB446" i="10"/>
  <c r="AC446" i="10"/>
  <c r="AD446" i="10"/>
  <c r="AA447" i="10"/>
  <c r="AB447" i="10"/>
  <c r="L14" i="11" s="1"/>
  <c r="AC447" i="10"/>
  <c r="O14" i="11" s="1"/>
  <c r="AD447" i="10"/>
  <c r="I14" i="11" s="1"/>
  <c r="AA448" i="10"/>
  <c r="AB448" i="10"/>
  <c r="AC448" i="10"/>
  <c r="AD448" i="10"/>
  <c r="AA449" i="10"/>
  <c r="AB449" i="10"/>
  <c r="AC449" i="10"/>
  <c r="AD449" i="10"/>
  <c r="AA450" i="10"/>
  <c r="AB450" i="10"/>
  <c r="L22" i="11" s="1"/>
  <c r="AC450" i="10"/>
  <c r="O22" i="11" s="1"/>
  <c r="AD450" i="10"/>
  <c r="I22" i="11" s="1"/>
  <c r="D47" i="11"/>
  <c r="E47" i="11"/>
  <c r="F47" i="11" a="1"/>
  <c r="F47" i="11" s="1"/>
  <c r="G47" i="11"/>
  <c r="H47" i="11"/>
  <c r="J47" i="11"/>
  <c r="K47" i="11" s="1"/>
  <c r="M47" i="11"/>
  <c r="N47" i="11" s="1"/>
  <c r="D38" i="11"/>
  <c r="E38" i="11"/>
  <c r="F38" i="11" a="1"/>
  <c r="F38" i="11" s="1"/>
  <c r="G38" i="11"/>
  <c r="H38" i="11"/>
  <c r="J38" i="11"/>
  <c r="K38" i="11" s="1"/>
  <c r="M38" i="11"/>
  <c r="N38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P38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A415" i="10"/>
  <c r="AB415" i="10"/>
  <c r="L39" i="11" s="1"/>
  <c r="AC415" i="10"/>
  <c r="O39" i="11" s="1"/>
  <c r="AD415" i="10"/>
  <c r="I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L33" i="11" s="1"/>
  <c r="AC435" i="10"/>
  <c r="O33" i="11" s="1"/>
  <c r="AD435" i="10"/>
  <c r="I33" i="11" s="1"/>
  <c r="AA436" i="10"/>
  <c r="AB436" i="10"/>
  <c r="L44" i="11" s="1"/>
  <c r="AC436" i="10"/>
  <c r="O44" i="11" s="1"/>
  <c r="AD436" i="10"/>
  <c r="I44" i="11" s="1"/>
  <c r="AA437" i="10"/>
  <c r="AB437" i="10"/>
  <c r="AC437" i="10"/>
  <c r="AD437" i="10"/>
  <c r="AA438" i="10"/>
  <c r="AB438" i="10"/>
  <c r="L47" i="11" s="1"/>
  <c r="AC438" i="10"/>
  <c r="O47" i="11" s="1"/>
  <c r="AD438" i="10"/>
  <c r="I47" i="11" s="1"/>
  <c r="AA439" i="10"/>
  <c r="AB439" i="10"/>
  <c r="AC439" i="10"/>
  <c r="AD439" i="10"/>
  <c r="AA440" i="10"/>
  <c r="AB440" i="10"/>
  <c r="AC440" i="10"/>
  <c r="AD440" i="10"/>
  <c r="P36" i="11"/>
  <c r="C24" i="12"/>
  <c r="D24" i="12"/>
  <c r="E24" i="12" a="1"/>
  <c r="E24" i="12" s="1"/>
  <c r="F24" i="12"/>
  <c r="G24" i="12"/>
  <c r="I24" i="12"/>
  <c r="J24" i="12" s="1"/>
  <c r="L24" i="12"/>
  <c r="M24" i="12" s="1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P29" i="11"/>
  <c r="D29" i="11"/>
  <c r="E29" i="11"/>
  <c r="F29" i="11" a="1"/>
  <c r="F29" i="11" s="1"/>
  <c r="G29" i="11"/>
  <c r="H29" i="11"/>
  <c r="J29" i="11"/>
  <c r="K29" i="11" s="1"/>
  <c r="M29" i="11"/>
  <c r="N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L38" i="11" s="1"/>
  <c r="AC414" i="10"/>
  <c r="O38" i="11" s="1"/>
  <c r="AD414" i="10"/>
  <c r="I38" i="11" s="1"/>
  <c r="Q45" i="11"/>
  <c r="R45" i="1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P45" i="11"/>
  <c r="D45" i="11"/>
  <c r="E45" i="11"/>
  <c r="F45" i="11" a="1"/>
  <c r="F45" i="11" s="1"/>
  <c r="G45" i="11"/>
  <c r="H45" i="11"/>
  <c r="J45" i="11"/>
  <c r="K45" i="11" s="1"/>
  <c r="M45" i="11"/>
  <c r="N45" i="11" s="1"/>
  <c r="AA390" i="10"/>
  <c r="AB390" i="10"/>
  <c r="AC390" i="10"/>
  <c r="AD390" i="10"/>
  <c r="AA391" i="10"/>
  <c r="AB391" i="10"/>
  <c r="AC391" i="10"/>
  <c r="AD391" i="10"/>
  <c r="AA392" i="10"/>
  <c r="AB392" i="10"/>
  <c r="L35" i="11" s="1"/>
  <c r="AC392" i="10"/>
  <c r="O35" i="11" s="1"/>
  <c r="AD392" i="10"/>
  <c r="I35" i="11" s="1"/>
  <c r="AA393" i="10"/>
  <c r="AB393" i="10"/>
  <c r="L17" i="11" s="1"/>
  <c r="AC393" i="10"/>
  <c r="O17" i="11" s="1"/>
  <c r="AD393" i="10"/>
  <c r="I17" i="11" s="1"/>
  <c r="AA394" i="10"/>
  <c r="AB394" i="10"/>
  <c r="AC394" i="10"/>
  <c r="AD394" i="10"/>
  <c r="AA395" i="10"/>
  <c r="AB395" i="10"/>
  <c r="AC395" i="10"/>
  <c r="AD395" i="10"/>
  <c r="AA396" i="10"/>
  <c r="AB396" i="10"/>
  <c r="L45" i="11" s="1"/>
  <c r="AC396" i="10"/>
  <c r="O45" i="11" s="1"/>
  <c r="AD396" i="10"/>
  <c r="I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4" i="11"/>
  <c r="Y15" i="11"/>
  <c r="Y16" i="11"/>
  <c r="Y17" i="11"/>
  <c r="Y18" i="11"/>
  <c r="Y20" i="11"/>
  <c r="Y21" i="11"/>
  <c r="Y22" i="11"/>
  <c r="Y23" i="11"/>
  <c r="Y24" i="11"/>
  <c r="Y25" i="11"/>
  <c r="Y26" i="11"/>
  <c r="Y27" i="11"/>
  <c r="Y28" i="11"/>
  <c r="Y30" i="11"/>
  <c r="Y31" i="11"/>
  <c r="Y32" i="11"/>
  <c r="Y33" i="11"/>
  <c r="Y34" i="11"/>
  <c r="Y35" i="11"/>
  <c r="Y36" i="11"/>
  <c r="Y39" i="11"/>
  <c r="Y41" i="11"/>
  <c r="Y43" i="11"/>
  <c r="Y44" i="11"/>
  <c r="Y46" i="11"/>
  <c r="Y47" i="11"/>
  <c r="Y48" i="11"/>
  <c r="Y49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5" i="12"/>
  <c r="J45" i="12" s="1"/>
  <c r="L45" i="12"/>
  <c r="M45" i="12" s="1"/>
  <c r="F45" i="12"/>
  <c r="G45" i="12"/>
  <c r="C45" i="12"/>
  <c r="D45" i="12"/>
  <c r="E45" i="12" a="1"/>
  <c r="E45" i="12" s="1"/>
  <c r="AA377" i="10"/>
  <c r="AB377" i="10"/>
  <c r="AC377" i="10"/>
  <c r="AD377" i="10"/>
  <c r="AA361" i="10"/>
  <c r="AB361" i="10"/>
  <c r="L36" i="11" s="1"/>
  <c r="AC361" i="10"/>
  <c r="O36" i="11" s="1"/>
  <c r="AD361" i="10"/>
  <c r="I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7" i="11"/>
  <c r="R47" i="11"/>
  <c r="S47" i="11"/>
  <c r="T47" i="11"/>
  <c r="U47" i="11"/>
  <c r="V47" i="11"/>
  <c r="W47" i="11"/>
  <c r="X47" i="11"/>
  <c r="Z47" i="11"/>
  <c r="AA47" i="11"/>
  <c r="AB47" i="11"/>
  <c r="AC47" i="11"/>
  <c r="AD47" i="11"/>
  <c r="AE47" i="11"/>
  <c r="P47" i="11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O40" i="11" l="1"/>
  <c r="O29" i="11"/>
  <c r="O30" i="11"/>
  <c r="O26" i="11"/>
  <c r="M2" i="12"/>
  <c r="J32" i="12"/>
  <c r="I21" i="12"/>
  <c r="J21" i="12" s="1"/>
  <c r="L21" i="12"/>
  <c r="M21" i="12" s="1"/>
  <c r="F21" i="12"/>
  <c r="G21" i="12"/>
  <c r="C21" i="12"/>
  <c r="D21" i="12"/>
  <c r="E21" i="12" a="1"/>
  <c r="E21" i="12" s="1"/>
  <c r="F39" i="12"/>
  <c r="G39" i="12"/>
  <c r="I39" i="12"/>
  <c r="J39" i="12" s="1"/>
  <c r="L39" i="12"/>
  <c r="M39" i="12" s="1"/>
  <c r="C39" i="12"/>
  <c r="D39" i="12"/>
  <c r="E39" i="12" a="1"/>
  <c r="E39" i="12" s="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M22" i="11"/>
  <c r="N22" i="11" s="1"/>
  <c r="J22" i="11"/>
  <c r="H22" i="11"/>
  <c r="G22" i="11"/>
  <c r="E22" i="11"/>
  <c r="D22" i="11"/>
  <c r="F22" i="11" a="1"/>
  <c r="F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2" i="12"/>
  <c r="M42" i="12" s="1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1" i="12"/>
  <c r="M31" i="12" s="1"/>
  <c r="L34" i="12"/>
  <c r="M34" i="12" s="1"/>
  <c r="L35" i="12"/>
  <c r="M35" i="12" s="1"/>
  <c r="L36" i="12"/>
  <c r="M36" i="12" s="1"/>
  <c r="L37" i="12"/>
  <c r="M37" i="12" s="1"/>
  <c r="L38" i="12"/>
  <c r="M38" i="12" s="1"/>
  <c r="L41" i="12"/>
  <c r="M41" i="12" s="1"/>
  <c r="L43" i="12"/>
  <c r="M43" i="12" s="1"/>
  <c r="L44" i="12"/>
  <c r="M44" i="12" s="1"/>
  <c r="L46" i="12"/>
  <c r="M46" i="12" s="1"/>
  <c r="L47" i="12"/>
  <c r="M47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L3" i="12"/>
  <c r="M3" i="12" s="1"/>
  <c r="I4" i="12"/>
  <c r="J4" i="12" s="1"/>
  <c r="I5" i="12"/>
  <c r="J5" i="12" s="1"/>
  <c r="I6" i="12"/>
  <c r="J6" i="12" s="1"/>
  <c r="I7" i="12"/>
  <c r="J7" i="12" s="1"/>
  <c r="I8" i="12"/>
  <c r="J8" i="12" s="1"/>
  <c r="I9" i="12"/>
  <c r="J9" i="12" s="1"/>
  <c r="I10" i="12"/>
  <c r="J10" i="12" s="1"/>
  <c r="I11" i="12"/>
  <c r="J11" i="12" s="1"/>
  <c r="I13" i="12"/>
  <c r="J13" i="12" s="1"/>
  <c r="I42" i="12"/>
  <c r="I14" i="12"/>
  <c r="J14" i="12" s="1"/>
  <c r="I16" i="12"/>
  <c r="J16" i="12" s="1"/>
  <c r="I17" i="12"/>
  <c r="J17" i="12" s="1"/>
  <c r="I18" i="12"/>
  <c r="J18" i="12" s="1"/>
  <c r="I19" i="12"/>
  <c r="J19" i="12" s="1"/>
  <c r="I20" i="12"/>
  <c r="J20" i="12" s="1"/>
  <c r="I22" i="12"/>
  <c r="J22" i="12" s="1"/>
  <c r="I25" i="12"/>
  <c r="J25" i="12" s="1"/>
  <c r="I26" i="12"/>
  <c r="J26" i="12" s="1"/>
  <c r="I27" i="12"/>
  <c r="J27" i="12" s="1"/>
  <c r="I28" i="12"/>
  <c r="J28" i="12" s="1"/>
  <c r="I29" i="12"/>
  <c r="J29" i="12" s="1"/>
  <c r="I30" i="12"/>
  <c r="J30" i="12" s="1"/>
  <c r="I31" i="12"/>
  <c r="J31" i="12" s="1"/>
  <c r="I34" i="12"/>
  <c r="J34" i="12" s="1"/>
  <c r="I35" i="12"/>
  <c r="J35" i="12" s="1"/>
  <c r="I36" i="12"/>
  <c r="J36" i="12" s="1"/>
  <c r="I37" i="12"/>
  <c r="J37" i="12" s="1"/>
  <c r="I38" i="12"/>
  <c r="J38" i="12" s="1"/>
  <c r="I41" i="12"/>
  <c r="J41" i="12" s="1"/>
  <c r="I43" i="12"/>
  <c r="J43" i="12" s="1"/>
  <c r="I44" i="12"/>
  <c r="J44" i="12" s="1"/>
  <c r="I46" i="12"/>
  <c r="J46" i="12" s="1"/>
  <c r="I47" i="12"/>
  <c r="J47" i="12" s="1"/>
  <c r="I48" i="12"/>
  <c r="J48" i="12" s="1"/>
  <c r="I49" i="12"/>
  <c r="J49" i="12" s="1"/>
  <c r="I50" i="12"/>
  <c r="J50" i="12" s="1"/>
  <c r="I51" i="12"/>
  <c r="J51" i="12" s="1"/>
  <c r="I52" i="12"/>
  <c r="J52" i="12" s="1"/>
  <c r="I53" i="12"/>
  <c r="J53" i="12" s="1"/>
  <c r="I54" i="12"/>
  <c r="J54" i="12" s="1"/>
  <c r="I55" i="12"/>
  <c r="J55" i="12" s="1"/>
  <c r="I3" i="12"/>
  <c r="J3" i="12" s="1"/>
  <c r="G4" i="12"/>
  <c r="G5" i="12"/>
  <c r="G6" i="12"/>
  <c r="G7" i="12"/>
  <c r="G8" i="12"/>
  <c r="G9" i="12"/>
  <c r="G10" i="12"/>
  <c r="G11" i="12"/>
  <c r="G13" i="12"/>
  <c r="G42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1" i="12"/>
  <c r="G43" i="12"/>
  <c r="G44" i="12"/>
  <c r="G46" i="12"/>
  <c r="G47" i="12"/>
  <c r="G48" i="12"/>
  <c r="G49" i="12"/>
  <c r="G50" i="12"/>
  <c r="G51" i="12"/>
  <c r="G52" i="12"/>
  <c r="G53" i="12"/>
  <c r="G54" i="12"/>
  <c r="G55" i="12"/>
  <c r="G3" i="12"/>
  <c r="F42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1" i="12"/>
  <c r="F34" i="12"/>
  <c r="F35" i="12"/>
  <c r="F36" i="12"/>
  <c r="F37" i="12"/>
  <c r="F38" i="12"/>
  <c r="F41" i="12"/>
  <c r="F43" i="12"/>
  <c r="F44" i="12"/>
  <c r="F46" i="12"/>
  <c r="F47" i="12"/>
  <c r="F48" i="12"/>
  <c r="F49" i="12"/>
  <c r="F50" i="12"/>
  <c r="F51" i="12"/>
  <c r="F52" i="12"/>
  <c r="F53" i="12"/>
  <c r="F54" i="12"/>
  <c r="F55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2" i="12" a="1"/>
  <c r="E42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1" i="12" a="1"/>
  <c r="E41" i="12" s="1"/>
  <c r="E43" i="12" a="1"/>
  <c r="E43" i="12" s="1"/>
  <c r="E44" i="12" a="1"/>
  <c r="E44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3" i="12" a="1"/>
  <c r="E3" i="12" s="1"/>
  <c r="D42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1" i="12"/>
  <c r="D43" i="12"/>
  <c r="D44" i="12"/>
  <c r="D46" i="12"/>
  <c r="D47" i="12"/>
  <c r="D48" i="12"/>
  <c r="D49" i="12"/>
  <c r="D50" i="12"/>
  <c r="D51" i="12"/>
  <c r="D52" i="12"/>
  <c r="D53" i="12"/>
  <c r="D54" i="12"/>
  <c r="D55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2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1" i="12"/>
  <c r="C43" i="12"/>
  <c r="C44" i="12"/>
  <c r="C46" i="12"/>
  <c r="C47" i="12"/>
  <c r="C48" i="12"/>
  <c r="C49" i="12"/>
  <c r="C50" i="12"/>
  <c r="C51" i="12"/>
  <c r="C52" i="12"/>
  <c r="C53" i="12"/>
  <c r="C54" i="12"/>
  <c r="C55" i="12"/>
  <c r="C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9" i="11"/>
  <c r="R49" i="11"/>
  <c r="S49" i="11"/>
  <c r="T49" i="11"/>
  <c r="U49" i="11"/>
  <c r="V49" i="11"/>
  <c r="W49" i="11"/>
  <c r="X49" i="11"/>
  <c r="Z49" i="11"/>
  <c r="AA49" i="11"/>
  <c r="AB49" i="11"/>
  <c r="AC49" i="11"/>
  <c r="AD49" i="11"/>
  <c r="AE49" i="11"/>
  <c r="P49" i="11"/>
  <c r="Q48" i="11"/>
  <c r="R48" i="11"/>
  <c r="S48" i="11"/>
  <c r="T48" i="11"/>
  <c r="U48" i="11"/>
  <c r="V48" i="11"/>
  <c r="W48" i="11"/>
  <c r="X48" i="11"/>
  <c r="Z48" i="11"/>
  <c r="AA48" i="11"/>
  <c r="AB48" i="11"/>
  <c r="AC48" i="11"/>
  <c r="AD48" i="11"/>
  <c r="AE48" i="11"/>
  <c r="P48" i="11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M4" i="11"/>
  <c r="N4" i="11" s="1"/>
  <c r="J5" i="11"/>
  <c r="K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J14" i="11"/>
  <c r="K14" i="11" s="1"/>
  <c r="J15" i="11"/>
  <c r="K15" i="11" s="1"/>
  <c r="J16" i="11"/>
  <c r="K16" i="11" s="1"/>
  <c r="J17" i="11"/>
  <c r="K17" i="11" s="1"/>
  <c r="J18" i="11"/>
  <c r="K18" i="11" s="1"/>
  <c r="J20" i="11"/>
  <c r="K20" i="11" s="1"/>
  <c r="J21" i="11"/>
  <c r="K21" i="11" s="1"/>
  <c r="J23" i="11"/>
  <c r="K23" i="11" s="1"/>
  <c r="J24" i="11"/>
  <c r="K24" i="11" s="1"/>
  <c r="J25" i="11"/>
  <c r="K25" i="11" s="1"/>
  <c r="J26" i="11"/>
  <c r="K26" i="11" s="1"/>
  <c r="J27" i="11"/>
  <c r="K27" i="11" s="1"/>
  <c r="J28" i="11"/>
  <c r="K28" i="11" s="1"/>
  <c r="J30" i="11"/>
  <c r="K30" i="11" s="1"/>
  <c r="J31" i="11"/>
  <c r="K31" i="11" s="1"/>
  <c r="J32" i="11"/>
  <c r="K32" i="11" s="1"/>
  <c r="J33" i="11"/>
  <c r="K33" i="11" s="1"/>
  <c r="J34" i="11"/>
  <c r="K34" i="11" s="1"/>
  <c r="J35" i="11"/>
  <c r="K35" i="11" s="1"/>
  <c r="J36" i="11"/>
  <c r="K36" i="11" s="1"/>
  <c r="J39" i="11"/>
  <c r="K39" i="11" s="1"/>
  <c r="J41" i="11"/>
  <c r="K41" i="11" s="1"/>
  <c r="J43" i="11"/>
  <c r="K43" i="11" s="1"/>
  <c r="J44" i="11"/>
  <c r="K44" i="11" s="1"/>
  <c r="J46" i="11"/>
  <c r="K46" i="11" s="1"/>
  <c r="J48" i="11"/>
  <c r="K48" i="11" s="1"/>
  <c r="J49" i="11"/>
  <c r="K49" i="11" s="1"/>
  <c r="J4" i="11"/>
  <c r="K4" i="11" s="1"/>
  <c r="H5" i="11"/>
  <c r="H6" i="11"/>
  <c r="H7" i="11"/>
  <c r="H8" i="11"/>
  <c r="H9" i="11"/>
  <c r="H11" i="11"/>
  <c r="H12" i="11"/>
  <c r="H14" i="11"/>
  <c r="H15" i="11"/>
  <c r="H16" i="11"/>
  <c r="H17" i="11"/>
  <c r="H18" i="11"/>
  <c r="H20" i="11"/>
  <c r="H21" i="11"/>
  <c r="H23" i="11"/>
  <c r="H24" i="11"/>
  <c r="H25" i="11"/>
  <c r="H26" i="11"/>
  <c r="H27" i="11"/>
  <c r="H28" i="11"/>
  <c r="H30" i="11"/>
  <c r="H31" i="11"/>
  <c r="H32" i="11"/>
  <c r="H33" i="11"/>
  <c r="H34" i="11"/>
  <c r="H35" i="11"/>
  <c r="H36" i="11"/>
  <c r="H39" i="11"/>
  <c r="H41" i="11"/>
  <c r="H43" i="11"/>
  <c r="H44" i="11"/>
  <c r="H46" i="11"/>
  <c r="H48" i="11"/>
  <c r="H49" i="11"/>
  <c r="H4" i="11"/>
  <c r="G5" i="11"/>
  <c r="G6" i="11"/>
  <c r="G7" i="11"/>
  <c r="G8" i="11"/>
  <c r="G9" i="11"/>
  <c r="G11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G4" i="11"/>
  <c r="M5" i="11"/>
  <c r="N5" i="11" s="1"/>
  <c r="M6" i="11"/>
  <c r="N6" i="11" s="1"/>
  <c r="M7" i="11"/>
  <c r="N7" i="11" s="1"/>
  <c r="M8" i="11"/>
  <c r="N8" i="11" s="1"/>
  <c r="M9" i="11"/>
  <c r="N9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20" i="11"/>
  <c r="N20" i="11" s="1"/>
  <c r="M21" i="11"/>
  <c r="N21" i="11" s="1"/>
  <c r="M23" i="11"/>
  <c r="N23" i="11" s="1"/>
  <c r="M24" i="11"/>
  <c r="N24" i="11" s="1"/>
  <c r="M25" i="11"/>
  <c r="N25" i="11" s="1"/>
  <c r="M26" i="11"/>
  <c r="N26" i="11" s="1"/>
  <c r="M27" i="11"/>
  <c r="M28" i="11"/>
  <c r="N28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6" i="11"/>
  <c r="N36" i="11" s="1"/>
  <c r="M39" i="11"/>
  <c r="N39" i="11" s="1"/>
  <c r="M41" i="11"/>
  <c r="N41" i="11" s="1"/>
  <c r="M43" i="11"/>
  <c r="N43" i="11" s="1"/>
  <c r="M44" i="11"/>
  <c r="N44" i="11" s="1"/>
  <c r="M46" i="11"/>
  <c r="N46" i="11" s="1"/>
  <c r="M48" i="11"/>
  <c r="N48" i="11" s="1"/>
  <c r="M49" i="11"/>
  <c r="N49" i="11" s="1"/>
  <c r="F12" i="11" a="1"/>
  <c r="F12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9" i="11" a="1"/>
  <c r="F39" i="11" s="1"/>
  <c r="F41" i="11" a="1"/>
  <c r="F41" i="11" s="1"/>
  <c r="F43" i="11" a="1"/>
  <c r="F43" i="11" s="1"/>
  <c r="F44" i="11" a="1"/>
  <c r="F44" i="11" s="1"/>
  <c r="F46" i="11" a="1"/>
  <c r="F46" i="11" s="1"/>
  <c r="F48" i="11" a="1"/>
  <c r="F48" i="11" s="1"/>
  <c r="F49" i="11" a="1"/>
  <c r="F49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4" i="11"/>
  <c r="E15" i="11"/>
  <c r="E16" i="11"/>
  <c r="E17" i="11"/>
  <c r="E18" i="11"/>
  <c r="E20" i="11"/>
  <c r="E21" i="11"/>
  <c r="E23" i="11"/>
  <c r="E24" i="11"/>
  <c r="E25" i="11"/>
  <c r="E26" i="11"/>
  <c r="E27" i="11"/>
  <c r="E28" i="11"/>
  <c r="E30" i="11"/>
  <c r="E31" i="11"/>
  <c r="E32" i="11"/>
  <c r="E33" i="11"/>
  <c r="E34" i="11"/>
  <c r="E35" i="11"/>
  <c r="E36" i="11"/>
  <c r="E39" i="11"/>
  <c r="E41" i="11"/>
  <c r="E43" i="11"/>
  <c r="E44" i="11"/>
  <c r="E46" i="11"/>
  <c r="E48" i="11"/>
  <c r="E49" i="11"/>
  <c r="D11" i="11"/>
  <c r="D12" i="11"/>
  <c r="D14" i="11"/>
  <c r="D15" i="11"/>
  <c r="D16" i="11"/>
  <c r="D17" i="11"/>
  <c r="D18" i="11"/>
  <c r="D20" i="11"/>
  <c r="D21" i="11"/>
  <c r="D23" i="11"/>
  <c r="D24" i="11"/>
  <c r="D25" i="11"/>
  <c r="D26" i="11"/>
  <c r="D27" i="11"/>
  <c r="D28" i="11"/>
  <c r="D30" i="11"/>
  <c r="D31" i="11"/>
  <c r="D32" i="11"/>
  <c r="D33" i="11"/>
  <c r="D34" i="11"/>
  <c r="D35" i="11"/>
  <c r="D36" i="11"/>
  <c r="D39" i="11"/>
  <c r="D41" i="11"/>
  <c r="D43" i="11"/>
  <c r="D44" i="11"/>
  <c r="D46" i="11"/>
  <c r="D48" i="11"/>
  <c r="D49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34" i="11" l="1"/>
  <c r="O34" i="11"/>
  <c r="L34" i="11"/>
  <c r="I16" i="11"/>
  <c r="O16" i="11"/>
  <c r="L16" i="11"/>
  <c r="I24" i="11"/>
  <c r="O24" i="11"/>
  <c r="L24" i="11"/>
  <c r="I31" i="11"/>
  <c r="O31" i="11"/>
  <c r="L31" i="11"/>
  <c r="I28" i="11"/>
  <c r="O28" i="11"/>
  <c r="L28" i="11"/>
  <c r="I21" i="11"/>
  <c r="O21" i="11"/>
  <c r="L21" i="11"/>
  <c r="I5" i="11"/>
  <c r="O5" i="11"/>
  <c r="L5" i="11"/>
  <c r="I25" i="11"/>
  <c r="O25" i="11"/>
  <c r="L25" i="11"/>
  <c r="K22" i="11"/>
  <c r="J42" i="12"/>
  <c r="N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<sst xmlns="http://schemas.openxmlformats.org/spreadsheetml/2006/main" count="2550" uniqueCount="161">
  <si>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</si>
  <si>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</si>
  <si>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</si>
  <si>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</si>
  <si>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</si>
  <si>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</si>
  <si>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</si>
  <si>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</si>
  <si>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</si>
  <si>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</si>
  <si>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</si>
  <si>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</si>
  <si>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</si>
  <si>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</si>
  <si>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</si>
  <si>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</si>
  <si>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</si>
  <si>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</si>
  <si>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</si>
  <si>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</si>
  <si>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</si>
  <si>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</si>
  <si>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</si>
  <si>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</si>
  <si>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</si>
  <si>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</si>
  <si>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</si>
  <si>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</si>
  <si>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</si>
  <si>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</si>
  <si>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</si>
  <si>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</si>
  <si>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</si>
  <si>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</si>
  <si>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</si>
  <si>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</si>
  <si>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</si>
  <si>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</si>
  <si>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</si>
  <si>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</si>
  <si>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</si>
  <si>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</si>
  <si>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</si>
  <si>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</si>
  <si>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</si>
  <si>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</si>
  <si>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</si>
  <si>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</si>
  <si>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</si>
  <si>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</si>
  <si>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</si>
  <si>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</si>
  <si>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</si>
  <si>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</si>
  <si>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</si>
  <si>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</si>
  <si>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</si>
  <si>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</si>
  <si>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</si>
  <si>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</si>
  <si>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</si>
  <si>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</si>
  <si>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</si>
  <si>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</si>
  <si>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</si>
  <si>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</si>
  <si>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</si>
  <si>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</si>
  <si>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</si>
  <si>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</si>
  <si>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</si>
  <si>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</si>
  <si>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</si>
  <si>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</si>
  <si>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</si>
  <si>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</si>
  <si>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</si>
  <si>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</si>
  <si>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</si>
  <si>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</si>
  <si>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</si>
  <si>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</si>
  <si>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</si>
  <si>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</si>
  <si>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</si>
  <si>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</si>
  <si>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</si>
  <si>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</si>
  <si>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</si>
  <si>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</si>
  <si>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</si>
  <si>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</si>
  <si>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</si>
  <si>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</si>
  <si>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</si>
  <si>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</si>
  <si>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</si>
  <si>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</si>
  <si>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</si>
  <si>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</si>
  <si>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</si>
  <si>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</si>
  <si>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</si>
  <si>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</si>
  <si>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</si>
  <si>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</si>
  <si>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</si>
  <si>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</si>
  <si>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</si>
  <si>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</si>
  <si>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</si>
  <si>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</si>
  <si>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</si>
  <si>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</si>
  <si>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</si>
  <si>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</si>
  <si>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</si>
  <si>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</si>
  <si>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</si>
  <si>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</si>
  <si>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</si>
  <si>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</si>
  <si>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</si>
  <si>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</si>
  <si>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</si>
  <si>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</si>
  <si>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</si>
  <si>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</si>
  <si>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</si>
  <si>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</si>
  <si>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</si>
  <si>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</si>
  <si>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</si>
  <si>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</si>
  <si>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</si>
  <si>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</si>
  <si>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</si>
  <si>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</si>
  <si>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</si>
  <si>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</si>
  <si>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</si>
  <si>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</si>
  <si>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</si>
  <si>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</si>
  <si>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</si>
  <si>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</si>
  <si>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</si>
  <si>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</si>
  <si>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</si>
  <si>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</si>
  <si>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</si>
  <si>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</si>
  <si>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</si>
  <si>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</si>
  <si>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</si>
  <si>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</si>
  <si>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</si>
  <si>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</si>
  <si>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Undisupted</t>
  </si>
  <si>
    <t>Dreams</t>
  </si>
  <si>
    <t>HOpes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</si>
</sst>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9"/>
  <sheetViews>
    <sheetView workbookViewId="0">
      <pane xSplit="1" ySplit="1" topLeftCell="N2" activePane="bottomRight" state="frozen"/>
      <selection pane="topRight" activeCell="B1" sqref="B1"/>
      <selection pane="bottomLeft" activeCell="A2" sqref="A2"/>
      <selection pane="bottomRight" activeCell="AE2" sqref="AE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History'!C:C,'OB History'!B:B,A2)</f>
        <v>45</v>
      </c>
      <c r="E2" s="4">
        <f>AVERAGEIFS('OB History'!C:C,'OB History'!B:B,A2)</f>
        <v>11.25</v>
      </c>
      <c r="F2" s="35">
        <f t="array" ref="F2">MAX(IF('OB History'!B:B=A2, 'OB History'!C:C))</f>
        <v>22</v>
      </c>
      <c r="G2" s="34">
        <f>COUNTIFS('OB History'!B:B,A2,'OB History'!D:D, 1)</f>
        <v>3</v>
      </c>
      <c r="H2" s="2">
        <f>COUNTIFS('OB History'!B:B,A2,'OB History'!D:D, 0)</f>
        <v>1</v>
      </c>
      <c r="I2" s="88">
        <f>LOOKUP(2, 1/('OB History'!$B:$B=A2), 'OB History'!$AD:$AD)</f>
        <v>0.75</v>
      </c>
      <c r="J2" s="34">
        <f>SUMIFS('OB History'!F:F,'OB History'!B:B,A2)</f>
        <v>10</v>
      </c>
      <c r="K2" s="2">
        <f>SUMIFS('OB History'!E:E,'OB History'!B:B,A2)-J2</f>
        <v>7</v>
      </c>
      <c r="L2" s="88">
        <f>LOOKUP(2, 1/('OB History'!$B:$B=A2), 'OB History'!$AB:$AB)</f>
        <v>0.58750000000000002</v>
      </c>
      <c r="M2" s="34">
        <f>SUMIFS('OB History'!H:H,'OB History'!B:B,A2)</f>
        <v>36</v>
      </c>
      <c r="N2" s="2">
        <f>SUMIFS('OB History'!G:G,'OB History'!B:B,A2)-M2</f>
        <v>31</v>
      </c>
      <c r="O2" s="88">
        <f>LOOKUP(2, 1/('OB History'!$B:$B=A2), 'OB History'!$AC:$AC)</f>
        <v>0.55000000000000004</v>
      </c>
      <c r="P2" s="2">
        <f>COUNTIFS('OB History'!$B:$B,$A$2,'OB History'!K:K, 1)</f>
        <v>0</v>
      </c>
      <c r="Q2" s="2">
        <f>COUNTIFS('OB History'!$B:$B,$A$2,'OB History'!L:L, 1)</f>
        <v>0</v>
      </c>
      <c r="R2" s="2">
        <f>COUNTIFS('OB History'!$B:$B,$A$2,'OB History'!M:M, 1)</f>
        <v>0</v>
      </c>
      <c r="S2" s="2">
        <f>COUNTIFS('OB History'!$B:$B,$A$2,'OB History'!N:N, 1)</f>
        <v>2</v>
      </c>
      <c r="T2" s="2">
        <f>COUNTIFS('OB History'!$B:$B,$A$2,'OB History'!O:O, 1)</f>
        <v>0</v>
      </c>
      <c r="U2" s="2">
        <f>COUNTIFS('OB History'!$B:$B,$A$2,'OB History'!P:P, 1)</f>
        <v>1</v>
      </c>
      <c r="V2" s="2">
        <f>COUNTIFS('OB History'!$B:$B,$A$2,'OB History'!Q:Q, 1)</f>
        <v>0</v>
      </c>
      <c r="W2" s="2">
        <f>COUNTIFS('OB History'!$B:$B,$A$2,'OB History'!R:R, 1)</f>
        <v>0</v>
      </c>
      <c r="X2" s="2">
        <f>COUNTIFS('OB History'!$B:$B,$A$2,'OB History'!S:S, 1)</f>
        <v>0</v>
      </c>
      <c r="Y2" s="2">
        <f>COUNTIFS('OB History'!$B:$B,$A$2,'OB History'!T:T, 1)</f>
        <v>0</v>
      </c>
      <c r="Z2" s="2">
        <f>COUNTIFS('OB History'!$B:$B,$A$2,'OB History'!U:U, 1)</f>
        <v>1</v>
      </c>
      <c r="AA2" s="2">
        <f>COUNTIFS('OB History'!$B:$B,$A$2,'OB History'!V:V, 1)</f>
        <v>0</v>
      </c>
      <c r="AB2" s="2">
        <f>COUNTIFS('OB History'!$B:$B,$A$2,'OB History'!W:W, 1)</f>
        <v>1</v>
      </c>
      <c r="AC2" s="2">
        <f>COUNTIFS('OB History'!$B:$B,$A$2,'OB History'!X:X, 1)</f>
        <v>3</v>
      </c>
      <c r="AD2" s="2">
        <f>COUNTIFS('OB History'!$B:$B,$A$2,'OB History'!Y:Y, 1)</f>
        <v>2</v>
      </c>
      <c r="AE2" s="2">
        <f>COUNTIFS('OB History'!$B:$B,$A$2,'OB History'!Z:Z, 1)</f>
        <v>0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42</v>
      </c>
      <c r="E3" s="4">
        <f>AVERAGEIFS('OB History'!C:C,'OB History'!B:B,A3)</f>
        <v>10.5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1</v>
      </c>
      <c r="I3" s="88">
        <f>LOOKUP(2, 1/('OB History'!$B:$B=A3), 'OB History'!$AD:$AD)</f>
        <v>0.75</v>
      </c>
      <c r="J3" s="34">
        <f>SUMIFS('OB History'!F:F,'OB History'!B:B,A3)</f>
        <v>9</v>
      </c>
      <c r="K3" s="2">
        <f>SUMIFS('OB History'!E:E,'OB History'!B:B,A3)-J3</f>
        <v>8</v>
      </c>
      <c r="L3" s="88">
        <f>LOOKUP(2, 1/('OB History'!$B:$B=A3), 'OB History'!$AB:$AB)</f>
        <v>0.48749999999999999</v>
      </c>
      <c r="M3" s="34">
        <f>SUMIFS('OB History'!H:H,'OB History'!B:B,A3)</f>
        <v>35</v>
      </c>
      <c r="N3" s="2">
        <f>SUMIFS('OB History'!G:G,'OB History'!B:B,A3)-M3</f>
        <v>35</v>
      </c>
      <c r="O3" s="88">
        <f>LOOKUP(2, 1/('OB History'!$B:$B=A3), 'OB History'!$AC:$AC)</f>
        <v>0.46999999999999992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342</v>
      </c>
      <c r="E4" s="4">
        <f>AVERAGEIFS('OB History'!C:C,'OB History'!B:B,A4)</f>
        <v>20.117647058823529</v>
      </c>
      <c r="F4" s="35">
        <f t="array" ref="F4">MAX(IF('OB History'!B:B=A4, 'OB History'!C:C))</f>
        <v>36</v>
      </c>
      <c r="G4" s="34">
        <f>COUNTIFS('OB History'!B:B,A4,'OB History'!D:D, 1)</f>
        <v>7</v>
      </c>
      <c r="H4" s="2">
        <f>COUNTIFS('OB History'!B:B,A4,'OB History'!D:D, 0)</f>
        <v>10</v>
      </c>
      <c r="I4" s="88">
        <f>LOOKUP(2, 1/('OB History'!$B:$B=A4), 'OB History'!$AD:$AD)</f>
        <v>0.41176470588235292</v>
      </c>
      <c r="J4" s="34">
        <f>SUMIFS('OB History'!F:F,'OB History'!B:B,A4)</f>
        <v>31</v>
      </c>
      <c r="K4" s="2">
        <f>SUMIFS('OB History'!E:E,'OB History'!B:B,A4)-J4</f>
        <v>39</v>
      </c>
      <c r="L4" s="88">
        <f>LOOKUP(2, 1/('OB History'!$B:$B=A4), 'OB History'!$AB:$AB)</f>
        <v>0.43235294117647055</v>
      </c>
      <c r="M4" s="34">
        <f>SUMIFS('OB History'!H:H,'OB History'!B:B,A4)</f>
        <v>134</v>
      </c>
      <c r="N4" s="2">
        <f>SUMIFS('OB History'!G:G,'OB History'!B:B,A4)-M4</f>
        <v>148</v>
      </c>
      <c r="O4" s="88">
        <f>LOOKUP(2, 1/('OB History'!$B:$B=A4), 'OB History'!$AC:$AC)</f>
        <v>0.46294117647058813</v>
      </c>
      <c r="P4" s="2">
        <f>COUNTIFS('OB History'!$B:$B,$A$4,'OB History'!K:K, 1)</f>
        <v>3</v>
      </c>
      <c r="Q4" s="2">
        <f>COUNTIFS('OB History'!$B:$B,$A$4,'OB History'!L:L, 1)</f>
        <v>0</v>
      </c>
      <c r="R4" s="2">
        <f>COUNTIFS('OB History'!$B:$B,$A$4,'OB History'!M:M, 1)</f>
        <v>1</v>
      </c>
      <c r="S4" s="2">
        <f>COUNTIFS('OB History'!$B:$B,$A$4,'OB History'!N:N, 1)</f>
        <v>5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0</v>
      </c>
      <c r="X4" s="2">
        <f>COUNTIFS('OB History'!$B:$B,$A$4,'OB History'!S:S, 1)</f>
        <v>0</v>
      </c>
      <c r="Y4" s="2">
        <f>COUNTIFS('OB History'!$B:$B,$A$4,'OB History'!T:T, 1)</f>
        <v>1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2</v>
      </c>
      <c r="AE4" s="2">
        <f>COUNTIFS('OB History'!$B:$B,$A$4,'OB History'!Z:Z, 1)</f>
        <v>7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40</v>
      </c>
      <c r="E5" s="4">
        <f>AVERAGEIFS('OB History'!C:C,'OB History'!B:B,A5)</f>
        <v>10</v>
      </c>
      <c r="F5" s="35">
        <f t="array" ref="F5">MAX(IF('OB History'!B:B=A5, 'OB History'!C:C))</f>
        <v>18</v>
      </c>
      <c r="G5" s="34">
        <f>COUNTIFS('OB History'!B:B,A5,'OB History'!D:D, 1)</f>
        <v>4</v>
      </c>
      <c r="H5" s="2">
        <f>COUNTIFS('OB History'!B:B,A5,'OB History'!D:D, 0)</f>
        <v>0</v>
      </c>
      <c r="I5" s="88">
        <f>LOOKUP(2, 1/('OB History'!$B:$B=A5), 'OB History'!$AD:$AD)</f>
        <v>1</v>
      </c>
      <c r="J5" s="34">
        <f>SUMIFS('OB History'!F:F,'OB History'!B:B,A5)</f>
        <v>12</v>
      </c>
      <c r="K5" s="2">
        <f>SUMIFS('OB History'!E:E,'OB History'!B:B,A5)-J5</f>
        <v>3</v>
      </c>
      <c r="L5" s="88">
        <f>LOOKUP(2, 1/('OB History'!$B:$B=A5), 'OB History'!$AB:$AB)</f>
        <v>0.83750000000000002</v>
      </c>
      <c r="M5" s="34">
        <f>SUMIFS('OB History'!H:H,'OB History'!B:B,'Old Bow v2'!A5)</f>
        <v>39</v>
      </c>
      <c r="N5" s="2">
        <f>SUMIFS('OB History'!G:G,'OB History'!B:B,'Old Bow v2'!A5)-M5</f>
        <v>20</v>
      </c>
      <c r="O5" s="88">
        <f>LOOKUP(2, 1/('OB History'!$B:$B=A5), 'OB History'!$AC:$AC)</f>
        <v>0.69</v>
      </c>
      <c r="P5" s="2">
        <f>COUNTIFS('OB History'!$B:$B,$A$5,'OB History'!K:K, 1)</f>
        <v>0</v>
      </c>
      <c r="Q5" s="2">
        <f>COUNTIFS('OB History'!$B:$B,$A$5,'OB History'!L:L, 1)</f>
        <v>3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3</v>
      </c>
      <c r="AD5" s="2">
        <f>COUNTIFS('OB History'!$B:$B,$A$5,'OB History'!Y:Y, 1)</f>
        <v>2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200</v>
      </c>
      <c r="E6" s="4">
        <f>AVERAGEIFS('OB History'!C:C,'OB History'!B:B,A6)</f>
        <v>11.764705882352942</v>
      </c>
      <c r="F6" s="35">
        <f t="array" ref="F6">MAX(IF('OB History'!B:B=A6, 'OB History'!C:C))</f>
        <v>21</v>
      </c>
      <c r="G6" s="34">
        <f>COUNTIFS('OB History'!B:B,A6,'OB History'!D:D, 1)</f>
        <v>10</v>
      </c>
      <c r="H6" s="2">
        <f>COUNTIFS('OB History'!B:B,A6,'OB History'!D:D, 0)</f>
        <v>7</v>
      </c>
      <c r="I6" s="88">
        <f>LOOKUP(2, 1/('OB History'!$B:$B=A6), 'OB History'!$AD:$AD)</f>
        <v>0.58823529411764708</v>
      </c>
      <c r="J6" s="34">
        <f>SUMIFS('OB History'!F:F,'OB History'!B:B,A6)</f>
        <v>35</v>
      </c>
      <c r="K6" s="2">
        <f>SUMIFS('OB History'!E:E,'OB History'!B:B,A6)-J6</f>
        <v>34</v>
      </c>
      <c r="L6" s="88">
        <f>LOOKUP(2, 1/('OB History'!$B:$B=A6), 'OB History'!$AB:$AB)</f>
        <v>0.4882352941176471</v>
      </c>
      <c r="M6" s="34">
        <f>SUMIFS('OB History'!H:H,'OB History'!B:B,'Old Bow v2'!A6)</f>
        <v>142</v>
      </c>
      <c r="N6" s="2">
        <f>SUMIFS('OB History'!G:G,'OB History'!B:B,'Old Bow v2'!A6)-M6</f>
        <v>138</v>
      </c>
      <c r="O6" s="88">
        <f>LOOKUP(2, 1/('OB History'!$B:$B=A6), 'OB History'!$AC:$AC)</f>
        <v>0.501764705882353</v>
      </c>
      <c r="P6" s="2">
        <f>COUNTIFS('OB History'!$B:$B,$A$6,'OB History'!K:K, 1)</f>
        <v>3</v>
      </c>
      <c r="Q6" s="2">
        <f>COUNTIFS('OB History'!$B:$B,$A$6,'OB History'!L:L, 1)</f>
        <v>3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6</v>
      </c>
      <c r="V6" s="2">
        <f>COUNTIFS('OB History'!$B:$B,$A$6,'OB History'!Q:Q, 1)</f>
        <v>0</v>
      </c>
      <c r="W6" s="2">
        <f>COUNTIFS('OB History'!$B:$B,$A$6,'OB History'!R:R, 1)</f>
        <v>1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6</v>
      </c>
      <c r="AC6" s="2">
        <f>COUNTIFS('OB History'!$B:$B,$A$6,'OB History'!X:X, 1)</f>
        <v>4</v>
      </c>
      <c r="AD6" s="2">
        <f>COUNTIFS('OB History'!$B:$B,$A$6,'OB History'!Y:Y, 1)</f>
        <v>2</v>
      </c>
      <c r="AE6" s="2">
        <f>COUNTIFS('OB History'!$B:$B,$A$6,'OB History'!Z:Z, 1)</f>
        <v>5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333</v>
      </c>
      <c r="E7" s="4">
        <f>AVERAGEIFS('OB History'!C:C,'OB History'!B:B,A7)</f>
        <v>11.892857142857142</v>
      </c>
      <c r="F7" s="35">
        <f t="array" ref="F7">MAX(IF('OB History'!B:B=A7, 'OB History'!C:C))</f>
        <v>26</v>
      </c>
      <c r="G7" s="34">
        <f>COUNTIFS('OB History'!B:B,A7,'OB History'!D:D, 1)</f>
        <v>10</v>
      </c>
      <c r="H7" s="2">
        <f>COUNTIFS('OB History'!B:B,A7,'OB History'!D:D, 0)</f>
        <v>18</v>
      </c>
      <c r="I7" s="88">
        <f>LOOKUP(2, 1/('OB History'!$B:$B=A7), 'OB History'!$AD:$AD)</f>
        <v>0.35714285714285715</v>
      </c>
      <c r="J7" s="34">
        <f>SUMIFS('OB History'!F:F,'OB History'!B:B,A7)</f>
        <v>47</v>
      </c>
      <c r="K7" s="2">
        <f>SUMIFS('OB History'!E:E,'OB History'!B:B,A7)-J7</f>
        <v>69</v>
      </c>
      <c r="L7" s="88">
        <f>LOOKUP(2, 1/('OB History'!$B:$B=A7), 'OB History'!$AB:$AB)</f>
        <v>0.37857142857142856</v>
      </c>
      <c r="M7" s="34">
        <f>SUMIFS('OB History'!H:H,'OB History'!B:B,'Old Bow v2'!A7)</f>
        <v>215</v>
      </c>
      <c r="N7" s="2">
        <f>SUMIFS('OB History'!G:G,'OB History'!B:B,'Old Bow v2'!A7)-M7</f>
        <v>261</v>
      </c>
      <c r="O7" s="88">
        <f>LOOKUP(2, 1/('OB History'!$B:$B=A7), 'OB History'!$AC:$AC)</f>
        <v>0.43392857142857144</v>
      </c>
      <c r="P7" s="2">
        <f>COUNTIFS('OB History'!$B:$B,$A$7,'OB History'!K:K, 1)</f>
        <v>3</v>
      </c>
      <c r="Q7" s="2">
        <f>COUNTIFS('OB History'!$B:$B,$A$7,'OB History'!L:L, 1)</f>
        <v>1</v>
      </c>
      <c r="R7" s="2">
        <f>COUNTIFS('OB History'!$B:$B,$A$7,'OB History'!M:M, 1)</f>
        <v>1</v>
      </c>
      <c r="S7" s="2">
        <f>COUNTIFS('OB History'!$B:$B,$A$7,'OB History'!N:N, 1)</f>
        <v>5</v>
      </c>
      <c r="T7" s="2">
        <f>COUNTIFS('OB History'!$B:$B,$A$7,'OB History'!O:O, 1)</f>
        <v>1</v>
      </c>
      <c r="U7" s="2">
        <f>COUNTIFS('OB History'!$B:$B,$A$7,'OB History'!P:P, 1)</f>
        <v>7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0</v>
      </c>
      <c r="AE7" s="2">
        <f>COUNTIFS('OB History'!$B:$B,$A$7,'OB History'!Z:Z, 1)</f>
        <v>10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74</v>
      </c>
      <c r="E8" s="4">
        <f>AVERAGEIFS('OB History'!C:C,'OB History'!B:B,A8)</f>
        <v>10.571428571428571</v>
      </c>
      <c r="F8" s="35">
        <f t="array" ref="F8">MAX(IF('OB History'!B:B=A8, 'OB History'!C:C))</f>
        <v>29</v>
      </c>
      <c r="G8" s="34">
        <f>COUNTIFS('OB History'!B:B,A8,'OB History'!D:D, 1)</f>
        <v>2</v>
      </c>
      <c r="H8" s="2">
        <f>COUNTIFS('OB History'!B:B,A8,'OB History'!D:D, 0)</f>
        <v>5</v>
      </c>
      <c r="I8" s="88">
        <f>LOOKUP(2, 1/('OB History'!$B:$B=A8), 'OB History'!$AD:$AD)</f>
        <v>0.2857142857142857</v>
      </c>
      <c r="J8" s="34">
        <f>SUMIFS('OB History'!F:F,'OB History'!B:B,A8)</f>
        <v>10</v>
      </c>
      <c r="K8" s="2">
        <f>SUMIFS('OB History'!E:E,'OB History'!B:B,A8)-J8</f>
        <v>17</v>
      </c>
      <c r="L8" s="88">
        <f>LOOKUP(2, 1/('OB History'!$B:$B=A8), 'OB History'!$AB:$AB)</f>
        <v>0.34285714285714286</v>
      </c>
      <c r="M8" s="34">
        <f>SUMIFS('OB History'!H:H,'OB History'!B:B,'Old Bow v2'!A8)</f>
        <v>45</v>
      </c>
      <c r="N8" s="2">
        <f>SUMIFS('OB History'!G:G,'OB History'!B:B,'Old Bow v2'!A8)-M8</f>
        <v>62</v>
      </c>
      <c r="O8" s="88">
        <f>LOOKUP(2, 1/('OB History'!$B:$B=A8), 'OB History'!$AC:$AC)</f>
        <v>0.40857142857142864</v>
      </c>
      <c r="P8" s="2">
        <f>COUNTIFS('OB History'!$B:$B,$A$8,'OB History'!K:K, 1)</f>
        <v>1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2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260</v>
      </c>
      <c r="E9" s="4">
        <f>AVERAGEIFS('OB History'!C:C,'OB History'!B:B,A9)</f>
        <v>16.25</v>
      </c>
      <c r="F9" s="35">
        <f t="array" ref="F9">MAX(IF('OB History'!B:B=A9, 'OB History'!C:C))</f>
        <v>31</v>
      </c>
      <c r="G9" s="34">
        <f>COUNTIFS('OB History'!B:B,A9,'OB History'!D:D, 1)</f>
        <v>8</v>
      </c>
      <c r="H9" s="2">
        <f>COUNTIFS('OB History'!B:B,A9,'OB History'!D:D, 0)</f>
        <v>8</v>
      </c>
      <c r="I9" s="88">
        <f>LOOKUP(2, 1/('OB History'!$B:$B=A9), 'OB History'!$AD:$AD)</f>
        <v>0.5</v>
      </c>
      <c r="J9" s="34">
        <f>SUMIFS('OB History'!F:F,'OB History'!B:B,A9)</f>
        <v>36</v>
      </c>
      <c r="K9" s="2">
        <f>SUMIFS('OB History'!E:E,'OB History'!B:B,A9)-J9</f>
        <v>30</v>
      </c>
      <c r="L9" s="88">
        <f>LOOKUP(2, 1/('OB History'!$B:$B=A9), 'OB History'!$AB:$AB)</f>
        <v>0.58125000000000004</v>
      </c>
      <c r="M9" s="34">
        <f>SUMIFS('OB History'!H:H,'OB History'!B:B,'Old Bow v2'!A9)</f>
        <v>140</v>
      </c>
      <c r="N9" s="2">
        <f>SUMIFS('OB History'!G:G,'OB History'!B:B,'Old Bow v2'!A9)-M9</f>
        <v>132</v>
      </c>
      <c r="O9" s="88">
        <f>LOOKUP(2, 1/('OB History'!$B:$B=A9), 'OB History'!$AC:$AC)</f>
        <v>0.52874999999999994</v>
      </c>
      <c r="P9" s="2">
        <f>COUNTIFS('OB History'!$B:$B,$A$9,'OB History'!K:K, 1)</f>
        <v>2</v>
      </c>
      <c r="Q9" s="2">
        <f>COUNTIFS('OB History'!$B:$B,$A$9,'OB History'!L:L, 1)</f>
        <v>0</v>
      </c>
      <c r="R9" s="2">
        <f>COUNTIFS('OB History'!$B:$B,$A$9,'OB History'!M:M, 1)</f>
        <v>0</v>
      </c>
      <c r="S9" s="2">
        <f>COUNTIFS('OB History'!$B:$B,$A$9,'OB History'!N:N, 1)</f>
        <v>5</v>
      </c>
      <c r="T9" s="2">
        <f>COUNTIFS('OB History'!$B:$B,$A$9,'OB History'!O:O, 1)</f>
        <v>0</v>
      </c>
      <c r="U9" s="2">
        <f>COUNTIFS('OB History'!$B:$B,$A$9,'OB History'!P:P, 1)</f>
        <v>3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7</v>
      </c>
      <c r="AD9" s="2">
        <f>COUNTIFS('OB History'!$B:$B,$A$9,'OB History'!Y:Y, 1)</f>
        <v>3</v>
      </c>
      <c r="AE9" s="2">
        <f>COUNTIFS('OB History'!$B:$B,$A$9,'OB History'!Z:Z, 1)</f>
        <v>6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>LOOKUP(2, 1/('OB History'!$B:$B=A10), 'OB History'!$AD:$AD)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>LOOKUP(2, 1/('OB History'!$B:$B=A10), 'OB History'!$AB:$AB)</f>
        <v>0.41666666666666669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>LOOKUP(2, 1/('OB History'!$B:$B=A10), 'OB History'!$AC:$AC)</f>
        <v>0.46500000000000002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260</v>
      </c>
      <c r="E11" s="4">
        <f>AVERAGEIFS('OB History'!C:C,'OB History'!B:B,A11)</f>
        <v>13.684210526315789</v>
      </c>
      <c r="F11" s="35">
        <f t="array" ref="F11">MAX(IF('OB History'!B:B=A11, 'OB History'!C:C))</f>
        <v>29</v>
      </c>
      <c r="G11" s="34">
        <f>COUNTIFS('OB History'!B:B,A11,'OB History'!D:D, 1)</f>
        <v>10</v>
      </c>
      <c r="H11" s="2">
        <f>COUNTIFS('OB History'!B:B,A11,'OB History'!D:D, 0)</f>
        <v>9</v>
      </c>
      <c r="I11" s="88">
        <f>LOOKUP(2, 1/('OB History'!$B:$B=A11), 'OB History'!$AD:$AD)</f>
        <v>0.52631578947368418</v>
      </c>
      <c r="J11" s="34">
        <f>SUMIFS('OB History'!F:F,'OB History'!B:B,A11)</f>
        <v>38</v>
      </c>
      <c r="K11" s="2">
        <f>SUMIFS('OB History'!E:E,'OB History'!B:B,A11)-J11</f>
        <v>39</v>
      </c>
      <c r="L11" s="88">
        <f>LOOKUP(2, 1/('OB History'!$B:$B=A11), 'OB History'!$AB:$AB)</f>
        <v>0.48421052631578942</v>
      </c>
      <c r="M11" s="34">
        <f>SUMIFS('OB History'!H:H,'OB History'!B:B,'Old Bow v2'!A11)</f>
        <v>157</v>
      </c>
      <c r="N11" s="2">
        <f>SUMIFS('OB History'!G:G,'OB History'!B:B,'Old Bow v2'!A11)-M11</f>
        <v>160</v>
      </c>
      <c r="O11" s="88">
        <f>LOOKUP(2, 1/('OB History'!$B:$B=A11), 'OB History'!$AC:$AC)</f>
        <v>0.49368421052631584</v>
      </c>
      <c r="P11" s="2">
        <f>COUNTIFS('OB History'!$B:$B,$A$11,'OB History'!K:K, 1)</f>
        <v>0</v>
      </c>
      <c r="Q11" s="2">
        <f>COUNTIFS('OB History'!$B:$B,$A$11,'OB History'!L:L, 1)</f>
        <v>1</v>
      </c>
      <c r="R11" s="2">
        <f>COUNTIFS('OB History'!$B:$B,$A$11,'OB History'!M:M, 1)</f>
        <v>2</v>
      </c>
      <c r="S11" s="2">
        <f>COUNTIFS('OB History'!$B:$B,$A$11,'OB History'!N:N, 1)</f>
        <v>3</v>
      </c>
      <c r="T11" s="2">
        <f>COUNTIFS('OB History'!$B:$B,$A$11,'OB History'!O:O, 1)</f>
        <v>3</v>
      </c>
      <c r="U11" s="2">
        <f>COUNTIFS('OB History'!$B:$B,$A$11,'OB History'!P:P, 1)</f>
        <v>6</v>
      </c>
      <c r="V11" s="2">
        <f>COUNTIFS('OB History'!$B:$B,$A$11,'OB History'!Q:Q, 1)</f>
        <v>1</v>
      </c>
      <c r="W11" s="2">
        <f>COUNTIFS('OB History'!$B:$B,$A$11,'OB History'!R:R, 1)</f>
        <v>0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1</v>
      </c>
      <c r="AA11" s="2">
        <f>COUNTIFS('OB History'!$B:$B,$A$11,'OB History'!V:V, 1)</f>
        <v>1</v>
      </c>
      <c r="AB11" s="2">
        <f>COUNTIFS('OB History'!$B:$B,$A$11,'OB History'!W:W, 1)</f>
        <v>5</v>
      </c>
      <c r="AC11" s="2">
        <f>COUNTIFS('OB History'!$B:$B,$A$11,'OB History'!X:X, 1)</f>
        <v>7</v>
      </c>
      <c r="AD11" s="2">
        <f>COUNTIFS('OB History'!$B:$B,$A$11,'OB History'!Y:Y, 1)</f>
        <v>3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291</v>
      </c>
      <c r="E12" s="4">
        <f>AVERAGEIFS('OB History'!C:C,'OB History'!B:B,A12)</f>
        <v>11.64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7</v>
      </c>
      <c r="I12" s="88">
        <f>LOOKUP(2, 1/('OB History'!$B:$B=A12), 'OB History'!$AD:$AD)</f>
        <v>0.72</v>
      </c>
      <c r="J12" s="34">
        <f>SUMIFS('OB History'!F:F,'OB History'!B:B,A12)</f>
        <v>64</v>
      </c>
      <c r="K12" s="2">
        <f>SUMIFS('OB History'!E:E,'OB History'!B:B,A12)-J12</f>
        <v>39</v>
      </c>
      <c r="L12" s="88">
        <f>LOOKUP(2, 1/('OB History'!$B:$B=A12), 'OB History'!$AB:$AB)</f>
        <v>0.64800000000000002</v>
      </c>
      <c r="M12" s="34">
        <f>SUMIFS('OB History'!H:H,'OB History'!B:B,'Old Bow v2'!A12)</f>
        <v>235</v>
      </c>
      <c r="N12" s="2">
        <f>SUMIFS('OB History'!G:G,'OB History'!B:B,'Old Bow v2'!A12)-M12</f>
        <v>185</v>
      </c>
      <c r="O12" s="88">
        <f>LOOKUP(2, 1/('OB History'!$B:$B=A12), 'OB History'!$AC:$AC)</f>
        <v>0.57239999999999991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7</v>
      </c>
      <c r="AD12" s="2">
        <f>COUNTIFS('OB History'!$B:$B,$A$12,'OB History'!Y:Y, 1)</f>
        <v>2</v>
      </c>
      <c r="AE12" s="2">
        <f>COUNTIFS('OB History'!$B:$B,$A$12,'OB History'!Z:Z, 1)</f>
        <v>7</v>
      </c>
    </row>
    <row r="13" spans="1:31" x14ac:dyDescent="0.25">
      <c r="A13" s="2" t="s">
        <v>153</v>
      </c>
      <c r="B13" s="6" t="s">
        <v>79</v>
      </c>
      <c r="C13" s="6" t="s">
        <v>79</v>
      </c>
      <c r="D13" s="34">
        <f>SUMIFS('OB History'!C:C,'OB History'!B:B,A13)</f>
        <v>19</v>
      </c>
      <c r="E13" s="4">
        <f>AVERAGEIFS('OB History'!C:C,'OB History'!B:B,A13)</f>
        <v>19</v>
      </c>
      <c r="F13" s="35">
        <f t="array" ref="F13">MAX(IF('OB History'!B:B=A13, 'OB History'!C:C))</f>
        <v>19</v>
      </c>
      <c r="G13" s="34">
        <f>COUNTIFS('OB History'!B:B,A13,'OB History'!D:D, 1)</f>
        <v>0</v>
      </c>
      <c r="H13" s="2">
        <f>COUNTIFS('OB History'!B:B,A13,'OB History'!D:D, 0)</f>
        <v>1</v>
      </c>
      <c r="I13" s="88">
        <f>LOOKUP(2, 1/('OB History'!$B:$B=A13), 'OB History'!$AD:$AD)</f>
        <v>0</v>
      </c>
      <c r="J13" s="34">
        <f>SUMIFS('OB History'!F:F,'OB History'!B:B,A13)</f>
        <v>2</v>
      </c>
      <c r="K13" s="2">
        <f>SUMIFS('OB History'!E:E,'OB History'!B:B,A13)-J13</f>
        <v>3</v>
      </c>
      <c r="L13" s="88">
        <f>LOOKUP(2, 1/('OB History'!$B:$B=A13), 'OB History'!$AB:$AB)</f>
        <v>0.4</v>
      </c>
      <c r="M13" s="34">
        <f>SUMIFS('OB History'!H:H,'OB History'!B:B,'Old Bow v2'!A13)</f>
        <v>8</v>
      </c>
      <c r="N13" s="2">
        <f>SUMIFS('OB History'!G:G,'OB History'!B:B,'Old Bow v2'!A13)-M13</f>
        <v>13</v>
      </c>
      <c r="O13" s="88">
        <f>LOOKUP(2, 1/('OB History'!$B:$B=A13), 'OB History'!$AC:$AC)</f>
        <v>0.38</v>
      </c>
      <c r="P13" s="2">
        <f>COUNTIFS('OB History'!$B:$B,$A$13,'OB History'!K:K, 1)</f>
        <v>0</v>
      </c>
      <c r="Q13" s="2">
        <f>COUNTIFS('OB History'!$B:$B,$A$13,'OB History'!L:L, 1)</f>
        <v>0</v>
      </c>
      <c r="R13" s="2">
        <f>COUNTIFS('OB History'!$B:$B,$A$13,'OB History'!M:M, 1)</f>
        <v>0</v>
      </c>
      <c r="S13" s="2">
        <f>COUNTIFS('OB History'!$B:$B,$A$13,'OB History'!N:N, 1)</f>
        <v>0</v>
      </c>
      <c r="T13" s="2">
        <f>COUNTIFS('OB History'!$B:$B,$A$13,'OB History'!O:O, 1)</f>
        <v>0</v>
      </c>
      <c r="U13" s="2">
        <f>COUNTIFS('OB History'!$B:$B,$A$13,'OB History'!P:P, 1)</f>
        <v>1</v>
      </c>
      <c r="V13" s="2">
        <f>COUNTIFS('OB History'!$B:$B,$A$13,'OB History'!Q:Q, 1)</f>
        <v>0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0</v>
      </c>
      <c r="AC13" s="2">
        <f>COUNTIFS('OB History'!$B:$B,$A$13,'OB History'!X:X, 1)</f>
        <v>1</v>
      </c>
      <c r="AD13" s="2">
        <f>COUNTIFS('OB History'!$B:$B,$A$13,'OB History'!Y:Y, 1)</f>
        <v>0</v>
      </c>
      <c r="AE13" s="2">
        <f>COUNTIFS('OB History'!$B:$B,$A$13,'OB History'!Z:Z,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History'!C:C,'OB History'!B:B,A14)</f>
        <v>223</v>
      </c>
      <c r="E14" s="4">
        <f>AVERAGEIFS('OB History'!C:C,'OB History'!B:B,A14)</f>
        <v>12.388888888888889</v>
      </c>
      <c r="F14" s="35">
        <f t="array" ref="F14">MAX(IF('OB History'!B:B=A14, 'OB History'!C:C))</f>
        <v>19</v>
      </c>
      <c r="G14" s="34">
        <f>COUNTIFS('OB History'!B:B,A14,'OB History'!D:D, 1)</f>
        <v>6</v>
      </c>
      <c r="H14" s="2">
        <f>COUNTIFS('OB History'!B:B,A14,'OB History'!D:D, 0)</f>
        <v>12</v>
      </c>
      <c r="I14" s="88">
        <f>LOOKUP(2, 1/('OB History'!$B:$B=A14), 'OB History'!$AD:$AD)</f>
        <v>0.33333333333333331</v>
      </c>
      <c r="J14" s="34">
        <f>SUMIFS('OB History'!F:F,'OB History'!B:B,A14)</f>
        <v>33</v>
      </c>
      <c r="K14" s="2">
        <f>SUMIFS('OB History'!E:E,'OB History'!B:B,A14)-J14</f>
        <v>43</v>
      </c>
      <c r="L14" s="88">
        <f>LOOKUP(2, 1/('OB History'!$B:$B=A14), 'OB History'!$AB:$AB)</f>
        <v>0.42777777777777781</v>
      </c>
      <c r="M14" s="34">
        <f>SUMIFS('OB History'!H:H,'OB History'!B:B,'Old Bow v2'!A14)</f>
        <v>146</v>
      </c>
      <c r="N14" s="2">
        <f>SUMIFS('OB History'!G:G,'OB History'!B:B,'Old Bow v2'!A14)-M14</f>
        <v>163</v>
      </c>
      <c r="O14" s="88">
        <f>LOOKUP(2, 1/('OB History'!$B:$B=A14), 'OB History'!$AC:$AC)</f>
        <v>0.46833333333333332</v>
      </c>
      <c r="P14" s="2">
        <f>COUNTIFS('OB History'!$B:$B,$A$14,'OB History'!K:K, 1)</f>
        <v>0</v>
      </c>
      <c r="Q14" s="2">
        <f>COUNTIFS('OB History'!$B:$B,$A$14,'OB History'!L:L, 1)</f>
        <v>2</v>
      </c>
      <c r="R14" s="2">
        <f>COUNTIFS('OB History'!$B:$B,$A$14,'OB History'!M:M, 1)</f>
        <v>1</v>
      </c>
      <c r="S14" s="2">
        <f>COUNTIFS('OB History'!$B:$B,$A$14,'OB History'!N:N, 1)</f>
        <v>6</v>
      </c>
      <c r="T14" s="2">
        <f>COUNTIFS('OB History'!$B:$B,$A$14,'OB History'!O:O, 1)</f>
        <v>0</v>
      </c>
      <c r="U14" s="2">
        <f>COUNTIFS('OB History'!$B:$B,$A$14,'OB History'!P:P, 1)</f>
        <v>4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1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2</v>
      </c>
      <c r="AC14" s="2">
        <f>COUNTIFS('OB History'!$B:$B,$A$14,'OB History'!X:X, 1)</f>
        <v>7</v>
      </c>
      <c r="AD14" s="2">
        <f>COUNTIFS('OB History'!$B:$B,$A$14,'OB History'!Y:Y, 1)</f>
        <v>4</v>
      </c>
      <c r="AE14" s="2">
        <f>COUNTIFS('OB History'!$B:$B,$A$14,'OB History'!Z:Z, 1)</f>
        <v>6</v>
      </c>
    </row>
    <row r="15" spans="1:31" x14ac:dyDescent="0.25">
      <c r="A15" s="2" t="s">
        <v>50</v>
      </c>
      <c r="B15" s="2" t="s">
        <v>79</v>
      </c>
      <c r="C15" s="2" t="s">
        <v>79</v>
      </c>
      <c r="D15" s="34">
        <f>SUMIFS('OB History'!C:C,'OB History'!B:B,A15)</f>
        <v>43</v>
      </c>
      <c r="E15" s="4">
        <f>AVERAGEIFS('OB History'!C:C,'OB History'!B:B,A15)</f>
        <v>14.333333333333334</v>
      </c>
      <c r="F15" s="35">
        <f t="array" ref="F15">MAX(IF('OB History'!B:B=A15, 'OB History'!C:C))</f>
        <v>17</v>
      </c>
      <c r="G15" s="34">
        <f>COUNTIFS('OB History'!B:B,A15,'OB History'!D:D, 1)</f>
        <v>0</v>
      </c>
      <c r="H15" s="2">
        <f>COUNTIFS('OB History'!B:B,A15,'OB History'!D:D, 0)</f>
        <v>3</v>
      </c>
      <c r="I15" s="88">
        <f>LOOKUP(2, 1/('OB History'!$B:$B=A15), 'OB History'!$AD:$AD)</f>
        <v>0</v>
      </c>
      <c r="J15" s="34">
        <f>SUMIFS('OB History'!F:F,'OB History'!B:B,A15)</f>
        <v>4</v>
      </c>
      <c r="K15" s="2">
        <f>SUMIFS('OB History'!E:E,'OB History'!B:B,A15)-J15</f>
        <v>9</v>
      </c>
      <c r="L15" s="88">
        <f>LOOKUP(2, 1/('OB History'!$B:$B=A15), 'OB History'!$AB:$AB)</f>
        <v>0.3</v>
      </c>
      <c r="M15" s="34">
        <f>SUMIFS('OB History'!H:H,'OB History'!B:B,'Old Bow v2'!A15)</f>
        <v>24</v>
      </c>
      <c r="N15" s="2">
        <f>SUMIFS('OB History'!G:G,'OB History'!B:B,'Old Bow v2'!A15)-M15</f>
        <v>32</v>
      </c>
      <c r="O15" s="88">
        <f>LOOKUP(2, 1/('OB History'!$B:$B=A15), 'OB History'!$AC:$AC)</f>
        <v>0.41666666666666669</v>
      </c>
      <c r="P15" s="2">
        <f>COUNTIFS('OB History'!$B:$B,$A$15,'OB History'!K:K, 1)</f>
        <v>1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2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1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2" t="s">
        <v>52</v>
      </c>
      <c r="B16" s="2" t="s">
        <v>79</v>
      </c>
      <c r="C16" s="2" t="s">
        <v>79</v>
      </c>
      <c r="D16" s="34">
        <f>SUMIFS('OB History'!C:C,'OB History'!B:B,A16)</f>
        <v>39</v>
      </c>
      <c r="E16" s="4">
        <f>AVERAGEIFS('OB History'!C:C,'OB History'!B:B,A16)</f>
        <v>19.5</v>
      </c>
      <c r="F16" s="35">
        <f t="array" ref="F16">MAX(IF('OB History'!B:B=A16, 'OB History'!C:C))</f>
        <v>34</v>
      </c>
      <c r="G16" s="34">
        <f>COUNTIFS('OB History'!B:B,A16,'OB History'!D:D, 1)</f>
        <v>0</v>
      </c>
      <c r="H16" s="2">
        <f>COUNTIFS('OB History'!B:B,A16,'OB History'!D:D, 0)</f>
        <v>2</v>
      </c>
      <c r="I16" s="88">
        <f>LOOKUP(2, 1/('OB History'!$B:$B=A16), 'OB History'!$AD:$AD)</f>
        <v>0</v>
      </c>
      <c r="J16" s="34">
        <f>SUMIFS('OB History'!F:F,'OB History'!B:B,A16)</f>
        <v>2</v>
      </c>
      <c r="K16" s="2">
        <f>SUMIFS('OB History'!E:E,'OB History'!B:B,A16)-J16</f>
        <v>6</v>
      </c>
      <c r="L16" s="88">
        <f>LOOKUP(2, 1/('OB History'!$B:$B=A16), 'OB History'!$AB:$AB)</f>
        <v>0.2</v>
      </c>
      <c r="M16" s="34">
        <f>SUMIFS('OB History'!H:H,'OB History'!B:B,'Old Bow v2'!A16)</f>
        <v>12</v>
      </c>
      <c r="N16" s="2">
        <f>SUMIFS('OB History'!G:G,'OB History'!B:B,'Old Bow v2'!A16)-M16</f>
        <v>22</v>
      </c>
      <c r="O16" s="88">
        <f>LOOKUP(2, 1/('OB History'!$B:$B=A16), 'OB History'!$AC:$AC)</f>
        <v>0.34499999999999997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0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0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1</v>
      </c>
      <c r="AD16" s="2">
        <f>COUNTIFS('OB History'!$B:$B,$A$16,'OB History'!Y:Y, 1)</f>
        <v>0</v>
      </c>
      <c r="AE16" s="2">
        <f>COUNTIFS('OB History'!$B:$B,$A$16,'OB History'!Z:Z, 1)</f>
        <v>0</v>
      </c>
    </row>
    <row r="17" spans="1:31" x14ac:dyDescent="0.25">
      <c r="A17" s="1" t="s">
        <v>44</v>
      </c>
      <c r="B17" s="2" t="s">
        <v>79</v>
      </c>
      <c r="C17" s="2" t="s">
        <v>79</v>
      </c>
      <c r="D17" s="34">
        <f>SUMIFS('OB History'!C:C,'OB History'!B:B,A17)</f>
        <v>57</v>
      </c>
      <c r="E17" s="4">
        <f>AVERAGEIFS('OB History'!C:C,'OB History'!B:B,A17)</f>
        <v>19</v>
      </c>
      <c r="F17" s="35">
        <f t="array" ref="F17">MAX(IF('OB History'!B:B=A17, 'OB History'!C:C))</f>
        <v>28</v>
      </c>
      <c r="G17" s="34">
        <f>COUNTIFS('OB History'!B:B,A17,'OB History'!D:D, 1)</f>
        <v>3</v>
      </c>
      <c r="H17" s="2">
        <f>COUNTIFS('OB History'!B:B,A17,'OB History'!D:D, 0)</f>
        <v>0</v>
      </c>
      <c r="I17" s="88">
        <f>LOOKUP(2, 1/('OB History'!$B:$B=A17), 'OB History'!$AD:$AD)</f>
        <v>1</v>
      </c>
      <c r="J17" s="34">
        <f>SUMIFS('OB History'!F:F,'OB History'!B:B,A17)</f>
        <v>9</v>
      </c>
      <c r="K17" s="2">
        <f>SUMIFS('OB History'!E:E,'OB History'!B:B,A17)-J17</f>
        <v>4</v>
      </c>
      <c r="L17" s="88">
        <f>LOOKUP(2, 1/('OB History'!$B:$B=A17), 'OB History'!$AB:$AB)</f>
        <v>0.73333333333333339</v>
      </c>
      <c r="M17" s="34">
        <f>SUMIFS('OB History'!H:H,'OB History'!B:B,'Old Bow v2'!A17)</f>
        <v>32</v>
      </c>
      <c r="N17" s="2">
        <f>SUMIFS('OB History'!G:G,'OB History'!B:B,'Old Bow v2'!A17)-M17</f>
        <v>23</v>
      </c>
      <c r="O17" s="88">
        <f>LOOKUP(2, 1/('OB History'!$B:$B=A17), 'OB History'!$AC:$AC)</f>
        <v>0.59333333333333327</v>
      </c>
      <c r="P17" s="2">
        <f>COUNTIFS('OB History'!$B:$B,$A$17,'OB History'!K:K, 1)</f>
        <v>0</v>
      </c>
      <c r="Q17" s="2">
        <f>COUNTIFS('OB History'!$B:$B,$A$17,'OB History'!L:L, 1)</f>
        <v>1</v>
      </c>
      <c r="R17" s="2">
        <f>COUNTIFS('OB History'!$B:$B,$A$17,'OB History'!M:M, 1)</f>
        <v>1</v>
      </c>
      <c r="S17" s="2">
        <f>COUNTIFS('OB History'!$B:$B,$A$17,'OB History'!N:N, 1)</f>
        <v>0</v>
      </c>
      <c r="T17" s="2">
        <f>COUNTIFS('OB History'!$B:$B,$A$17,'OB History'!O:O, 1)</f>
        <v>0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0</v>
      </c>
      <c r="AC17" s="2">
        <f>COUNTIFS('OB History'!$B:$B,$A$17,'OB History'!X:X, 1)</f>
        <v>3</v>
      </c>
      <c r="AD17" s="2">
        <f>COUNTIFS('OB History'!$B:$B,$A$17,'OB History'!Y:Y, 1)</f>
        <v>1</v>
      </c>
      <c r="AE17" s="2">
        <f>COUNTIFS('OB History'!$B:$B,$A$17,'OB History'!Z:Z, 1)</f>
        <v>1</v>
      </c>
    </row>
    <row r="18" spans="1:31" x14ac:dyDescent="0.25">
      <c r="A18" s="2" t="s">
        <v>1</v>
      </c>
      <c r="B18" s="6" t="s">
        <v>124</v>
      </c>
      <c r="C18" s="2" t="s">
        <v>79</v>
      </c>
      <c r="D18" s="34">
        <f>SUMIFS('OB History'!C:C,'OB History'!B:B,A18)</f>
        <v>260</v>
      </c>
      <c r="E18" s="4">
        <f>AVERAGEIFS('OB History'!C:C,'OB History'!B:B,A18)</f>
        <v>26</v>
      </c>
      <c r="F18" s="35">
        <f t="array" ref="F18">MAX(IF('OB History'!B:B=A18, 'OB History'!C:C))</f>
        <v>37</v>
      </c>
      <c r="G18" s="34">
        <f>COUNTIFS('OB History'!B:B,A18,'OB History'!D:D, 1)</f>
        <v>7</v>
      </c>
      <c r="H18" s="2">
        <f>COUNTIFS('OB History'!B:B,A18,'OB History'!D:D, 0)</f>
        <v>3</v>
      </c>
      <c r="I18" s="88">
        <f>LOOKUP(2, 1/('OB History'!$B:$B=A18), 'OB History'!$AD:$AD)</f>
        <v>0.7</v>
      </c>
      <c r="J18" s="34">
        <f>SUMIFS('OB History'!F:F,'OB History'!B:B,A18)</f>
        <v>24</v>
      </c>
      <c r="K18" s="2">
        <f>SUMIFS('OB History'!E:E,'OB History'!B:B,A18)-J18</f>
        <v>19</v>
      </c>
      <c r="L18" s="88">
        <f>LOOKUP(2, 1/('OB History'!$B:$B=A18), 'OB History'!$AB:$AB)</f>
        <v>0.55499999999999994</v>
      </c>
      <c r="M18" s="34">
        <f>SUMIFS('OB History'!H:H,'OB History'!B:B,'Old Bow v2'!A18)</f>
        <v>94</v>
      </c>
      <c r="N18" s="2">
        <f>SUMIFS('OB History'!G:G,'OB History'!B:B,'Old Bow v2'!A18)-M18</f>
        <v>90</v>
      </c>
      <c r="O18" s="88">
        <f>LOOKUP(2, 1/('OB History'!$B:$B=A18), 'OB History'!$AC:$AC)</f>
        <v>0.50800000000000001</v>
      </c>
      <c r="P18" s="2">
        <f>COUNTIFS('OB History'!$B:$B,$A$18,'OB History'!K:K, 1)</f>
        <v>0</v>
      </c>
      <c r="Q18" s="2">
        <f>COUNTIFS('OB History'!$B:$B,$A$18,'OB History'!L:L, 1)</f>
        <v>3</v>
      </c>
      <c r="R18" s="2">
        <f>COUNTIFS('OB History'!$B:$B,$A$18,'OB History'!M:M, 1)</f>
        <v>4</v>
      </c>
      <c r="S18" s="2">
        <f>COUNTIFS('OB History'!$B:$B,$A$18,'OB History'!N:N, 1)</f>
        <v>0</v>
      </c>
      <c r="T18" s="2">
        <f>COUNTIFS('OB History'!$B:$B,$A$18,'OB History'!O:O, 1)</f>
        <v>2</v>
      </c>
      <c r="U18" s="2">
        <f>COUNTIFS('OB History'!$B:$B,$A$18,'OB History'!P:P, 1)</f>
        <v>1</v>
      </c>
      <c r="V18" s="2">
        <f>COUNTIFS('OB History'!$B:$B,$A$18,'OB History'!Q:Q, 1)</f>
        <v>0</v>
      </c>
      <c r="W18" s="2">
        <f>COUNTIFS('OB History'!$B:$B,$A$18,'OB History'!R:R, 1)</f>
        <v>1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0</v>
      </c>
      <c r="AB18" s="2">
        <f>COUNTIFS('OB History'!$B:$B,$A$18,'OB History'!W:W, 1)</f>
        <v>2</v>
      </c>
      <c r="AC18" s="2">
        <f>COUNTIFS('OB History'!$B:$B,$A$18,'OB History'!X:X, 1)</f>
        <v>4</v>
      </c>
      <c r="AD18" s="2">
        <f>COUNTIFS('OB History'!$B:$B,$A$18,'OB History'!Y:Y, 1)</f>
        <v>2</v>
      </c>
      <c r="AE18" s="2">
        <f>COUNTIFS('OB History'!$B:$B,$A$18,'OB History'!Z:Z, 1)</f>
        <v>5</v>
      </c>
    </row>
    <row r="19" spans="1:31" x14ac:dyDescent="0.25">
      <c r="A19" s="2" t="s">
        <v>151</v>
      </c>
      <c r="B19" s="6" t="s">
        <v>79</v>
      </c>
      <c r="C19" s="2" t="s">
        <v>79</v>
      </c>
      <c r="D19" s="34">
        <f>SUMIFS('OB History'!C:C,'OB History'!B:B,A19)</f>
        <v>23</v>
      </c>
      <c r="E19" s="4">
        <f>AVERAGEIFS('OB History'!C:C,'OB History'!B:B,A19)</f>
        <v>11.5</v>
      </c>
      <c r="F19" s="35">
        <f t="array" ref="F19">MAX(IF('OB History'!B:B=A19, 'OB History'!C:C))</f>
        <v>14</v>
      </c>
      <c r="G19" s="34">
        <f>COUNTIFS('OB History'!B:B,A19,'OB History'!D:D, 1)</f>
        <v>2</v>
      </c>
      <c r="H19" s="2">
        <f>COUNTIFS('OB History'!B:B,A19,'OB History'!D:D, 0)</f>
        <v>0</v>
      </c>
      <c r="I19" s="88">
        <f>LOOKUP(2, 1/('OB History'!$B:$B=A19), 'OB History'!$AD:$AD)</f>
        <v>1</v>
      </c>
      <c r="J19" s="34">
        <f>SUMIFS('OB History'!F:F,'OB History'!B:B,A19)</f>
        <v>6</v>
      </c>
      <c r="K19" s="2">
        <f>SUMIFS('OB History'!E:E,'OB History'!B:B,A19)-J19</f>
        <v>2</v>
      </c>
      <c r="L19" s="88">
        <f>LOOKUP(2, 1/('OB History'!$B:$B=A19), 'OB History'!$AB:$AB)</f>
        <v>0.75</v>
      </c>
      <c r="M19" s="34">
        <f>SUMIFS('OB History'!H:H,'OB History'!B:B,'Old Bow v2'!A19)</f>
        <v>20</v>
      </c>
      <c r="N19" s="2">
        <f>SUMIFS('OB History'!G:G,'OB History'!B:B,'Old Bow v2'!A19)-M19</f>
        <v>9</v>
      </c>
      <c r="O19" s="88">
        <f>LOOKUP(2, 1/('OB History'!$B:$B=A19), 'OB History'!$AC:$AC)</f>
        <v>0.68500000000000005</v>
      </c>
      <c r="P19" s="2">
        <f>COUNTIFS('OB History'!$B:$B,$A$19,'OB History'!K:K, 1)</f>
        <v>0</v>
      </c>
      <c r="Q19" s="2">
        <f>COUNTIFS('OB History'!$B:$B,$A$19,'OB History'!L:L, 1)</f>
        <v>0</v>
      </c>
      <c r="R19" s="2">
        <f>COUNTIFS('OB History'!$B:$B,$A$19,'OB History'!M:M, 1)</f>
        <v>0</v>
      </c>
      <c r="S19" s="2">
        <f>COUNTIFS('OB History'!$B:$B,$A$19,'OB History'!N:N, 1)</f>
        <v>1</v>
      </c>
      <c r="T19" s="2">
        <f>COUNTIFS('OB History'!$B:$B,$A$19,'OB History'!O:O, 1)</f>
        <v>0</v>
      </c>
      <c r="U19" s="2">
        <f>COUNTIFS('OB History'!$B:$B,$A$19,'OB History'!P:P, 1)</f>
        <v>1</v>
      </c>
      <c r="V19" s="2">
        <f>COUNTIFS('OB History'!$B:$B,$A$19,'OB History'!Q:Q, 1)</f>
        <v>0</v>
      </c>
      <c r="W19" s="2">
        <f>COUNTIFS('OB History'!$B:$B,$A$19,'OB History'!R:R, 1)</f>
        <v>0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1</v>
      </c>
      <c r="AA19" s="2">
        <f>COUNTIFS('OB History'!$B:$B,$A$19,'OB History'!V:V, 1)</f>
        <v>0</v>
      </c>
      <c r="AB19" s="2">
        <f>COUNTIFS('OB History'!$B:$B,$A$19,'OB History'!W:W, 1)</f>
        <v>1</v>
      </c>
      <c r="AC19" s="2">
        <f>COUNTIFS('OB History'!$B:$B,$A$19,'OB History'!X:X, 1)</f>
        <v>1</v>
      </c>
      <c r="AD19" s="2">
        <f>COUNTIFS('OB History'!$B:$B,$A$19,'OB History'!Y:Y, 1)</f>
        <v>1</v>
      </c>
      <c r="AE19" s="2">
        <f>COUNTIFS('OB History'!$B:$B,$A$19,'OB History'!Z:Z, 1)</f>
        <v>0</v>
      </c>
    </row>
    <row r="20" spans="1:31" x14ac:dyDescent="0.25">
      <c r="A20" s="2" t="s">
        <v>29</v>
      </c>
      <c r="B20" s="6" t="s">
        <v>157</v>
      </c>
      <c r="C20" s="2" t="s">
        <v>79</v>
      </c>
      <c r="D20" s="34">
        <f>SUMIFS('OB History'!C:C,'OB History'!B:B,A20)</f>
        <v>302</v>
      </c>
      <c r="E20" s="4">
        <f>AVERAGEIFS('OB History'!C:C,'OB History'!B:B,A20)</f>
        <v>10.413793103448276</v>
      </c>
      <c r="F20" s="35">
        <f t="array" ref="F20">MAX(IF('OB History'!B:B=A20, 'OB History'!C:C))</f>
        <v>21</v>
      </c>
      <c r="G20" s="34">
        <f>COUNTIFS('OB History'!B:B,A20,'OB History'!D:D, 1)</f>
        <v>15</v>
      </c>
      <c r="H20" s="2">
        <f>COUNTIFS('OB History'!B:B,A20,'OB History'!D:D, 0)</f>
        <v>14</v>
      </c>
      <c r="I20" s="88">
        <f>LOOKUP(2, 1/('OB History'!$B:$B=A20), 'OB History'!$AD:$AD)</f>
        <v>0.51724137931034486</v>
      </c>
      <c r="J20" s="34">
        <f>SUMIFS('OB History'!F:F,'OB History'!B:B,A20)</f>
        <v>61</v>
      </c>
      <c r="K20" s="2">
        <f>SUMIFS('OB History'!E:E,'OB History'!B:B,A20)-J20</f>
        <v>57</v>
      </c>
      <c r="L20" s="88">
        <f>LOOKUP(2, 1/('OB History'!$B:$B=A20), 'OB History'!$AB:$AB)</f>
        <v>0.51551724137931043</v>
      </c>
      <c r="M20" s="34">
        <f>SUMIFS('OB History'!H:H,'OB History'!B:B,'Old Bow v2'!A20)</f>
        <v>253</v>
      </c>
      <c r="N20" s="2">
        <f>SUMIFS('OB History'!G:G,'OB History'!B:B,'Old Bow v2'!A20)-M20</f>
        <v>238</v>
      </c>
      <c r="O20" s="88">
        <f>LOOKUP(2, 1/('OB History'!$B:$B=A20), 'OB History'!$AC:$AC)</f>
        <v>0.52344827586206899</v>
      </c>
      <c r="P20" s="2">
        <f>COUNTIFS('OB History'!$B:$B,$A$20,'OB History'!K:K, 1)</f>
        <v>3</v>
      </c>
      <c r="Q20" s="2">
        <f>COUNTIFS('OB History'!$B:$B,$A$20,'OB History'!L:L, 1)</f>
        <v>6</v>
      </c>
      <c r="R20" s="2">
        <f>COUNTIFS('OB History'!$B:$B,$A$20,'OB History'!M:M, 1)</f>
        <v>2</v>
      </c>
      <c r="S20" s="2">
        <f>COUNTIFS('OB History'!$B:$B,$A$20,'OB History'!N:N, 1)</f>
        <v>8</v>
      </c>
      <c r="T20" s="2">
        <f>COUNTIFS('OB History'!$B:$B,$A$20,'OB History'!O:O, 1)</f>
        <v>2</v>
      </c>
      <c r="U20" s="2">
        <f>COUNTIFS('OB History'!$B:$B,$A$20,'OB History'!P:P, 1)</f>
        <v>5</v>
      </c>
      <c r="V20" s="2">
        <f>COUNTIFS('OB History'!$B:$B,$A$20,'OB History'!Q:Q, 1)</f>
        <v>1</v>
      </c>
      <c r="W20" s="2">
        <f>COUNTIFS('OB History'!$B:$B,$A$20,'OB History'!R:R, 1)</f>
        <v>0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2</v>
      </c>
      <c r="AB20" s="2">
        <f>COUNTIFS('OB History'!$B:$B,$A$20,'OB History'!W:W, 1)</f>
        <v>7</v>
      </c>
      <c r="AC20" s="2">
        <f>COUNTIFS('OB History'!$B:$B,$A$20,'OB History'!X:X, 1)</f>
        <v>11</v>
      </c>
      <c r="AD20" s="2">
        <f>COUNTIFS('OB History'!$B:$B,$A$20,'OB History'!Y:Y, 1)</f>
        <v>5</v>
      </c>
      <c r="AE20" s="2">
        <f>COUNTIFS('OB History'!$B:$B,$A$20,'OB History'!Z:Z, 1)</f>
        <v>9</v>
      </c>
    </row>
    <row r="21" spans="1:31" x14ac:dyDescent="0.25">
      <c r="A21" s="2" t="s">
        <v>46</v>
      </c>
      <c r="B21" s="2" t="s">
        <v>79</v>
      </c>
      <c r="C21" s="2" t="s">
        <v>79</v>
      </c>
      <c r="D21" s="34">
        <f>SUMIFS('OB History'!C:C,'OB History'!B:B,A21)</f>
        <v>183</v>
      </c>
      <c r="E21" s="4">
        <f>AVERAGEIFS('OB History'!C:C,'OB History'!B:B,A21)</f>
        <v>20.333333333333332</v>
      </c>
      <c r="F21" s="35">
        <f t="array" ref="F21">MAX(IF('OB History'!B:B=A21, 'OB History'!C:C))</f>
        <v>36</v>
      </c>
      <c r="G21" s="34">
        <f>COUNTIFS('OB History'!B:B,A21,'OB History'!D:D, 1)</f>
        <v>4</v>
      </c>
      <c r="H21" s="2">
        <f>COUNTIFS('OB History'!B:B,A21,'OB History'!D:D, 0)</f>
        <v>5</v>
      </c>
      <c r="I21" s="88">
        <f>LOOKUP(2, 1/('OB History'!$B:$B=A21), 'OB History'!$AD:$AD)</f>
        <v>0.44444444444444442</v>
      </c>
      <c r="J21" s="34">
        <f>SUMIFS('OB History'!F:F,'OB History'!B:B,A21)</f>
        <v>16</v>
      </c>
      <c r="K21" s="2">
        <f>SUMIFS('OB History'!E:E,'OB History'!B:B,A21)-J21</f>
        <v>20</v>
      </c>
      <c r="L21" s="88">
        <f>LOOKUP(2, 1/('OB History'!$B:$B=A21), 'OB History'!$AB:$AB)</f>
        <v>0.41666666666666669</v>
      </c>
      <c r="M21" s="34">
        <f>SUMIFS('OB History'!H:H,'OB History'!B:B,'Old Bow v2'!A21)</f>
        <v>70</v>
      </c>
      <c r="N21" s="2">
        <f>SUMIFS('OB History'!G:G,'OB History'!B:B,'Old Bow v2'!A21)-M21</f>
        <v>83</v>
      </c>
      <c r="O21" s="88">
        <f>LOOKUP(2, 1/('OB History'!$B:$B=A21), 'OB History'!$AC:$AC)</f>
        <v>0.44999999999999996</v>
      </c>
      <c r="P21" s="2">
        <f>COUNTIFS('OB History'!$B:$B,$A$21,'OB History'!K:K, 1)</f>
        <v>0</v>
      </c>
      <c r="Q21" s="2">
        <f>COUNTIFS('OB History'!$B:$B,$A$21,'OB History'!L:L, 1)</f>
        <v>1</v>
      </c>
      <c r="R21" s="2">
        <f>COUNTIFS('OB History'!$B:$B,$A$21,'OB History'!M:M, 1)</f>
        <v>1</v>
      </c>
      <c r="S21" s="2">
        <f>COUNTIFS('OB History'!$B:$B,$A$21,'OB History'!N:N, 1)</f>
        <v>1</v>
      </c>
      <c r="T21" s="2">
        <f>COUNTIFS('OB History'!$B:$B,$A$21,'OB History'!O:O, 1)</f>
        <v>0</v>
      </c>
      <c r="U21" s="2">
        <f>COUNTIFS('OB History'!$B:$B,$A$21,'OB History'!P:P, 1)</f>
        <v>5</v>
      </c>
      <c r="V21" s="2">
        <f>COUNTIFS('OB History'!$B:$B,$A$21,'OB History'!Q:Q, 1)</f>
        <v>0</v>
      </c>
      <c r="W21" s="2">
        <f>COUNTIFS('OB History'!$B:$B,$A$21,'OB History'!R:R, 1)</f>
        <v>1</v>
      </c>
      <c r="X21" s="2">
        <f>COUNTIFS('OB History'!$B:$B,$A$21,'OB History'!S:S, 1)</f>
        <v>0</v>
      </c>
      <c r="Y21" s="2">
        <f>COUNTIFS('OB History'!$B:$B,$A$21,'OB History'!T:T, 1)</f>
        <v>0</v>
      </c>
      <c r="Z21" s="2">
        <f>COUNTIFS('OB History'!$B:$B,$A$21,'OB History'!U:U, 1)</f>
        <v>0</v>
      </c>
      <c r="AA21" s="2">
        <f>COUNTIFS('OB History'!$B:$B,$A$21,'OB History'!V:V, 1)</f>
        <v>0</v>
      </c>
      <c r="AB21" s="2">
        <f>COUNTIFS('OB History'!$B:$B,$A$21,'OB History'!W:W, 1)</f>
        <v>1</v>
      </c>
      <c r="AC21" s="2">
        <f>COUNTIFS('OB History'!$B:$B,$A$21,'OB History'!X:X, 1)</f>
        <v>3</v>
      </c>
      <c r="AD21" s="2">
        <f>COUNTIFS('OB History'!$B:$B,$A$21,'OB History'!Y:Y, 1)</f>
        <v>1</v>
      </c>
      <c r="AE21" s="2">
        <f>COUNTIFS('OB History'!$B:$B,$A$21,'OB History'!Z:Z, 1)</f>
        <v>2</v>
      </c>
    </row>
    <row r="22" spans="1:31" x14ac:dyDescent="0.25">
      <c r="A22" s="2" t="s">
        <v>140</v>
      </c>
      <c r="B22" s="2" t="s">
        <v>79</v>
      </c>
      <c r="C22" s="2" t="s">
        <v>79</v>
      </c>
      <c r="D22" s="34">
        <f>SUMIFS('OB History'!C:C,'OB History'!B:B,A22)</f>
        <v>69</v>
      </c>
      <c r="E22" s="4">
        <f>AVERAGEIFS('OB History'!C:C,'OB History'!B:B,A22)</f>
        <v>9.8571428571428577</v>
      </c>
      <c r="F22" s="35">
        <f t="array" ref="F22">MAX(IF('OB History'!B:B=A22, 'OB History'!C:C))</f>
        <v>13</v>
      </c>
      <c r="G22" s="34">
        <f>COUNTIFS('OB History'!B:B,A22,'OB History'!D:D, 1)</f>
        <v>3</v>
      </c>
      <c r="H22" s="2">
        <f>COUNTIFS('OB History'!B:B,A22,'OB History'!D:D, 0)</f>
        <v>4</v>
      </c>
      <c r="I22" s="88">
        <f>LOOKUP(2, 1/('OB History'!$B:$B=A22), 'OB History'!$AD:$AD)</f>
        <v>0.42857142857142855</v>
      </c>
      <c r="J22" s="34">
        <f>SUMIFS('OB History'!F:F,'OB History'!B:B,A22)</f>
        <v>15</v>
      </c>
      <c r="K22" s="2">
        <f>SUMIFS('OB History'!E:E,'OB History'!B:B,A22)-J22</f>
        <v>16</v>
      </c>
      <c r="L22" s="88">
        <f>LOOKUP(2, 1/('OB History'!$B:$B=A22), 'OB History'!$AB:$AB)</f>
        <v>0.5</v>
      </c>
      <c r="M22" s="34">
        <f>SUMIFS('OB History'!H:H,'OB History'!B:B,'Old Bow v2'!A22)</f>
        <v>61</v>
      </c>
      <c r="N22" s="2">
        <f>SUMIFS('OB History'!G:G,'OB History'!B:B,'Old Bow v2'!A22)-M22</f>
        <v>65</v>
      </c>
      <c r="O22" s="88">
        <f>LOOKUP(2, 1/('OB History'!$B:$B=A22), 'OB History'!$AC:$AC)</f>
        <v>0.48428571428571426</v>
      </c>
      <c r="P22" s="2">
        <f>COUNTIFS('OB History'!$B:$B,$A$22,'OB History'!K:K, 1)</f>
        <v>0</v>
      </c>
      <c r="Q22" s="2">
        <f>COUNTIFS('OB History'!$B:$B,$A$22,'OB History'!L:L, 1)</f>
        <v>0</v>
      </c>
      <c r="R22" s="2">
        <f>COUNTIFS('OB History'!$B:$B,$A$22,'OB History'!M:M, 1)</f>
        <v>1</v>
      </c>
      <c r="S22" s="2">
        <f>COUNTIFS('OB History'!$B:$B,$A$22,'OB History'!N:N, 1)</f>
        <v>1</v>
      </c>
      <c r="T22" s="2">
        <f>COUNTIFS('OB History'!$B:$B,$A$22,'OB History'!O:O, 1)</f>
        <v>0</v>
      </c>
      <c r="U22" s="2">
        <f>COUNTIFS('OB History'!$B:$B,$A$22,'OB History'!P:P, 1)</f>
        <v>1</v>
      </c>
      <c r="V22" s="2">
        <f>COUNTIFS('OB History'!$B:$B,$A$22,'OB History'!Q:Q, 1)</f>
        <v>0</v>
      </c>
      <c r="W22" s="2">
        <f>COUNTIFS('OB History'!$B:$B,$A$22,'OB History'!R:R, 1)</f>
        <v>1</v>
      </c>
      <c r="X22" s="2">
        <f>COUNTIFS('OB History'!$B:$B,$A$22,'OB History'!S:S, 1)</f>
        <v>0</v>
      </c>
      <c r="Y22" s="2">
        <f>COUNTIFS('OB History'!$B:$B,$A$22,'OB History'!T:T, 1)</f>
        <v>0</v>
      </c>
      <c r="Z22" s="2">
        <f>COUNTIFS('OB History'!$B:$B,$A$22,'OB History'!U:U, 1)</f>
        <v>0</v>
      </c>
      <c r="AA22" s="2">
        <f>COUNTIFS('OB History'!$B:$B,$A$22,'OB History'!V:V, 1)</f>
        <v>2</v>
      </c>
      <c r="AB22" s="2">
        <f>COUNTIFS('OB History'!$B:$B,$A$22,'OB History'!W:W, 1)</f>
        <v>0</v>
      </c>
      <c r="AC22" s="2">
        <f>COUNTIFS('OB History'!$B:$B,$A$22,'OB History'!X:X, 1)</f>
        <v>5</v>
      </c>
      <c r="AD22" s="2">
        <f>COUNTIFS('OB History'!$B:$B,$A$22,'OB History'!Y:Y, 1)</f>
        <v>2</v>
      </c>
      <c r="AE22" s="2">
        <f>COUNTIFS('OB History'!$B:$B,$A$22,'OB History'!Z:Z, 1)</f>
        <v>2</v>
      </c>
    </row>
    <row r="23" spans="1:31" x14ac:dyDescent="0.25">
      <c r="A23" s="2" t="s">
        <v>28</v>
      </c>
      <c r="B23" s="6" t="s">
        <v>60</v>
      </c>
      <c r="C23" s="2" t="s">
        <v>79</v>
      </c>
      <c r="D23" s="34">
        <f>SUMIFS('OB History'!C:C,'OB History'!B:B,A23)</f>
        <v>261</v>
      </c>
      <c r="E23" s="4">
        <f>AVERAGEIFS('OB History'!C:C,'OB History'!B:B,A23)</f>
        <v>13.736842105263158</v>
      </c>
      <c r="F23" s="35">
        <f t="array" ref="F23">MAX(IF('OB History'!B:B=A23, 'OB History'!C:C))</f>
        <v>27</v>
      </c>
      <c r="G23" s="34">
        <f>COUNTIFS('OB History'!B:B,A23,'OB History'!D:D, 1)</f>
        <v>7</v>
      </c>
      <c r="H23" s="2">
        <f>COUNTIFS('OB History'!B:B,A23,'OB History'!D:D, 0)</f>
        <v>12</v>
      </c>
      <c r="I23" s="88">
        <f>LOOKUP(2, 1/('OB History'!$B:$B=A23), 'OB History'!$AD:$AD)</f>
        <v>0.36842105263157893</v>
      </c>
      <c r="J23" s="34">
        <f>SUMIFS('OB History'!F:F,'OB History'!B:B,A23)</f>
        <v>33</v>
      </c>
      <c r="K23" s="2">
        <f>SUMIFS('OB History'!E:E,'OB History'!B:B,A23)-J23</f>
        <v>47</v>
      </c>
      <c r="L23" s="88">
        <f>LOOKUP(2, 1/('OB History'!$B:$B=A23), 'OB History'!$AB:$AB)</f>
        <v>0.38157894736842107</v>
      </c>
      <c r="M23" s="34">
        <f>SUMIFS('OB History'!H:H,'OB History'!B:B,'Old Bow v2'!A23)</f>
        <v>155</v>
      </c>
      <c r="N23" s="2">
        <f>SUMIFS('OB History'!G:G,'OB History'!B:B,'Old Bow v2'!A23)-M23</f>
        <v>181</v>
      </c>
      <c r="O23" s="88">
        <f>LOOKUP(2, 1/('OB History'!$B:$B=A23), 'OB History'!$AC:$AC)</f>
        <v>0.44473684210526321</v>
      </c>
      <c r="P23" s="2">
        <f>COUNTIFS('OB History'!$B:$B,$A$23,'OB History'!K:K, 1)</f>
        <v>4</v>
      </c>
      <c r="Q23" s="2">
        <f>COUNTIFS('OB History'!$B:$B,$A$23,'OB History'!L:L, 1)</f>
        <v>1</v>
      </c>
      <c r="R23" s="2">
        <f>COUNTIFS('OB History'!$B:$B,$A$23,'OB History'!M:M, 1)</f>
        <v>1</v>
      </c>
      <c r="S23" s="2">
        <f>COUNTIFS('OB History'!$B:$B,$A$23,'OB History'!N:N, 1)</f>
        <v>2</v>
      </c>
      <c r="T23" s="2">
        <f>COUNTIFS('OB History'!$B:$B,$A$23,'OB History'!O:O, 1)</f>
        <v>1</v>
      </c>
      <c r="U23" s="2">
        <f>COUNTIFS('OB History'!$B:$B,$A$23,'OB History'!P:P, 1)</f>
        <v>4</v>
      </c>
      <c r="V23" s="2">
        <f>COUNTIFS('OB History'!$B:$B,$A$23,'OB History'!Q:Q, 1)</f>
        <v>1</v>
      </c>
      <c r="W23" s="2">
        <f>COUNTIFS('OB History'!$B:$B,$A$23,'OB History'!R:R, 1)</f>
        <v>1</v>
      </c>
      <c r="X23" s="2">
        <f>COUNTIFS('OB History'!$B:$B,$A$23,'OB History'!S:S, 1)</f>
        <v>1</v>
      </c>
      <c r="Y23" s="2">
        <f>COUNTIFS('OB History'!$B:$B,$A$23,'OB History'!T:T, 1)</f>
        <v>0</v>
      </c>
      <c r="Z23" s="2">
        <f>COUNTIFS('OB History'!$B:$B,$A$23,'OB History'!U:U, 1)</f>
        <v>1</v>
      </c>
      <c r="AA23" s="2">
        <f>COUNTIFS('OB History'!$B:$B,$A$23,'OB History'!V:V, 1)</f>
        <v>1</v>
      </c>
      <c r="AB23" s="2">
        <f>COUNTIFS('OB History'!$B:$B,$A$23,'OB History'!W:W, 1)</f>
        <v>1</v>
      </c>
      <c r="AC23" s="2">
        <f>COUNTIFS('OB History'!$B:$B,$A$23,'OB History'!X:X, 1)</f>
        <v>4</v>
      </c>
      <c r="AD23" s="2">
        <f>COUNTIFS('OB History'!$B:$B,$A$23,'OB History'!Y:Y, 1)</f>
        <v>2</v>
      </c>
      <c r="AE23" s="2">
        <f>COUNTIFS('OB History'!$B:$B,$A$23,'OB History'!Z:Z, 1)</f>
        <v>8</v>
      </c>
    </row>
    <row r="24" spans="1:31" x14ac:dyDescent="0.25">
      <c r="A24" s="2" t="s">
        <v>53</v>
      </c>
      <c r="B24" s="6" t="s">
        <v>60</v>
      </c>
      <c r="C24" s="6" t="s">
        <v>79</v>
      </c>
      <c r="D24" s="34">
        <f>SUMIFS('OB History'!C:C,'OB History'!B:B,A24)</f>
        <v>43</v>
      </c>
      <c r="E24" s="4">
        <f>AVERAGEIFS('OB History'!C:C,'OB History'!B:B,A24)</f>
        <v>14.333333333333334</v>
      </c>
      <c r="F24" s="35">
        <f t="array" ref="F24">MAX(IF('OB History'!B:B=A24, 'OB History'!C:C))</f>
        <v>25</v>
      </c>
      <c r="G24" s="34">
        <f>COUNTIFS('OB History'!B:B,A24,'OB History'!D:D, 1)</f>
        <v>2</v>
      </c>
      <c r="H24" s="2">
        <f>COUNTIFS('OB History'!B:B,A24,'OB History'!D:D, 0)</f>
        <v>1</v>
      </c>
      <c r="I24" s="88">
        <f>LOOKUP(2, 1/('OB History'!$B:$B=A24), 'OB History'!$AD:$AD)</f>
        <v>0.66666666666666663</v>
      </c>
      <c r="J24" s="34">
        <f>SUMIFS('OB History'!F:F,'OB History'!B:B,A24)</f>
        <v>6</v>
      </c>
      <c r="K24" s="2">
        <f>SUMIFS('OB History'!E:E,'OB History'!B:B,A24)-J24</f>
        <v>7</v>
      </c>
      <c r="L24" s="88">
        <f>LOOKUP(2, 1/('OB History'!$B:$B=A24), 'OB History'!$AB:$AB)</f>
        <v>0.39999999999999997</v>
      </c>
      <c r="M24" s="34">
        <f>SUMIFS('OB History'!H:H,'OB History'!B:B,'Old Bow v2'!A24)</f>
        <v>27</v>
      </c>
      <c r="N24" s="2">
        <f>SUMIFS('OB History'!G:G,'OB History'!B:B,'Old Bow v2'!A24)-M24</f>
        <v>26</v>
      </c>
      <c r="O24" s="88">
        <f>LOOKUP(2, 1/('OB History'!$B:$B=A24), 'OB History'!$AC:$AC)</f>
        <v>0.48666666666666664</v>
      </c>
      <c r="P24" s="2">
        <f>COUNTIFS('OB History'!$B:$B,$A$24,'OB History'!K:K, 1)</f>
        <v>0</v>
      </c>
      <c r="Q24" s="2">
        <f>COUNTIFS('OB History'!$B:$B,$A$24,'OB History'!L:L, 1)</f>
        <v>0</v>
      </c>
      <c r="R24" s="2">
        <f>COUNTIFS('OB History'!$B:$B,$A$24,'OB History'!M:M, 1)</f>
        <v>0</v>
      </c>
      <c r="S24" s="2">
        <f>COUNTIFS('OB History'!$B:$B,$A$24,'OB History'!N:N, 1)</f>
        <v>1</v>
      </c>
      <c r="T24" s="2">
        <f>COUNTIFS('OB History'!$B:$B,$A$24,'OB History'!O:O, 1)</f>
        <v>2</v>
      </c>
      <c r="U24" s="2">
        <f>COUNTIFS('OB History'!$B:$B,$A$24,'OB History'!P:P, 1)</f>
        <v>1</v>
      </c>
      <c r="V24" s="2">
        <f>COUNTIFS('OB History'!$B:$B,$A$24,'OB History'!Q:Q, 1)</f>
        <v>2</v>
      </c>
      <c r="W24" s="2">
        <f>COUNTIFS('OB History'!$B:$B,$A$24,'OB History'!R:R, 1)</f>
        <v>0</v>
      </c>
      <c r="X24" s="2">
        <f>COUNTIFS('OB History'!$B:$B,$A$24,'OB History'!S:S, 1)</f>
        <v>0</v>
      </c>
      <c r="Y24" s="2">
        <f>COUNTIFS('OB History'!$B:$B,$A$24,'OB History'!T:T, 1)</f>
        <v>0</v>
      </c>
      <c r="Z24" s="2">
        <f>COUNTIFS('OB History'!$B:$B,$A$24,'OB History'!U:U, 1)</f>
        <v>0</v>
      </c>
      <c r="AA24" s="2">
        <f>COUNTIFS('OB History'!$B:$B,$A$24,'OB History'!V:V, 1)</f>
        <v>0</v>
      </c>
      <c r="AB24" s="2">
        <f>COUNTIFS('OB History'!$B:$B,$A$24,'OB History'!W:W, 1)</f>
        <v>0</v>
      </c>
      <c r="AC24" s="2">
        <f>COUNTIFS('OB History'!$B:$B,$A$24,'OB History'!X:X, 1)</f>
        <v>0</v>
      </c>
      <c r="AD24" s="2">
        <f>COUNTIFS('OB History'!$B:$B,$A$24,'OB History'!Y:Y, 1)</f>
        <v>0</v>
      </c>
      <c r="AE24" s="2">
        <f>COUNTIFS('OB History'!$B:$B,$A$24,'OB History'!Z:Z, 1)</f>
        <v>0</v>
      </c>
    </row>
    <row r="25" spans="1:31" x14ac:dyDescent="0.25">
      <c r="A25" s="2" t="s">
        <v>51</v>
      </c>
      <c r="B25" s="2" t="s">
        <v>79</v>
      </c>
      <c r="C25" s="2" t="s">
        <v>79</v>
      </c>
      <c r="D25" s="34">
        <f>SUMIFS('OB History'!C:C,'OB History'!B:B,A25)</f>
        <v>180</v>
      </c>
      <c r="E25" s="4">
        <f>AVERAGEIFS('OB History'!C:C,'OB History'!B:B,A25)</f>
        <v>13.846153846153847</v>
      </c>
      <c r="F25" s="35">
        <f t="array" ref="F25">MAX(IF('OB History'!B:B=A25, 'OB History'!C:C))</f>
        <v>22</v>
      </c>
      <c r="G25" s="34">
        <f>COUNTIFS('OB History'!B:B,A25,'OB History'!D:D, 1)</f>
        <v>7</v>
      </c>
      <c r="H25" s="2">
        <f>COUNTIFS('OB History'!B:B,A25,'OB History'!D:D, 0)</f>
        <v>6</v>
      </c>
      <c r="I25" s="88">
        <f>LOOKUP(2, 1/('OB History'!$B:$B=A25), 'OB History'!$AD:$AD)</f>
        <v>0.53846153846153844</v>
      </c>
      <c r="J25" s="34">
        <f>SUMIFS('OB History'!F:F,'OB History'!B:B,A25)</f>
        <v>29</v>
      </c>
      <c r="K25" s="2">
        <f>SUMIFS('OB History'!E:E,'OB History'!B:B,A25)-J25</f>
        <v>26</v>
      </c>
      <c r="L25" s="88">
        <f>LOOKUP(2, 1/('OB History'!$B:$B=A25), 'OB History'!$AB:$AB)</f>
        <v>0.53846153846153855</v>
      </c>
      <c r="M25" s="34">
        <f>SUMIFS('OB History'!H:H,'OB History'!B:B,'Old Bow v2'!A25)</f>
        <v>111</v>
      </c>
      <c r="N25" s="2">
        <f>SUMIFS('OB History'!G:G,'OB History'!B:B,'Old Bow v2'!A25)-M25</f>
        <v>111</v>
      </c>
      <c r="O25" s="88">
        <f>LOOKUP(2, 1/('OB History'!$B:$B=A25), 'OB History'!$AC:$AC)</f>
        <v>0.50461538461538469</v>
      </c>
      <c r="P25" s="2">
        <f>COUNTIFS('OB History'!$B:$B,$A$25,'OB History'!K:K, 1)</f>
        <v>4</v>
      </c>
      <c r="Q25" s="2">
        <f>COUNTIFS('OB History'!$B:$B,$A$25,'OB History'!L:L, 1)</f>
        <v>1</v>
      </c>
      <c r="R25" s="2">
        <f>COUNTIFS('OB History'!$B:$B,$A$25,'OB History'!M:M, 1)</f>
        <v>0</v>
      </c>
      <c r="S25" s="2">
        <f>COUNTIFS('OB History'!$B:$B,$A$25,'OB History'!N:N, 1)</f>
        <v>3</v>
      </c>
      <c r="T25" s="2">
        <f>COUNTIFS('OB History'!$B:$B,$A$25,'OB History'!O:O, 1)</f>
        <v>0</v>
      </c>
      <c r="U25" s="2">
        <f>COUNTIFS('OB History'!$B:$B,$A$25,'OB History'!P:P, 1)</f>
        <v>3</v>
      </c>
      <c r="V25" s="2">
        <f>COUNTIFS('OB History'!$B:$B,$A$25,'OB History'!Q:Q, 1)</f>
        <v>0</v>
      </c>
      <c r="W25" s="2">
        <f>COUNTIFS('OB History'!$B:$B,$A$25,'OB History'!R:R, 1)</f>
        <v>1</v>
      </c>
      <c r="X25" s="2">
        <f>COUNTIFS('OB History'!$B:$B,$A$25,'OB History'!S:S, 1)</f>
        <v>0</v>
      </c>
      <c r="Y25" s="2">
        <f>COUNTIFS('OB History'!$B:$B,$A$25,'OB History'!T:T, 1)</f>
        <v>0</v>
      </c>
      <c r="Z25" s="2">
        <f>COUNTIFS('OB History'!$B:$B,$A$25,'OB History'!U:U, 1)</f>
        <v>0</v>
      </c>
      <c r="AA25" s="2">
        <f>COUNTIFS('OB History'!$B:$B,$A$25,'OB History'!V:V, 1)</f>
        <v>2</v>
      </c>
      <c r="AB25" s="2">
        <f>COUNTIFS('OB History'!$B:$B,$A$25,'OB History'!W:W, 1)</f>
        <v>5</v>
      </c>
      <c r="AC25" s="2">
        <f>COUNTIFS('OB History'!$B:$B,$A$25,'OB History'!X:X, 1)</f>
        <v>4</v>
      </c>
      <c r="AD25" s="2">
        <f>COUNTIFS('OB History'!$B:$B,$A$25,'OB History'!Y:Y, 1)</f>
        <v>3</v>
      </c>
      <c r="AE25" s="2">
        <f>COUNTIFS('OB History'!$B:$B,$A$25,'OB History'!Z:Z, 1)</f>
        <v>3</v>
      </c>
    </row>
    <row r="26" spans="1:31" ht="15.75" x14ac:dyDescent="0.25">
      <c r="A26" s="2" t="s">
        <v>20</v>
      </c>
      <c r="B26" s="80" t="s">
        <v>60</v>
      </c>
      <c r="C26" s="2" t="s">
        <v>79</v>
      </c>
      <c r="D26" s="34">
        <f>SUMIFS('OB History'!C:C,'OB History'!B:B,A26)</f>
        <v>351</v>
      </c>
      <c r="E26" s="4">
        <f>AVERAGEIFS('OB History'!C:C,'OB History'!B:B,A26)</f>
        <v>14.04</v>
      </c>
      <c r="F26" s="35">
        <f t="array" ref="F26">MAX(IF('OB History'!B:B=A26, 'OB History'!C:C))</f>
        <v>28</v>
      </c>
      <c r="G26" s="34">
        <f>COUNTIFS('OB History'!B:B,A26,'OB History'!D:D, 1)</f>
        <v>10</v>
      </c>
      <c r="H26" s="2">
        <f>COUNTIFS('OB History'!B:B,A26,'OB History'!D:D, 0)</f>
        <v>15</v>
      </c>
      <c r="I26" s="88">
        <f>LOOKUP(2, 1/('OB History'!$B:$B=A26), 'OB History'!$AD:$AD)</f>
        <v>0.4</v>
      </c>
      <c r="J26" s="34">
        <f>SUMIFS('OB History'!F:F,'OB History'!B:B,A26)</f>
        <v>50</v>
      </c>
      <c r="K26" s="2">
        <f>SUMIFS('OB History'!E:E,'OB History'!B:B,A26)-J26</f>
        <v>56</v>
      </c>
      <c r="L26" s="88">
        <f>LOOKUP(2, 1/('OB History'!$B:$B=A26), 'OB History'!$AB:$AB)</f>
        <v>0.47</v>
      </c>
      <c r="M26" s="34">
        <f>SUMIFS('OB History'!H:H,'OB History'!B:B,'Old Bow v2'!A26)</f>
        <v>219</v>
      </c>
      <c r="N26" s="2">
        <f>SUMIFS('OB History'!G:G,'OB History'!B:B,'Old Bow v2'!A26)-M26</f>
        <v>226</v>
      </c>
      <c r="O26" s="88">
        <f>LOOKUP(2, 1/('OB History'!$B:$B=A26), 'OB History'!$AC:$AC)</f>
        <v>0.49000000000000005</v>
      </c>
      <c r="P26" s="2">
        <f>COUNTIFS('OB History'!$B:$B,$A$26,'OB History'!K:K, 1)</f>
        <v>1</v>
      </c>
      <c r="Q26" s="2">
        <f>COUNTIFS('OB History'!$B:$B,$A$26,'OB History'!L:L, 1)</f>
        <v>4</v>
      </c>
      <c r="R26" s="2">
        <f>COUNTIFS('OB History'!$B:$B,$A$26,'OB History'!M:M, 1)</f>
        <v>0</v>
      </c>
      <c r="S26" s="2">
        <f>COUNTIFS('OB History'!$B:$B,$A$26,'OB History'!N:N, 1)</f>
        <v>12</v>
      </c>
      <c r="T26" s="2">
        <f>COUNTIFS('OB History'!$B:$B,$A$26,'OB History'!O:O, 1)</f>
        <v>0</v>
      </c>
      <c r="U26" s="2">
        <f>COUNTIFS('OB History'!$B:$B,$A$26,'OB History'!P:P, 1)</f>
        <v>4</v>
      </c>
      <c r="V26" s="2">
        <f>COUNTIFS('OB History'!$B:$B,$A$26,'OB History'!Q:Q, 1)</f>
        <v>2</v>
      </c>
      <c r="W26" s="2">
        <f>COUNTIFS('OB History'!$B:$B,$A$26,'OB History'!R:R, 1)</f>
        <v>2</v>
      </c>
      <c r="X26" s="2">
        <f>COUNTIFS('OB History'!$B:$B,$A$26,'OB History'!S:S, 1)</f>
        <v>0</v>
      </c>
      <c r="Y26" s="2">
        <f>COUNTIFS('OB History'!$B:$B,$A$26,'OB History'!T:T, 1)</f>
        <v>1</v>
      </c>
      <c r="Z26" s="2">
        <f>COUNTIFS('OB History'!$B:$B,$A$26,'OB History'!U:U, 1)</f>
        <v>0</v>
      </c>
      <c r="AA26" s="2">
        <f>COUNTIFS('OB History'!$B:$B,$A$26,'OB History'!V:V, 1)</f>
        <v>2</v>
      </c>
      <c r="AB26" s="2">
        <f>COUNTIFS('OB History'!$B:$B,$A$26,'OB History'!W:W, 1)</f>
        <v>8</v>
      </c>
      <c r="AC26" s="2">
        <f>COUNTIFS('OB History'!$B:$B,$A$26,'OB History'!X:X, 1)</f>
        <v>7</v>
      </c>
      <c r="AD26" s="2">
        <f>COUNTIFS('OB History'!$B:$B,$A$26,'OB History'!Y:Y, 1)</f>
        <v>2</v>
      </c>
      <c r="AE26" s="2">
        <f>COUNTIFS('OB History'!$B:$B,$A$26,'OB History'!Z:Z, 1)</f>
        <v>5</v>
      </c>
    </row>
    <row r="27" spans="1:31" x14ac:dyDescent="0.25">
      <c r="A27" s="1" t="s">
        <v>47</v>
      </c>
      <c r="B27" s="2" t="s">
        <v>79</v>
      </c>
      <c r="C27" s="2" t="s">
        <v>79</v>
      </c>
      <c r="D27" s="34">
        <f>SUMIFS('OB History'!C:C,'OB History'!B:B,A27)</f>
        <v>78</v>
      </c>
      <c r="E27" s="4">
        <f>AVERAGEIFS('OB History'!C:C,'OB History'!B:B,A27)</f>
        <v>7.8</v>
      </c>
      <c r="F27" s="35">
        <f t="array" ref="F27">MAX(IF('OB History'!B:B=A27, 'OB History'!C:C))</f>
        <v>14</v>
      </c>
      <c r="G27" s="34">
        <f>COUNTIFS('OB History'!B:B,A27,'OB History'!D:D, 1)</f>
        <v>5</v>
      </c>
      <c r="H27" s="2">
        <f>COUNTIFS('OB History'!B:B,A27,'OB History'!D:D, 0)</f>
        <v>5</v>
      </c>
      <c r="I27" s="88">
        <f>LOOKUP(2, 1/('OB History'!$B:$B=A27), 'OB History'!$AD:$AD)</f>
        <v>0.5</v>
      </c>
      <c r="J27" s="34">
        <f>SUMIFS('OB History'!F:F,'OB History'!B:B,A27)</f>
        <v>22</v>
      </c>
      <c r="K27" s="2">
        <f>SUMIFS('OB History'!E:E,'OB History'!B:B,A27)-J27</f>
        <v>22</v>
      </c>
      <c r="L27" s="88">
        <f>LOOKUP(2, 1/('OB History'!$B:$B=A27), 'OB History'!$AB:$AB)</f>
        <v>0.5</v>
      </c>
      <c r="M27" s="34">
        <f>SUMIFS('OB History'!H:H,'OB History'!B:B,'Old Bow v2'!A27)</f>
        <v>93</v>
      </c>
      <c r="N27" s="2">
        <f>SUMIFS('OB History'!G:G,'OB History'!B:B,'Old Bow v2'!A27)-M27</f>
        <v>94</v>
      </c>
      <c r="O27" s="88">
        <f>LOOKUP(2, 1/('OB History'!$B:$B=A27), 'OB History'!$AC:$AC)</f>
        <v>0.49299999999999999</v>
      </c>
      <c r="P27" s="2">
        <f>COUNTIFS('OB History'!$B:$B,$A$27,'OB History'!K:K, 1)</f>
        <v>1</v>
      </c>
      <c r="Q27" s="2">
        <f>COUNTIFS('OB History'!$B:$B,$A$27,'OB History'!L:L, 1)</f>
        <v>1</v>
      </c>
      <c r="R27" s="2">
        <f>COUNTIFS('OB History'!$B:$B,$A$27,'OB History'!M:M, 1)</f>
        <v>1</v>
      </c>
      <c r="S27" s="2">
        <f>COUNTIFS('OB History'!$B:$B,$A$27,'OB History'!N:N, 1)</f>
        <v>4</v>
      </c>
      <c r="T27" s="2">
        <f>COUNTIFS('OB History'!$B:$B,$A$27,'OB History'!O:O, 1)</f>
        <v>1</v>
      </c>
      <c r="U27" s="2">
        <f>COUNTIFS('OB History'!$B:$B,$A$27,'OB History'!P:P, 1)</f>
        <v>2</v>
      </c>
      <c r="V27" s="2">
        <f>COUNTIFS('OB History'!$B:$B,$A$27,'OB History'!Q:Q, 1)</f>
        <v>0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1</v>
      </c>
      <c r="AB27" s="2">
        <f>COUNTIFS('OB History'!$B:$B,$A$27,'OB History'!W:W, 1)</f>
        <v>4</v>
      </c>
      <c r="AC27" s="2">
        <f>COUNTIFS('OB History'!$B:$B,$A$27,'OB History'!X:X, 1)</f>
        <v>2</v>
      </c>
      <c r="AD27" s="2">
        <f>COUNTIFS('OB History'!$B:$B,$A$27,'OB History'!Y:Y, 1)</f>
        <v>0</v>
      </c>
      <c r="AE27" s="2">
        <f>COUNTIFS('OB History'!$B:$B,$A$27,'OB History'!Z:Z, 1)</f>
        <v>5</v>
      </c>
    </row>
    <row r="28" spans="1:31" x14ac:dyDescent="0.25">
      <c r="A28" s="2" t="s">
        <v>3</v>
      </c>
      <c r="B28" s="6" t="s">
        <v>60</v>
      </c>
      <c r="C28" s="6" t="s">
        <v>60</v>
      </c>
      <c r="D28" s="34">
        <f>SUMIFS('OB History'!C:C,'OB History'!B:B,A28)</f>
        <v>230</v>
      </c>
      <c r="E28" s="4">
        <f>AVERAGEIFS('OB History'!C:C,'OB History'!B:B,A28)</f>
        <v>23</v>
      </c>
      <c r="F28" s="35">
        <f t="array" ref="F28">MAX(IF('OB History'!B:B=A28, 'OB History'!C:C))</f>
        <v>44</v>
      </c>
      <c r="G28" s="34">
        <f>COUNTIFS('OB History'!B:B,A28,'OB History'!D:D, 1)</f>
        <v>6</v>
      </c>
      <c r="H28" s="2">
        <f>COUNTIFS('OB History'!B:B,A28,'OB History'!D:D, 0)</f>
        <v>4</v>
      </c>
      <c r="I28" s="88">
        <f>LOOKUP(2, 1/('OB History'!$B:$B=A28), 'OB History'!$AD:$AD)</f>
        <v>0.6</v>
      </c>
      <c r="J28" s="34">
        <f>SUMIFS('OB History'!F:F,'OB History'!B:B,A28)</f>
        <v>22</v>
      </c>
      <c r="K28" s="2">
        <f>SUMIFS('OB History'!E:E,'OB History'!B:B,A28)-J28</f>
        <v>21</v>
      </c>
      <c r="L28" s="88">
        <f>LOOKUP(2, 1/('OB History'!$B:$B=A28), 'OB History'!$AB:$AB)</f>
        <v>0.495</v>
      </c>
      <c r="M28" s="34">
        <f>SUMIFS('OB History'!H:H,'OB History'!B:B,'Old Bow v2'!A28)</f>
        <v>87</v>
      </c>
      <c r="N28" s="2">
        <f>SUMIFS('OB History'!G:G,'OB History'!B:B,'Old Bow v2'!A28)-M28</f>
        <v>88</v>
      </c>
      <c r="O28" s="88">
        <f>LOOKUP(2, 1/('OB History'!$B:$B=A28), 'OB History'!$AC:$AC)</f>
        <v>0.48999999999999994</v>
      </c>
      <c r="P28" s="2">
        <f>COUNTIFS('OB History'!$B:$B,$A$28,'OB History'!K:K, 1)</f>
        <v>2</v>
      </c>
      <c r="Q28" s="2">
        <f>COUNTIFS('OB History'!$B:$B,$A$28,'OB History'!L:L, 1)</f>
        <v>3</v>
      </c>
      <c r="R28" s="2">
        <f>COUNTIFS('OB History'!$B:$B,$A$28,'OB History'!M:M, 1)</f>
        <v>1</v>
      </c>
      <c r="S28" s="2">
        <f>COUNTIFS('OB History'!$B:$B,$A$28,'OB History'!N:N, 1)</f>
        <v>1</v>
      </c>
      <c r="T28" s="2">
        <f>COUNTIFS('OB History'!$B:$B,$A$28,'OB History'!O:O, 1)</f>
        <v>2</v>
      </c>
      <c r="U28" s="2">
        <f>COUNTIFS('OB History'!$B:$B,$A$28,'OB History'!P:P, 1)</f>
        <v>2</v>
      </c>
      <c r="V28" s="2">
        <f>COUNTIFS('OB History'!$B:$B,$A$28,'OB History'!Q:Q, 1)</f>
        <v>3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0</v>
      </c>
      <c r="Z28" s="2">
        <f>COUNTIFS('OB History'!$B:$B,$A$28,'OB History'!U:U, 1)</f>
        <v>0</v>
      </c>
      <c r="AA28" s="2">
        <f>COUNTIFS('OB History'!$B:$B,$A$28,'OB History'!V:V, 1)</f>
        <v>1</v>
      </c>
      <c r="AB28" s="2">
        <f>COUNTIFS('OB History'!$B:$B,$A$28,'OB History'!W:W, 1)</f>
        <v>1</v>
      </c>
      <c r="AC28" s="2">
        <f>COUNTIFS('OB History'!$B:$B,$A$28,'OB History'!X:X, 1)</f>
        <v>3</v>
      </c>
      <c r="AD28" s="2">
        <f>COUNTIFS('OB History'!$B:$B,$A$28,'OB History'!Y:Y, 1)</f>
        <v>2</v>
      </c>
      <c r="AE28" s="2">
        <f>COUNTIFS('OB History'!$B:$B,$A$28,'OB History'!Z:Z, 1)</f>
        <v>1</v>
      </c>
    </row>
    <row r="29" spans="1:31" x14ac:dyDescent="0.25">
      <c r="A29" s="2" t="s">
        <v>149</v>
      </c>
      <c r="B29" s="6" t="s">
        <v>79</v>
      </c>
      <c r="C29" s="6" t="s">
        <v>79</v>
      </c>
      <c r="D29" s="34">
        <f>SUMIFS('OB History'!C:C,'OB History'!B:B,A29)</f>
        <v>139</v>
      </c>
      <c r="E29" s="4">
        <f>AVERAGEIFS('OB History'!C:C,'OB History'!B:B,A29)</f>
        <v>13.9</v>
      </c>
      <c r="F29" s="35">
        <f t="array" ref="F29">MAX(IF('OB History'!B:B=A29, 'OB History'!C:C))</f>
        <v>23</v>
      </c>
      <c r="G29" s="34">
        <f>COUNTIFS('OB History'!B:B,A29,'OB History'!D:D, 1)</f>
        <v>7</v>
      </c>
      <c r="H29" s="2">
        <f>COUNTIFS('OB History'!B:B,A29,'OB History'!D:D, 0)</f>
        <v>3</v>
      </c>
      <c r="I29" s="88">
        <f>LOOKUP(2, 1/('OB History'!$B:$B=A29), 'OB History'!$AD:$AD)</f>
        <v>0.7</v>
      </c>
      <c r="J29" s="34">
        <f>SUMIFS('OB History'!F:F,'OB History'!B:B,A29)</f>
        <v>26</v>
      </c>
      <c r="K29" s="2">
        <f>SUMIFS('OB History'!E:E,'OB History'!B:B,A29)-J29</f>
        <v>17</v>
      </c>
      <c r="L29" s="88">
        <f>LOOKUP(2, 1/('OB History'!$B:$B=A29), 'OB History'!$AB:$AB)</f>
        <v>0.63500000000000001</v>
      </c>
      <c r="M29" s="34">
        <f>SUMIFS('OB History'!H:H,'OB History'!B:B,'Old Bow v2'!A29)</f>
        <v>98</v>
      </c>
      <c r="N29" s="2">
        <f>SUMIFS('OB History'!G:G,'OB History'!B:B,'Old Bow v2'!A29)-M29</f>
        <v>77</v>
      </c>
      <c r="O29" s="88">
        <f>LOOKUP(2, 1/('OB History'!$B:$B=A29), 'OB History'!$AC:$AC)</f>
        <v>0.57899999999999996</v>
      </c>
      <c r="P29" s="2">
        <f>COUNTIFS('OB History'!$B:$B,$A$29,'OB History'!K:K, 1)</f>
        <v>1</v>
      </c>
      <c r="Q29" s="2">
        <f>COUNTIFS('OB History'!$B:$B,$A$29,'OB History'!L:L, 1)</f>
        <v>3</v>
      </c>
      <c r="R29" s="2">
        <f>COUNTIFS('OB History'!$B:$B,$A$29,'OB History'!M:M, 1)</f>
        <v>1</v>
      </c>
      <c r="S29" s="2">
        <f>COUNTIFS('OB History'!$B:$B,$A$29,'OB History'!N:N, 1)</f>
        <v>2</v>
      </c>
      <c r="T29" s="2">
        <f>COUNTIFS('OB History'!$B:$B,$A$29,'OB History'!O:O, 1)</f>
        <v>0</v>
      </c>
      <c r="U29" s="2">
        <f>COUNTIFS('OB History'!$B:$B,$A$29,'OB History'!P:P, 1)</f>
        <v>2</v>
      </c>
      <c r="V29" s="2">
        <f>COUNTIFS('OB History'!$B:$B,$A$29,'OB History'!Q:Q, 1)</f>
        <v>0</v>
      </c>
      <c r="W29" s="2">
        <f>COUNTIFS('OB History'!$B:$B,$A$29,'OB History'!R:R, 1)</f>
        <v>0</v>
      </c>
      <c r="X29" s="2">
        <f>COUNTIFS('OB History'!$B:$B,$A$29,'OB History'!S:S, 1)</f>
        <v>0</v>
      </c>
      <c r="Y29" s="2">
        <f>COUNTIFS('OB History'!$B:$B,$A$29,'OB History'!T:T, 1)</f>
        <v>1</v>
      </c>
      <c r="Z29" s="2">
        <f>COUNTIFS('OB History'!$B:$B,$A$29,'OB History'!U:U, 1)</f>
        <v>1</v>
      </c>
      <c r="AA29" s="2">
        <f>COUNTIFS('OB History'!$B:$B,$A$29,'OB History'!V:V, 1)</f>
        <v>0</v>
      </c>
      <c r="AB29" s="2">
        <f>COUNTIFS('OB History'!$B:$B,$A$29,'OB History'!W:W, 1)</f>
        <v>1</v>
      </c>
      <c r="AC29" s="2">
        <f>COUNTIFS('OB History'!$B:$B,$A$29,'OB History'!X:X, 1)</f>
        <v>6</v>
      </c>
      <c r="AD29" s="2">
        <f>COUNTIFS('OB History'!$B:$B,$A$29,'OB History'!Y:Y, 1)</f>
        <v>6</v>
      </c>
      <c r="AE29" s="2">
        <f>COUNTIFS('OB History'!$B:$B,$A$29,'OB History'!Z:Z, 1)</f>
        <v>1</v>
      </c>
    </row>
    <row r="30" spans="1:31" x14ac:dyDescent="0.25">
      <c r="A30" s="2" t="s">
        <v>15</v>
      </c>
      <c r="B30" s="2" t="s">
        <v>79</v>
      </c>
      <c r="C30" s="2" t="s">
        <v>79</v>
      </c>
      <c r="D30" s="34">
        <f>SUMIFS('OB History'!C:C,'OB History'!B:B,A30)</f>
        <v>689</v>
      </c>
      <c r="E30" s="4">
        <f>AVERAGEIFS('OB History'!C:C,'OB History'!B:B,A30)</f>
        <v>25.518518518518519</v>
      </c>
      <c r="F30" s="35">
        <f t="array" ref="F30">MAX(IF('OB History'!B:B=A30, 'OB History'!C:C))</f>
        <v>55</v>
      </c>
      <c r="G30" s="34">
        <f>COUNTIFS('OB History'!B:B,A30,'OB History'!D:D, 1)</f>
        <v>9</v>
      </c>
      <c r="H30" s="2">
        <f>COUNTIFS('OB History'!B:B,A30,'OB History'!D:D, 0)</f>
        <v>18</v>
      </c>
      <c r="I30" s="88">
        <f>LOOKUP(2, 1/('OB History'!$B:$B=A30), 'OB History'!$AD:$AD)</f>
        <v>0.33333333333333331</v>
      </c>
      <c r="J30" s="34">
        <f>SUMIFS('OB History'!F:F,'OB History'!B:B,A30)</f>
        <v>50</v>
      </c>
      <c r="K30" s="2">
        <f>SUMIFS('OB History'!E:E,'OB History'!B:B,A30)-J30</f>
        <v>62</v>
      </c>
      <c r="L30" s="88">
        <f>LOOKUP(2, 1/('OB History'!$B:$B=A30), 'OB History'!$AB:$AB)</f>
        <v>0.45740740740740737</v>
      </c>
      <c r="M30" s="34">
        <f>SUMIFS('OB History'!H:H,'OB History'!B:B,'Old Bow v2'!A30)</f>
        <v>221</v>
      </c>
      <c r="N30" s="2">
        <f>SUMIFS('OB History'!G:G,'OB History'!B:B,'Old Bow v2'!A30)-M30</f>
        <v>244</v>
      </c>
      <c r="O30" s="88">
        <f>LOOKUP(2, 1/('OB History'!$B:$B=A30), 'OB History'!$AC:$AC)</f>
        <v>0.48148148148148157</v>
      </c>
      <c r="P30" s="2">
        <f>COUNTIFS('OB History'!$B:$B,$A$30,'OB History'!K:K, 1)</f>
        <v>2</v>
      </c>
      <c r="Q30" s="2">
        <f>COUNTIFS('OB History'!$B:$B,$A$30,'OB History'!L:L, 1)</f>
        <v>1</v>
      </c>
      <c r="R30" s="2">
        <f>COUNTIFS('OB History'!$B:$B,$A$30,'OB History'!M:M, 1)</f>
        <v>0</v>
      </c>
      <c r="S30" s="2">
        <f>COUNTIFS('OB History'!$B:$B,$A$30,'OB History'!N:N, 1)</f>
        <v>7</v>
      </c>
      <c r="T30" s="2">
        <f>COUNTIFS('OB History'!$B:$B,$A$30,'OB History'!O:O, 1)</f>
        <v>0</v>
      </c>
      <c r="U30" s="2">
        <f>COUNTIFS('OB History'!$B:$B,$A$30,'OB History'!P:P, 1)</f>
        <v>5</v>
      </c>
      <c r="V30" s="2">
        <f>COUNTIFS('OB History'!$B:$B,$A$30,'OB History'!Q:Q, 1)</f>
        <v>1</v>
      </c>
      <c r="W30" s="2">
        <f>COUNTIFS('OB History'!$B:$B,$A$30,'OB History'!R:R, 1)</f>
        <v>0</v>
      </c>
      <c r="X30" s="2">
        <f>COUNTIFS('OB History'!$B:$B,$A$30,'OB History'!S:S, 1)</f>
        <v>0</v>
      </c>
      <c r="Y30" s="2">
        <f>COUNTIFS('OB History'!$B:$B,$A$30,'OB History'!T:T, 1)</f>
        <v>0</v>
      </c>
      <c r="Z30" s="2">
        <f>COUNTIFS('OB History'!$B:$B,$A$30,'OB History'!U:U, 1)</f>
        <v>1</v>
      </c>
      <c r="AA30" s="2">
        <f>COUNTIFS('OB History'!$B:$B,$A$30,'OB History'!V:V, 1)</f>
        <v>0</v>
      </c>
      <c r="AB30" s="2">
        <f>COUNTIFS('OB History'!$B:$B,$A$30,'OB History'!W:W, 1)</f>
        <v>5</v>
      </c>
      <c r="AC30" s="2">
        <f>COUNTIFS('OB History'!$B:$B,$A$30,'OB History'!X:X, 1)</f>
        <v>15</v>
      </c>
      <c r="AD30" s="2">
        <f>COUNTIFS('OB History'!$B:$B,$A$30,'OB History'!Y:Y, 1)</f>
        <v>4</v>
      </c>
      <c r="AE30" s="2">
        <f>COUNTIFS('OB History'!$B:$B,$A$30,'OB History'!Z:Z, 1)</f>
        <v>8</v>
      </c>
    </row>
    <row r="31" spans="1:31" x14ac:dyDescent="0.25">
      <c r="A31" s="1" t="s">
        <v>43</v>
      </c>
      <c r="B31" s="2" t="s">
        <v>79</v>
      </c>
      <c r="C31" s="2" t="s">
        <v>79</v>
      </c>
      <c r="D31" s="34">
        <f>SUMIFS('OB History'!C:C,'OB History'!B:B,A31)</f>
        <v>4</v>
      </c>
      <c r="E31" s="4">
        <f>AVERAGEIFS('OB History'!C:C,'OB History'!B:B,A31)</f>
        <v>4</v>
      </c>
      <c r="F31" s="35">
        <f t="array" ref="F31">MAX(IF('OB History'!B:B=A31, 'OB History'!C:C))</f>
        <v>4</v>
      </c>
      <c r="G31" s="34">
        <f>COUNTIFS('OB History'!B:B,A31,'OB History'!D:D, 1)</f>
        <v>1</v>
      </c>
      <c r="H31" s="2">
        <f>COUNTIFS('OB History'!B:B,A31,'OB History'!D:D, 0)</f>
        <v>0</v>
      </c>
      <c r="I31" s="88">
        <f>LOOKUP(2, 1/('OB History'!$B:$B=A31), 'OB History'!$AD:$AD)</f>
        <v>1</v>
      </c>
      <c r="J31" s="34">
        <f>SUMIFS('OB History'!F:F,'OB History'!B:B,A31)</f>
        <v>3</v>
      </c>
      <c r="K31" s="2">
        <f>SUMIFS('OB History'!E:E,'OB History'!B:B,A31)-J31</f>
        <v>0</v>
      </c>
      <c r="L31" s="88">
        <f>LOOKUP(2, 1/('OB History'!$B:$B=A31), 'OB History'!$AB:$AB)</f>
        <v>1</v>
      </c>
      <c r="M31" s="34">
        <f>SUMIFS('OB History'!H:H,'OB History'!B:B,'Old Bow v2'!A31)</f>
        <v>9</v>
      </c>
      <c r="N31" s="2">
        <f>SUMIFS('OB History'!G:G,'OB History'!B:B,'Old Bow v2'!A31)-M31</f>
        <v>4</v>
      </c>
      <c r="O31" s="88">
        <f>LOOKUP(2, 1/('OB History'!$B:$B=A31), 'OB History'!$AC:$AC)</f>
        <v>0.69</v>
      </c>
      <c r="P31" s="2">
        <f>COUNTIFS('OB History'!$B:$B,$A$31,'OB History'!K:K, 1)</f>
        <v>0</v>
      </c>
      <c r="Q31" s="2">
        <f>COUNTIFS('OB History'!$B:$B,$A$31,'OB History'!L:L, 1)</f>
        <v>0</v>
      </c>
      <c r="R31" s="2">
        <f>COUNTIFS('OB History'!$B:$B,$A$31,'OB History'!M:M, 1)</f>
        <v>0</v>
      </c>
      <c r="S31" s="2">
        <f>COUNTIFS('OB History'!$B:$B,$A$31,'OB History'!N:N, 1)</f>
        <v>0</v>
      </c>
      <c r="T31" s="2">
        <f>COUNTIFS('OB History'!$B:$B,$A$31,'OB History'!O:O, 1)</f>
        <v>0</v>
      </c>
      <c r="U31" s="2">
        <f>COUNTIFS('OB History'!$B:$B,$A$31,'OB History'!P:P, 1)</f>
        <v>1</v>
      </c>
      <c r="V31" s="2">
        <f>COUNTIFS('OB History'!$B:$B,$A$31,'OB History'!Q:Q, 1)</f>
        <v>0</v>
      </c>
      <c r="W31" s="2">
        <f>COUNTIFS('OB History'!$B:$B,$A$31,'OB History'!R:R, 1)</f>
        <v>0</v>
      </c>
      <c r="X31" s="2">
        <f>COUNTIFS('OB History'!$B:$B,$A$31,'OB History'!S:S, 1)</f>
        <v>0</v>
      </c>
      <c r="Y31" s="2">
        <f>COUNTIFS('OB History'!$B:$B,$A$31,'OB History'!T:T, 1)</f>
        <v>0</v>
      </c>
      <c r="Z31" s="2">
        <f>COUNTIFS('OB History'!$B:$B,$A$31,'OB History'!U:U, 1)</f>
        <v>0</v>
      </c>
      <c r="AA31" s="2">
        <f>COUNTIFS('OB History'!$B:$B,$A$31,'OB History'!V:V, 1)</f>
        <v>0</v>
      </c>
      <c r="AB31" s="2">
        <f>COUNTIFS('OB History'!$B:$B,$A$31,'OB History'!W:W, 1)</f>
        <v>0</v>
      </c>
      <c r="AC31" s="2">
        <f>COUNTIFS('OB History'!$B:$B,$A$31,'OB History'!X:X, 1)</f>
        <v>1</v>
      </c>
      <c r="AD31" s="2">
        <f>COUNTIFS('OB History'!$B:$B,$A$31,'OB History'!Y:Y, 1)</f>
        <v>0</v>
      </c>
      <c r="AE31" s="2">
        <f>COUNTIFS('OB History'!$B:$B,$A$31,'OB History'!Z:Z, 1)</f>
        <v>1</v>
      </c>
    </row>
    <row r="32" spans="1:31" x14ac:dyDescent="0.25">
      <c r="A32" s="2" t="s">
        <v>13</v>
      </c>
      <c r="B32" s="6" t="s">
        <v>124</v>
      </c>
      <c r="C32" s="6" t="s">
        <v>60</v>
      </c>
      <c r="D32" s="34">
        <f>SUMIFS('OB History'!C:C,'OB History'!B:B,A32)</f>
        <v>1069</v>
      </c>
      <c r="E32" s="4">
        <f>AVERAGEIFS('OB History'!C:C,'OB History'!B:B,A32)</f>
        <v>27.410256410256409</v>
      </c>
      <c r="F32" s="35">
        <f t="array" ref="F32">MAX(IF('OB History'!B:B=A32, 'OB History'!C:C))</f>
        <v>57</v>
      </c>
      <c r="G32" s="34">
        <f>COUNTIFS('OB History'!B:B,A32,'OB History'!D:D, 1)</f>
        <v>25</v>
      </c>
      <c r="H32" s="2">
        <f>COUNTIFS('OB History'!B:B,A32,'OB History'!D:D, 0)</f>
        <v>14</v>
      </c>
      <c r="I32" s="88">
        <f>LOOKUP(2, 1/('OB History'!$B:$B=A32), 'OB History'!$AD:$AD)</f>
        <v>0.64102564102564108</v>
      </c>
      <c r="J32" s="34">
        <f>SUMIFS('OB History'!F:F,'OB History'!B:B,A32)</f>
        <v>91</v>
      </c>
      <c r="K32" s="2">
        <f>SUMIFS('OB History'!E:E,'OB History'!B:B,A32)-J32</f>
        <v>70</v>
      </c>
      <c r="L32" s="88">
        <f>LOOKUP(2, 1/('OB History'!$B:$B=A32), 'OB History'!$AB:$AB)</f>
        <v>0.56666666666666665</v>
      </c>
      <c r="M32" s="34">
        <f>SUMIFS('OB History'!H:H,'OB History'!B:B,'Old Bow v2'!A32)</f>
        <v>357</v>
      </c>
      <c r="N32" s="2">
        <f>SUMIFS('OB History'!G:G,'OB History'!B:B,'Old Bow v2'!A32)-M32</f>
        <v>301</v>
      </c>
      <c r="O32" s="88">
        <f>LOOKUP(2, 1/('OB History'!$B:$B=A32), 'OB History'!$AC:$AC)</f>
        <v>0.54512820512820503</v>
      </c>
      <c r="P32" s="2">
        <f>COUNTIFS('OB History'!$B:$B,$A$32,'OB History'!K:K, 1)</f>
        <v>4</v>
      </c>
      <c r="Q32" s="2">
        <f>COUNTIFS('OB History'!$B:$B,$A$32,'OB History'!L:L, 1)</f>
        <v>9</v>
      </c>
      <c r="R32" s="2">
        <f>COUNTIFS('OB History'!$B:$B,$A$32,'OB History'!M:M, 1)</f>
        <v>3</v>
      </c>
      <c r="S32" s="2">
        <f>COUNTIFS('OB History'!$B:$B,$A$32,'OB History'!N:N, 1)</f>
        <v>10</v>
      </c>
      <c r="T32" s="2">
        <f>COUNTIFS('OB History'!$B:$B,$A$32,'OB History'!O:O, 1)</f>
        <v>3</v>
      </c>
      <c r="U32" s="2">
        <f>COUNTIFS('OB History'!$B:$B,$A$32,'OB History'!P:P, 1)</f>
        <v>13</v>
      </c>
      <c r="V32" s="2">
        <f>COUNTIFS('OB History'!$B:$B,$A$32,'OB History'!Q:Q, 1)</f>
        <v>4</v>
      </c>
      <c r="W32" s="2">
        <f>COUNTIFS('OB History'!$B:$B,$A$32,'OB History'!R:R, 1)</f>
        <v>1</v>
      </c>
      <c r="X32" s="2">
        <f>COUNTIFS('OB History'!$B:$B,$A$32,'OB History'!S:S, 1)</f>
        <v>1</v>
      </c>
      <c r="Y32" s="2">
        <f>COUNTIFS('OB History'!$B:$B,$A$32,'OB History'!T:T, 1)</f>
        <v>2</v>
      </c>
      <c r="Z32" s="2">
        <f>COUNTIFS('OB History'!$B:$B,$A$32,'OB History'!U:U, 1)</f>
        <v>2</v>
      </c>
      <c r="AA32" s="2">
        <f>COUNTIFS('OB History'!$B:$B,$A$32,'OB History'!V:V, 1)</f>
        <v>4</v>
      </c>
      <c r="AB32" s="2">
        <f>COUNTIFS('OB History'!$B:$B,$A$32,'OB History'!W:W, 1)</f>
        <v>9</v>
      </c>
      <c r="AC32" s="2">
        <f>COUNTIFS('OB History'!$B:$B,$A$32,'OB History'!X:X, 1)</f>
        <v>10</v>
      </c>
      <c r="AD32" s="2">
        <f>COUNTIFS('OB History'!$B:$B,$A$32,'OB History'!Y:Y, 1)</f>
        <v>5</v>
      </c>
      <c r="AE32" s="2">
        <f>COUNTIFS('OB History'!$B:$B,$A$32,'OB History'!Z:Z, 1)</f>
        <v>10</v>
      </c>
    </row>
    <row r="33" spans="1:31" x14ac:dyDescent="0.25">
      <c r="A33" s="2" t="s">
        <v>2</v>
      </c>
      <c r="B33" s="6" t="s">
        <v>60</v>
      </c>
      <c r="C33" s="2" t="s">
        <v>79</v>
      </c>
      <c r="D33" s="34">
        <f>SUMIFS('OB History'!C:C,'OB History'!B:B,A33)</f>
        <v>354</v>
      </c>
      <c r="E33" s="4">
        <f>AVERAGEIFS('OB History'!C:C,'OB History'!B:B,A33)</f>
        <v>27.23076923076923</v>
      </c>
      <c r="F33" s="35">
        <f t="array" ref="F33">MAX(IF('OB History'!B:B=A33, 'OB History'!C:C))</f>
        <v>42</v>
      </c>
      <c r="G33" s="34">
        <f>COUNTIFS('OB History'!B:B,A33,'OB History'!D:D, 1)</f>
        <v>7</v>
      </c>
      <c r="H33" s="2">
        <f>COUNTIFS('OB History'!B:B,A33,'OB History'!D:D, 0)</f>
        <v>6</v>
      </c>
      <c r="I33" s="88">
        <f>LOOKUP(2, 1/('OB History'!$B:$B=A33), 'OB History'!$AD:$AD)</f>
        <v>0.53846153846153844</v>
      </c>
      <c r="J33" s="34">
        <f>SUMIFS('OB History'!F:F,'OB History'!B:B,A33)</f>
        <v>30</v>
      </c>
      <c r="K33" s="2">
        <f>SUMIFS('OB History'!E:E,'OB History'!B:B,A33)-J33</f>
        <v>26</v>
      </c>
      <c r="L33" s="88">
        <f>LOOKUP(2, 1/('OB History'!$B:$B=A33), 'OB History'!$AB:$AB)</f>
        <v>0.54230769230769227</v>
      </c>
      <c r="M33" s="34">
        <f>SUMIFS('OB History'!H:H,'OB History'!B:B,'Old Bow v2'!A33)</f>
        <v>124</v>
      </c>
      <c r="N33" s="2">
        <f>SUMIFS('OB History'!G:G,'OB History'!B:B,'Old Bow v2'!A33)-M33</f>
        <v>109</v>
      </c>
      <c r="O33" s="88">
        <f>LOOKUP(2, 1/('OB History'!$B:$B=A33), 'OB History'!$AC:$AC)</f>
        <v>0.53923076923076918</v>
      </c>
      <c r="P33" s="2">
        <f>COUNTIFS('OB History'!$B:$B,$A$33,'OB History'!K:K, 1)</f>
        <v>2</v>
      </c>
      <c r="Q33" s="2">
        <f>COUNTIFS('OB History'!$B:$B,$A$33,'OB History'!L:L, 1)</f>
        <v>2</v>
      </c>
      <c r="R33" s="2">
        <f>COUNTIFS('OB History'!$B:$B,$A$33,'OB History'!M:M, 1)</f>
        <v>2</v>
      </c>
      <c r="S33" s="2">
        <f>COUNTIFS('OB History'!$B:$B,$A$33,'OB History'!N:N, 1)</f>
        <v>6</v>
      </c>
      <c r="T33" s="2">
        <f>COUNTIFS('OB History'!$B:$B,$A$33,'OB History'!O:O, 1)</f>
        <v>0</v>
      </c>
      <c r="U33" s="2">
        <f>COUNTIFS('OB History'!$B:$B,$A$33,'OB History'!P:P, 1)</f>
        <v>3</v>
      </c>
      <c r="V33" s="2">
        <f>COUNTIFS('OB History'!$B:$B,$A$33,'OB History'!Q:Q, 1)</f>
        <v>0</v>
      </c>
      <c r="W33" s="2">
        <f>COUNTIFS('OB History'!$B:$B,$A$33,'OB History'!R:R, 1)</f>
        <v>1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0</v>
      </c>
      <c r="AB33" s="2">
        <f>COUNTIFS('OB History'!$B:$B,$A$33,'OB History'!W:W, 1)</f>
        <v>5</v>
      </c>
      <c r="AC33" s="2">
        <f>COUNTIFS('OB History'!$B:$B,$A$33,'OB History'!X:X, 1)</f>
        <v>1</v>
      </c>
      <c r="AD33" s="2">
        <f>COUNTIFS('OB History'!$B:$B,$A$33,'OB History'!Y:Y, 1)</f>
        <v>4</v>
      </c>
      <c r="AE33" s="2">
        <f>COUNTIFS('OB History'!$B:$B,$A$33,'OB History'!Z:Z, 1)</f>
        <v>4</v>
      </c>
    </row>
    <row r="34" spans="1:31" x14ac:dyDescent="0.25">
      <c r="A34" s="2" t="s">
        <v>54</v>
      </c>
      <c r="B34" s="6" t="s">
        <v>60</v>
      </c>
      <c r="C34" s="6" t="s">
        <v>79</v>
      </c>
      <c r="D34" s="34">
        <f>SUMIFS('OB History'!C:C,'OB History'!B:B,A34)</f>
        <v>65</v>
      </c>
      <c r="E34" s="4">
        <f>AVERAGEIFS('OB History'!C:C,'OB History'!B:B,A34)</f>
        <v>21.666666666666668</v>
      </c>
      <c r="F34" s="35">
        <f t="array" ref="F34">MAX(IF('OB History'!B:B=A34, 'OB History'!C:C))</f>
        <v>29</v>
      </c>
      <c r="G34" s="34">
        <f>COUNTIFS('OB History'!B:B,A34,'OB History'!D:D, 1)</f>
        <v>3</v>
      </c>
      <c r="H34" s="2">
        <f>COUNTIFS('OB History'!B:B,A34,'OB History'!D:D, 0)</f>
        <v>0</v>
      </c>
      <c r="I34" s="88">
        <f>LOOKUP(2, 1/('OB History'!$B:$B=A34), 'OB History'!$AD:$AD)</f>
        <v>1</v>
      </c>
      <c r="J34" s="34">
        <f>SUMIFS('OB History'!F:F,'OB History'!B:B,A34)</f>
        <v>9</v>
      </c>
      <c r="K34" s="2">
        <f>SUMIFS('OB History'!E:E,'OB History'!B:B,A34)-J34</f>
        <v>6</v>
      </c>
      <c r="L34" s="88">
        <f>LOOKUP(2, 1/('OB History'!$B:$B=A34), 'OB History'!$AB:$AB)</f>
        <v>0.6</v>
      </c>
      <c r="M34" s="34">
        <f>SUMIFS('OB History'!H:H,'OB History'!B:B,'Old Bow v2'!A34)</f>
        <v>36</v>
      </c>
      <c r="N34" s="2">
        <f>SUMIFS('OB History'!G:G,'OB History'!B:B,'Old Bow v2'!A34)-M34</f>
        <v>26</v>
      </c>
      <c r="O34" s="88">
        <f>LOOKUP(2, 1/('OB History'!$B:$B=A34), 'OB History'!$AC:$AC)</f>
        <v>0.57999999999999996</v>
      </c>
      <c r="P34" s="2">
        <f>COUNTIFS('OB History'!$B:$B,$A$34,'OB History'!K:K, 1)</f>
        <v>0</v>
      </c>
      <c r="Q34" s="2">
        <f>COUNTIFS('OB History'!$B:$B,$A$34,'OB History'!L:L, 1)</f>
        <v>1</v>
      </c>
      <c r="R34" s="2">
        <f>COUNTIFS('OB History'!$B:$B,$A$34,'OB History'!M:M, 1)</f>
        <v>0</v>
      </c>
      <c r="S34" s="2">
        <f>COUNTIFS('OB History'!$B:$B,$A$34,'OB History'!N:N, 1)</f>
        <v>1</v>
      </c>
      <c r="T34" s="2">
        <f>COUNTIFS('OB History'!$B:$B,$A$34,'OB History'!O:O, 1)</f>
        <v>2</v>
      </c>
      <c r="U34" s="2">
        <f>COUNTIFS('OB History'!$B:$B,$A$34,'OB History'!P:P, 1)</f>
        <v>1</v>
      </c>
      <c r="V34" s="2">
        <f>COUNTIFS('OB History'!$B:$B,$A$34,'OB History'!Q:Q, 1)</f>
        <v>2</v>
      </c>
      <c r="W34" s="2">
        <f>COUNTIFS('OB History'!$B:$B,$A$34,'OB History'!R:R, 1)</f>
        <v>0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1</v>
      </c>
      <c r="AB34" s="2">
        <f>COUNTIFS('OB History'!$B:$B,$A$34,'OB History'!W:W, 1)</f>
        <v>1</v>
      </c>
      <c r="AC34" s="2">
        <f>COUNTIFS('OB History'!$B:$B,$A$34,'OB History'!X:X, 1)</f>
        <v>0</v>
      </c>
      <c r="AD34" s="2">
        <f>COUNTIFS('OB History'!$B:$B,$A$34,'OB History'!Y:Y, 1)</f>
        <v>0</v>
      </c>
      <c r="AE34" s="2">
        <f>COUNTIFS('OB History'!$B:$B,$A$34,'OB History'!Z:Z, 1)</f>
        <v>0</v>
      </c>
    </row>
    <row r="35" spans="1:31" x14ac:dyDescent="0.25">
      <c r="A35" s="2" t="s">
        <v>5</v>
      </c>
      <c r="B35" s="6" t="s">
        <v>60</v>
      </c>
      <c r="C35" s="2" t="s">
        <v>79</v>
      </c>
      <c r="D35" s="34">
        <f>SUMIFS('OB History'!C:C,'OB History'!B:B,A35)</f>
        <v>236</v>
      </c>
      <c r="E35" s="4">
        <f>AVERAGEIFS('OB History'!C:C,'OB History'!B:B,A35)</f>
        <v>23.6</v>
      </c>
      <c r="F35" s="35">
        <f t="array" ref="F35">MAX(IF('OB History'!B:B=A35, 'OB History'!C:C))</f>
        <v>36</v>
      </c>
      <c r="G35" s="34">
        <f>COUNTIFS('OB History'!B:B,A35,'OB History'!D:D, 1)</f>
        <v>5</v>
      </c>
      <c r="H35" s="2">
        <f>COUNTIFS('OB History'!B:B,A35,'OB History'!D:D, 0)</f>
        <v>5</v>
      </c>
      <c r="I35" s="88">
        <f>LOOKUP(2, 1/('OB History'!$B:$B=A35), 'OB History'!$AD:$AD)</f>
        <v>0.5</v>
      </c>
      <c r="J35" s="34">
        <f>SUMIFS('OB History'!F:F,'OB History'!B:B,A35)</f>
        <v>21</v>
      </c>
      <c r="K35" s="2">
        <f>SUMIFS('OB History'!E:E,'OB History'!B:B,A35)-J35</f>
        <v>23</v>
      </c>
      <c r="L35" s="88">
        <f>LOOKUP(2, 1/('OB History'!$B:$B=A35), 'OB History'!$AB:$AB)</f>
        <v>0.46999999999999992</v>
      </c>
      <c r="M35" s="34">
        <f>SUMIFS('OB History'!H:H,'OB History'!B:B,'Old Bow v2'!A35)</f>
        <v>91</v>
      </c>
      <c r="N35" s="2">
        <f>SUMIFS('OB History'!G:G,'OB History'!B:B,'Old Bow v2'!A35)-M35</f>
        <v>95</v>
      </c>
      <c r="O35" s="88">
        <f>LOOKUP(2, 1/('OB History'!$B:$B=A35), 'OB History'!$AC:$AC)</f>
        <v>0.48</v>
      </c>
      <c r="P35" s="2">
        <f>COUNTIFS('OB History'!$B:$B,$A$35,'OB History'!K:K, 1)</f>
        <v>1</v>
      </c>
      <c r="Q35" s="2">
        <f>COUNTIFS('OB History'!$B:$B,$A$35,'OB History'!L:L, 1)</f>
        <v>1</v>
      </c>
      <c r="R35" s="2">
        <f>COUNTIFS('OB History'!$B:$B,$A$35,'OB History'!M:M, 1)</f>
        <v>3</v>
      </c>
      <c r="S35" s="2">
        <f>COUNTIFS('OB History'!$B:$B,$A$35,'OB History'!N:N, 1)</f>
        <v>2</v>
      </c>
      <c r="T35" s="2">
        <f>COUNTIFS('OB History'!$B:$B,$A$35,'OB History'!O:O, 1)</f>
        <v>1</v>
      </c>
      <c r="U35" s="2">
        <f>COUNTIFS('OB History'!$B:$B,$A$35,'OB History'!P:P, 1)</f>
        <v>1</v>
      </c>
      <c r="V35" s="2">
        <f>COUNTIFS('OB History'!$B:$B,$A$35,'OB History'!Q:Q, 1)</f>
        <v>0</v>
      </c>
      <c r="W35" s="2">
        <f>COUNTIFS('OB History'!$B:$B,$A$35,'OB History'!R:R, 1)</f>
        <v>1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1</v>
      </c>
      <c r="AC35" s="2">
        <f>COUNTIFS('OB History'!$B:$B,$A$35,'OB History'!X:X, 1)</f>
        <v>5</v>
      </c>
      <c r="AD35" s="2">
        <f>COUNTIFS('OB History'!$B:$B,$A$35,'OB History'!Y:Y, 1)</f>
        <v>3</v>
      </c>
      <c r="AE35" s="2">
        <f>COUNTIFS('OB History'!$B:$B,$A$35,'OB History'!Z:Z, 1)</f>
        <v>2</v>
      </c>
    </row>
    <row r="36" spans="1:31" x14ac:dyDescent="0.25">
      <c r="A36" s="2" t="s">
        <v>38</v>
      </c>
      <c r="B36" s="2" t="s">
        <v>79</v>
      </c>
      <c r="C36" s="2" t="s">
        <v>79</v>
      </c>
      <c r="D36" s="34">
        <f>SUMIFS('OB History'!C:C,'OB History'!B:B,A36)</f>
        <v>24</v>
      </c>
      <c r="E36" s="4">
        <f>AVERAGEIFS('OB History'!C:C,'OB History'!B:B,A36)</f>
        <v>4</v>
      </c>
      <c r="F36" s="35">
        <f t="array" ref="F36">MAX(IF('OB History'!B:B=A36, 'OB History'!C:C))</f>
        <v>7</v>
      </c>
      <c r="G36" s="34">
        <f>COUNTIFS('OB History'!B:B,A36,'OB History'!D:D, 1)</f>
        <v>2</v>
      </c>
      <c r="H36" s="2">
        <f>COUNTIFS('OB History'!B:B,A36,'OB History'!D:D, 0)</f>
        <v>4</v>
      </c>
      <c r="I36" s="88">
        <f>LOOKUP(2, 1/('OB History'!$B:$B=A36), 'OB History'!$AD:$AD)</f>
        <v>0.33333333333333331</v>
      </c>
      <c r="J36" s="34">
        <f>SUMIFS('OB History'!F:F,'OB History'!B:B,A36)</f>
        <v>8</v>
      </c>
      <c r="K36" s="2">
        <f>SUMIFS('OB History'!E:E,'OB History'!B:B,A36)-J36</f>
        <v>13</v>
      </c>
      <c r="L36" s="88">
        <f>LOOKUP(2, 1/('OB History'!$B:$B=A36), 'OB History'!$AB:$AB)</f>
        <v>0.375</v>
      </c>
      <c r="M36" s="34">
        <f>SUMIFS('OB History'!H:H,'OB History'!B:B,'Old Bow v2'!A36)</f>
        <v>35</v>
      </c>
      <c r="N36" s="2">
        <f>SUMIFS('OB History'!G:G,'OB History'!B:B,'Old Bow v2'!A36)-M36</f>
        <v>50</v>
      </c>
      <c r="O36" s="88">
        <f>LOOKUP(2, 1/('OB History'!$B:$B=A36), 'OB History'!$AC:$AC)</f>
        <v>0.41666666666666669</v>
      </c>
      <c r="P36" s="2">
        <f>COUNTIFS('OB History'!$B:$B,$A$36,'OB History'!K:K, 1)</f>
        <v>1</v>
      </c>
      <c r="Q36" s="2">
        <f>COUNTIFS('OB History'!$B:$B,$A$36,'OB History'!L:L, 1)</f>
        <v>1</v>
      </c>
      <c r="R36" s="2">
        <f>COUNTIFS('OB History'!$B:$B,$A$36,'OB History'!M:M, 1)</f>
        <v>1</v>
      </c>
      <c r="S36" s="2">
        <f>COUNTIFS('OB History'!$B:$B,$A$36,'OB History'!N:N, 1)</f>
        <v>1</v>
      </c>
      <c r="T36" s="2">
        <f>COUNTIFS('OB History'!$B:$B,$A$36,'OB History'!O:O, 1)</f>
        <v>0</v>
      </c>
      <c r="U36" s="2">
        <f>COUNTIFS('OB History'!$B:$B,$A$36,'OB History'!P:P, 1)</f>
        <v>2</v>
      </c>
      <c r="V36" s="2">
        <f>COUNTIFS('OB History'!$B:$B,$A$36,'OB History'!Q:Q, 1)</f>
        <v>0</v>
      </c>
      <c r="W36" s="2">
        <f>COUNTIFS('OB History'!$B:$B,$A$36,'OB History'!R:R, 1)</f>
        <v>1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1</v>
      </c>
      <c r="AC36" s="2">
        <f>COUNTIFS('OB History'!$B:$B,$A$36,'OB History'!X:X, 1)</f>
        <v>0</v>
      </c>
      <c r="AD36" s="2">
        <f>COUNTIFS('OB History'!$B:$B,$A$36,'OB History'!Y:Y, 1)</f>
        <v>0</v>
      </c>
      <c r="AE36" s="2">
        <f>COUNTIFS('OB History'!$B:$B,$A$36,'OB History'!Z:Z, 1)</f>
        <v>0</v>
      </c>
    </row>
    <row r="37" spans="1:31" x14ac:dyDescent="0.25">
      <c r="A37" s="2" t="s">
        <v>142</v>
      </c>
      <c r="B37" s="2" t="s">
        <v>79</v>
      </c>
      <c r="C37" s="2" t="s">
        <v>79</v>
      </c>
      <c r="D37" s="34">
        <f>SUMIFS('OB History'!C:C,'OB History'!B:B,A37)</f>
        <v>51</v>
      </c>
      <c r="E37" s="4">
        <f>AVERAGEIFS('OB History'!C:C,'OB History'!B:B,A37)</f>
        <v>17</v>
      </c>
      <c r="F37" s="35">
        <f t="array" ref="F37">MAX(IF('OB History'!B:B=A37, 'OB History'!C:C))</f>
        <v>20</v>
      </c>
      <c r="G37" s="34">
        <f>COUNTIFS('OB History'!B:B,A37,'OB History'!D:D, 1)</f>
        <v>1</v>
      </c>
      <c r="H37" s="2">
        <f>COUNTIFS('OB History'!B:B,A37,'OB History'!D:D, 0)</f>
        <v>2</v>
      </c>
      <c r="I37" s="88">
        <f>LOOKUP(2, 1/('OB History'!$B:$B=A37), 'OB History'!$AD:$AD)</f>
        <v>0.33333333333333331</v>
      </c>
      <c r="J37" s="34">
        <f>SUMIFS('OB History'!F:F,'OB History'!B:B,A37)</f>
        <v>7</v>
      </c>
      <c r="K37" s="2">
        <f>SUMIFS('OB History'!E:E,'OB History'!B:B,A37)-J37</f>
        <v>6</v>
      </c>
      <c r="L37" s="88">
        <f>LOOKUP(2, 1/('OB History'!$B:$B=A37), 'OB History'!$AB:$AB)</f>
        <v>0.6</v>
      </c>
      <c r="M37" s="34">
        <f>SUMIFS('OB History'!H:H,'OB History'!B:B,'Old Bow v2'!A37)</f>
        <v>27</v>
      </c>
      <c r="N37" s="2">
        <f>SUMIFS('OB History'!G:G,'OB History'!B:B,'Old Bow v2'!A37)-M37</f>
        <v>28</v>
      </c>
      <c r="O37" s="88">
        <f>LOOKUP(2, 1/('OB History'!$B:$B=A37), 'OB History'!$AC:$AC)</f>
        <v>0.51666666666666661</v>
      </c>
      <c r="P37" s="2">
        <f>COUNTIFS('OB History'!$B:$B,$A$37,'OB History'!K:K, 1)</f>
        <v>1</v>
      </c>
      <c r="Q37" s="2">
        <f>COUNTIFS('OB History'!$B:$B,$A$37,'OB History'!L:L, 1)</f>
        <v>1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1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1</v>
      </c>
      <c r="AC37" s="2">
        <f>COUNTIFS('OB History'!$B:$B,$A$37,'OB History'!X:X, 1)</f>
        <v>1</v>
      </c>
      <c r="AD37" s="2">
        <f>COUNTIFS('OB History'!$B:$B,$A$37,'OB History'!Y:Y, 1)</f>
        <v>0</v>
      </c>
      <c r="AE37" s="2">
        <f>COUNTIFS('OB History'!$B:$B,$A$37,'OB History'!Z:Z, 1)</f>
        <v>1</v>
      </c>
    </row>
    <row r="38" spans="1:31" x14ac:dyDescent="0.25">
      <c r="A38" s="2" t="s">
        <v>150</v>
      </c>
      <c r="B38" s="2" t="s">
        <v>79</v>
      </c>
      <c r="C38" s="2" t="s">
        <v>79</v>
      </c>
      <c r="D38" s="34">
        <f>SUMIFS('OB History'!C:C,'OB History'!B:B,A38)</f>
        <v>4</v>
      </c>
      <c r="E38" s="4">
        <f>AVERAGEIFS('OB History'!C:C,'OB History'!B:B,A38)</f>
        <v>4</v>
      </c>
      <c r="F38" s="35">
        <f t="array" ref="F38">MAX(IF('OB History'!B:B=A38, 'OB History'!C:C))</f>
        <v>4</v>
      </c>
      <c r="G38" s="34">
        <f>COUNTIFS('OB History'!B:B,A38,'OB History'!D:D, 1)</f>
        <v>0</v>
      </c>
      <c r="H38" s="2">
        <f>COUNTIFS('OB History'!B:B,A38,'OB History'!D:D, 0)</f>
        <v>1</v>
      </c>
      <c r="I38" s="88">
        <f>LOOKUP(2, 1/('OB History'!$B:$B=A38), 'OB History'!$AD:$AD)</f>
        <v>0</v>
      </c>
      <c r="J38" s="34">
        <f>SUMIFS('OB History'!F:F,'OB History'!B:B,A38)</f>
        <v>2</v>
      </c>
      <c r="K38" s="2">
        <f>SUMIFS('OB History'!E:E,'OB History'!B:B,A38)-J38</f>
        <v>3</v>
      </c>
      <c r="L38" s="88">
        <f>LOOKUP(2, 1/('OB History'!$B:$B=A38), 'OB History'!$AB:$AB)</f>
        <v>0.4</v>
      </c>
      <c r="M38" s="34">
        <f>SUMIFS('OB History'!H:H,'OB History'!B:B,'Old Bow v2'!A38)</f>
        <v>8</v>
      </c>
      <c r="N38" s="2">
        <f>SUMIFS('OB History'!G:G,'OB History'!B:B,'Old Bow v2'!A38)-M38</f>
        <v>10</v>
      </c>
      <c r="O38" s="88">
        <f>LOOKUP(2, 1/('OB History'!$B:$B=A38), 'OB History'!$AC:$AC)</f>
        <v>0.44</v>
      </c>
      <c r="P38" s="2">
        <f>COUNTIFS('OB History'!$B:$B,$A$38,'OB History'!K:K, 1)</f>
        <v>1</v>
      </c>
      <c r="Q38" s="2">
        <f>COUNTIFS('OB History'!$B:$B,$A$38,'OB History'!L:L, 1)</f>
        <v>0</v>
      </c>
      <c r="R38" s="2">
        <f>COUNTIFS('OB History'!$B:$B,$A$38,'OB History'!M:M, 1)</f>
        <v>0</v>
      </c>
      <c r="S38" s="2">
        <f>COUNTIFS('OB History'!$B:$B,$A$38,'OB History'!N:N, 1)</f>
        <v>0</v>
      </c>
      <c r="T38" s="2">
        <f>COUNTIFS('OB History'!$B:$B,$A$38,'OB History'!O:O, 1)</f>
        <v>0</v>
      </c>
      <c r="U38" s="2">
        <f>COUNTIFS('OB History'!$B:$B,$A$38,'OB History'!P:P, 1)</f>
        <v>1</v>
      </c>
      <c r="V38" s="2">
        <f>COUNTIFS('OB History'!$B:$B,$A$38,'OB History'!Q:Q, 1)</f>
        <v>0</v>
      </c>
      <c r="W38" s="2">
        <f>COUNTIFS('OB History'!$B:$B,$A$38,'OB History'!R:R, 1)</f>
        <v>0</v>
      </c>
      <c r="X38" s="2">
        <f>COUNTIFS('OB History'!$B:$B,$A$38,'OB History'!S:S, 1)</f>
        <v>0</v>
      </c>
      <c r="Y38" s="2">
        <f>COUNTIFS('OB History'!$B:$B,$A$38,'OB History'!T:T, 1)</f>
        <v>0</v>
      </c>
      <c r="Z38" s="2">
        <f>COUNTIFS('OB History'!$B:$B,$A$38,'OB History'!U:U, 1)</f>
        <v>0</v>
      </c>
      <c r="AA38" s="2">
        <f>COUNTIFS('OB History'!$B:$B,$A$38,'OB History'!V:V, 1)</f>
        <v>0</v>
      </c>
      <c r="AB38" s="2">
        <f>COUNTIFS('OB History'!$B:$B,$A$38,'OB History'!W:W, 1)</f>
        <v>0</v>
      </c>
      <c r="AC38" s="2">
        <f>COUNTIFS('OB History'!$B:$B,$A$38,'OB History'!X:X, 1)</f>
        <v>0</v>
      </c>
      <c r="AD38" s="2">
        <f>COUNTIFS('OB History'!$B:$B,$A$38,'OB History'!Y:Y, 1)</f>
        <v>0</v>
      </c>
      <c r="AE38" s="2">
        <f>COUNTIFS('OB History'!$B:$B,$A$38,'OB History'!Z:Z, 1)</f>
        <v>0</v>
      </c>
    </row>
    <row r="39" spans="1:31" x14ac:dyDescent="0.25">
      <c r="A39" s="2" t="s">
        <v>40</v>
      </c>
      <c r="B39" s="2" t="s">
        <v>79</v>
      </c>
      <c r="C39" s="2" t="s">
        <v>79</v>
      </c>
      <c r="D39" s="34">
        <f>SUMIFS('OB History'!C:C,'OB History'!B:B,A39)</f>
        <v>143</v>
      </c>
      <c r="E39" s="4">
        <f>AVERAGEIFS('OB History'!C:C,'OB History'!B:B,A39)</f>
        <v>17.875</v>
      </c>
      <c r="F39" s="35">
        <f t="array" ref="F39">MAX(IF('OB History'!B:B=A39, 'OB History'!C:C))</f>
        <v>28</v>
      </c>
      <c r="G39" s="34">
        <f>COUNTIFS('OB History'!B:B,A39,'OB History'!D:D, 1)</f>
        <v>2</v>
      </c>
      <c r="H39" s="2">
        <f>COUNTIFS('OB History'!B:B,A39,'OB History'!D:D, 0)</f>
        <v>6</v>
      </c>
      <c r="I39" s="88">
        <f>LOOKUP(2, 1/('OB History'!$B:$B=A39), 'OB History'!$AD:$AD)</f>
        <v>0.25</v>
      </c>
      <c r="J39" s="34">
        <f>SUMIFS('OB History'!F:F,'OB History'!B:B,A39)</f>
        <v>12</v>
      </c>
      <c r="K39" s="2">
        <f>SUMIFS('OB History'!E:E,'OB History'!B:B,A39)-J39</f>
        <v>20</v>
      </c>
      <c r="L39" s="88">
        <f>LOOKUP(2, 1/('OB History'!$B:$B=A39), 'OB History'!$AB:$AB)</f>
        <v>0.36249999999999999</v>
      </c>
      <c r="M39" s="34">
        <f>SUMIFS('OB History'!H:H,'OB History'!B:B,'Old Bow v2'!A39)</f>
        <v>53</v>
      </c>
      <c r="N39" s="2">
        <f>SUMIFS('OB History'!G:G,'OB History'!B:B,'Old Bow v2'!A39)-M39</f>
        <v>78</v>
      </c>
      <c r="O39" s="88">
        <f>LOOKUP(2, 1/('OB History'!$B:$B=A39), 'OB History'!$AC:$AC)</f>
        <v>0.38750000000000001</v>
      </c>
      <c r="P39" s="2">
        <f>COUNTIFS('OB History'!$B:$B,$A$39,'OB History'!K:K, 1)</f>
        <v>1</v>
      </c>
      <c r="Q39" s="2">
        <f>COUNTIFS('OB History'!$B:$B,$A$39,'OB History'!L:L, 1)</f>
        <v>2</v>
      </c>
      <c r="R39" s="2">
        <f>COUNTIFS('OB History'!$B:$B,$A$39,'OB History'!M:M, 1)</f>
        <v>0</v>
      </c>
      <c r="S39" s="2">
        <f>COUNTIFS('OB History'!$B:$B,$A$39,'OB History'!N:N, 1)</f>
        <v>0</v>
      </c>
      <c r="T39" s="2">
        <f>COUNTIFS('OB History'!$B:$B,$A$39,'OB History'!O:O, 1)</f>
        <v>0</v>
      </c>
      <c r="U39" s="2">
        <f>COUNTIFS('OB History'!$B:$B,$A$39,'OB History'!P:P, 1)</f>
        <v>1</v>
      </c>
      <c r="V39" s="2">
        <f>COUNTIFS('OB History'!$B:$B,$A$39,'OB History'!Q:Q, 1)</f>
        <v>0</v>
      </c>
      <c r="W39" s="2">
        <f>COUNTIFS('OB History'!$B:$B,$A$39,'OB History'!R:R, 1)</f>
        <v>0</v>
      </c>
      <c r="X39" s="2">
        <f>COUNTIFS('OB History'!$B:$B,$A$39,'OB History'!S:S, 1)</f>
        <v>0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0</v>
      </c>
      <c r="AC39" s="2">
        <f>COUNTIFS('OB History'!$B:$B,$A$39,'OB History'!X:X, 1)</f>
        <v>3</v>
      </c>
      <c r="AD39" s="2">
        <f>COUNTIFS('OB History'!$B:$B,$A$39,'OB History'!Y:Y, 1)</f>
        <v>2</v>
      </c>
      <c r="AE39" s="2">
        <f>COUNTIFS('OB History'!$B:$B,$A$39,'OB History'!Z:Z, 1)</f>
        <v>2</v>
      </c>
    </row>
    <row r="40" spans="1:31" x14ac:dyDescent="0.25">
      <c r="A40" s="2" t="s">
        <v>148</v>
      </c>
      <c r="B40" s="2" t="s">
        <v>79</v>
      </c>
      <c r="C40" s="2" t="s">
        <v>79</v>
      </c>
      <c r="D40" s="34">
        <f>SUMIFS('OB History'!C:C,'OB History'!B:B,A40)</f>
        <v>85</v>
      </c>
      <c r="E40" s="4">
        <f>AVERAGEIFS('OB History'!C:C,'OB History'!B:B,A40)</f>
        <v>17</v>
      </c>
      <c r="F40" s="35">
        <f t="array" ref="F40">MAX(IF('OB History'!B:B=A40, 'OB History'!C:C))</f>
        <v>24</v>
      </c>
      <c r="G40" s="34">
        <f>COUNTIFS('OB History'!B:B,A40,'OB History'!D:D, 1)</f>
        <v>0</v>
      </c>
      <c r="H40" s="2">
        <f>COUNTIFS('OB History'!B:B,A40,'OB History'!D:D, 0)</f>
        <v>5</v>
      </c>
      <c r="I40" s="88">
        <f>LOOKUP(2, 1/('OB History'!$B:$B=A40), 'OB History'!$AD:$AD)</f>
        <v>0</v>
      </c>
      <c r="J40" s="34">
        <f>SUMIFS('OB History'!F:F,'OB History'!B:B,A40)</f>
        <v>6</v>
      </c>
      <c r="K40" s="2">
        <f>SUMIFS('OB History'!E:E,'OB History'!B:B,A40)-J40</f>
        <v>15</v>
      </c>
      <c r="L40" s="88">
        <f>LOOKUP(2, 1/('OB History'!$B:$B=A40), 'OB History'!$AB:$AB)</f>
        <v>0.24000000000000005</v>
      </c>
      <c r="M40" s="34">
        <f>SUMIFS('OB History'!H:H,'OB History'!B:B,'Old Bow v2'!A40)</f>
        <v>33</v>
      </c>
      <c r="N40" s="2">
        <f>SUMIFS('OB History'!G:G,'OB History'!B:B,'Old Bow v2'!A40)-M40</f>
        <v>50</v>
      </c>
      <c r="O40" s="88">
        <f>LOOKUP(2, 1/('OB History'!$B:$B=A40), 'OB History'!$AC:$AC)</f>
        <v>0.37</v>
      </c>
      <c r="P40" s="2">
        <f>COUNTIFS('OB History'!$B:$B,$A$40,'OB History'!K:K, 1)</f>
        <v>2</v>
      </c>
      <c r="Q40" s="2">
        <f>COUNTIFS('OB History'!$B:$B,$A$40,'OB History'!L:L, 1)</f>
        <v>0</v>
      </c>
      <c r="R40" s="2">
        <f>COUNTIFS('OB History'!$B:$B,$A$40,'OB History'!M:M, 1)</f>
        <v>0</v>
      </c>
      <c r="S40" s="2">
        <f>COUNTIFS('OB History'!$B:$B,$A$40,'OB History'!N:N, 1)</f>
        <v>0</v>
      </c>
      <c r="T40" s="2">
        <f>COUNTIFS('OB History'!$B:$B,$A$40,'OB History'!O:O, 1)</f>
        <v>0</v>
      </c>
      <c r="U40" s="2">
        <f>COUNTIFS('OB History'!$B:$B,$A$40,'OB History'!P:P, 1)</f>
        <v>2</v>
      </c>
      <c r="V40" s="2">
        <f>COUNTIFS('OB History'!$B:$B,$A$40,'OB History'!Q:Q, 1)</f>
        <v>0</v>
      </c>
      <c r="W40" s="2">
        <f>COUNTIFS('OB History'!$B:$B,$A$40,'OB History'!R:R, 1)</f>
        <v>0</v>
      </c>
      <c r="X40" s="2">
        <f>COUNTIFS('OB History'!$B:$B,$A$40,'OB History'!S:S, 1)</f>
        <v>0</v>
      </c>
      <c r="Y40" s="2">
        <f>COUNTIFS('OB History'!$B:$B,$A$40,'OB History'!T:T, 1)</f>
        <v>0</v>
      </c>
      <c r="Z40" s="2">
        <f>COUNTIFS('OB History'!$B:$B,$A$40,'OB History'!U:U, 1)</f>
        <v>0</v>
      </c>
      <c r="AA40" s="2">
        <f>COUNTIFS('OB History'!$B:$B,$A$40,'OB History'!V:V, 1)</f>
        <v>0</v>
      </c>
      <c r="AB40" s="2">
        <f>COUNTIFS('OB History'!$B:$B,$A$40,'OB History'!W:W, 1)</f>
        <v>0</v>
      </c>
      <c r="AC40" s="2">
        <f>COUNTIFS('OB History'!$B:$B,$A$40,'OB History'!X:X, 1)</f>
        <v>1</v>
      </c>
      <c r="AD40" s="2">
        <f>COUNTIFS('OB History'!$B:$B,$A$40,'OB History'!Y:Y, 1)</f>
        <v>1</v>
      </c>
      <c r="AE40" s="2">
        <f>COUNTIFS('OB History'!$B:$B,$A$40,'OB History'!Z:Z, 1)</f>
        <v>0</v>
      </c>
    </row>
    <row r="41" spans="1:31" x14ac:dyDescent="0.25">
      <c r="A41" s="2" t="s">
        <v>17</v>
      </c>
      <c r="B41" s="2" t="s">
        <v>79</v>
      </c>
      <c r="C41" s="2" t="s">
        <v>79</v>
      </c>
      <c r="D41" s="34">
        <f>SUMIFS('OB History'!C:C,'OB History'!B:B,A41)</f>
        <v>918</v>
      </c>
      <c r="E41" s="4">
        <f>AVERAGEIFS('OB History'!C:C,'OB History'!B:B,A41)</f>
        <v>25.5</v>
      </c>
      <c r="F41" s="35">
        <f t="array" ref="F41">MAX(IF('OB History'!B:B=A41, 'OB History'!C:C))</f>
        <v>49</v>
      </c>
      <c r="G41" s="34">
        <f>COUNTIFS('OB History'!B:B,A41,'OB History'!D:D, 1)</f>
        <v>14</v>
      </c>
      <c r="H41" s="2">
        <f>COUNTIFS('OB History'!B:B,A41,'OB History'!D:D, 0)</f>
        <v>22</v>
      </c>
      <c r="I41" s="88">
        <f>LOOKUP(2, 1/('OB History'!$B:$B=A41), 'OB History'!$AD:$AD)</f>
        <v>0.3888888888888889</v>
      </c>
      <c r="J41" s="34">
        <f>SUMIFS('OB History'!F:F,'OB History'!B:B,A41)</f>
        <v>72</v>
      </c>
      <c r="K41" s="2">
        <f>SUMIFS('OB History'!E:E,'OB History'!B:B,A41)-J41</f>
        <v>77</v>
      </c>
      <c r="L41" s="88">
        <f>LOOKUP(2, 1/('OB History'!$B:$B=A41), 'OB History'!$AB:$AB)</f>
        <v>0.49861111111111117</v>
      </c>
      <c r="M41" s="34">
        <f>SUMIFS('OB History'!H:H,'OB History'!B:B,'Old Bow v2'!A41)</f>
        <v>307</v>
      </c>
      <c r="N41" s="2">
        <f>SUMIFS('OB History'!G:G,'OB History'!B:B,'Old Bow v2'!A41)-M41</f>
        <v>307</v>
      </c>
      <c r="O41" s="88">
        <f>LOOKUP(2, 1/('OB History'!$B:$B=A41), 'OB History'!$AC:$AC)</f>
        <v>0.51138888888888878</v>
      </c>
      <c r="P41" s="2">
        <f>COUNTIFS('OB History'!$B:$B,$A$41,'OB History'!K:K, 1)</f>
        <v>6</v>
      </c>
      <c r="Q41" s="2">
        <f>COUNTIFS('OB History'!$B:$B,$A$41,'OB History'!L:L, 1)</f>
        <v>3</v>
      </c>
      <c r="R41" s="2">
        <f>COUNTIFS('OB History'!$B:$B,$A$41,'OB History'!M:M, 1)</f>
        <v>3</v>
      </c>
      <c r="S41" s="2">
        <f>COUNTIFS('OB History'!$B:$B,$A$41,'OB History'!N:N, 1)</f>
        <v>8</v>
      </c>
      <c r="T41" s="2">
        <f>COUNTIFS('OB History'!$B:$B,$A$41,'OB History'!O:O, 1)</f>
        <v>0</v>
      </c>
      <c r="U41" s="2">
        <f>COUNTIFS('OB History'!$B:$B,$A$41,'OB History'!P:P, 1)</f>
        <v>10</v>
      </c>
      <c r="V41" s="2">
        <f>COUNTIFS('OB History'!$B:$B,$A$41,'OB History'!Q:Q, 1)</f>
        <v>2</v>
      </c>
      <c r="W41" s="2">
        <f>COUNTIFS('OB History'!$B:$B,$A$41,'OB History'!R:R, 1)</f>
        <v>0</v>
      </c>
      <c r="X41" s="2">
        <f>COUNTIFS('OB History'!$B:$B,$A$41,'OB History'!S:S, 1)</f>
        <v>1</v>
      </c>
      <c r="Y41" s="2">
        <f>COUNTIFS('OB History'!$B:$B,$A$41,'OB History'!T:T, 1)</f>
        <v>1</v>
      </c>
      <c r="Z41" s="2">
        <f>COUNTIFS('OB History'!$B:$B,$A$41,'OB History'!U:U, 1)</f>
        <v>1</v>
      </c>
      <c r="AA41" s="2">
        <f>COUNTIFS('OB History'!$B:$B,$A$41,'OB History'!V:V, 1)</f>
        <v>2</v>
      </c>
      <c r="AB41" s="2">
        <f>COUNTIFS('OB History'!$B:$B,$A$41,'OB History'!W:W, 1)</f>
        <v>6</v>
      </c>
      <c r="AC41" s="2">
        <f>COUNTIFS('OB History'!$B:$B,$A$41,'OB History'!X:X, 1)</f>
        <v>11</v>
      </c>
      <c r="AD41" s="2">
        <f>COUNTIFS('OB History'!$B:$B,$A$41,'OB History'!Y:Y, 1)</f>
        <v>7</v>
      </c>
      <c r="AE41" s="2">
        <f>COUNTIFS('OB History'!$B:$B,$A$41,'OB History'!Z:Z, 1)</f>
        <v>11</v>
      </c>
    </row>
    <row r="42" spans="1:31" x14ac:dyDescent="0.25">
      <c r="A42" s="2" t="s">
        <v>156</v>
      </c>
      <c r="B42" s="2" t="s">
        <v>79</v>
      </c>
      <c r="C42" s="2" t="s">
        <v>79</v>
      </c>
      <c r="D42" s="34">
        <f>SUMIFS('OB History'!C:C,'OB History'!B:B,A42)</f>
        <v>79</v>
      </c>
      <c r="E42" s="4">
        <f>AVERAGEIFS('OB History'!C:C,'OB History'!B:B,A42)</f>
        <v>15.8</v>
      </c>
      <c r="F42" s="35">
        <f t="array" ref="F42">MAX(IF('OB History'!B:B=A42, 'OB History'!C:C))</f>
        <v>27</v>
      </c>
      <c r="G42" s="34">
        <f>COUNTIFS('OB History'!B:B,A42,'OB History'!D:D, 1)</f>
        <v>2</v>
      </c>
      <c r="H42" s="2">
        <f>COUNTIFS('OB History'!B:B,A42,'OB History'!D:D, 0)</f>
        <v>3</v>
      </c>
      <c r="I42" s="88">
        <f>LOOKUP(2, 1/('OB History'!$B:$B=A42), 'OB History'!$AD:$AD)</f>
        <v>0.4</v>
      </c>
      <c r="J42" s="34">
        <f>SUMIFS('OB History'!F:F,'OB History'!B:B,A42)</f>
        <v>10</v>
      </c>
      <c r="K42" s="2">
        <f>SUMIFS('OB History'!E:E,'OB History'!B:B,A42)-J42</f>
        <v>12</v>
      </c>
      <c r="L42" s="88">
        <f>LOOKUP(2, 1/('OB History'!$B:$B=A42), 'OB History'!$AB:$AB)</f>
        <v>0.45</v>
      </c>
      <c r="M42" s="34">
        <f>SUMIFS('OB History'!H:H,'OB History'!B:B,'Old Bow v2'!A42)</f>
        <v>44</v>
      </c>
      <c r="N42" s="2">
        <f>SUMIFS('OB History'!G:G,'OB History'!B:B,'Old Bow v2'!A42)-M42</f>
        <v>44</v>
      </c>
      <c r="O42" s="88">
        <f>LOOKUP(2, 1/('OB History'!$B:$B=A42), 'OB History'!$AC:$AC)</f>
        <v>0.48399999999999999</v>
      </c>
      <c r="P42" s="2">
        <f>COUNTIFS('OB History'!$B:$B,$A$42,'OB History'!K:K, 1)</f>
        <v>1</v>
      </c>
      <c r="Q42" s="2">
        <f>COUNTIFS('OB History'!$B:$B,$A$42,'OB History'!L:L, 1)</f>
        <v>1</v>
      </c>
      <c r="R42" s="2">
        <f>COUNTIFS('OB History'!$B:$B,$A$42,'OB History'!M:M, 1)</f>
        <v>1</v>
      </c>
      <c r="S42" s="2">
        <f>COUNTIFS('OB History'!$B:$B,$A$42,'OB History'!N:N, 1)</f>
        <v>1</v>
      </c>
      <c r="T42" s="2">
        <f>COUNTIFS('OB History'!$B:$B,$A$42,'OB History'!O:O, 1)</f>
        <v>0</v>
      </c>
      <c r="U42" s="2">
        <f>COUNTIFS('OB History'!$B:$B,$A$42,'OB History'!P:P, 1)</f>
        <v>2</v>
      </c>
      <c r="V42" s="2">
        <f>COUNTIFS('OB History'!$B:$B,$A$42,'OB History'!Q:Q, 1)</f>
        <v>0</v>
      </c>
      <c r="W42" s="2">
        <f>COUNTIFS('OB History'!$B:$B,$A$42,'OB History'!R:R, 1)</f>
        <v>0</v>
      </c>
      <c r="X42" s="2">
        <f>COUNTIFS('OB History'!$B:$B,$A$42,'OB History'!S:S, 1)</f>
        <v>0</v>
      </c>
      <c r="Y42" s="2">
        <f>COUNTIFS('OB History'!$B:$B,$A$42,'OB History'!T:T, 1)</f>
        <v>1</v>
      </c>
      <c r="Z42" s="2">
        <f>COUNTIFS('OB History'!$B:$B,$A$42,'OB History'!U:U, 1)</f>
        <v>0</v>
      </c>
      <c r="AA42" s="2">
        <f>COUNTIFS('OB History'!$B:$B,$A$42,'OB History'!V:V, 1)</f>
        <v>0</v>
      </c>
      <c r="AB42" s="2">
        <f>COUNTIFS('OB History'!$B:$B,$A$42,'OB History'!W:W, 1)</f>
        <v>0</v>
      </c>
      <c r="AC42" s="2">
        <f>COUNTIFS('OB History'!$B:$B,$A$42,'OB History'!X:X, 1)</f>
        <v>1</v>
      </c>
      <c r="AD42" s="2">
        <f>COUNTIFS('OB History'!$B:$B,$A$42,'OB History'!Y:Y, 1)</f>
        <v>1</v>
      </c>
      <c r="AE42" s="2">
        <f>COUNTIFS('OB History'!$B:$B,$A$42,'OB History'!Z:Z, 1)</f>
        <v>1</v>
      </c>
    </row>
    <row r="43" spans="1:31" x14ac:dyDescent="0.25">
      <c r="A43" s="2" t="s">
        <v>6</v>
      </c>
      <c r="B43" s="2" t="s">
        <v>60</v>
      </c>
      <c r="C43" s="2" t="s">
        <v>79</v>
      </c>
      <c r="D43" s="34">
        <f>SUMIFS('OB History'!C:C,'OB History'!B:B,A43)</f>
        <v>464</v>
      </c>
      <c r="E43" s="4">
        <f>AVERAGEIFS('OB History'!C:C,'OB History'!B:B,A43)</f>
        <v>23.2</v>
      </c>
      <c r="F43" s="35">
        <f t="array" ref="F43">MAX(IF('OB History'!B:B=A43, 'OB History'!C:C))</f>
        <v>43</v>
      </c>
      <c r="G43" s="34">
        <f>COUNTIFS('OB History'!B:B,A43,'OB History'!D:D, 1)</f>
        <v>15</v>
      </c>
      <c r="H43" s="2">
        <f>COUNTIFS('OB History'!B:B,A43,'OB History'!D:D, 0)</f>
        <v>5</v>
      </c>
      <c r="I43" s="88">
        <f>LOOKUP(2, 1/('OB History'!$B:$B=A43), 'OB History'!$AD:$AD)</f>
        <v>0.75</v>
      </c>
      <c r="J43" s="34">
        <f>SUMIFS('OB History'!F:F,'OB History'!B:B,A43)</f>
        <v>49</v>
      </c>
      <c r="K43" s="2">
        <f>SUMIFS('OB History'!E:E,'OB History'!B:B,A43)-J43</f>
        <v>32</v>
      </c>
      <c r="L43" s="88">
        <f>LOOKUP(2, 1/('OB History'!$B:$B=A43), 'OB History'!$AB:$AB)</f>
        <v>0.61249999999999993</v>
      </c>
      <c r="M43" s="34">
        <f>SUMIFS('OB History'!H:H,'OB History'!B:B,'Old Bow v2'!A43)</f>
        <v>187</v>
      </c>
      <c r="N43" s="2">
        <f>SUMIFS('OB History'!G:G,'OB History'!B:B,'Old Bow v2'!A43)-M43</f>
        <v>156</v>
      </c>
      <c r="O43" s="88">
        <f>LOOKUP(2, 1/('OB History'!$B:$B=A43), 'OB History'!$AC:$AC)</f>
        <v>0.54949999999999999</v>
      </c>
      <c r="P43" s="2">
        <f>COUNTIFS('OB History'!$B:$B,$A$43,'OB History'!K:K, 1)</f>
        <v>1</v>
      </c>
      <c r="Q43" s="2">
        <f>COUNTIFS('OB History'!$B:$B,$A$43,'OB History'!L:L, 1)</f>
        <v>5</v>
      </c>
      <c r="R43" s="2">
        <f>COUNTIFS('OB History'!$B:$B,$A$43,'OB History'!M:M, 1)</f>
        <v>4</v>
      </c>
      <c r="S43" s="2">
        <f>COUNTIFS('OB History'!$B:$B,$A$43,'OB History'!N:N, 1)</f>
        <v>2</v>
      </c>
      <c r="T43" s="2">
        <f>COUNTIFS('OB History'!$B:$B,$A$43,'OB History'!O:O, 1)</f>
        <v>1</v>
      </c>
      <c r="U43" s="2">
        <f>COUNTIFS('OB History'!$B:$B,$A$43,'OB History'!P:P, 1)</f>
        <v>7</v>
      </c>
      <c r="V43" s="2">
        <f>COUNTIFS('OB History'!$B:$B,$A$43,'OB History'!Q:Q, 1)</f>
        <v>1</v>
      </c>
      <c r="W43" s="2">
        <f>COUNTIFS('OB History'!$B:$B,$A$43,'OB History'!R:R, 1)</f>
        <v>2</v>
      </c>
      <c r="X43" s="2">
        <f>COUNTIFS('OB History'!$B:$B,$A$43,'OB History'!S:S, 1)</f>
        <v>0</v>
      </c>
      <c r="Y43" s="2">
        <f>COUNTIFS('OB History'!$B:$B,$A$43,'OB History'!T:T, 1)</f>
        <v>2</v>
      </c>
      <c r="Z43" s="2">
        <f>COUNTIFS('OB History'!$B:$B,$A$43,'OB History'!U:U, 1)</f>
        <v>0</v>
      </c>
      <c r="AA43" s="2">
        <f>COUNTIFS('OB History'!$B:$B,$A$43,'OB History'!V:V, 1)</f>
        <v>1</v>
      </c>
      <c r="AB43" s="2">
        <f>COUNTIFS('OB History'!$B:$B,$A$43,'OB History'!W:W, 1)</f>
        <v>6</v>
      </c>
      <c r="AC43" s="2">
        <f>COUNTIFS('OB History'!$B:$B,$A$43,'OB History'!X:X, 1)</f>
        <v>7</v>
      </c>
      <c r="AD43" s="2">
        <f>COUNTIFS('OB History'!$B:$B,$A$43,'OB History'!Y:Y, 1)</f>
        <v>3</v>
      </c>
      <c r="AE43" s="2">
        <f>COUNTIFS('OB History'!$B:$B,$A$43,'OB History'!Z:Z, 1)</f>
        <v>7</v>
      </c>
    </row>
    <row r="44" spans="1:31" x14ac:dyDescent="0.25">
      <c r="A44" s="2" t="s">
        <v>18</v>
      </c>
      <c r="B44" s="2" t="s">
        <v>79</v>
      </c>
      <c r="C44" s="2" t="s">
        <v>79</v>
      </c>
      <c r="D44" s="34">
        <f>SUMIFS('OB History'!C:C,'OB History'!B:B,A44)</f>
        <v>504</v>
      </c>
      <c r="E44" s="4">
        <f>AVERAGEIFS('OB History'!C:C,'OB History'!B:B,A44)</f>
        <v>25.2</v>
      </c>
      <c r="F44" s="35">
        <f t="array" ref="F44">MAX(IF('OB History'!B:B=A44, 'OB History'!C:C))</f>
        <v>41</v>
      </c>
      <c r="G44" s="34">
        <f>COUNTIFS('OB History'!B:B,A44,'OB History'!D:D, 1)</f>
        <v>10</v>
      </c>
      <c r="H44" s="2">
        <f>COUNTIFS('OB History'!B:B,A44,'OB History'!D:D, 0)</f>
        <v>10</v>
      </c>
      <c r="I44" s="88">
        <f>LOOKUP(2, 1/('OB History'!$B:$B=A44), 'OB History'!$AD:$AD)</f>
        <v>0.5</v>
      </c>
      <c r="J44" s="34">
        <f>SUMIFS('OB History'!F:F,'OB History'!B:B,A44)</f>
        <v>42</v>
      </c>
      <c r="K44" s="2">
        <f>SUMIFS('OB History'!E:E,'OB History'!B:B,A44)-J44</f>
        <v>40</v>
      </c>
      <c r="L44" s="88">
        <f>LOOKUP(2, 1/('OB History'!$B:$B=A44), 'OB History'!$AB:$AB)</f>
        <v>0.51500000000000001</v>
      </c>
      <c r="M44" s="34">
        <f>SUMIFS('OB History'!H:H,'OB History'!B:B,'Old Bow v2'!A44)</f>
        <v>171</v>
      </c>
      <c r="N44" s="2">
        <f>SUMIFS('OB History'!G:G,'OB History'!B:B,'Old Bow v2'!A44)-M44</f>
        <v>166</v>
      </c>
      <c r="O44" s="88">
        <f>LOOKUP(2, 1/('OB History'!$B:$B=A44), 'OB History'!$AC:$AC)</f>
        <v>0.50900000000000001</v>
      </c>
      <c r="P44" s="2">
        <f>COUNTIFS('OB History'!$B:$B,$A$44,'OB History'!K:K, 1)</f>
        <v>2</v>
      </c>
      <c r="Q44" s="2">
        <f>COUNTIFS('OB History'!$B:$B,$A$44,'OB History'!L:L, 1)</f>
        <v>2</v>
      </c>
      <c r="R44" s="2">
        <f>COUNTIFS('OB History'!$B:$B,$A$44,'OB History'!M:M, 1)</f>
        <v>0</v>
      </c>
      <c r="S44" s="2">
        <f>COUNTIFS('OB History'!$B:$B,$A$44,'OB History'!N:N, 1)</f>
        <v>7</v>
      </c>
      <c r="T44" s="2">
        <f>COUNTIFS('OB History'!$B:$B,$A$44,'OB History'!O:O, 1)</f>
        <v>1</v>
      </c>
      <c r="U44" s="2">
        <f>COUNTIFS('OB History'!$B:$B,$A$44,'OB History'!P:P, 1)</f>
        <v>5</v>
      </c>
      <c r="V44" s="2">
        <f>COUNTIFS('OB History'!$B:$B,$A$44,'OB History'!Q:Q, 1)</f>
        <v>2</v>
      </c>
      <c r="W44" s="2">
        <f>COUNTIFS('OB History'!$B:$B,$A$44,'OB History'!R:R, 1)</f>
        <v>2</v>
      </c>
      <c r="X44" s="2">
        <f>COUNTIFS('OB History'!$B:$B,$A$44,'OB History'!S:S, 1)</f>
        <v>0</v>
      </c>
      <c r="Y44" s="2">
        <f>COUNTIFS('OB History'!$B:$B,$A$44,'OB History'!T:T, 1)</f>
        <v>1</v>
      </c>
      <c r="Z44" s="2">
        <f>COUNTIFS('OB History'!$B:$B,$A$44,'OB History'!U:U, 1)</f>
        <v>1</v>
      </c>
      <c r="AA44" s="2">
        <f>COUNTIFS('OB History'!$B:$B,$A$44,'OB History'!V:V, 1)</f>
        <v>0</v>
      </c>
      <c r="AB44" s="2">
        <f>COUNTIFS('OB History'!$B:$B,$A$44,'OB History'!W:W, 1)</f>
        <v>5</v>
      </c>
      <c r="AC44" s="2">
        <f>COUNTIFS('OB History'!$B:$B,$A$44,'OB History'!X:X, 1)</f>
        <v>6</v>
      </c>
      <c r="AD44" s="2">
        <f>COUNTIFS('OB History'!$B:$B,$A$44,'OB History'!Y:Y, 1)</f>
        <v>2</v>
      </c>
      <c r="AE44" s="2">
        <f>COUNTIFS('OB History'!$B:$B,$A$44,'OB History'!Z:Z, 1)</f>
        <v>5</v>
      </c>
    </row>
    <row r="45" spans="1:31" x14ac:dyDescent="0.25">
      <c r="A45" s="2" t="s">
        <v>113</v>
      </c>
      <c r="B45" s="2" t="s">
        <v>79</v>
      </c>
      <c r="C45" s="2" t="s">
        <v>79</v>
      </c>
      <c r="D45" s="34">
        <f>SUMIFS('OB History'!C:C,'OB History'!B:B,A45)</f>
        <v>41</v>
      </c>
      <c r="E45" s="4">
        <f>AVERAGEIFS('OB History'!C:C,'OB History'!B:B,A45)</f>
        <v>13.666666666666666</v>
      </c>
      <c r="F45" s="35">
        <f t="array" ref="F45">MAX(IF('OB History'!B:B=A45, 'OB History'!C:C))</f>
        <v>19</v>
      </c>
      <c r="G45" s="34">
        <f>COUNTIFS('OB History'!B:B,A45,'OB History'!D:D, 1)</f>
        <v>2</v>
      </c>
      <c r="H45" s="2">
        <f>COUNTIFS('OB History'!B:B,A45,'OB History'!D:D, 0)</f>
        <v>1</v>
      </c>
      <c r="I45" s="88">
        <f>LOOKUP(2, 1/('OB History'!$B:$B=A45), 'OB History'!$AD:$AD)</f>
        <v>0.66666666666666663</v>
      </c>
      <c r="J45" s="34">
        <f>SUMIFS('OB History'!F:F,'OB History'!B:B,A45)</f>
        <v>6</v>
      </c>
      <c r="K45" s="2">
        <f>SUMIFS('OB History'!E:E,'OB History'!B:B,A45)-J45</f>
        <v>7</v>
      </c>
      <c r="L45" s="88">
        <f>LOOKUP(2, 1/('OB History'!$B:$B=A45), 'OB History'!$AB:$AB)</f>
        <v>0.39999999999999997</v>
      </c>
      <c r="M45" s="34">
        <f>SUMIFS('OB History'!H:H,'OB History'!B:B,'Old Bow v2'!A45)</f>
        <v>25</v>
      </c>
      <c r="N45" s="2">
        <f>SUMIFS('OB History'!G:G,'OB History'!B:B,'Old Bow v2'!A45)-M45</f>
        <v>28</v>
      </c>
      <c r="O45" s="88">
        <f>LOOKUP(2, 1/('OB History'!$B:$B=A45), 'OB History'!$AC:$AC)</f>
        <v>0.42333333333333328</v>
      </c>
      <c r="P45" s="2">
        <f>COUNTIFS('OB History'!$B:$B,$A$45,'OB History'!K:K, 1)</f>
        <v>0</v>
      </c>
      <c r="Q45" s="2">
        <f>COUNTIFS('OB History'!$B:$B,$A$45,'OB History'!L:L, 1)</f>
        <v>1</v>
      </c>
      <c r="R45" s="2">
        <f>COUNTIFS('OB History'!$B:$B,$A$45,'OB History'!M:M, 1)</f>
        <v>1</v>
      </c>
      <c r="S45" s="2">
        <f>COUNTIFS('OB History'!$B:$B,$A$45,'OB History'!N:N, 1)</f>
        <v>0</v>
      </c>
      <c r="T45" s="2">
        <f>COUNTIFS('OB History'!$B:$B,$A$45,'OB History'!O:O, 1)</f>
        <v>0</v>
      </c>
      <c r="U45" s="2">
        <f>COUNTIFS('OB History'!$B:$B,$A$45,'OB History'!P:P, 1)</f>
        <v>0</v>
      </c>
      <c r="V45" s="2">
        <f>COUNTIFS('OB History'!$B:$B,$A$45,'OB History'!Q:Q, 1)</f>
        <v>0</v>
      </c>
      <c r="W45" s="2">
        <f>COUNTIFS('OB History'!$B:$B,$A$45,'OB History'!R:R, 1)</f>
        <v>1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0</v>
      </c>
      <c r="AB45" s="2">
        <f>COUNTIFS('OB History'!$B:$B,$A$45,'OB History'!W:W, 1)</f>
        <v>0</v>
      </c>
      <c r="AC45" s="2">
        <f>COUNTIFS('OB History'!$B:$B,$A$45,'OB History'!X:X, 1)</f>
        <v>2</v>
      </c>
      <c r="AD45" s="2">
        <f>COUNTIFS('OB History'!$B:$B,$A$45,'OB History'!Y:Y, 1)</f>
        <v>1</v>
      </c>
      <c r="AE45" s="2">
        <f>COUNTIFS('OB History'!$B:$B,$A$45,'OB History'!Z:Z, 1)</f>
        <v>0</v>
      </c>
    </row>
    <row r="46" spans="1:31" x14ac:dyDescent="0.25">
      <c r="A46" s="2" t="s">
        <v>14</v>
      </c>
      <c r="B46" s="6" t="s">
        <v>124</v>
      </c>
      <c r="C46" s="6" t="s">
        <v>124</v>
      </c>
      <c r="D46" s="34">
        <f>SUMIFS('OB History'!C:C,'OB History'!B:B,A46)</f>
        <v>767</v>
      </c>
      <c r="E46" s="4">
        <f>AVERAGEIFS('OB History'!C:C,'OB History'!B:B,A46)</f>
        <v>25.566666666666666</v>
      </c>
      <c r="F46" s="35">
        <f t="array" ref="F46">MAX(IF('OB History'!B:B=A46, 'OB History'!C:C))</f>
        <v>56</v>
      </c>
      <c r="G46" s="34">
        <f>COUNTIFS('OB History'!B:B,A46,'OB History'!D:D, 1)</f>
        <v>17</v>
      </c>
      <c r="H46" s="2">
        <f>COUNTIFS('OB History'!B:B,A46,'OB History'!D:D, 0)</f>
        <v>13</v>
      </c>
      <c r="I46" s="88">
        <f>LOOKUP(2, 1/('OB History'!$B:$B=A46), 'OB History'!$AD:$AD)</f>
        <v>0.56666666666666665</v>
      </c>
      <c r="J46" s="34">
        <f>SUMIFS('OB History'!F:F,'OB History'!B:B,A46)</f>
        <v>65</v>
      </c>
      <c r="K46" s="2">
        <f>SUMIFS('OB History'!E:E,'OB History'!B:B,A46)-J46</f>
        <v>58</v>
      </c>
      <c r="L46" s="88">
        <f>LOOKUP(2, 1/('OB History'!$B:$B=A46), 'OB History'!$AB:$AB)</f>
        <v>0.54166666666666663</v>
      </c>
      <c r="M46" s="34">
        <f>SUMIFS('OB History'!H:H,'OB History'!B:B,'Old Bow v2'!A46)</f>
        <v>261</v>
      </c>
      <c r="N46" s="2">
        <f>SUMIFS('OB History'!G:G,'OB History'!B:B,'Old Bow v2'!A46)-M46</f>
        <v>253</v>
      </c>
      <c r="O46" s="88">
        <f>LOOKUP(2, 1/('OB History'!$B:$B=A46), 'OB History'!$AC:$AC)</f>
        <v>0.51900000000000002</v>
      </c>
      <c r="P46" s="2">
        <f>COUNTIFS('OB History'!$B:$B,$A$46,'OB History'!K:K, 1)</f>
        <v>3</v>
      </c>
      <c r="Q46" s="2">
        <f>COUNTIFS('OB History'!$B:$B,$A$46,'OB History'!L:L, 1)</f>
        <v>7</v>
      </c>
      <c r="R46" s="2">
        <f>COUNTIFS('OB History'!$B:$B,$A$46,'OB History'!M:M, 1)</f>
        <v>3</v>
      </c>
      <c r="S46" s="2">
        <f>COUNTIFS('OB History'!$B:$B,$A$46,'OB History'!N:N, 1)</f>
        <v>7</v>
      </c>
      <c r="T46" s="2">
        <f>COUNTIFS('OB History'!$B:$B,$A$46,'OB History'!O:O, 1)</f>
        <v>2</v>
      </c>
      <c r="U46" s="2">
        <f>COUNTIFS('OB History'!$B:$B,$A$46,'OB History'!P:P, 1)</f>
        <v>6</v>
      </c>
      <c r="V46" s="2">
        <f>COUNTIFS('OB History'!$B:$B,$A$46,'OB History'!Q:Q, 1)</f>
        <v>0</v>
      </c>
      <c r="W46" s="2">
        <f>COUNTIFS('OB History'!$B:$B,$A$46,'OB History'!R:R, 1)</f>
        <v>1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3</v>
      </c>
      <c r="AB46" s="2">
        <f>COUNTIFS('OB History'!$B:$B,$A$46,'OB History'!W:W, 1)</f>
        <v>6</v>
      </c>
      <c r="AC46" s="2">
        <f>COUNTIFS('OB History'!$B:$B,$A$46,'OB History'!X:X, 1)</f>
        <v>16</v>
      </c>
      <c r="AD46" s="2">
        <f>COUNTIFS('OB History'!$B:$B,$A$46,'OB History'!Y:Y, 1)</f>
        <v>3</v>
      </c>
      <c r="AE46" s="2">
        <f>COUNTIFS('OB History'!$B:$B,$A$46,'OB History'!Z:Z, 1)</f>
        <v>8</v>
      </c>
    </row>
    <row r="47" spans="1:31" x14ac:dyDescent="0.25">
      <c r="A47" s="2" t="s">
        <v>70</v>
      </c>
      <c r="B47" s="6" t="s">
        <v>79</v>
      </c>
      <c r="C47" s="6" t="s">
        <v>79</v>
      </c>
      <c r="D47" s="34">
        <f>SUMIFS('OB History'!C:C,'OB History'!B:B,A47)</f>
        <v>46</v>
      </c>
      <c r="E47" s="4">
        <f>AVERAGEIFS('OB History'!C:C,'OB History'!B:B,A47)</f>
        <v>23</v>
      </c>
      <c r="F47" s="35">
        <f t="array" ref="F47">MAX(IF('OB History'!B:B=A47, 'OB History'!C:C))</f>
        <v>25</v>
      </c>
      <c r="G47" s="34">
        <f>COUNTIFS('OB History'!B:B,A47,'OB History'!D:D, 1)</f>
        <v>1</v>
      </c>
      <c r="H47" s="2">
        <f>COUNTIFS('OB History'!B:B,A47,'OB History'!D:D, 0)</f>
        <v>1</v>
      </c>
      <c r="I47" s="88">
        <f>LOOKUP(2, 1/('OB History'!$B:$B=A47), 'OB History'!$AD:$AD)</f>
        <v>0.5</v>
      </c>
      <c r="J47" s="34">
        <f>SUMIFS('OB History'!F:F,'OB History'!B:B,A47)</f>
        <v>5</v>
      </c>
      <c r="K47" s="2">
        <f>SUMIFS('OB History'!E:E,'OB History'!B:B,A47)-J47</f>
        <v>5</v>
      </c>
      <c r="L47" s="88">
        <f>LOOKUP(2, 1/('OB History'!$B:$B=A47), 'OB History'!$AB:$AB)</f>
        <v>0.5</v>
      </c>
      <c r="M47" s="34">
        <f>SUMIFS('OB History'!H:H,'OB History'!B:B,'Old Bow v2'!A47)</f>
        <v>20</v>
      </c>
      <c r="N47" s="2">
        <f>SUMIFS('OB History'!G:G,'OB History'!B:B,'Old Bow v2'!A47)-M47</f>
        <v>19</v>
      </c>
      <c r="O47" s="88">
        <f>LOOKUP(2, 1/('OB History'!$B:$B=A47), 'OB History'!$AC:$AC)</f>
        <v>0.52</v>
      </c>
      <c r="P47" s="2">
        <f>COUNTIFS('OB History'!$B:$B,$A$47,'OB History'!K:K, 1)</f>
        <v>0</v>
      </c>
      <c r="Q47" s="2">
        <f>COUNTIFS('OB History'!$B:$B,$A$47,'OB History'!L:L, 1)</f>
        <v>0</v>
      </c>
      <c r="R47" s="2">
        <f>COUNTIFS('OB History'!$B:$B,$A$47,'OB History'!M:M, 1)</f>
        <v>0</v>
      </c>
      <c r="S47" s="2">
        <f>COUNTIFS('OB History'!$B:$B,$A$47,'OB History'!N:N, 1)</f>
        <v>2</v>
      </c>
      <c r="T47" s="2">
        <f>COUNTIFS('OB History'!$B:$B,$A$47,'OB History'!O:O, 1)</f>
        <v>0</v>
      </c>
      <c r="U47" s="2">
        <f>COUNTIFS('OB History'!$B:$B,$A$47,'OB History'!P:P, 1)</f>
        <v>0</v>
      </c>
      <c r="V47" s="2">
        <f>COUNTIFS('OB History'!$B:$B,$A$47,'OB History'!Q:Q, 1)</f>
        <v>0</v>
      </c>
      <c r="W47" s="2">
        <f>COUNTIFS('OB History'!$B:$B,$A$47,'OB History'!R:R, 1)</f>
        <v>1</v>
      </c>
      <c r="X47" s="2">
        <f>COUNTIFS('OB History'!$B:$B,$A$47,'OB History'!S:S, 1)</f>
        <v>0</v>
      </c>
      <c r="Y47" s="2">
        <f>COUNTIFS('OB History'!$B:$B,$A$47,'OB History'!T:T, 1)</f>
        <v>0</v>
      </c>
      <c r="Z47" s="2">
        <f>COUNTIFS('OB History'!$B:$B,$A$47,'OB History'!U:U, 1)</f>
        <v>0</v>
      </c>
      <c r="AA47" s="2">
        <f>COUNTIFS('OB History'!$B:$B,$A$47,'OB History'!V:V, 1)</f>
        <v>1</v>
      </c>
      <c r="AB47" s="2">
        <f>COUNTIFS('OB History'!$B:$B,$A$47,'OB History'!W:W, 1)</f>
        <v>0</v>
      </c>
      <c r="AC47" s="2">
        <f>COUNTIFS('OB History'!$B:$B,$A$47,'OB History'!X:X, 1)</f>
        <v>1</v>
      </c>
      <c r="AD47" s="2">
        <f>COUNTIFS('OB History'!$B:$B,$A$47,'OB History'!Y:Y, 1)</f>
        <v>0</v>
      </c>
      <c r="AE47" s="2">
        <f>COUNTIFS('OB History'!$B:$B,$A$47,'OB History'!Z:Z, 1)</f>
        <v>0</v>
      </c>
    </row>
    <row r="48" spans="1:31" x14ac:dyDescent="0.25">
      <c r="A48" s="2" t="s">
        <v>4</v>
      </c>
      <c r="B48" s="2" t="s">
        <v>79</v>
      </c>
      <c r="C48" s="2" t="s">
        <v>79</v>
      </c>
      <c r="D48" s="34">
        <f>SUMIFS('OB History'!C:C,'OB History'!B:B,A48)</f>
        <v>118</v>
      </c>
      <c r="E48" s="4">
        <f>AVERAGEIFS('OB History'!C:C,'OB History'!B:B,A48)</f>
        <v>19.666666666666668</v>
      </c>
      <c r="F48" s="35">
        <f t="array" ref="F48">MAX(IF('OB History'!B:B=A48, 'OB History'!C:C))</f>
        <v>31</v>
      </c>
      <c r="G48" s="34">
        <f>COUNTIFS('OB History'!B:B,A48,'OB History'!D:D, 1)</f>
        <v>4</v>
      </c>
      <c r="H48" s="2">
        <f>COUNTIFS('OB History'!B:B,A48,'OB History'!D:D, 0)</f>
        <v>2</v>
      </c>
      <c r="I48" s="88">
        <f>LOOKUP(2, 1/('OB History'!$B:$B=A48), 'OB History'!$AD:$AD)</f>
        <v>0.66666666666666663</v>
      </c>
      <c r="J48" s="34">
        <f>SUMIFS('OB History'!F:F,'OB History'!B:B,A48)</f>
        <v>12</v>
      </c>
      <c r="K48" s="2">
        <f>SUMIFS('OB History'!E:E,'OB History'!B:B,A48)-J48</f>
        <v>11</v>
      </c>
      <c r="L48" s="88">
        <f>LOOKUP(2, 1/('OB History'!$B:$B=A48), 'OB History'!$AB:$AB)</f>
        <v>0.4916666666666667</v>
      </c>
      <c r="M48" s="34">
        <f>SUMIFS('OB History'!H:H,'OB History'!B:B,'Old Bow v2'!A48)</f>
        <v>46</v>
      </c>
      <c r="N48" s="2">
        <f>SUMIFS('OB History'!G:G,'OB History'!B:B,'Old Bow v2'!A48)-M48</f>
        <v>46</v>
      </c>
      <c r="O48" s="88">
        <f>LOOKUP(2, 1/('OB History'!$B:$B=A48), 'OB History'!$AC:$AC)</f>
        <v>0.47666666666666674</v>
      </c>
      <c r="P48" s="2">
        <f>COUNTIFS('OB History'!$B:$B,$A$48,'OB History'!K:K, 1)</f>
        <v>0</v>
      </c>
      <c r="Q48" s="2">
        <f>COUNTIFS('OB History'!$B:$B,$A$48,'OB History'!L:L, 1)</f>
        <v>3</v>
      </c>
      <c r="R48" s="2">
        <f>COUNTIFS('OB History'!$B:$B,$A$48,'OB History'!M:M, 1)</f>
        <v>2</v>
      </c>
      <c r="S48" s="2">
        <f>COUNTIFS('OB History'!$B:$B,$A$48,'OB History'!N:N, 1)</f>
        <v>0</v>
      </c>
      <c r="T48" s="2">
        <f>COUNTIFS('OB History'!$B:$B,$A$48,'OB History'!O:O, 1)</f>
        <v>1</v>
      </c>
      <c r="U48" s="2">
        <f>COUNTIFS('OB History'!$B:$B,$A$48,'OB History'!P:P, 1)</f>
        <v>2</v>
      </c>
      <c r="V48" s="2">
        <f>COUNTIFS('OB History'!$B:$B,$A$48,'OB History'!Q:Q, 1)</f>
        <v>0</v>
      </c>
      <c r="W48" s="2">
        <f>COUNTIFS('OB History'!$B:$B,$A$48,'OB History'!R:R, 1)</f>
        <v>0</v>
      </c>
      <c r="X48" s="2">
        <f>COUNTIFS('OB History'!$B:$B,$A$48,'OB History'!S:S, 1)</f>
        <v>0</v>
      </c>
      <c r="Y48" s="2">
        <f>COUNTIFS('OB History'!$B:$B,$A$48,'OB History'!T:T, 1)</f>
        <v>0</v>
      </c>
      <c r="Z48" s="2">
        <f>COUNTIFS('OB History'!$B:$B,$A$48,'OB History'!U:U, 1)</f>
        <v>0</v>
      </c>
      <c r="AA48" s="2">
        <f>COUNTIFS('OB History'!$B:$B,$A$48,'OB History'!V:V, 1)</f>
        <v>0</v>
      </c>
      <c r="AB48" s="2">
        <f>COUNTIFS('OB History'!$B:$B,$A$48,'OB History'!W:W, 1)</f>
        <v>0</v>
      </c>
      <c r="AC48" s="2">
        <f>COUNTIFS('OB History'!$B:$B,$A$48,'OB History'!X:X, 1)</f>
        <v>1</v>
      </c>
      <c r="AD48" s="2">
        <f>COUNTIFS('OB History'!$B:$B,$A$48,'OB History'!Y:Y, 1)</f>
        <v>2</v>
      </c>
      <c r="AE48" s="2">
        <f>COUNTIFS('OB History'!$B:$B,$A$48,'OB History'!Z:Z, 1)</f>
        <v>1</v>
      </c>
    </row>
    <row r="49" spans="1:31" x14ac:dyDescent="0.25">
      <c r="A49" s="2" t="s">
        <v>55</v>
      </c>
      <c r="B49" s="2" t="s">
        <v>79</v>
      </c>
      <c r="C49" s="2" t="s">
        <v>79</v>
      </c>
      <c r="D49" s="34">
        <f>SUMIFS('OB History'!C:C,'OB History'!B:B,A49)</f>
        <v>107</v>
      </c>
      <c r="E49" s="4">
        <f>AVERAGEIFS('OB History'!C:C,'OB History'!B:B,A49)</f>
        <v>8.9166666666666661</v>
      </c>
      <c r="F49" s="35">
        <f t="array" ref="F49">MAX(IF('OB History'!B:B=A49, 'OB History'!C:C))</f>
        <v>18</v>
      </c>
      <c r="G49" s="34">
        <f>COUNTIFS('OB History'!B:B,A49,'OB History'!D:D, 1)</f>
        <v>7</v>
      </c>
      <c r="H49" s="2">
        <f>COUNTIFS('OB History'!B:B,A49,'OB History'!D:D, 0)</f>
        <v>5</v>
      </c>
      <c r="I49" s="88">
        <f>LOOKUP(2, 1/('OB History'!$B:$B=A49), 'OB History'!$AD:$AD)</f>
        <v>0.58333333333333337</v>
      </c>
      <c r="J49" s="34">
        <f>SUMIFS('OB History'!F:F,'OB History'!B:B,A49)</f>
        <v>27</v>
      </c>
      <c r="K49" s="2">
        <f>SUMIFS('OB History'!E:E,'OB History'!B:B,A49)-J49</f>
        <v>23</v>
      </c>
      <c r="L49" s="88">
        <f>LOOKUP(2, 1/('OB History'!$B:$B=A49), 'OB History'!$AB:$AB)</f>
        <v>0.55000000000000004</v>
      </c>
      <c r="M49" s="34">
        <f>SUMIFS('OB History'!H:H,'OB History'!B:B,'Old Bow v2'!A49)</f>
        <v>105</v>
      </c>
      <c r="N49" s="2">
        <f>SUMIFS('OB History'!G:G,'OB History'!B:B,'Old Bow v2'!A49)-M49</f>
        <v>93</v>
      </c>
      <c r="O49" s="88">
        <f>LOOKUP(2, 1/('OB History'!$B:$B=A49), 'OB History'!$AC:$AC)</f>
        <v>0.53333333333333344</v>
      </c>
      <c r="P49" s="2">
        <f>COUNTIFS('OB History'!$B:$B,$A$49,'OB History'!K:K, 1)</f>
        <v>2</v>
      </c>
      <c r="Q49" s="2">
        <f>COUNTIFS('OB History'!$B:$B,$A$49,'OB History'!L:L, 1)</f>
        <v>1</v>
      </c>
      <c r="R49" s="2">
        <f>COUNTIFS('OB History'!$B:$B,$A$49,'OB History'!M:M, 1)</f>
        <v>1</v>
      </c>
      <c r="S49" s="2">
        <f>COUNTIFS('OB History'!$B:$B,$A$49,'OB History'!N:N, 1)</f>
        <v>5</v>
      </c>
      <c r="T49" s="2">
        <f>COUNTIFS('OB History'!$B:$B,$A$49,'OB History'!O:O, 1)</f>
        <v>1</v>
      </c>
      <c r="U49" s="2">
        <f>COUNTIFS('OB History'!$B:$B,$A$49,'OB History'!P:P, 1)</f>
        <v>1</v>
      </c>
      <c r="V49" s="2">
        <f>COUNTIFS('OB History'!$B:$B,$A$49,'OB History'!Q:Q, 1)</f>
        <v>1</v>
      </c>
      <c r="W49" s="2">
        <f>COUNTIFS('OB History'!$B:$B,$A$49,'OB History'!R:R, 1)</f>
        <v>0</v>
      </c>
      <c r="X49" s="2">
        <f>COUNTIFS('OB History'!$B:$B,$A$49,'OB History'!S:S, 1)</f>
        <v>0</v>
      </c>
      <c r="Y49" s="2">
        <f>COUNTIFS('OB History'!$B:$B,$A$49,'OB History'!T:T, 1)</f>
        <v>0</v>
      </c>
      <c r="Z49" s="2">
        <f>COUNTIFS('OB History'!$B:$B,$A$49,'OB History'!U:U, 1)</f>
        <v>1</v>
      </c>
      <c r="AA49" s="2">
        <f>COUNTIFS('OB History'!$B:$B,$A$49,'OB History'!V:V, 1)</f>
        <v>0</v>
      </c>
      <c r="AB49" s="2">
        <f>COUNTIFS('OB History'!$B:$B,$A$49,'OB History'!W:W, 1)</f>
        <v>3</v>
      </c>
      <c r="AC49" s="2">
        <f>COUNTIFS('OB History'!$B:$B,$A$49,'OB History'!X:X, 1)</f>
        <v>7</v>
      </c>
      <c r="AD49" s="2">
        <f>COUNTIFS('OB History'!$B:$B,$A$49,'OB History'!Y:Y, 1)</f>
        <v>2</v>
      </c>
      <c r="AE49" s="2">
        <f>COUNTIFS('OB History'!$B:$B,$A$49,'OB History'!Z:Z, 1)</f>
        <v>2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574"/>
  <sheetViews>
    <sheetView topLeftCell="C1" workbookViewId="0">
      <pane ySplit="1" topLeftCell="A542" activePane="bottomLeft" state="frozen"/>
      <selection pane="bottomLeft" activeCell="AA558" sqref="AA558:AD57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158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21</v>
      </c>
      <c r="AB529" s="86">
        <f>AVERAGEIFS($I$2:I529, $B$2:B529, B529)</f>
        <v>1</v>
      </c>
      <c r="AC529" s="86">
        <f>AVERAGEIFS($J$2:J529, $B$2:B529, B529)</f>
        <v>0.69</v>
      </c>
      <c r="AD529" s="86">
        <f>AVERAGEIFS($D$2:D529, $B$2:B529, B529)</f>
        <v>1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159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</sheetData>
  <autoFilter ref="A1:AD542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E36"/>
  <sheetViews>
    <sheetView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G18" sqref="G1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 S2'!C:C,'OB History S2'!B:B,A2)</f>
        <v>16</v>
      </c>
      <c r="E2" s="4">
        <f>AVERAGEIFS('OB History S2'!C:C,'OB History S2'!B:B,A2)</f>
        <v>8</v>
      </c>
      <c r="F2" s="35">
        <f t="array" ref="F2">MAX(IF('OB History S2'!B:B=A2, 'OB History S2'!C:C))</f>
        <v>8</v>
      </c>
      <c r="G2" s="34">
        <f>COUNTIFS('OB History S2'!B:B,A2,'OB History S2'!D:D, 1)</f>
        <v>2</v>
      </c>
      <c r="H2" s="2">
        <f>COUNTIFS('OB History S2'!B:B,A2,'OB History S2'!D:D, 0)</f>
        <v>0</v>
      </c>
      <c r="I2" s="88">
        <f>LOOKUP(2, 1/('OB History S2'!$B:$B=A2), 'OB History S2'!$AD:$AD)</f>
        <v>1</v>
      </c>
      <c r="J2" s="34">
        <f>SUMIFS('OB History S2'!F:F,'OB History S2'!B:B,A2)</f>
        <v>6</v>
      </c>
      <c r="K2" s="2">
        <f>SUMIFS('OB History S2'!E:E,'OB History S2'!B:B,A2)-J2</f>
        <v>2</v>
      </c>
      <c r="L2" s="88">
        <f>LOOKUP(2, 1/('OB History S2'!$B:$B=A2), 'OB History S2'!$AB:$AB)</f>
        <v>0.75</v>
      </c>
      <c r="M2" s="34">
        <f>SUMIFS('OB History S2'!H:H,'OB History S2'!B:B,A2)</f>
        <v>20</v>
      </c>
      <c r="N2" s="2">
        <f>SUMIFS('OB History S2'!G:G,'OB History S2'!B:B,A2)-M2</f>
        <v>9</v>
      </c>
      <c r="O2" s="88">
        <f>LOOKUP(2, 1/('OB History S2'!$B:$B=A2), 'OB History S2'!$AC:$AC)</f>
        <v>0.68500000000000005</v>
      </c>
      <c r="P2" s="2">
        <f>COUNTIFS('OB History S2'!$B:$B,$A$2,'OB History S2'!K:K, 1)</f>
        <v>0</v>
      </c>
      <c r="Q2" s="2">
        <f>COUNTIFS('OB History S2'!$B:$B,$A$2,'OB History S2'!L:L, 1)</f>
        <v>0</v>
      </c>
      <c r="R2" s="2">
        <f>COUNTIFS('OB History S2'!$B:$B,$A$2,'OB History S2'!M:M, 1)</f>
        <v>0</v>
      </c>
      <c r="S2" s="2">
        <f>COUNTIFS('OB History S2'!$B:$B,$A$2,'OB History S2'!N:N, 1)</f>
        <v>1</v>
      </c>
      <c r="T2" s="2">
        <f>COUNTIFS('OB History S2'!$B:$B,$A$2,'OB History S2'!O:O, 1)</f>
        <v>0</v>
      </c>
      <c r="U2" s="2">
        <f>COUNTIFS('OB History S2'!$B:$B,$A$2,'OB History S2'!P:P, 1)</f>
        <v>1</v>
      </c>
      <c r="V2" s="2">
        <f>COUNTIFS('OB History S2'!$B:$B,$A$2,'OB History S2'!Q:Q, 1)</f>
        <v>0</v>
      </c>
      <c r="W2" s="2">
        <f>COUNTIFS('OB History S2'!$B:$B,$A$2,'OB History S2'!R:R, 1)</f>
        <v>0</v>
      </c>
      <c r="X2" s="2">
        <f>COUNTIFS('OB History S2'!$B:$B,$A$2,'OB History S2'!S:S, 1)</f>
        <v>0</v>
      </c>
      <c r="Y2" s="2">
        <f>COUNTIFS('OB History S2'!$B:$B,$A$2,'OB History S2'!T:T, 1)</f>
        <v>0</v>
      </c>
      <c r="Z2" s="2">
        <f>COUNTIFS('OB History S2'!$B:$B,$A$2,'OB History S2'!U:U, 1)</f>
        <v>1</v>
      </c>
      <c r="AA2" s="2">
        <f>COUNTIFS('OB History S2'!$B:$B,$A$2,'OB History S2'!V:V, 1)</f>
        <v>0</v>
      </c>
      <c r="AB2" s="2">
        <f>COUNTIFS('OB History S2'!$B:$B,$A$2,'OB History S2'!W:W, 1)</f>
        <v>1</v>
      </c>
      <c r="AC2" s="2">
        <f>COUNTIFS('OB History S2'!$B:$B,$A$2,'OB History S2'!X:X, 1)</f>
        <v>1</v>
      </c>
      <c r="AD2" s="2">
        <f>COUNTIFS('OB History S2'!$B:$B,$A$2,'OB History S2'!Y:Y, 1)</f>
        <v>1</v>
      </c>
      <c r="AE2" s="2">
        <f>COUNTIFS('OB History S2'!$B:$B,$A$2,'OB History S2'!Z:Z, 1)</f>
        <v>0</v>
      </c>
    </row>
    <row r="3" spans="1:31" x14ac:dyDescent="0.25">
      <c r="A3" s="2" t="s">
        <v>141</v>
      </c>
      <c r="B3" s="3" t="s">
        <v>79</v>
      </c>
      <c r="C3" s="3" t="s">
        <v>79</v>
      </c>
      <c r="D3" s="34">
        <f>SUMIFS('OB History S2'!C:C,'OB History S2'!B:B,A3)</f>
        <v>2</v>
      </c>
      <c r="E3" s="4">
        <f>AVERAGEIFS('OB History S2'!C:C,'OB History S2'!B:B,A3)</f>
        <v>2</v>
      </c>
      <c r="F3" s="35">
        <f t="array" ref="F3">MAX(IF('OB History S2'!B:B=A3, 'OB History S2'!C:C))</f>
        <v>2</v>
      </c>
      <c r="G3" s="34">
        <f>COUNTIFS('OB History S2'!B:B,A3,'OB History S2'!D:D, 1)</f>
        <v>0</v>
      </c>
      <c r="H3" s="2">
        <f>COUNTIFS('OB History S2'!B:B,A3,'OB History S2'!D:D, 0)</f>
        <v>1</v>
      </c>
      <c r="I3" s="88">
        <f>LOOKUP(2, 1/('OB History S2'!$B:$B=A3), 'OB History S2'!$AD:$AD)</f>
        <v>0</v>
      </c>
      <c r="J3" s="34">
        <f>SUMIFS('OB History S2'!F:F,'OB History S2'!B:B,A3)</f>
        <v>0</v>
      </c>
      <c r="K3" s="2">
        <f>SUMIFS('OB History S2'!E:E,'OB History S2'!B:B,A3)-J3</f>
        <v>3</v>
      </c>
      <c r="L3" s="88">
        <f>LOOKUP(2, 1/('OB History S2'!$B:$B=A3), 'OB History S2'!$AB:$AB)</f>
        <v>0</v>
      </c>
      <c r="M3" s="34">
        <f>SUMIFS('OB History S2'!H:H,'OB History S2'!B:B,A3)</f>
        <v>2</v>
      </c>
      <c r="N3" s="2">
        <f>SUMIFS('OB History S2'!G:G,'OB History S2'!B:B,A3)-M3</f>
        <v>9</v>
      </c>
      <c r="O3" s="88">
        <f>LOOKUP(2, 1/('OB History S2'!$B:$B=A3), 'OB History S2'!$AC:$AC)</f>
        <v>0.18</v>
      </c>
      <c r="P3" s="2">
        <f>COUNTIFS('OB History S2'!$B:$B,$A$3,'OB History S2'!K:K, 1)</f>
        <v>0</v>
      </c>
      <c r="Q3" s="2">
        <f>COUNTIFS('OB History S2'!$B:$B,$A$3,'OB History S2'!L:L, 1)</f>
        <v>0</v>
      </c>
      <c r="R3" s="2">
        <f>COUNTIFS('OB History S2'!$B:$B,$A$3,'OB History S2'!M:M, 1)</f>
        <v>0</v>
      </c>
      <c r="S3" s="2">
        <f>COUNTIFS('OB History S2'!$B:$B,$A$3,'OB History S2'!N:N, 1)</f>
        <v>0</v>
      </c>
      <c r="T3" s="2">
        <f>COUNTIFS('OB History S2'!$B:$B,$A$3,'OB History S2'!O:O, 1)</f>
        <v>0</v>
      </c>
      <c r="U3" s="2">
        <f>COUNTIFS('OB History S2'!$B:$B,$A$3,'OB History S2'!P:P, 1)</f>
        <v>0</v>
      </c>
      <c r="V3" s="2">
        <f>COUNTIFS('OB History S2'!$B:$B,$A$3,'OB History S2'!Q:Q, 1)</f>
        <v>0</v>
      </c>
      <c r="W3" s="2">
        <f>COUNTIFS('OB History S2'!$B:$B,$A$3,'OB History S2'!R:R, 1)</f>
        <v>0</v>
      </c>
      <c r="X3" s="2">
        <f>COUNTIFS('OB History S2'!$B:$B,$A$3,'OB History S2'!S:S, 1)</f>
        <v>0</v>
      </c>
      <c r="Y3" s="2">
        <f>COUNTIFS('OB History S2'!$B:$B,$A$3,'OB History S2'!T:T, 1)</f>
        <v>0</v>
      </c>
      <c r="Z3" s="2">
        <f>COUNTIFS('OB History S2'!$B:$B,$A$3,'OB History S2'!U:U, 1)</f>
        <v>0</v>
      </c>
      <c r="AA3" s="2">
        <f>COUNTIFS('OB History S2'!$B:$B,$A$3,'OB History S2'!V:V, 1)</f>
        <v>0</v>
      </c>
      <c r="AB3" s="2">
        <f>COUNTIFS('OB History S2'!$B:$B,$A$3,'OB History S2'!W:W, 1)</f>
        <v>0</v>
      </c>
      <c r="AC3" s="2">
        <f>COUNTIFS('OB History S2'!$B:$B,$A$3,'OB History S2'!X:X, 1)</f>
        <v>0</v>
      </c>
      <c r="AD3" s="2">
        <f>COUNTIFS('OB History S2'!$B:$B,$A$3,'OB History S2'!Y:Y, 1)</f>
        <v>0</v>
      </c>
      <c r="AE3" s="2">
        <f>COUNTIFS('OB History S2'!$B:$B,$A$3,'OB History S2'!Z:Z,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 S2'!C:C,'OB History S2'!B:B,A4)</f>
        <v>36</v>
      </c>
      <c r="E4" s="4">
        <f>AVERAGEIFS('OB History S2'!C:C,'OB History S2'!B:B,A4)</f>
        <v>36</v>
      </c>
      <c r="F4" s="35">
        <f t="array" ref="F4">MAX(IF('OB History S2'!B:B=A4, 'OB History S2'!C:C))</f>
        <v>36</v>
      </c>
      <c r="G4" s="34">
        <f>COUNTIFS('OB History S2'!B:B,A4,'OB History S2'!D:D, 1)</f>
        <v>1</v>
      </c>
      <c r="H4" s="2">
        <f>COUNTIFS('OB History S2'!B:B,A4,'OB History S2'!D:D, 0)</f>
        <v>0</v>
      </c>
      <c r="I4" s="88">
        <f>LOOKUP(2, 1/('OB History S2'!$B:$B=A4), 'OB History S2'!$AD:$AD)</f>
        <v>1</v>
      </c>
      <c r="J4" s="34">
        <f>SUMIFS('OB History S2'!F:F,'OB History S2'!B:B,A4)</f>
        <v>3</v>
      </c>
      <c r="K4" s="2">
        <f>SUMIFS('OB History S2'!E:E,'OB History S2'!B:B,A4)-J4</f>
        <v>2</v>
      </c>
      <c r="L4" s="88">
        <f>LOOKUP(2, 1/('OB History S2'!$B:$B=A4), 'OB History S2'!$AB:$AB)</f>
        <v>0.6</v>
      </c>
      <c r="M4" s="34">
        <f>SUMIFS('OB History S2'!H:H,'OB History S2'!B:B,A4)</f>
        <v>13</v>
      </c>
      <c r="N4" s="2">
        <f>SUMIFS('OB History S2'!G:G,'OB History S2'!B:B,A4)-M4</f>
        <v>8</v>
      </c>
      <c r="O4" s="88">
        <f>LOOKUP(2, 1/('OB History S2'!$B:$B=A4), 'OB History S2'!$AC:$AC)</f>
        <v>0.62</v>
      </c>
      <c r="P4" s="2">
        <f>COUNTIFS('OB History S2'!$B:$B,$A$4,'OB History S2'!K:K, 1)</f>
        <v>0</v>
      </c>
      <c r="Q4" s="2">
        <f>COUNTIFS('OB History S2'!$B:$B,$A$4,'OB History S2'!L:L, 1)</f>
        <v>0</v>
      </c>
      <c r="R4" s="2">
        <f>COUNTIFS('OB History S2'!$B:$B,$A$4,'OB History S2'!M:M, 1)</f>
        <v>1</v>
      </c>
      <c r="S4" s="2">
        <f>COUNTIFS('OB History S2'!$B:$B,$A$4,'OB History S2'!N:N, 1)</f>
        <v>0</v>
      </c>
      <c r="T4" s="2">
        <f>COUNTIFS('OB History S2'!$B:$B,$A$4,'OB History S2'!O:O, 1)</f>
        <v>0</v>
      </c>
      <c r="U4" s="2">
        <f>COUNTIFS('OB History S2'!$B:$B,$A$4,'OB History S2'!P:P, 1)</f>
        <v>0</v>
      </c>
      <c r="V4" s="2">
        <f>COUNTIFS('OB History S2'!$B:$B,$A$4,'OB History S2'!Q:Q, 1)</f>
        <v>0</v>
      </c>
      <c r="W4" s="2">
        <f>COUNTIFS('OB History S2'!$B:$B,$A$4,'OB History S2'!R:R, 1)</f>
        <v>0</v>
      </c>
      <c r="X4" s="2">
        <f>COUNTIFS('OB History S2'!$B:$B,$A$4,'OB History S2'!S:S, 1)</f>
        <v>0</v>
      </c>
      <c r="Y4" s="2">
        <f>COUNTIFS('OB History S2'!$B:$B,$A$4,'OB History S2'!T:T, 1)</f>
        <v>1</v>
      </c>
      <c r="Z4" s="2">
        <f>COUNTIFS('OB History S2'!$B:$B,$A$4,'OB History S2'!U:U, 1)</f>
        <v>0</v>
      </c>
      <c r="AA4" s="2">
        <f>COUNTIFS('OB History S2'!$B:$B,$A$4,'OB History S2'!V:V, 1)</f>
        <v>0</v>
      </c>
      <c r="AB4" s="2">
        <f>COUNTIFS('OB History S2'!$B:$B,$A$4,'OB History S2'!W:W, 1)</f>
        <v>0</v>
      </c>
      <c r="AC4" s="2">
        <f>COUNTIFS('OB History S2'!$B:$B,$A$4,'OB History S2'!X:X, 1)</f>
        <v>0</v>
      </c>
      <c r="AD4" s="2">
        <f>COUNTIFS('OB History S2'!$B:$B,$A$4,'OB History S2'!Y:Y, 1)</f>
        <v>1</v>
      </c>
      <c r="AE4" s="2">
        <f>COUNTIFS('OB History S2'!$B:$B,$A$4,'OB History S2'!Z:Z, 1)</f>
        <v>0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 S2'!C:C,'OB History S2'!B:B,A5)</f>
        <v>29</v>
      </c>
      <c r="E5" s="4">
        <f>AVERAGEIFS('OB History S2'!C:C,'OB History S2'!B:B,A5)</f>
        <v>14.5</v>
      </c>
      <c r="F5" s="35">
        <f t="array" ref="F5">MAX(IF('OB History S2'!B:B=A5, 'OB History S2'!C:C))</f>
        <v>18</v>
      </c>
      <c r="G5" s="34">
        <f>COUNTIFS('OB History S2'!B:B,A5,'OB History S2'!D:D, 1)</f>
        <v>2</v>
      </c>
      <c r="H5" s="2">
        <f>COUNTIFS('OB History S2'!B:B,A5,'OB History S2'!D:D, 0)</f>
        <v>0</v>
      </c>
      <c r="I5" s="88">
        <f>LOOKUP(2, 1/('OB History S2'!$B:$B=A5), 'OB History S2'!$AD:$AD)</f>
        <v>1</v>
      </c>
      <c r="J5" s="34">
        <f>SUMIFS('OB History S2'!F:F,'OB History S2'!B:B,A5)</f>
        <v>6</v>
      </c>
      <c r="K5" s="2">
        <f>SUMIFS('OB History S2'!E:E,'OB History S2'!B:B,A5)-J5</f>
        <v>2</v>
      </c>
      <c r="L5" s="88">
        <f>LOOKUP(2, 1/('OB History S2'!$B:$B=A5), 'OB History S2'!$AB:$AB)</f>
        <v>0.8</v>
      </c>
      <c r="M5" s="34">
        <f>SUMIFS('OB History S2'!H:H,'OB History S2'!B:B,A5)</f>
        <v>20</v>
      </c>
      <c r="N5" s="2">
        <f>SUMIFS('OB History S2'!G:G,'OB History S2'!B:B,A5)-M5</f>
        <v>12</v>
      </c>
      <c r="O5" s="88">
        <f>LOOKUP(2, 1/('OB History S2'!$B:$B=A5), 'OB History S2'!$AC:$AC)</f>
        <v>0.66999999999999993</v>
      </c>
      <c r="P5" s="2">
        <f>COUNTIFS('OB History S2'!$B:$B,$A$5,'OB History S2'!K:K, 1)</f>
        <v>0</v>
      </c>
      <c r="Q5" s="2">
        <f>COUNTIFS('OB History S2'!$B:$B,$A$5,'OB History S2'!L:L, 1)</f>
        <v>2</v>
      </c>
      <c r="R5" s="2">
        <f>COUNTIFS('OB History S2'!$B:$B,$A$5,'OB History S2'!M:M, 1)</f>
        <v>0</v>
      </c>
      <c r="S5" s="2">
        <f>COUNTIFS('OB History S2'!$B:$B,$A$5,'OB History S2'!N:N, 1)</f>
        <v>0</v>
      </c>
      <c r="T5" s="2">
        <f>COUNTIFS('OB History S2'!$B:$B,$A$5,'OB History S2'!O:O, 1)</f>
        <v>0</v>
      </c>
      <c r="U5" s="2">
        <f>COUNTIFS('OB History S2'!$B:$B,$A$5,'OB History S2'!P:P, 1)</f>
        <v>0</v>
      </c>
      <c r="V5" s="2">
        <f>COUNTIFS('OB History S2'!$B:$B,$A$5,'OB History S2'!Q:Q, 1)</f>
        <v>0</v>
      </c>
      <c r="W5" s="2">
        <f>COUNTIFS('OB History S2'!$B:$B,$A$5,'OB History S2'!R:R, 1)</f>
        <v>0</v>
      </c>
      <c r="X5" s="2">
        <f>COUNTIFS('OB History S2'!$B:$B,$A$5,'OB History S2'!S:S, 1)</f>
        <v>0</v>
      </c>
      <c r="Y5" s="2">
        <f>COUNTIFS('OB History S2'!$B:$B,$A$5,'OB History S2'!T:T, 1)</f>
        <v>0</v>
      </c>
      <c r="Z5" s="2">
        <f>COUNTIFS('OB History S2'!$B:$B,$A$5,'OB History S2'!U:U, 1)</f>
        <v>0</v>
      </c>
      <c r="AA5" s="2">
        <f>COUNTIFS('OB History S2'!$B:$B,$A$5,'OB History S2'!V:V, 1)</f>
        <v>0</v>
      </c>
      <c r="AB5" s="2">
        <f>COUNTIFS('OB History S2'!$B:$B,$A$5,'OB History S2'!W:W, 1)</f>
        <v>0</v>
      </c>
      <c r="AC5" s="2">
        <f>COUNTIFS('OB History S2'!$B:$B,$A$5,'OB History S2'!X:X, 1)</f>
        <v>2</v>
      </c>
      <c r="AD5" s="2">
        <f>COUNTIFS('OB History S2'!$B:$B,$A$5,'OB History S2'!Y:Y, 1)</f>
        <v>2</v>
      </c>
      <c r="AE5" s="2">
        <f>COUNTIFS('OB History S2'!$B:$B,$A$5,'OB History S2'!Z:Z,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 S2'!C:C,'OB History S2'!B:B,A6)</f>
        <v>55</v>
      </c>
      <c r="E6" s="4">
        <f>AVERAGEIFS('OB History S2'!C:C,'OB History S2'!B:B,A6)</f>
        <v>13.75</v>
      </c>
      <c r="F6" s="35">
        <f t="array" ref="F6">MAX(IF('OB History S2'!B:B=A6, 'OB History S2'!C:C))</f>
        <v>20</v>
      </c>
      <c r="G6" s="34">
        <f>COUNTIFS('OB History S2'!B:B,A6,'OB History S2'!D:D, 1)</f>
        <v>1</v>
      </c>
      <c r="H6" s="2">
        <f>COUNTIFS('OB History S2'!B:B,A6,'OB History S2'!D:D, 0)</f>
        <v>3</v>
      </c>
      <c r="I6" s="88">
        <f>LOOKUP(2, 1/('OB History S2'!$B:$B=A6), 'OB History S2'!$AD:$AD)</f>
        <v>0.25</v>
      </c>
      <c r="J6" s="34">
        <f>SUMIFS('OB History S2'!F:F,'OB History S2'!B:B,A6)</f>
        <v>6</v>
      </c>
      <c r="K6" s="2">
        <f>SUMIFS('OB History S2'!E:E,'OB History S2'!B:B,A6)-J6</f>
        <v>10</v>
      </c>
      <c r="L6" s="88">
        <f>LOOKUP(2, 1/('OB History S2'!$B:$B=A6), 'OB History S2'!$AB:$AB)</f>
        <v>0.35</v>
      </c>
      <c r="M6" s="34">
        <f>SUMIFS('OB History S2'!H:H,'OB History S2'!B:B,A6)</f>
        <v>25</v>
      </c>
      <c r="N6" s="2">
        <f>SUMIFS('OB History S2'!G:G,'OB History S2'!B:B,A6)-M6</f>
        <v>36</v>
      </c>
      <c r="O6" s="88">
        <f>LOOKUP(2, 1/('OB History S2'!$B:$B=A6), 'OB History S2'!$AC:$AC)</f>
        <v>0.39249999999999996</v>
      </c>
      <c r="P6" s="2">
        <f>COUNTIFS('OB History S2'!$B:$B,$A$6,'OB History S2'!K:K, 1)</f>
        <v>1</v>
      </c>
      <c r="Q6" s="2">
        <f>COUNTIFS('OB History S2'!$B:$B,$A$6,'OB History S2'!L:L, 1)</f>
        <v>0</v>
      </c>
      <c r="R6" s="2">
        <f>COUNTIFS('OB History S2'!$B:$B,$A$6,'OB History S2'!M:M, 1)</f>
        <v>0</v>
      </c>
      <c r="S6" s="2">
        <f>COUNTIFS('OB History S2'!$B:$B,$A$6,'OB History S2'!N:N, 1)</f>
        <v>0</v>
      </c>
      <c r="T6" s="2">
        <f>COUNTIFS('OB History S2'!$B:$B,$A$6,'OB History S2'!O:O, 1)</f>
        <v>0</v>
      </c>
      <c r="U6" s="2">
        <f>COUNTIFS('OB History S2'!$B:$B,$A$6,'OB History S2'!P:P, 1)</f>
        <v>1</v>
      </c>
      <c r="V6" s="2">
        <f>COUNTIFS('OB History S2'!$B:$B,$A$6,'OB History S2'!Q:Q, 1)</f>
        <v>0</v>
      </c>
      <c r="W6" s="2">
        <f>COUNTIFS('OB History S2'!$B:$B,$A$6,'OB History S2'!R:R, 1)</f>
        <v>0</v>
      </c>
      <c r="X6" s="2">
        <f>COUNTIFS('OB History S2'!$B:$B,$A$6,'OB History S2'!S:S, 1)</f>
        <v>0</v>
      </c>
      <c r="Y6" s="2">
        <f>COUNTIFS('OB History S2'!$B:$B,$A$6,'OB History S2'!T:T, 1)</f>
        <v>0</v>
      </c>
      <c r="Z6" s="2">
        <f>COUNTIFS('OB History S2'!$B:$B,$A$6,'OB History S2'!U:U, 1)</f>
        <v>0</v>
      </c>
      <c r="AA6" s="2">
        <f>COUNTIFS('OB History S2'!$B:$B,$A$6,'OB History S2'!V:V, 1)</f>
        <v>0</v>
      </c>
      <c r="AB6" s="2">
        <f>COUNTIFS('OB History S2'!$B:$B,$A$6,'OB History S2'!W:W, 1)</f>
        <v>2</v>
      </c>
      <c r="AC6" s="2">
        <f>COUNTIFS('OB History S2'!$B:$B,$A$6,'OB History S2'!X:X, 1)</f>
        <v>0</v>
      </c>
      <c r="AD6" s="2">
        <f>COUNTIFS('OB History S2'!$B:$B,$A$6,'OB History S2'!Y:Y, 1)</f>
        <v>1</v>
      </c>
      <c r="AE6" s="2">
        <f>COUNTIFS('OB History S2'!$B:$B,$A$6,'OB History S2'!Z:Z, 1)</f>
        <v>1</v>
      </c>
    </row>
    <row r="7" spans="1:31" ht="15.75" x14ac:dyDescent="0.25">
      <c r="A7" s="2" t="s">
        <v>19</v>
      </c>
      <c r="B7" s="80" t="s">
        <v>79</v>
      </c>
      <c r="C7" s="2" t="s">
        <v>79</v>
      </c>
      <c r="D7" s="34">
        <f>SUMIFS('OB History S2'!C:C,'OB History S2'!B:B,A7)</f>
        <v>10</v>
      </c>
      <c r="E7" s="4">
        <f>AVERAGEIFS('OB History S2'!C:C,'OB History S2'!B:B,A7)</f>
        <v>10</v>
      </c>
      <c r="F7" s="35">
        <f t="array" ref="F7">MAX(IF('OB History S2'!B:B=A7, 'OB History S2'!C:C))</f>
        <v>10</v>
      </c>
      <c r="G7" s="34">
        <f>COUNTIFS('OB History S2'!B:B,A7,'OB History S2'!D:D, 1)</f>
        <v>0</v>
      </c>
      <c r="H7" s="2">
        <f>COUNTIFS('OB History S2'!B:B,A7,'OB History S2'!D:D, 0)</f>
        <v>1</v>
      </c>
      <c r="I7" s="88">
        <f>LOOKUP(2, 1/('OB History S2'!$B:$B=A7), 'OB History S2'!$AD:$AD)</f>
        <v>0</v>
      </c>
      <c r="J7" s="34">
        <f>SUMIFS('OB History S2'!F:F,'OB History S2'!B:B,A7)</f>
        <v>1</v>
      </c>
      <c r="K7" s="2">
        <f>SUMIFS('OB History S2'!E:E,'OB History S2'!B:B,A7)-J7</f>
        <v>3</v>
      </c>
      <c r="L7" s="88">
        <f>LOOKUP(2, 1/('OB History S2'!$B:$B=A7), 'OB History S2'!$AB:$AB)</f>
        <v>0.25</v>
      </c>
      <c r="M7" s="34">
        <f>SUMIFS('OB History S2'!H:H,'OB History S2'!B:B,A7)</f>
        <v>4</v>
      </c>
      <c r="N7" s="2">
        <f>SUMIFS('OB History S2'!G:G,'OB History S2'!B:B,A7)-M7</f>
        <v>11</v>
      </c>
      <c r="O7" s="88">
        <f>LOOKUP(2, 1/('OB History S2'!$B:$B=A7), 'OB History S2'!$AC:$AC)</f>
        <v>0.27</v>
      </c>
      <c r="P7" s="2">
        <f>COUNTIFS('OB History S2'!$B:$B,$A$7,'OB History S2'!K:K, 1)</f>
        <v>0</v>
      </c>
      <c r="Q7" s="2">
        <f>COUNTIFS('OB History S2'!$B:$B,$A$7,'OB History S2'!L:L, 1)</f>
        <v>0</v>
      </c>
      <c r="R7" s="2">
        <f>COUNTIFS('OB History S2'!$B:$B,$A$7,'OB History S2'!M:M, 1)</f>
        <v>0</v>
      </c>
      <c r="S7" s="2">
        <f>COUNTIFS('OB History S2'!$B:$B,$A$7,'OB History S2'!N:N, 1)</f>
        <v>0</v>
      </c>
      <c r="T7" s="2">
        <f>COUNTIFS('OB History S2'!$B:$B,$A$7,'OB History S2'!O:O, 1)</f>
        <v>0</v>
      </c>
      <c r="U7" s="2">
        <f>COUNTIFS('OB History S2'!$B:$B,$A$7,'OB History S2'!P:P, 1)</f>
        <v>0</v>
      </c>
      <c r="V7" s="2">
        <f>COUNTIFS('OB History S2'!$B:$B,$A$7,'OB History S2'!Q:Q, 1)</f>
        <v>0</v>
      </c>
      <c r="W7" s="2">
        <f>COUNTIFS('OB History S2'!$B:$B,$A$7,'OB History S2'!R:R, 1)</f>
        <v>0</v>
      </c>
      <c r="X7" s="2">
        <f>COUNTIFS('OB History S2'!$B:$B,$A$7,'OB History S2'!S:S, 1)</f>
        <v>0</v>
      </c>
      <c r="Y7" s="2">
        <f>COUNTIFS('OB History S2'!$B:$B,$A$7,'OB History S2'!T:T, 1)</f>
        <v>0</v>
      </c>
      <c r="Z7" s="2">
        <f>COUNTIFS('OB History S2'!$B:$B,$A$7,'OB History S2'!U:U, 1)</f>
        <v>0</v>
      </c>
      <c r="AA7" s="2">
        <f>COUNTIFS('OB History S2'!$B:$B,$A$7,'OB History S2'!V:V, 1)</f>
        <v>0</v>
      </c>
      <c r="AB7" s="2">
        <f>COUNTIFS('OB History S2'!$B:$B,$A$7,'OB History S2'!W:W, 1)</f>
        <v>0</v>
      </c>
      <c r="AC7" s="2">
        <f>COUNTIFS('OB History S2'!$B:$B,$A$7,'OB History S2'!X:X, 1)</f>
        <v>0</v>
      </c>
      <c r="AD7" s="2">
        <f>COUNTIFS('OB History S2'!$B:$B,$A$7,'OB History S2'!Y:Y, 1)</f>
        <v>0</v>
      </c>
      <c r="AE7" s="2">
        <f>COUNTIFS('OB History S2'!$B:$B,$A$7,'OB History S2'!Z:Z, 1)</f>
        <v>1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 S2'!C:C,'OB History S2'!B:B,A8)</f>
        <v>41</v>
      </c>
      <c r="E8" s="4">
        <f>AVERAGEIFS('OB History S2'!C:C,'OB History S2'!B:B,A8)</f>
        <v>13.666666666666666</v>
      </c>
      <c r="F8" s="35">
        <f t="array" ref="F8">MAX(IF('OB History S2'!B:B=A8, 'OB History S2'!C:C))</f>
        <v>29</v>
      </c>
      <c r="G8" s="34">
        <f>COUNTIFS('OB History S2'!B:B,A8,'OB History S2'!D:D, 1)</f>
        <v>0</v>
      </c>
      <c r="H8" s="2">
        <f>COUNTIFS('OB History S2'!B:B,A8,'OB History S2'!D:D, 0)</f>
        <v>3</v>
      </c>
      <c r="I8" s="88">
        <f>LOOKUP(2, 1/('OB History S2'!$B:$B=A8), 'OB History S2'!$AD:$AD)</f>
        <v>0</v>
      </c>
      <c r="J8" s="34">
        <f>SUMIFS('OB History S2'!F:F,'OB History S2'!B:B,A8)</f>
        <v>2</v>
      </c>
      <c r="K8" s="2">
        <f>SUMIFS('OB History S2'!E:E,'OB History S2'!B:B,A8)-J8</f>
        <v>9</v>
      </c>
      <c r="L8" s="88">
        <f>LOOKUP(2, 1/('OB History S2'!$B:$B=A8), 'OB History S2'!$AB:$AB)</f>
        <v>0.13333333333333333</v>
      </c>
      <c r="M8" s="34">
        <f>SUMIFS('OB History S2'!H:H,'OB History S2'!B:B,A8)</f>
        <v>16</v>
      </c>
      <c r="N8" s="2">
        <f>SUMIFS('OB History S2'!G:G,'OB History S2'!B:B,A8)-M8</f>
        <v>29</v>
      </c>
      <c r="O8" s="88">
        <f>LOOKUP(2, 1/('OB History S2'!$B:$B=A8), 'OB History S2'!$AC:$AC)</f>
        <v>0.32333333333333331</v>
      </c>
      <c r="P8" s="2">
        <f>COUNTIFS('OB History S2'!$B:$B,$A$8,'OB History S2'!K:K, 1)</f>
        <v>1</v>
      </c>
      <c r="Q8" s="2">
        <f>COUNTIFS('OB History S2'!$B:$B,$A$8,'OB History S2'!L:L, 1)</f>
        <v>0</v>
      </c>
      <c r="R8" s="2">
        <f>COUNTIFS('OB History S2'!$B:$B,$A$8,'OB History S2'!M:M, 1)</f>
        <v>0</v>
      </c>
      <c r="S8" s="2">
        <f>COUNTIFS('OB History S2'!$B:$B,$A$8,'OB History S2'!N:N, 1)</f>
        <v>0</v>
      </c>
      <c r="T8" s="2">
        <f>COUNTIFS('OB History S2'!$B:$B,$A$8,'OB History S2'!O:O, 1)</f>
        <v>0</v>
      </c>
      <c r="U8" s="2">
        <f>COUNTIFS('OB History S2'!$B:$B,$A$8,'OB History S2'!P:P, 1)</f>
        <v>0</v>
      </c>
      <c r="V8" s="2">
        <f>COUNTIFS('OB History S2'!$B:$B,$A$8,'OB History S2'!Q:Q, 1)</f>
        <v>0</v>
      </c>
      <c r="W8" s="2">
        <f>COUNTIFS('OB History S2'!$B:$B,$A$8,'OB History S2'!R:R, 1)</f>
        <v>0</v>
      </c>
      <c r="X8" s="2">
        <f>COUNTIFS('OB History S2'!$B:$B,$A$8,'OB History S2'!S:S, 1)</f>
        <v>0</v>
      </c>
      <c r="Y8" s="2">
        <f>COUNTIFS('OB History S2'!$B:$B,$A$8,'OB History S2'!T:T, 1)</f>
        <v>0</v>
      </c>
      <c r="Z8" s="2">
        <f>COUNTIFS('OB History S2'!$B:$B,$A$8,'OB History S2'!U:U, 1)</f>
        <v>0</v>
      </c>
      <c r="AA8" s="2">
        <f>COUNTIFS('OB History S2'!$B:$B,$A$8,'OB History S2'!V:V, 1)</f>
        <v>0</v>
      </c>
      <c r="AB8" s="2">
        <f>COUNTIFS('OB History S2'!$B:$B,$A$8,'OB History S2'!W:W, 1)</f>
        <v>1</v>
      </c>
      <c r="AC8" s="2">
        <f>COUNTIFS('OB History S2'!$B:$B,$A$8,'OB History S2'!X:X, 1)</f>
        <v>0</v>
      </c>
      <c r="AD8" s="2">
        <f>COUNTIFS('OB History S2'!$B:$B,$A$8,'OB History S2'!Y:Y, 1)</f>
        <v>0</v>
      </c>
      <c r="AE8" s="2">
        <f>COUNTIFS('OB History S2'!$B:$B,$A$8,'OB History S2'!Z:Z, 1)</f>
        <v>0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SUMIFS('OB History S2'!C:C,'OB History S2'!B:B,A9)</f>
        <v>37</v>
      </c>
      <c r="E9" s="4">
        <f>AVERAGEIFS('OB History S2'!C:C,'OB History S2'!B:B,A9)</f>
        <v>18.5</v>
      </c>
      <c r="F9" s="35">
        <f t="array" ref="F9">MAX(IF('OB History S2'!B:B=A9, 'OB History S2'!C:C))</f>
        <v>19</v>
      </c>
      <c r="G9" s="34">
        <f>COUNTIFS('OB History S2'!B:B,A9,'OB History S2'!D:D, 1)</f>
        <v>0</v>
      </c>
      <c r="H9" s="2">
        <f>COUNTIFS('OB History S2'!B:B,A9,'OB History S2'!D:D, 0)</f>
        <v>2</v>
      </c>
      <c r="I9" s="88">
        <f>LOOKUP(2, 1/('OB History S2'!$B:$B=A9), 'OB History S2'!$AD:$AD)</f>
        <v>0</v>
      </c>
      <c r="J9" s="34">
        <f>SUMIFS('OB History S2'!F:F,'OB History S2'!B:B,A9)</f>
        <v>2</v>
      </c>
      <c r="K9" s="2">
        <f>SUMIFS('OB History S2'!E:E,'OB History S2'!B:B,A9)-J9</f>
        <v>6</v>
      </c>
      <c r="L9" s="88">
        <f>LOOKUP(2, 1/('OB History S2'!$B:$B=A9), 'OB History S2'!$AB:$AB)</f>
        <v>0.25</v>
      </c>
      <c r="M9" s="34">
        <f>SUMIFS('OB History S2'!H:H,'OB History S2'!B:B,A9)</f>
        <v>9</v>
      </c>
      <c r="N9" s="2">
        <f>SUMIFS('OB History S2'!G:G,'OB History S2'!B:B,A9)-M9</f>
        <v>20</v>
      </c>
      <c r="O9" s="88">
        <f>LOOKUP(2, 1/('OB History S2'!$B:$B=A9), 'OB History S2'!$AC:$AC)</f>
        <v>0.315</v>
      </c>
      <c r="P9" s="2">
        <f>COUNTIFS('OB History S2'!$B:$B,$A$9,'OB History S2'!K:K, 1)</f>
        <v>0</v>
      </c>
      <c r="Q9" s="2">
        <f>COUNTIFS('OB History S2'!$B:$B,$A$9,'OB History S2'!L:L, 1)</f>
        <v>0</v>
      </c>
      <c r="R9" s="2">
        <f>COUNTIFS('OB History S2'!$B:$B,$A$9,'OB History S2'!M:M, 1)</f>
        <v>0</v>
      </c>
      <c r="S9" s="2">
        <f>COUNTIFS('OB History S2'!$B:$B,$A$9,'OB History S2'!N:N, 1)</f>
        <v>0</v>
      </c>
      <c r="T9" s="2">
        <f>COUNTIFS('OB History S2'!$B:$B,$A$9,'OB History S2'!O:O, 1)</f>
        <v>0</v>
      </c>
      <c r="U9" s="2">
        <f>COUNTIFS('OB History S2'!$B:$B,$A$9,'OB History S2'!P:P, 1)</f>
        <v>0</v>
      </c>
      <c r="V9" s="2">
        <f>COUNTIFS('OB History S2'!$B:$B,$A$9,'OB History S2'!Q:Q, 1)</f>
        <v>0</v>
      </c>
      <c r="W9" s="2">
        <f>COUNTIFS('OB History S2'!$B:$B,$A$9,'OB History S2'!R:R, 1)</f>
        <v>0</v>
      </c>
      <c r="X9" s="2">
        <f>COUNTIFS('OB History S2'!$B:$B,$A$9,'OB History S2'!S:S, 1)</f>
        <v>0</v>
      </c>
      <c r="Y9" s="2">
        <f>COUNTIFS('OB History S2'!$B:$B,$A$9,'OB History S2'!T:T, 1)</f>
        <v>0</v>
      </c>
      <c r="Z9" s="2">
        <f>COUNTIFS('OB History S2'!$B:$B,$A$9,'OB History S2'!U:U, 1)</f>
        <v>0</v>
      </c>
      <c r="AA9" s="2">
        <f>COUNTIFS('OB History S2'!$B:$B,$A$9,'OB History S2'!V:V, 1)</f>
        <v>0</v>
      </c>
      <c r="AB9" s="2">
        <f>COUNTIFS('OB History S2'!$B:$B,$A$9,'OB History S2'!W:W, 1)</f>
        <v>0</v>
      </c>
      <c r="AC9" s="2">
        <f>COUNTIFS('OB History S2'!$B:$B,$A$9,'OB History S2'!X:X, 1)</f>
        <v>1</v>
      </c>
      <c r="AD9" s="2">
        <f>COUNTIFS('OB History S2'!$B:$B,$A$9,'OB History S2'!Y:Y, 1)</f>
        <v>0</v>
      </c>
      <c r="AE9" s="2">
        <f>COUNTIFS('OB History S2'!$B:$B,$A$9,'OB History S2'!Z:Z, 1)</f>
        <v>1</v>
      </c>
    </row>
    <row r="10" spans="1:31" x14ac:dyDescent="0.25">
      <c r="A10" s="1" t="s">
        <v>147</v>
      </c>
      <c r="B10" s="6" t="s">
        <v>79</v>
      </c>
      <c r="C10" s="2" t="s">
        <v>79</v>
      </c>
      <c r="D10" s="34">
        <f>SUMIFS('OB History S2'!C:C,'OB History S2'!B:B,A10)</f>
        <v>6</v>
      </c>
      <c r="E10" s="4">
        <f>AVERAGEIFS('OB History S2'!C:C,'OB History S2'!B:B,A10)</f>
        <v>6</v>
      </c>
      <c r="F10" s="35">
        <f t="array" ref="F10">MAX(IF('OB History S2'!B:B=A10, 'OB History S2'!C:C))</f>
        <v>6</v>
      </c>
      <c r="G10" s="34">
        <f>COUNTIFS('OB History S2'!B:B,A10,'OB History S2'!D:D, 1)</f>
        <v>0</v>
      </c>
      <c r="H10" s="2">
        <f>COUNTIFS('OB History S2'!B:B,A10,'OB History S2'!D:D, 0)</f>
        <v>1</v>
      </c>
      <c r="I10" s="88">
        <f>LOOKUP(2, 1/('OB History S2'!$B:$B=A10), 'OB History S2'!$AD:$AD)</f>
        <v>0</v>
      </c>
      <c r="J10" s="34">
        <f>SUMIFS('OB History S2'!F:F,'OB History S2'!B:B,A10)</f>
        <v>0</v>
      </c>
      <c r="K10" s="2">
        <f>SUMIFS('OB History S2'!E:E,'OB History S2'!B:B,A10)-J10</f>
        <v>3</v>
      </c>
      <c r="L10" s="88">
        <f>LOOKUP(2, 1/('OB History S2'!$B:$B=A10), 'OB History S2'!$AB:$AB)</f>
        <v>0</v>
      </c>
      <c r="M10" s="34">
        <f>SUMIFS('OB History S2'!H:H,'OB History S2'!B:B,A10)</f>
        <v>4</v>
      </c>
      <c r="N10" s="2">
        <f>SUMIFS('OB History S2'!G:G,'OB History S2'!B:B,A10)-M10</f>
        <v>9</v>
      </c>
      <c r="O10" s="88">
        <f>LOOKUP(2, 1/('OB History S2'!$B:$B=A10), 'OB History S2'!$AC:$AC)</f>
        <v>0.31</v>
      </c>
      <c r="P10" s="2">
        <f>COUNTIFS('OB History S2'!$B:$B,$A$10,'OB History S2'!K:K, 1)</f>
        <v>0</v>
      </c>
      <c r="Q10" s="2">
        <f>COUNTIFS('OB History S2'!$B:$B,$A$10,'OB History S2'!L:L, 1)</f>
        <v>0</v>
      </c>
      <c r="R10" s="2">
        <f>COUNTIFS('OB History S2'!$B:$B,$A$10,'OB History S2'!M:M, 1)</f>
        <v>0</v>
      </c>
      <c r="S10" s="2">
        <f>COUNTIFS('OB History S2'!$B:$B,$A$10,'OB History S2'!N:N, 1)</f>
        <v>0</v>
      </c>
      <c r="T10" s="2">
        <f>COUNTIFS('OB History S2'!$B:$B,$A$10,'OB History S2'!O:O, 1)</f>
        <v>0</v>
      </c>
      <c r="U10" s="2">
        <f>COUNTIFS('OB History S2'!$B:$B,$A$10,'OB History S2'!P:P, 1)</f>
        <v>0</v>
      </c>
      <c r="V10" s="2">
        <f>COUNTIFS('OB History S2'!$B:$B,$A$10,'OB History S2'!Q:Q, 1)</f>
        <v>0</v>
      </c>
      <c r="W10" s="2">
        <f>COUNTIFS('OB History S2'!$B:$B,$A$10,'OB History S2'!R:R, 1)</f>
        <v>0</v>
      </c>
      <c r="X10" s="2">
        <f>COUNTIFS('OB History S2'!$B:$B,$A$10,'OB History S2'!S:S, 1)</f>
        <v>0</v>
      </c>
      <c r="Y10" s="2">
        <f>COUNTIFS('OB History S2'!$B:$B,$A$10,'OB History S2'!T:T, 1)</f>
        <v>0</v>
      </c>
      <c r="Z10" s="2">
        <f>COUNTIFS('OB History S2'!$B:$B,$A$10,'OB History S2'!U:U, 1)</f>
        <v>0</v>
      </c>
      <c r="AA10" s="2">
        <f>COUNTIFS('OB History S2'!$B:$B,$A$10,'OB History S2'!V:V, 1)</f>
        <v>0</v>
      </c>
      <c r="AB10" s="2">
        <f>COUNTIFS('OB History S2'!$B:$B,$A$10,'OB History S2'!W:W, 1)</f>
        <v>0</v>
      </c>
      <c r="AC10" s="2">
        <f>COUNTIFS('OB History S2'!$B:$B,$A$10,'OB History S2'!X:X, 1)</f>
        <v>0</v>
      </c>
      <c r="AD10" s="2">
        <f>COUNTIFS('OB History S2'!$B:$B,$A$10,'OB History S2'!Y:Y, 1)</f>
        <v>0</v>
      </c>
      <c r="AE10" s="2">
        <f>COUNTIFS('OB History S2'!$B:$B,$A$10,'OB History S2'!Z:Z, 1)</f>
        <v>0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SUMIFS('OB History S2'!C:C,'OB History S2'!B:B,A11)</f>
        <v>24</v>
      </c>
      <c r="E11" s="4">
        <f>AVERAGEIFS('OB History S2'!C:C,'OB History S2'!B:B,A11)</f>
        <v>12</v>
      </c>
      <c r="F11" s="35">
        <f t="array" ref="F11">MAX(IF('OB History S2'!B:B=A11, 'OB History S2'!C:C))</f>
        <v>14</v>
      </c>
      <c r="G11" s="34">
        <f>COUNTIFS('OB History S2'!B:B,A11,'OB History S2'!D:D, 1)</f>
        <v>2</v>
      </c>
      <c r="H11" s="2">
        <f>COUNTIFS('OB History S2'!B:B,A11,'OB History S2'!D:D, 0)</f>
        <v>0</v>
      </c>
      <c r="I11" s="88">
        <f>LOOKUP(2, 1/('OB History S2'!$B:$B=A11), 'OB History S2'!$AD:$AD)</f>
        <v>1</v>
      </c>
      <c r="J11" s="34">
        <f>SUMIFS('OB History S2'!F:F,'OB History S2'!B:B,A11)</f>
        <v>6</v>
      </c>
      <c r="K11" s="2">
        <f>SUMIFS('OB History S2'!E:E,'OB History S2'!B:B,A11)-J11</f>
        <v>2</v>
      </c>
      <c r="L11" s="88">
        <f>LOOKUP(2, 1/('OB History S2'!$B:$B=A11), 'OB History S2'!$AB:$AB)</f>
        <v>0.75</v>
      </c>
      <c r="M11" s="34">
        <f>SUMIFS('OB History S2'!H:H,'OB History S2'!B:B,A11)</f>
        <v>20</v>
      </c>
      <c r="N11" s="2">
        <f>SUMIFS('OB History S2'!G:G,'OB History S2'!B:B,A11)-M11</f>
        <v>9</v>
      </c>
      <c r="O11" s="88">
        <f>LOOKUP(2, 1/('OB History S2'!$B:$B=A11), 'OB History S2'!$AC:$AC)</f>
        <v>0.68500000000000005</v>
      </c>
      <c r="P11" s="2">
        <f>COUNTIFS('OB History S2'!$B:$B,$A$11,'OB History S2'!K:K, 1)</f>
        <v>0</v>
      </c>
      <c r="Q11" s="2">
        <f>COUNTIFS('OB History S2'!$B:$B,$A$11,'OB History S2'!L:L, 1)</f>
        <v>0</v>
      </c>
      <c r="R11" s="2">
        <f>COUNTIFS('OB History S2'!$B:$B,$A$11,'OB History S2'!M:M, 1)</f>
        <v>0</v>
      </c>
      <c r="S11" s="2">
        <f>COUNTIFS('OB History S2'!$B:$B,$A$11,'OB History S2'!N:N, 1)</f>
        <v>1</v>
      </c>
      <c r="T11" s="2">
        <f>COUNTIFS('OB History S2'!$B:$B,$A$11,'OB History S2'!O:O, 1)</f>
        <v>0</v>
      </c>
      <c r="U11" s="2">
        <f>COUNTIFS('OB History S2'!$B:$B,$A$11,'OB History S2'!P:P, 1)</f>
        <v>1</v>
      </c>
      <c r="V11" s="2">
        <f>COUNTIFS('OB History S2'!$B:$B,$A$11,'OB History S2'!Q:Q, 1)</f>
        <v>0</v>
      </c>
      <c r="W11" s="2">
        <f>COUNTIFS('OB History S2'!$B:$B,$A$11,'OB History S2'!R:R, 1)</f>
        <v>0</v>
      </c>
      <c r="X11" s="2">
        <f>COUNTIFS('OB History S2'!$B:$B,$A$11,'OB History S2'!S:S, 1)</f>
        <v>0</v>
      </c>
      <c r="Y11" s="2">
        <f>COUNTIFS('OB History S2'!$B:$B,$A$11,'OB History S2'!T:T, 1)</f>
        <v>0</v>
      </c>
      <c r="Z11" s="2">
        <f>COUNTIFS('OB History S2'!$B:$B,$A$11,'OB History S2'!U:U, 1)</f>
        <v>1</v>
      </c>
      <c r="AA11" s="2">
        <f>COUNTIFS('OB History S2'!$B:$B,$A$11,'OB History S2'!V:V, 1)</f>
        <v>0</v>
      </c>
      <c r="AB11" s="2">
        <f>COUNTIFS('OB History S2'!$B:$B,$A$11,'OB History S2'!W:W, 1)</f>
        <v>1</v>
      </c>
      <c r="AC11" s="2">
        <f>COUNTIFS('OB History S2'!$B:$B,$A$11,'OB History S2'!X:X, 1)</f>
        <v>1</v>
      </c>
      <c r="AD11" s="2">
        <f>COUNTIFS('OB History S2'!$B:$B,$A$11,'OB History S2'!Y:Y, 1)</f>
        <v>1</v>
      </c>
      <c r="AE11" s="2">
        <f>COUNTIFS('OB History S2'!$B:$B,$A$11,'OB History S2'!Z:Z, 1)</f>
        <v>0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SUMIFS('OB History S2'!C:C,'OB History S2'!B:B,A12)</f>
        <v>14</v>
      </c>
      <c r="E12" s="4">
        <f>AVERAGEIFS('OB History S2'!C:C,'OB History S2'!B:B,A12)</f>
        <v>7</v>
      </c>
      <c r="F12" s="35">
        <f t="array" ref="F12">MAX(IF('OB History S2'!B:B=A12, 'OB History S2'!C:C))</f>
        <v>8</v>
      </c>
      <c r="G12" s="34">
        <f>COUNTIFS('OB History S2'!B:B,A12,'OB History S2'!D:D, 1)</f>
        <v>0</v>
      </c>
      <c r="H12" s="2">
        <f>COUNTIFS('OB History S2'!B:B,A12,'OB History S2'!D:D, 0)</f>
        <v>2</v>
      </c>
      <c r="I12" s="88">
        <f>LOOKUP(2, 1/('OB History S2'!$B:$B=A12), 'OB History S2'!$AD:$AD)</f>
        <v>0</v>
      </c>
      <c r="J12" s="34">
        <f>SUMIFS('OB History S2'!F:F,'OB History S2'!B:B,A12)</f>
        <v>2</v>
      </c>
      <c r="K12" s="2">
        <f>SUMIFS('OB History S2'!E:E,'OB History S2'!B:B,A12)-J12</f>
        <v>6</v>
      </c>
      <c r="L12" s="88">
        <f>LOOKUP(2, 1/('OB History S2'!$B:$B=A12), 'OB History S2'!$AB:$AB)</f>
        <v>0.25</v>
      </c>
      <c r="M12" s="34">
        <f>SUMIFS('OB History S2'!H:H,'OB History S2'!B:B,A12)</f>
        <v>9</v>
      </c>
      <c r="N12" s="2">
        <f>SUMIFS('OB History S2'!G:G,'OB History S2'!B:B,A12)-M12</f>
        <v>20</v>
      </c>
      <c r="O12" s="88">
        <f>LOOKUP(2, 1/('OB History S2'!$B:$B=A12), 'OB History S2'!$AC:$AC)</f>
        <v>0.315</v>
      </c>
      <c r="P12" s="2">
        <f>COUNTIFS('OB History S2'!$B:$B,$A$12,'OB History S2'!K:K, 1)</f>
        <v>0</v>
      </c>
      <c r="Q12" s="2">
        <f>COUNTIFS('OB History S2'!$B:$B,$A$12,'OB History S2'!L:L, 1)</f>
        <v>0</v>
      </c>
      <c r="R12" s="2">
        <f>COUNTIFS('OB History S2'!$B:$B,$A$12,'OB History S2'!M:M, 1)</f>
        <v>0</v>
      </c>
      <c r="S12" s="2">
        <f>COUNTIFS('OB History S2'!$B:$B,$A$12,'OB History S2'!N:N, 1)</f>
        <v>0</v>
      </c>
      <c r="T12" s="2">
        <f>COUNTIFS('OB History S2'!$B:$B,$A$12,'OB History S2'!O:O, 1)</f>
        <v>0</v>
      </c>
      <c r="U12" s="2">
        <f>COUNTIFS('OB History S2'!$B:$B,$A$12,'OB History S2'!P:P, 1)</f>
        <v>0</v>
      </c>
      <c r="V12" s="2">
        <f>COUNTIFS('OB History S2'!$B:$B,$A$12,'OB History S2'!Q:Q, 1)</f>
        <v>0</v>
      </c>
      <c r="W12" s="2">
        <f>COUNTIFS('OB History S2'!$B:$B,$A$12,'OB History S2'!R:R, 1)</f>
        <v>0</v>
      </c>
      <c r="X12" s="2">
        <f>COUNTIFS('OB History S2'!$B:$B,$A$12,'OB History S2'!S:S, 1)</f>
        <v>0</v>
      </c>
      <c r="Y12" s="2">
        <f>COUNTIFS('OB History S2'!$B:$B,$A$12,'OB History S2'!T:T, 1)</f>
        <v>0</v>
      </c>
      <c r="Z12" s="2">
        <f>COUNTIFS('OB History S2'!$B:$B,$A$12,'OB History S2'!U:U, 1)</f>
        <v>0</v>
      </c>
      <c r="AA12" s="2">
        <f>COUNTIFS('OB History S2'!$B:$B,$A$12,'OB History S2'!V:V, 1)</f>
        <v>0</v>
      </c>
      <c r="AB12" s="2">
        <f>COUNTIFS('OB History S2'!$B:$B,$A$12,'OB History S2'!W:W, 1)</f>
        <v>0</v>
      </c>
      <c r="AC12" s="2">
        <f>COUNTIFS('OB History S2'!$B:$B,$A$12,'OB History S2'!X:X, 1)</f>
        <v>1</v>
      </c>
      <c r="AD12" s="2">
        <f>COUNTIFS('OB History S2'!$B:$B,$A$12,'OB History S2'!Y:Y, 1)</f>
        <v>0</v>
      </c>
      <c r="AE12" s="2">
        <f>COUNTIFS('OB History S2'!$B:$B,$A$12,'OB History S2'!Z:Z, 1)</f>
        <v>1</v>
      </c>
    </row>
    <row r="13" spans="1:31" x14ac:dyDescent="0.25">
      <c r="A13" s="1" t="s">
        <v>153</v>
      </c>
      <c r="B13" s="6" t="s">
        <v>79</v>
      </c>
      <c r="C13" s="2" t="s">
        <v>79</v>
      </c>
      <c r="D13" s="34">
        <f>SUMIFS('OB History S2'!C:C,'OB History S2'!B:B,A13)</f>
        <v>19</v>
      </c>
      <c r="E13" s="4">
        <f>AVERAGEIFS('OB History S2'!C:C,'OB History S2'!B:B,A13)</f>
        <v>19</v>
      </c>
      <c r="F13" s="35">
        <f t="array" ref="F13">MAX(IF('OB History S2'!B:B=A13, 'OB History S2'!C:C))</f>
        <v>19</v>
      </c>
      <c r="G13" s="34">
        <f>COUNTIFS('OB History S2'!B:B,A13,'OB History S2'!D:D, 1)</f>
        <v>0</v>
      </c>
      <c r="H13" s="2">
        <f>COUNTIFS('OB History S2'!B:B,A13,'OB History S2'!D:D, 0)</f>
        <v>1</v>
      </c>
      <c r="I13" s="88">
        <f>LOOKUP(2, 1/('OB History S2'!$B:$B=A13), 'OB History S2'!$AD:$AD)</f>
        <v>0</v>
      </c>
      <c r="J13" s="34">
        <f>SUMIFS('OB History S2'!F:F,'OB History S2'!B:B,A13)</f>
        <v>2</v>
      </c>
      <c r="K13" s="2">
        <f>SUMIFS('OB History S2'!E:E,'OB History S2'!B:B,A13)-J13</f>
        <v>3</v>
      </c>
      <c r="L13" s="88">
        <f>LOOKUP(2, 1/('OB History S2'!$B:$B=A13), 'OB History S2'!$AB:$AB)</f>
        <v>0.4</v>
      </c>
      <c r="M13" s="34">
        <f>SUMIFS('OB History S2'!H:H,'OB History S2'!B:B,A13)</f>
        <v>8</v>
      </c>
      <c r="N13" s="2">
        <f>SUMIFS('OB History S2'!G:G,'OB History S2'!B:B,A13)-M13</f>
        <v>13</v>
      </c>
      <c r="O13" s="88">
        <f>LOOKUP(2, 1/('OB History S2'!$B:$B=A13), 'OB History S2'!$AC:$AC)</f>
        <v>0.38</v>
      </c>
      <c r="P13" s="2">
        <f>COUNTIFS('OB History S2'!$B:$B,$A$13,'OB History S2'!K:K, 1)</f>
        <v>0</v>
      </c>
      <c r="Q13" s="2">
        <f>COUNTIFS('OB History S2'!$B:$B,$A$13,'OB History S2'!L:L, 1)</f>
        <v>0</v>
      </c>
      <c r="R13" s="2">
        <f>COUNTIFS('OB History S2'!$B:$B,$A$13,'OB History S2'!M:M, 1)</f>
        <v>0</v>
      </c>
      <c r="S13" s="2">
        <f>COUNTIFS('OB History S2'!$B:$B,$A$13,'OB History S2'!N:N, 1)</f>
        <v>0</v>
      </c>
      <c r="T13" s="2">
        <f>COUNTIFS('OB History S2'!$B:$B,$A$13,'OB History S2'!O:O, 1)</f>
        <v>0</v>
      </c>
      <c r="U13" s="2">
        <f>COUNTIFS('OB History S2'!$B:$B,$A$13,'OB History S2'!P:P, 1)</f>
        <v>1</v>
      </c>
      <c r="V13" s="2">
        <f>COUNTIFS('OB History S2'!$B:$B,$A$13,'OB History S2'!Q:Q, 1)</f>
        <v>0</v>
      </c>
      <c r="W13" s="2">
        <f>COUNTIFS('OB History S2'!$B:$B,$A$13,'OB History S2'!R:R, 1)</f>
        <v>0</v>
      </c>
      <c r="X13" s="2">
        <f>COUNTIFS('OB History S2'!$B:$B,$A$13,'OB History S2'!S:S, 1)</f>
        <v>0</v>
      </c>
      <c r="Y13" s="2">
        <f>COUNTIFS('OB History S2'!$B:$B,$A$13,'OB History S2'!T:T, 1)</f>
        <v>0</v>
      </c>
      <c r="Z13" s="2">
        <f>COUNTIFS('OB History S2'!$B:$B,$A$13,'OB History S2'!U:U, 1)</f>
        <v>0</v>
      </c>
      <c r="AA13" s="2">
        <f>COUNTIFS('OB History S2'!$B:$B,$A$13,'OB History S2'!V:V, 1)</f>
        <v>0</v>
      </c>
      <c r="AB13" s="2">
        <f>COUNTIFS('OB History S2'!$B:$B,$A$13,'OB History S2'!W:W, 1)</f>
        <v>0</v>
      </c>
      <c r="AC13" s="2">
        <f>COUNTIFS('OB History S2'!$B:$B,$A$13,'OB History S2'!X:X, 1)</f>
        <v>1</v>
      </c>
      <c r="AD13" s="2">
        <f>COUNTIFS('OB History S2'!$B:$B,$A$13,'OB History S2'!Y:Y, 1)</f>
        <v>0</v>
      </c>
      <c r="AE13" s="2">
        <f>COUNTIFS('OB History S2'!$B:$B,$A$13,'OB History S2'!Z:Z,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 S2'!C:C,'OB History S2'!B:B,A14)</f>
        <v>40</v>
      </c>
      <c r="E14" s="4">
        <f>AVERAGEIFS('OB History S2'!C:C,'OB History S2'!B:B,A14)</f>
        <v>13.333333333333334</v>
      </c>
      <c r="F14" s="35">
        <f t="array" ref="F14">MAX(IF('OB History S2'!B:B=A14, 'OB History S2'!C:C))</f>
        <v>16</v>
      </c>
      <c r="G14" s="34">
        <f>COUNTIFS('OB History S2'!B:B,A14,'OB History S2'!D:D, 1)</f>
        <v>1</v>
      </c>
      <c r="H14" s="2">
        <f>COUNTIFS('OB History S2'!B:B,A14,'OB History S2'!D:D, 0)</f>
        <v>2</v>
      </c>
      <c r="I14" s="88">
        <f>LOOKUP(2, 1/('OB History S2'!$B:$B=A14), 'OB History S2'!$AD:$AD)</f>
        <v>0.33333333333333331</v>
      </c>
      <c r="J14" s="34">
        <f>SUMIFS('OB History S2'!F:F,'OB History S2'!B:B,A14)</f>
        <v>5</v>
      </c>
      <c r="K14" s="2">
        <f>SUMIFS('OB History S2'!E:E,'OB History S2'!B:B,A14)-J14</f>
        <v>8</v>
      </c>
      <c r="L14" s="88">
        <f>LOOKUP(2, 1/('OB History S2'!$B:$B=A14), 'OB History S2'!$AB:$AB)</f>
        <v>0.3666666666666667</v>
      </c>
      <c r="M14" s="34">
        <f>SUMIFS('OB History S2'!H:H,'OB History S2'!B:B,A14)</f>
        <v>22</v>
      </c>
      <c r="N14" s="2">
        <f>SUMIFS('OB History S2'!G:G,'OB History S2'!B:B,A14)-M14</f>
        <v>28</v>
      </c>
      <c r="O14" s="88">
        <f>LOOKUP(2, 1/('OB History S2'!$B:$B=A14), 'OB History S2'!$AC:$AC)</f>
        <v>0.41666666666666669</v>
      </c>
      <c r="P14" s="2">
        <f>COUNTIFS('OB History S2'!$B:$B,$A$14,'OB History S2'!K:K, 1)</f>
        <v>0</v>
      </c>
      <c r="Q14" s="2">
        <f>COUNTIFS('OB History S2'!$B:$B,$A$14,'OB History S2'!L:L, 1)</f>
        <v>0</v>
      </c>
      <c r="R14" s="2">
        <f>COUNTIFS('OB History S2'!$B:$B,$A$14,'OB History S2'!M:M, 1)</f>
        <v>1</v>
      </c>
      <c r="S14" s="2">
        <f>COUNTIFS('OB History S2'!$B:$B,$A$14,'OB History S2'!N:N, 1)</f>
        <v>0</v>
      </c>
      <c r="T14" s="2">
        <f>COUNTIFS('OB History S2'!$B:$B,$A$14,'OB History S2'!O:O, 1)</f>
        <v>0</v>
      </c>
      <c r="U14" s="2">
        <f>COUNTIFS('OB History S2'!$B:$B,$A$14,'OB History S2'!P:P, 1)</f>
        <v>0</v>
      </c>
      <c r="V14" s="2">
        <f>COUNTIFS('OB History S2'!$B:$B,$A$14,'OB History S2'!Q:Q, 1)</f>
        <v>0</v>
      </c>
      <c r="W14" s="2">
        <f>COUNTIFS('OB History S2'!$B:$B,$A$14,'OB History S2'!R:R, 1)</f>
        <v>0</v>
      </c>
      <c r="X14" s="2">
        <f>COUNTIFS('OB History S2'!$B:$B,$A$14,'OB History S2'!S:S, 1)</f>
        <v>0</v>
      </c>
      <c r="Y14" s="2">
        <f>COUNTIFS('OB History S2'!$B:$B,$A$14,'OB History S2'!T:T, 1)</f>
        <v>1</v>
      </c>
      <c r="Z14" s="2">
        <f>COUNTIFS('OB History S2'!$B:$B,$A$14,'OB History S2'!U:U, 1)</f>
        <v>0</v>
      </c>
      <c r="AA14" s="2">
        <f>COUNTIFS('OB History S2'!$B:$B,$A$14,'OB History S2'!V:V, 1)</f>
        <v>0</v>
      </c>
      <c r="AB14" s="2">
        <f>COUNTIFS('OB History S2'!$B:$B,$A$14,'OB History S2'!W:W, 1)</f>
        <v>0</v>
      </c>
      <c r="AC14" s="2">
        <f>COUNTIFS('OB History S2'!$B:$B,$A$14,'OB History S2'!X:X, 1)</f>
        <v>1</v>
      </c>
      <c r="AD14" s="2">
        <f>COUNTIFS('OB History S2'!$B:$B,$A$14,'OB History S2'!Y:Y, 1)</f>
        <v>1</v>
      </c>
      <c r="AE14" s="2">
        <f>COUNTIFS('OB History S2'!$B:$B,$A$14,'OB History S2'!Z:Z, 1)</f>
        <v>1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SUMIFS('OB History S2'!C:C,'OB History S2'!B:B,A15)</f>
        <v>34</v>
      </c>
      <c r="E15" s="4">
        <f>AVERAGEIFS('OB History S2'!C:C,'OB History S2'!B:B,A15)</f>
        <v>34</v>
      </c>
      <c r="F15" s="35">
        <f t="array" ref="F15">MAX(IF('OB History S2'!B:B=A15, 'OB History S2'!C:C))</f>
        <v>34</v>
      </c>
      <c r="G15" s="34">
        <f>COUNTIFS('OB History S2'!B:B,A15,'OB History S2'!D:D, 1)</f>
        <v>0</v>
      </c>
      <c r="H15" s="2">
        <f>COUNTIFS('OB History S2'!B:B,A15,'OB History S2'!D:D, 0)</f>
        <v>1</v>
      </c>
      <c r="I15" s="88">
        <f>LOOKUP(2, 1/('OB History S2'!$B:$B=A15), 'OB History S2'!$AD:$AD)</f>
        <v>0</v>
      </c>
      <c r="J15" s="34">
        <f>SUMIFS('OB History S2'!F:F,'OB History S2'!B:B,A15)</f>
        <v>2</v>
      </c>
      <c r="K15" s="2">
        <f>SUMIFS('OB History S2'!E:E,'OB History S2'!B:B,A15)-J15</f>
        <v>3</v>
      </c>
      <c r="L15" s="88">
        <f>LOOKUP(2, 1/('OB History S2'!$B:$B=A15), 'OB History S2'!$AB:$AB)</f>
        <v>0.4</v>
      </c>
      <c r="M15" s="34">
        <f>SUMIFS('OB History S2'!H:H,'OB History S2'!B:B,A15)</f>
        <v>8</v>
      </c>
      <c r="N15" s="2">
        <f>SUMIFS('OB History S2'!G:G,'OB History S2'!B:B,A15)-M15</f>
        <v>13</v>
      </c>
      <c r="O15" s="88">
        <f>LOOKUP(2, 1/('OB History S2'!$B:$B=A15), 'OB History S2'!$AC:$AC)</f>
        <v>0.38</v>
      </c>
      <c r="P15" s="2">
        <f>COUNTIFS('OB History S2'!$B:$B,$A$15,'OB History S2'!K:K, 1)</f>
        <v>0</v>
      </c>
      <c r="Q15" s="2">
        <f>COUNTIFS('OB History S2'!$B:$B,$A$15,'OB History S2'!L:L, 1)</f>
        <v>0</v>
      </c>
      <c r="R15" s="2">
        <f>COUNTIFS('OB History S2'!$B:$B,$A$15,'OB History S2'!M:M, 1)</f>
        <v>0</v>
      </c>
      <c r="S15" s="2">
        <f>COUNTIFS('OB History S2'!$B:$B,$A$15,'OB History S2'!N:N, 1)</f>
        <v>0</v>
      </c>
      <c r="T15" s="2">
        <f>COUNTIFS('OB History S2'!$B:$B,$A$15,'OB History S2'!O:O, 1)</f>
        <v>0</v>
      </c>
      <c r="U15" s="2">
        <f>COUNTIFS('OB History S2'!$B:$B,$A$15,'OB History S2'!P:P, 1)</f>
        <v>1</v>
      </c>
      <c r="V15" s="2">
        <f>COUNTIFS('OB History S2'!$B:$B,$A$15,'OB History S2'!Q:Q, 1)</f>
        <v>0</v>
      </c>
      <c r="W15" s="2">
        <f>COUNTIFS('OB History S2'!$B:$B,$A$15,'OB History S2'!R:R, 1)</f>
        <v>0</v>
      </c>
      <c r="X15" s="2">
        <f>COUNTIFS('OB History S2'!$B:$B,$A$15,'OB History S2'!S:S, 1)</f>
        <v>0</v>
      </c>
      <c r="Y15" s="2">
        <f>COUNTIFS('OB History S2'!$B:$B,$A$15,'OB History S2'!T:T, 1)</f>
        <v>0</v>
      </c>
      <c r="Z15" s="2">
        <f>COUNTIFS('OB History S2'!$B:$B,$A$15,'OB History S2'!U:U, 1)</f>
        <v>0</v>
      </c>
      <c r="AA15" s="2">
        <f>COUNTIFS('OB History S2'!$B:$B,$A$15,'OB History S2'!V:V, 1)</f>
        <v>0</v>
      </c>
      <c r="AB15" s="2">
        <f>COUNTIFS('OB History S2'!$B:$B,$A$15,'OB History S2'!W:W, 1)</f>
        <v>0</v>
      </c>
      <c r="AC15" s="2">
        <f>COUNTIFS('OB History S2'!$B:$B,$A$15,'OB History S2'!X:X, 1)</f>
        <v>1</v>
      </c>
      <c r="AD15" s="2">
        <f>COUNTIFS('OB History S2'!$B:$B,$A$15,'OB History S2'!Y:Y, 1)</f>
        <v>0</v>
      </c>
      <c r="AE15" s="2">
        <f>COUNTIFS('OB History S2'!$B:$B,$A$15,'OB History S2'!Z:Z, 1)</f>
        <v>0</v>
      </c>
    </row>
    <row r="16" spans="1:31" x14ac:dyDescent="0.25">
      <c r="A16" s="1" t="s">
        <v>44</v>
      </c>
      <c r="B16" s="2" t="s">
        <v>79</v>
      </c>
      <c r="C16" s="2" t="s">
        <v>79</v>
      </c>
      <c r="D16" s="34">
        <f>SUMIFS('OB History S2'!C:C,'OB History S2'!B:B,A16)</f>
        <v>28</v>
      </c>
      <c r="E16" s="4">
        <f>AVERAGEIFS('OB History S2'!C:C,'OB History S2'!B:B,A16)</f>
        <v>28</v>
      </c>
      <c r="F16" s="35">
        <f t="array" ref="F16">MAX(IF('OB History S2'!B:B=A16, 'OB History S2'!C:C))</f>
        <v>28</v>
      </c>
      <c r="G16" s="34">
        <f>COUNTIFS('OB History S2'!B:B,A16,'OB History S2'!D:D, 1)</f>
        <v>1</v>
      </c>
      <c r="H16" s="2">
        <f>COUNTIFS('OB History S2'!B:B,A16,'OB History S2'!D:D, 0)</f>
        <v>0</v>
      </c>
      <c r="I16" s="88">
        <f>LOOKUP(2, 1/('OB History S2'!$B:$B=A16), 'OB History S2'!$AD:$AD)</f>
        <v>1</v>
      </c>
      <c r="J16" s="34">
        <f>SUMIFS('OB History S2'!F:F,'OB History S2'!B:B,A16)</f>
        <v>3</v>
      </c>
      <c r="K16" s="2">
        <f>SUMIFS('OB History S2'!E:E,'OB History S2'!B:B,A16)-J16</f>
        <v>2</v>
      </c>
      <c r="L16" s="88">
        <f>LOOKUP(2, 1/('OB History S2'!$B:$B=A16), 'OB History S2'!$AB:$AB)</f>
        <v>0.6</v>
      </c>
      <c r="M16" s="34">
        <f>SUMIFS('OB History S2'!H:H,'OB History S2'!B:B,A16)</f>
        <v>11</v>
      </c>
      <c r="N16" s="2">
        <f>SUMIFS('OB History S2'!G:G,'OB History S2'!B:B,A16)-M16</f>
        <v>10</v>
      </c>
      <c r="O16" s="88">
        <f>LOOKUP(2, 1/('OB History S2'!$B:$B=A16), 'OB History S2'!$AC:$AC)</f>
        <v>0.52</v>
      </c>
      <c r="P16" s="2">
        <f>COUNTIFS('OB History S2'!$B:$B,$A$16,'OB History S2'!K:K, 1)</f>
        <v>0</v>
      </c>
      <c r="Q16" s="2">
        <f>COUNTIFS('OB History S2'!$B:$B,$A$16,'OB History S2'!L:L, 1)</f>
        <v>1</v>
      </c>
      <c r="R16" s="2">
        <f>COUNTIFS('OB History S2'!$B:$B,$A$16,'OB History S2'!M:M, 1)</f>
        <v>0</v>
      </c>
      <c r="S16" s="2">
        <f>COUNTIFS('OB History S2'!$B:$B,$A$16,'OB History S2'!N:N, 1)</f>
        <v>0</v>
      </c>
      <c r="T16" s="2">
        <f>COUNTIFS('OB History S2'!$B:$B,$A$16,'OB History S2'!O:O, 1)</f>
        <v>0</v>
      </c>
      <c r="U16" s="2">
        <f>COUNTIFS('OB History S2'!$B:$B,$A$16,'OB History S2'!P:P, 1)</f>
        <v>0</v>
      </c>
      <c r="V16" s="2">
        <f>COUNTIFS('OB History S2'!$B:$B,$A$16,'OB History S2'!Q:Q, 1)</f>
        <v>0</v>
      </c>
      <c r="W16" s="2">
        <f>COUNTIFS('OB History S2'!$B:$B,$A$16,'OB History S2'!R:R, 1)</f>
        <v>0</v>
      </c>
      <c r="X16" s="2">
        <f>COUNTIFS('OB History S2'!$B:$B,$A$16,'OB History S2'!S:S, 1)</f>
        <v>0</v>
      </c>
      <c r="Y16" s="2">
        <f>COUNTIFS('OB History S2'!$B:$B,$A$16,'OB History S2'!T:T, 1)</f>
        <v>0</v>
      </c>
      <c r="Z16" s="2">
        <f>COUNTIFS('OB History S2'!$B:$B,$A$16,'OB History S2'!U:U, 1)</f>
        <v>0</v>
      </c>
      <c r="AA16" s="2">
        <f>COUNTIFS('OB History S2'!$B:$B,$A$16,'OB History S2'!V:V, 1)</f>
        <v>0</v>
      </c>
      <c r="AB16" s="2">
        <f>COUNTIFS('OB History S2'!$B:$B,$A$16,'OB History S2'!W:W, 1)</f>
        <v>0</v>
      </c>
      <c r="AC16" s="2">
        <f>COUNTIFS('OB History S2'!$B:$B,$A$16,'OB History S2'!X:X, 1)</f>
        <v>1</v>
      </c>
      <c r="AD16" s="2">
        <f>COUNTIFS('OB History S2'!$B:$B,$A$16,'OB History S2'!Y:Y, 1)</f>
        <v>1</v>
      </c>
      <c r="AE16" s="2">
        <f>COUNTIFS('OB History S2'!$B:$B,$A$16,'OB History S2'!Z:Z, 1)</f>
        <v>0</v>
      </c>
    </row>
    <row r="17" spans="1:31" x14ac:dyDescent="0.25">
      <c r="A17" s="1" t="s">
        <v>151</v>
      </c>
      <c r="B17" s="2" t="s">
        <v>79</v>
      </c>
      <c r="C17" s="2" t="s">
        <v>79</v>
      </c>
      <c r="D17" s="34">
        <f>SUMIFS('OB History S2'!C:C,'OB History S2'!B:B,A17)</f>
        <v>23</v>
      </c>
      <c r="E17" s="4">
        <f>AVERAGEIFS('OB History S2'!C:C,'OB History S2'!B:B,A17)</f>
        <v>11.5</v>
      </c>
      <c r="F17" s="35">
        <f t="array" ref="F17">MAX(IF('OB History S2'!B:B=A17, 'OB History S2'!C:C))</f>
        <v>14</v>
      </c>
      <c r="G17" s="34">
        <f>COUNTIFS('OB History S2'!B:B,A17,'OB History S2'!D:D, 1)</f>
        <v>2</v>
      </c>
      <c r="H17" s="2">
        <f>COUNTIFS('OB History S2'!B:B,A17,'OB History S2'!D:D, 0)</f>
        <v>0</v>
      </c>
      <c r="I17" s="88">
        <f>LOOKUP(2, 1/('OB History S2'!$B:$B=A17), 'OB History S2'!$AD:$AD)</f>
        <v>1</v>
      </c>
      <c r="J17" s="34">
        <f>SUMIFS('OB History S2'!F:F,'OB History S2'!B:B,A17)</f>
        <v>6</v>
      </c>
      <c r="K17" s="2">
        <f>SUMIFS('OB History S2'!E:E,'OB History S2'!B:B,A17)-J17</f>
        <v>2</v>
      </c>
      <c r="L17" s="88">
        <f>LOOKUP(2, 1/('OB History S2'!$B:$B=A17), 'OB History S2'!$AB:$AB)</f>
        <v>0.75</v>
      </c>
      <c r="M17" s="34">
        <f>SUMIFS('OB History S2'!H:H,'OB History S2'!B:B,A17)</f>
        <v>20</v>
      </c>
      <c r="N17" s="2">
        <f>SUMIFS('OB History S2'!G:G,'OB History S2'!B:B,A17)-M17</f>
        <v>9</v>
      </c>
      <c r="O17" s="88">
        <f>LOOKUP(2, 1/('OB History S2'!$B:$B=A17), 'OB History S2'!$AC:$AC)</f>
        <v>0.68500000000000005</v>
      </c>
      <c r="P17" s="2">
        <f>COUNTIFS('OB History S2'!$B:$B,$A$17,'OB History S2'!K:K, 1)</f>
        <v>0</v>
      </c>
      <c r="Q17" s="2">
        <f>COUNTIFS('OB History S2'!$B:$B,$A$17,'OB History S2'!L:L, 1)</f>
        <v>0</v>
      </c>
      <c r="R17" s="2">
        <f>COUNTIFS('OB History S2'!$B:$B,$A$17,'OB History S2'!M:M, 1)</f>
        <v>0</v>
      </c>
      <c r="S17" s="2">
        <f>COUNTIFS('OB History S2'!$B:$B,$A$17,'OB History S2'!N:N, 1)</f>
        <v>1</v>
      </c>
      <c r="T17" s="2">
        <f>COUNTIFS('OB History S2'!$B:$B,$A$17,'OB History S2'!O:O, 1)</f>
        <v>0</v>
      </c>
      <c r="U17" s="2">
        <f>COUNTIFS('OB History S2'!$B:$B,$A$17,'OB History S2'!P:P, 1)</f>
        <v>1</v>
      </c>
      <c r="V17" s="2">
        <f>COUNTIFS('OB History S2'!$B:$B,$A$17,'OB History S2'!Q:Q, 1)</f>
        <v>0</v>
      </c>
      <c r="W17" s="2">
        <f>COUNTIFS('OB History S2'!$B:$B,$A$17,'OB History S2'!R:R, 1)</f>
        <v>0</v>
      </c>
      <c r="X17" s="2">
        <f>COUNTIFS('OB History S2'!$B:$B,$A$17,'OB History S2'!S:S, 1)</f>
        <v>0</v>
      </c>
      <c r="Y17" s="2">
        <f>COUNTIFS('OB History S2'!$B:$B,$A$17,'OB History S2'!T:T, 1)</f>
        <v>0</v>
      </c>
      <c r="Z17" s="2">
        <f>COUNTIFS('OB History S2'!$B:$B,$A$17,'OB History S2'!U:U, 1)</f>
        <v>1</v>
      </c>
      <c r="AA17" s="2">
        <f>COUNTIFS('OB History S2'!$B:$B,$A$17,'OB History S2'!V:V, 1)</f>
        <v>0</v>
      </c>
      <c r="AB17" s="2">
        <f>COUNTIFS('OB History S2'!$B:$B,$A$17,'OB History S2'!W:W, 1)</f>
        <v>1</v>
      </c>
      <c r="AC17" s="2">
        <f>COUNTIFS('OB History S2'!$B:$B,$A$17,'OB History S2'!X:X, 1)</f>
        <v>1</v>
      </c>
      <c r="AD17" s="2">
        <f>COUNTIFS('OB History S2'!$B:$B,$A$17,'OB History S2'!Y:Y, 1)</f>
        <v>1</v>
      </c>
      <c r="AE17" s="2">
        <f>COUNTIFS('OB History S2'!$B:$B,$A$17,'OB History S2'!Z:Z, 1)</f>
        <v>0</v>
      </c>
    </row>
    <row r="18" spans="1:31" x14ac:dyDescent="0.25">
      <c r="A18" s="2" t="s">
        <v>29</v>
      </c>
      <c r="B18" s="6" t="s">
        <v>157</v>
      </c>
      <c r="C18" s="2" t="s">
        <v>79</v>
      </c>
      <c r="D18" s="34">
        <f>SUMIFS('OB History S2'!C:C,'OB History S2'!B:B,A18)</f>
        <v>58</v>
      </c>
      <c r="E18" s="4">
        <f>AVERAGEIFS('OB History S2'!C:C,'OB History S2'!B:B,A18)</f>
        <v>14.5</v>
      </c>
      <c r="F18" s="35">
        <f t="array" ref="F18">MAX(IF('OB History S2'!B:B=A18, 'OB History S2'!C:C))</f>
        <v>20</v>
      </c>
      <c r="G18" s="34">
        <f>COUNTIFS('OB History S2'!B:B,A18,'OB History S2'!D:D, 1)</f>
        <v>2</v>
      </c>
      <c r="H18" s="2">
        <f>COUNTIFS('OB History S2'!B:B,A18,'OB History S2'!D:D, 0)</f>
        <v>2</v>
      </c>
      <c r="I18" s="88">
        <f>LOOKUP(2, 1/('OB History S2'!$B:$B=A18), 'OB History S2'!$AD:$AD)</f>
        <v>0.5</v>
      </c>
      <c r="J18" s="34">
        <f>SUMIFS('OB History S2'!F:F,'OB History S2'!B:B,A18)</f>
        <v>8</v>
      </c>
      <c r="K18" s="2">
        <f>SUMIFS('OB History S2'!E:E,'OB History S2'!B:B,A18)-J18</f>
        <v>7</v>
      </c>
      <c r="L18" s="88">
        <f>LOOKUP(2, 1/('OB History S2'!$B:$B=A18), 'OB History S2'!$AB:$AB)</f>
        <v>0.53749999999999998</v>
      </c>
      <c r="M18" s="34">
        <f>SUMIFS('OB History S2'!H:H,'OB History S2'!B:B,A18)</f>
        <v>32</v>
      </c>
      <c r="N18" s="2">
        <f>SUMIFS('OB History S2'!G:G,'OB History S2'!B:B,A18)-M18</f>
        <v>27</v>
      </c>
      <c r="O18" s="88">
        <f>LOOKUP(2, 1/('OB History S2'!$B:$B=A18), 'OB History S2'!$AC:$AC)</f>
        <v>0.5625</v>
      </c>
      <c r="P18" s="2">
        <f>COUNTIFS('OB History S2'!$B:$B,$A$18,'OB History S2'!K:K, 1)</f>
        <v>1</v>
      </c>
      <c r="Q18" s="2">
        <f>COUNTIFS('OB History S2'!$B:$B,$A$18,'OB History S2'!L:L, 1)</f>
        <v>1</v>
      </c>
      <c r="R18" s="2">
        <f>COUNTIFS('OB History S2'!$B:$B,$A$18,'OB History S2'!M:M, 1)</f>
        <v>0</v>
      </c>
      <c r="S18" s="2">
        <f>COUNTIFS('OB History S2'!$B:$B,$A$18,'OB History S2'!N:N, 1)</f>
        <v>0</v>
      </c>
      <c r="T18" s="2">
        <f>COUNTIFS('OB History S2'!$B:$B,$A$18,'OB History S2'!O:O, 1)</f>
        <v>0</v>
      </c>
      <c r="U18" s="2">
        <f>COUNTIFS('OB History S2'!$B:$B,$A$18,'OB History S2'!P:P, 1)</f>
        <v>1</v>
      </c>
      <c r="V18" s="2">
        <f>COUNTIFS('OB History S2'!$B:$B,$A$18,'OB History S2'!Q:Q, 1)</f>
        <v>0</v>
      </c>
      <c r="W18" s="2">
        <f>COUNTIFS('OB History S2'!$B:$B,$A$18,'OB History S2'!R:R, 1)</f>
        <v>0</v>
      </c>
      <c r="X18" s="2">
        <f>COUNTIFS('OB History S2'!$B:$B,$A$18,'OB History S2'!S:S, 1)</f>
        <v>0</v>
      </c>
      <c r="Y18" s="2">
        <f>COUNTIFS('OB History S2'!$B:$B,$A$18,'OB History S2'!T:T, 1)</f>
        <v>0</v>
      </c>
      <c r="Z18" s="2">
        <f>COUNTIFS('OB History S2'!$B:$B,$A$18,'OB History S2'!U:U, 1)</f>
        <v>0</v>
      </c>
      <c r="AA18" s="2">
        <f>COUNTIFS('OB History S2'!$B:$B,$A$18,'OB History S2'!V:V, 1)</f>
        <v>0</v>
      </c>
      <c r="AB18" s="2">
        <f>COUNTIFS('OB History S2'!$B:$B,$A$18,'OB History S2'!W:W, 1)</f>
        <v>2</v>
      </c>
      <c r="AC18" s="2">
        <f>COUNTIFS('OB History S2'!$B:$B,$A$18,'OB History S2'!X:X, 1)</f>
        <v>1</v>
      </c>
      <c r="AD18" s="2">
        <f>COUNTIFS('OB History S2'!$B:$B,$A$18,'OB History S2'!Y:Y, 1)</f>
        <v>2</v>
      </c>
      <c r="AE18" s="2">
        <f>COUNTIFS('OB History S2'!$B:$B,$A$18,'OB History S2'!Z:Z, 1)</f>
        <v>0</v>
      </c>
    </row>
    <row r="19" spans="1:31" x14ac:dyDescent="0.25">
      <c r="A19" s="2" t="s">
        <v>1</v>
      </c>
      <c r="B19" s="6" t="s">
        <v>124</v>
      </c>
      <c r="C19" s="2" t="s">
        <v>79</v>
      </c>
      <c r="D19" s="34">
        <f>SUMIFS('OB History S2'!C:C,'OB History S2'!B:B,A19)</f>
        <v>14</v>
      </c>
      <c r="E19" s="4">
        <f>AVERAGEIFS('OB History S2'!C:C,'OB History S2'!B:B,A19)</f>
        <v>14</v>
      </c>
      <c r="F19" s="35">
        <f t="array" ref="F19">MAX(IF('OB History S2'!B:B=A19, 'OB History S2'!C:C))</f>
        <v>14</v>
      </c>
      <c r="G19" s="34">
        <f>COUNTIFS('OB History S2'!B:B,A19,'OB History S2'!D:D, 1)</f>
        <v>0</v>
      </c>
      <c r="H19" s="2">
        <f>COUNTIFS('OB History S2'!B:B,A19,'OB History S2'!D:D, 0)</f>
        <v>1</v>
      </c>
      <c r="I19" s="88">
        <f>LOOKUP(2, 1/('OB History S2'!$B:$B=A19), 'OB History S2'!$AD:$AD)</f>
        <v>0</v>
      </c>
      <c r="J19" s="34">
        <f>SUMIFS('OB History S2'!F:F,'OB History S2'!B:B,A19)</f>
        <v>0</v>
      </c>
      <c r="K19" s="2">
        <f>SUMIFS('OB History S2'!E:E,'OB History S2'!B:B,A19)-J19</f>
        <v>3</v>
      </c>
      <c r="L19" s="88">
        <f>LOOKUP(2, 1/('OB History S2'!$B:$B=A19), 'OB History S2'!$AB:$AB)</f>
        <v>0</v>
      </c>
      <c r="M19" s="34">
        <f>SUMIFS('OB History S2'!H:H,'OB History S2'!B:B,A19)</f>
        <v>2</v>
      </c>
      <c r="N19" s="2">
        <f>SUMIFS('OB History S2'!G:G,'OB History S2'!B:B,A19)-M19</f>
        <v>9</v>
      </c>
      <c r="O19" s="88">
        <f>LOOKUP(2, 1/('OB History S2'!$B:$B=A19), 'OB History S2'!$AC:$AC)</f>
        <v>0.18</v>
      </c>
      <c r="P19" s="2">
        <f>COUNTIFS('OB History S2'!$B:$B,$A$19,'OB History S2'!K:K, 1)</f>
        <v>0</v>
      </c>
      <c r="Q19" s="2">
        <f>COUNTIFS('OB History S2'!$B:$B,$A$19,'OB History S2'!L:L, 1)</f>
        <v>0</v>
      </c>
      <c r="R19" s="2">
        <f>COUNTIFS('OB History S2'!$B:$B,$A$19,'OB History S2'!M:M, 1)</f>
        <v>0</v>
      </c>
      <c r="S19" s="2">
        <f>COUNTIFS('OB History S2'!$B:$B,$A$19,'OB History S2'!N:N, 1)</f>
        <v>0</v>
      </c>
      <c r="T19" s="2">
        <f>COUNTIFS('OB History S2'!$B:$B,$A$19,'OB History S2'!O:O, 1)</f>
        <v>0</v>
      </c>
      <c r="U19" s="2">
        <f>COUNTIFS('OB History S2'!$B:$B,$A$19,'OB History S2'!P:P, 1)</f>
        <v>0</v>
      </c>
      <c r="V19" s="2">
        <f>COUNTIFS('OB History S2'!$B:$B,$A$19,'OB History S2'!Q:Q, 1)</f>
        <v>0</v>
      </c>
      <c r="W19" s="2">
        <f>COUNTIFS('OB History S2'!$B:$B,$A$19,'OB History S2'!R:R, 1)</f>
        <v>0</v>
      </c>
      <c r="X19" s="2">
        <f>COUNTIFS('OB History S2'!$B:$B,$A$19,'OB History S2'!S:S, 1)</f>
        <v>0</v>
      </c>
      <c r="Y19" s="2">
        <f>COUNTIFS('OB History S2'!$B:$B,$A$19,'OB History S2'!T:T, 1)</f>
        <v>0</v>
      </c>
      <c r="Z19" s="2">
        <f>COUNTIFS('OB History S2'!$B:$B,$A$19,'OB History S2'!U:U, 1)</f>
        <v>0</v>
      </c>
      <c r="AA19" s="2">
        <f>COUNTIFS('OB History S2'!$B:$B,$A$19,'OB History S2'!V:V, 1)</f>
        <v>0</v>
      </c>
      <c r="AB19" s="2">
        <f>COUNTIFS('OB History S2'!$B:$B,$A$19,'OB History S2'!W:W, 1)</f>
        <v>0</v>
      </c>
      <c r="AC19" s="2">
        <f>COUNTIFS('OB History S2'!$B:$B,$A$19,'OB History S2'!X:X, 1)</f>
        <v>0</v>
      </c>
      <c r="AD19" s="2">
        <f>COUNTIFS('OB History S2'!$B:$B,$A$19,'OB History S2'!Y:Y, 1)</f>
        <v>0</v>
      </c>
      <c r="AE19" s="2">
        <f>COUNTIFS('OB History S2'!$B:$B,$A$19,'OB History S2'!Z:Z, 1)</f>
        <v>0</v>
      </c>
    </row>
    <row r="20" spans="1:31" x14ac:dyDescent="0.25">
      <c r="A20" s="2" t="s">
        <v>140</v>
      </c>
      <c r="B20" s="6" t="s">
        <v>79</v>
      </c>
      <c r="C20" s="2" t="s">
        <v>79</v>
      </c>
      <c r="D20" s="34">
        <f>SUMIFS('OB History S2'!C:C,'OB History S2'!B:B,A20)</f>
        <v>15</v>
      </c>
      <c r="E20" s="4">
        <f>AVERAGEIFS('OB History S2'!C:C,'OB History S2'!B:B,A20)</f>
        <v>7.5</v>
      </c>
      <c r="F20" s="35">
        <f t="array" ref="F20">MAX(IF('OB History S2'!B:B=A20, 'OB History S2'!C:C))</f>
        <v>8</v>
      </c>
      <c r="G20" s="34">
        <f>COUNTIFS('OB History S2'!B:B,A20,'OB History S2'!D:D, 1)</f>
        <v>0</v>
      </c>
      <c r="H20" s="2">
        <f>COUNTIFS('OB History S2'!B:B,A20,'OB History S2'!D:D, 0)</f>
        <v>2</v>
      </c>
      <c r="I20" s="88">
        <f>LOOKUP(2, 1/('OB History S2'!$B:$B=A20), 'OB History S2'!$AD:$AD)</f>
        <v>0</v>
      </c>
      <c r="J20" s="34">
        <f>SUMIFS('OB History S2'!F:F,'OB History S2'!B:B,A20)</f>
        <v>2</v>
      </c>
      <c r="K20" s="2">
        <f>SUMIFS('OB History S2'!E:E,'OB History S2'!B:B,A20)-J20</f>
        <v>6</v>
      </c>
      <c r="L20" s="88">
        <f>LOOKUP(2, 1/('OB History S2'!$B:$B=A20), 'OB History S2'!$AB:$AB)</f>
        <v>0.25</v>
      </c>
      <c r="M20" s="34">
        <f>SUMIFS('OB History S2'!H:H,'OB History S2'!B:B,A20)</f>
        <v>9</v>
      </c>
      <c r="N20" s="2">
        <f>SUMIFS('OB History S2'!G:G,'OB History S2'!B:B,A20)-M20</f>
        <v>20</v>
      </c>
      <c r="O20" s="88">
        <f>LOOKUP(2, 1/('OB History S2'!$B:$B=A20), 'OB History S2'!$AC:$AC)</f>
        <v>0.315</v>
      </c>
      <c r="P20" s="2">
        <f>COUNTIFS('OB History S2'!$B:$B,$A$20,'OB History S2'!K:K, 1)</f>
        <v>0</v>
      </c>
      <c r="Q20" s="2">
        <f>COUNTIFS('OB History S2'!$B:$B,$A$20,'OB History S2'!L:L, 1)</f>
        <v>0</v>
      </c>
      <c r="R20" s="2">
        <f>COUNTIFS('OB History S2'!$B:$B,$A$20,'OB History S2'!M:M, 1)</f>
        <v>0</v>
      </c>
      <c r="S20" s="2">
        <f>COUNTIFS('OB History S2'!$B:$B,$A$20,'OB History S2'!N:N, 1)</f>
        <v>0</v>
      </c>
      <c r="T20" s="2">
        <f>COUNTIFS('OB History S2'!$B:$B,$A$20,'OB History S2'!O:O, 1)</f>
        <v>0</v>
      </c>
      <c r="U20" s="2">
        <f>COUNTIFS('OB History S2'!$B:$B,$A$20,'OB History S2'!P:P, 1)</f>
        <v>0</v>
      </c>
      <c r="V20" s="2">
        <f>COUNTIFS('OB History S2'!$B:$B,$A$20,'OB History S2'!Q:Q, 1)</f>
        <v>0</v>
      </c>
      <c r="W20" s="2">
        <f>COUNTIFS('OB History S2'!$B:$B,$A$20,'OB History S2'!R:R, 1)</f>
        <v>0</v>
      </c>
      <c r="X20" s="2">
        <f>COUNTIFS('OB History S2'!$B:$B,$A$20,'OB History S2'!S:S, 1)</f>
        <v>0</v>
      </c>
      <c r="Y20" s="2">
        <f>COUNTIFS('OB History S2'!$B:$B,$A$20,'OB History S2'!T:T, 1)</f>
        <v>0</v>
      </c>
      <c r="Z20" s="2">
        <f>COUNTIFS('OB History S2'!$B:$B,$A$20,'OB History S2'!U:U, 1)</f>
        <v>0</v>
      </c>
      <c r="AA20" s="2">
        <f>COUNTIFS('OB History S2'!$B:$B,$A$20,'OB History S2'!V:V, 1)</f>
        <v>0</v>
      </c>
      <c r="AB20" s="2">
        <f>COUNTIFS('OB History S2'!$B:$B,$A$20,'OB History S2'!W:W, 1)</f>
        <v>0</v>
      </c>
      <c r="AC20" s="2">
        <f>COUNTIFS('OB History S2'!$B:$B,$A$20,'OB History S2'!X:X, 1)</f>
        <v>1</v>
      </c>
      <c r="AD20" s="2">
        <f>COUNTIFS('OB History S2'!$B:$B,$A$20,'OB History S2'!Y:Y, 1)</f>
        <v>0</v>
      </c>
      <c r="AE20" s="2">
        <f>COUNTIFS('OB History S2'!$B:$B,$A$20,'OB History S2'!Z:Z, 1)</f>
        <v>1</v>
      </c>
    </row>
    <row r="21" spans="1:31" ht="15.75" x14ac:dyDescent="0.25">
      <c r="A21" s="2" t="s">
        <v>20</v>
      </c>
      <c r="B21" s="80" t="s">
        <v>60</v>
      </c>
      <c r="C21" s="2" t="s">
        <v>79</v>
      </c>
      <c r="D21" s="34">
        <f>SUMIFS('OB History S2'!C:C,'OB History S2'!B:B,A21)</f>
        <v>10</v>
      </c>
      <c r="E21" s="4">
        <f>AVERAGEIFS('OB History S2'!C:C,'OB History S2'!B:B,A21)</f>
        <v>10</v>
      </c>
      <c r="F21" s="35">
        <f t="array" ref="F21">MAX(IF('OB History S2'!B:B=A21, 'OB History S2'!C:C))</f>
        <v>10</v>
      </c>
      <c r="G21" s="34">
        <f>COUNTIFS('OB History S2'!B:B,A21,'OB History S2'!D:D, 1)</f>
        <v>0</v>
      </c>
      <c r="H21" s="2">
        <f>COUNTIFS('OB History S2'!B:B,A21,'OB History S2'!D:D, 0)</f>
        <v>1</v>
      </c>
      <c r="I21" s="88">
        <f>LOOKUP(2, 1/('OB History S2'!$B:$B=A21), 'OB History S2'!$AD:$AD)</f>
        <v>0</v>
      </c>
      <c r="J21" s="34">
        <f>SUMIFS('OB History S2'!F:F,'OB History S2'!B:B,A21)</f>
        <v>0</v>
      </c>
      <c r="K21" s="2">
        <f>SUMIFS('OB History S2'!E:E,'OB History S2'!B:B,A21)-J21</f>
        <v>3</v>
      </c>
      <c r="L21" s="88">
        <f>LOOKUP(2, 1/('OB History S2'!$B:$B=A21), 'OB History S2'!$AB:$AB)</f>
        <v>0</v>
      </c>
      <c r="M21" s="34">
        <f>SUMIFS('OB History S2'!H:H,'OB History S2'!B:B,A21)</f>
        <v>4</v>
      </c>
      <c r="N21" s="2">
        <f>SUMIFS('OB History S2'!G:G,'OB History S2'!B:B,A21)-M21</f>
        <v>9</v>
      </c>
      <c r="O21" s="88">
        <f>LOOKUP(2, 1/('OB History S2'!$B:$B=A21), 'OB History S2'!$AC:$AC)</f>
        <v>0.31</v>
      </c>
      <c r="P21" s="2">
        <f>COUNTIFS('OB History S2'!$B:$B,$A$21,'OB History S2'!K:K, 1)</f>
        <v>0</v>
      </c>
      <c r="Q21" s="2">
        <f>COUNTIFS('OB History S2'!$B:$B,$A$21,'OB History S2'!L:L, 1)</f>
        <v>0</v>
      </c>
      <c r="R21" s="2">
        <f>COUNTIFS('OB History S2'!$B:$B,$A$21,'OB History S2'!M:M, 1)</f>
        <v>0</v>
      </c>
      <c r="S21" s="2">
        <f>COUNTIFS('OB History S2'!$B:$B,$A$21,'OB History S2'!N:N, 1)</f>
        <v>0</v>
      </c>
      <c r="T21" s="2">
        <f>COUNTIFS('OB History S2'!$B:$B,$A$21,'OB History S2'!O:O, 1)</f>
        <v>0</v>
      </c>
      <c r="U21" s="2">
        <f>COUNTIFS('OB History S2'!$B:$B,$A$21,'OB History S2'!P:P, 1)</f>
        <v>0</v>
      </c>
      <c r="V21" s="2">
        <f>COUNTIFS('OB History S2'!$B:$B,$A$21,'OB History S2'!Q:Q, 1)</f>
        <v>0</v>
      </c>
      <c r="W21" s="2">
        <f>COUNTIFS('OB History S2'!$B:$B,$A$21,'OB History S2'!R:R, 1)</f>
        <v>0</v>
      </c>
      <c r="X21" s="2">
        <f>COUNTIFS('OB History S2'!$B:$B,$A$21,'OB History S2'!S:S, 1)</f>
        <v>0</v>
      </c>
      <c r="Y21" s="2">
        <f>COUNTIFS('OB History S2'!$B:$B,$A$21,'OB History S2'!T:T, 1)</f>
        <v>0</v>
      </c>
      <c r="Z21" s="2">
        <f>COUNTIFS('OB History S2'!$B:$B,$A$21,'OB History S2'!U:U, 1)</f>
        <v>0</v>
      </c>
      <c r="AA21" s="2">
        <f>COUNTIFS('OB History S2'!$B:$B,$A$21,'OB History S2'!V:V, 1)</f>
        <v>0</v>
      </c>
      <c r="AB21" s="2">
        <f>COUNTIFS('OB History S2'!$B:$B,$A$21,'OB History S2'!W:W, 1)</f>
        <v>0</v>
      </c>
      <c r="AC21" s="2">
        <f>COUNTIFS('OB History S2'!$B:$B,$A$21,'OB History S2'!X:X, 1)</f>
        <v>0</v>
      </c>
      <c r="AD21" s="2">
        <f>COUNTIFS('OB History S2'!$B:$B,$A$21,'OB History S2'!Y:Y, 1)</f>
        <v>0</v>
      </c>
      <c r="AE21" s="2">
        <f>COUNTIFS('OB History S2'!$B:$B,$A$21,'OB History S2'!Z:Z, 1)</f>
        <v>0</v>
      </c>
    </row>
    <row r="22" spans="1:31" x14ac:dyDescent="0.25">
      <c r="A22" s="1" t="s">
        <v>47</v>
      </c>
      <c r="B22" s="2" t="s">
        <v>79</v>
      </c>
      <c r="C22" s="2" t="s">
        <v>79</v>
      </c>
      <c r="D22" s="34">
        <f>SUMIFS('OB History S2'!C:C,'OB History S2'!B:B,A22)</f>
        <v>9</v>
      </c>
      <c r="E22" s="4">
        <f>AVERAGEIFS('OB History S2'!C:C,'OB History S2'!B:B,A22)</f>
        <v>9</v>
      </c>
      <c r="F22" s="35">
        <f t="array" ref="F22">MAX(IF('OB History S2'!B:B=A22, 'OB History S2'!C:C))</f>
        <v>9</v>
      </c>
      <c r="G22" s="34">
        <f>COUNTIFS('OB History S2'!B:B,A22,'OB History S2'!D:D, 1)</f>
        <v>0</v>
      </c>
      <c r="H22" s="2">
        <f>COUNTIFS('OB History S2'!B:B,A22,'OB History S2'!D:D, 0)</f>
        <v>1</v>
      </c>
      <c r="I22" s="88">
        <f>LOOKUP(2, 1/('OB History S2'!$B:$B=A22), 'OB History S2'!$AD:$AD)</f>
        <v>0</v>
      </c>
      <c r="J22" s="34">
        <f>SUMIFS('OB History S2'!F:F,'OB History S2'!B:B,A22)</f>
        <v>2</v>
      </c>
      <c r="K22" s="2">
        <f>SUMIFS('OB History S2'!E:E,'OB History S2'!B:B,A22)-J22</f>
        <v>3</v>
      </c>
      <c r="L22" s="88">
        <f>LOOKUP(2, 1/('OB History S2'!$B:$B=A22), 'OB History S2'!$AB:$AB)</f>
        <v>0.4</v>
      </c>
      <c r="M22" s="34">
        <f>SUMIFS('OB History S2'!H:H,'OB History S2'!B:B,A22)</f>
        <v>10</v>
      </c>
      <c r="N22" s="2">
        <f>SUMIFS('OB History S2'!G:G,'OB History S2'!B:B,A22)-M22</f>
        <v>11</v>
      </c>
      <c r="O22" s="88">
        <f>LOOKUP(2, 1/('OB History S2'!$B:$B=A22), 'OB History S2'!$AC:$AC)</f>
        <v>0.48</v>
      </c>
      <c r="P22" s="2">
        <f>COUNTIFS('OB History S2'!$B:$B,$A$22,'OB History S2'!K:K, 1)</f>
        <v>1</v>
      </c>
      <c r="Q22" s="2">
        <f>COUNTIFS('OB History S2'!$B:$B,$A$22,'OB History S2'!L:L, 1)</f>
        <v>0</v>
      </c>
      <c r="R22" s="2">
        <f>COUNTIFS('OB History S2'!$B:$B,$A$22,'OB History S2'!M:M, 1)</f>
        <v>0</v>
      </c>
      <c r="S22" s="2">
        <f>COUNTIFS('OB History S2'!$B:$B,$A$22,'OB History S2'!N:N, 1)</f>
        <v>0</v>
      </c>
      <c r="T22" s="2">
        <f>COUNTIFS('OB History S2'!$B:$B,$A$22,'OB History S2'!O:O, 1)</f>
        <v>0</v>
      </c>
      <c r="U22" s="2">
        <f>COUNTIFS('OB History S2'!$B:$B,$A$22,'OB History S2'!P:P, 1)</f>
        <v>0</v>
      </c>
      <c r="V22" s="2">
        <f>COUNTIFS('OB History S2'!$B:$B,$A$22,'OB History S2'!Q:Q, 1)</f>
        <v>0</v>
      </c>
      <c r="W22" s="2">
        <f>COUNTIFS('OB History S2'!$B:$B,$A$22,'OB History S2'!R:R, 1)</f>
        <v>0</v>
      </c>
      <c r="X22" s="2">
        <f>COUNTIFS('OB History S2'!$B:$B,$A$22,'OB History S2'!S:S, 1)</f>
        <v>0</v>
      </c>
      <c r="Y22" s="2">
        <f>COUNTIFS('OB History S2'!$B:$B,$A$22,'OB History S2'!T:T, 1)</f>
        <v>0</v>
      </c>
      <c r="Z22" s="2">
        <f>COUNTIFS('OB History S2'!$B:$B,$A$22,'OB History S2'!U:U, 1)</f>
        <v>0</v>
      </c>
      <c r="AA22" s="2">
        <f>COUNTIFS('OB History S2'!$B:$B,$A$22,'OB History S2'!V:V, 1)</f>
        <v>0</v>
      </c>
      <c r="AB22" s="2">
        <f>COUNTIFS('OB History S2'!$B:$B,$A$22,'OB History S2'!W:W, 1)</f>
        <v>1</v>
      </c>
      <c r="AC22" s="2">
        <f>COUNTIFS('OB History S2'!$B:$B,$A$22,'OB History S2'!X:X, 1)</f>
        <v>0</v>
      </c>
      <c r="AD22" s="2">
        <f>COUNTIFS('OB History S2'!$B:$B,$A$22,'OB History S2'!Y:Y, 1)</f>
        <v>0</v>
      </c>
      <c r="AE22" s="2">
        <f>COUNTIFS('OB History S2'!$B:$B,$A$22,'OB History S2'!Z:Z, 1)</f>
        <v>0</v>
      </c>
    </row>
    <row r="23" spans="1:31" x14ac:dyDescent="0.25">
      <c r="A23" s="2" t="s">
        <v>149</v>
      </c>
      <c r="B23" s="6" t="s">
        <v>79</v>
      </c>
      <c r="C23" s="6" t="s">
        <v>79</v>
      </c>
      <c r="D23" s="34">
        <f>SUMIFS('OB History S2'!C:C,'OB History S2'!B:B,A23)</f>
        <v>89</v>
      </c>
      <c r="E23" s="4">
        <f>AVERAGEIFS('OB History S2'!C:C,'OB History S2'!B:B,A23)</f>
        <v>14.833333333333334</v>
      </c>
      <c r="F23" s="35">
        <f t="array" ref="F23">MAX(IF('OB History S2'!B:B=A23, 'OB History S2'!C:C))</f>
        <v>23</v>
      </c>
      <c r="G23" s="34">
        <f>COUNTIFS('OB History S2'!B:B,A23,'OB History S2'!D:D, 1)</f>
        <v>6</v>
      </c>
      <c r="H23" s="2">
        <f>COUNTIFS('OB History S2'!B:B,A23,'OB History S2'!D:D, 0)</f>
        <v>0</v>
      </c>
      <c r="I23" s="88">
        <f>LOOKUP(2, 1/('OB History S2'!$B:$B=A23), 'OB History S2'!$AD:$AD)</f>
        <v>1</v>
      </c>
      <c r="J23" s="34">
        <f>SUMIFS('OB History S2'!F:F,'OB History S2'!B:B,A23)</f>
        <v>18</v>
      </c>
      <c r="K23" s="2">
        <f>SUMIFS('OB History S2'!E:E,'OB History S2'!B:B,A23)-J23</f>
        <v>6</v>
      </c>
      <c r="L23" s="88">
        <f>LOOKUP(2, 1/('OB History S2'!$B:$B=A23), 'OB History S2'!$AB:$AB)</f>
        <v>0.78333333333333333</v>
      </c>
      <c r="M23" s="34">
        <f>SUMIFS('OB History S2'!H:H,'OB History S2'!B:B,A23)</f>
        <v>62</v>
      </c>
      <c r="N23" s="2">
        <f>SUMIFS('OB History S2'!G:G,'OB History S2'!B:B,A23)-M23</f>
        <v>33</v>
      </c>
      <c r="O23" s="88">
        <f>LOOKUP(2, 1/('OB History S2'!$B:$B=A23), 'OB History S2'!$AC:$AC)</f>
        <v>0.66999999999999993</v>
      </c>
      <c r="P23" s="2">
        <f>COUNTIFS('OB History S2'!$B:$B,$A$23,'OB History S2'!K:K, 1)</f>
        <v>0</v>
      </c>
      <c r="Q23" s="2">
        <f>COUNTIFS('OB History S2'!$B:$B,$A$23,'OB History S2'!L:L, 1)</f>
        <v>3</v>
      </c>
      <c r="R23" s="2">
        <f>COUNTIFS('OB History S2'!$B:$B,$A$23,'OB History S2'!M:M, 1)</f>
        <v>1</v>
      </c>
      <c r="S23" s="2">
        <f>COUNTIFS('OB History S2'!$B:$B,$A$23,'OB History S2'!N:N, 1)</f>
        <v>1</v>
      </c>
      <c r="T23" s="2">
        <f>COUNTIFS('OB History S2'!$B:$B,$A$23,'OB History S2'!O:O, 1)</f>
        <v>0</v>
      </c>
      <c r="U23" s="2">
        <f>COUNTIFS('OB History S2'!$B:$B,$A$23,'OB History S2'!P:P, 1)</f>
        <v>1</v>
      </c>
      <c r="V23" s="2">
        <f>COUNTIFS('OB History S2'!$B:$B,$A$23,'OB History S2'!Q:Q, 1)</f>
        <v>1</v>
      </c>
      <c r="W23" s="2">
        <f>COUNTIFS('OB History S2'!$B:$B,$A$23,'OB History S2'!R:R, 1)</f>
        <v>0</v>
      </c>
      <c r="X23" s="2">
        <f>COUNTIFS('OB History S2'!$B:$B,$A$23,'OB History S2'!S:S, 1)</f>
        <v>0</v>
      </c>
      <c r="Y23" s="2">
        <f>COUNTIFS('OB History S2'!$B:$B,$A$23,'OB History S2'!T:T, 1)</f>
        <v>1</v>
      </c>
      <c r="Z23" s="2">
        <f>COUNTIFS('OB History S2'!$B:$B,$A$23,'OB History S2'!U:U, 1)</f>
        <v>1</v>
      </c>
      <c r="AA23" s="2">
        <f>COUNTIFS('OB History S2'!$B:$B,$A$23,'OB History S2'!V:V, 1)</f>
        <v>0</v>
      </c>
      <c r="AB23" s="2">
        <f>COUNTIFS('OB History S2'!$B:$B,$A$23,'OB History S2'!W:W, 1)</f>
        <v>1</v>
      </c>
      <c r="AC23" s="2">
        <f>COUNTIFS('OB History S2'!$B:$B,$A$23,'OB History S2'!X:X, 1)</f>
        <v>3</v>
      </c>
      <c r="AD23" s="2">
        <f>COUNTIFS('OB History S2'!$B:$B,$A$23,'OB History S2'!Y:Y, 1)</f>
        <v>4</v>
      </c>
      <c r="AE23" s="2">
        <f>COUNTIFS('OB History S2'!$B:$B,$A$23,'OB History S2'!Z:Z, 1)</f>
        <v>1</v>
      </c>
    </row>
    <row r="24" spans="1:31" x14ac:dyDescent="0.25">
      <c r="A24" s="2" t="s">
        <v>15</v>
      </c>
      <c r="B24" s="2" t="s">
        <v>79</v>
      </c>
      <c r="C24" s="2" t="s">
        <v>79</v>
      </c>
      <c r="D24" s="34">
        <f>SUMIFS('OB History S2'!C:C,'OB History S2'!B:B,A24)</f>
        <v>108</v>
      </c>
      <c r="E24" s="4">
        <f>AVERAGEIFS('OB History S2'!C:C,'OB History S2'!B:B,A24)</f>
        <v>27</v>
      </c>
      <c r="F24" s="35">
        <f t="array" ref="F24">MAX(IF('OB History S2'!B:B=A24, 'OB History S2'!C:C))</f>
        <v>39</v>
      </c>
      <c r="G24" s="34">
        <f>COUNTIFS('OB History S2'!B:B,A24,'OB History S2'!D:D, 1)</f>
        <v>2</v>
      </c>
      <c r="H24" s="2">
        <f>COUNTIFS('OB History S2'!B:B,A24,'OB History S2'!D:D, 0)</f>
        <v>2</v>
      </c>
      <c r="I24" s="88">
        <f>LOOKUP(2, 1/('OB History S2'!$B:$B=A24), 'OB History S2'!$AD:$AD)</f>
        <v>0.5</v>
      </c>
      <c r="J24" s="34">
        <f>SUMIFS('OB History S2'!F:F,'OB History S2'!B:B,A24)</f>
        <v>9</v>
      </c>
      <c r="K24" s="2">
        <f>SUMIFS('OB History S2'!E:E,'OB History S2'!B:B,A24)-J24</f>
        <v>7</v>
      </c>
      <c r="L24" s="88">
        <f>LOOKUP(2, 1/('OB History S2'!$B:$B=A24), 'OB History S2'!$AB:$AB)</f>
        <v>0.6</v>
      </c>
      <c r="M24" s="34">
        <f>SUMIFS('OB History S2'!H:H,'OB History S2'!B:B,A24)</f>
        <v>33</v>
      </c>
      <c r="N24" s="2">
        <f>SUMIFS('OB History S2'!G:G,'OB History S2'!B:B,A24)-M24</f>
        <v>30</v>
      </c>
      <c r="O24" s="88">
        <f>LOOKUP(2, 1/('OB History S2'!$B:$B=A24), 'OB History S2'!$AC:$AC)</f>
        <v>0.53999999999999992</v>
      </c>
      <c r="P24" s="2">
        <f>COUNTIFS('OB History S2'!$B:$B,$A$24,'OB History S2'!K:K, 1)</f>
        <v>0</v>
      </c>
      <c r="Q24" s="2">
        <f>COUNTIFS('OB History S2'!$B:$B,$A$24,'OB History S2'!L:L, 1)</f>
        <v>1</v>
      </c>
      <c r="R24" s="2">
        <f>COUNTIFS('OB History S2'!$B:$B,$A$24,'OB History S2'!M:M, 1)</f>
        <v>0</v>
      </c>
      <c r="S24" s="2">
        <f>COUNTIFS('OB History S2'!$B:$B,$A$24,'OB History S2'!N:N, 1)</f>
        <v>1</v>
      </c>
      <c r="T24" s="2">
        <f>COUNTIFS('OB History S2'!$B:$B,$A$24,'OB History S2'!O:O, 1)</f>
        <v>0</v>
      </c>
      <c r="U24" s="2">
        <f>COUNTIFS('OB History S2'!$B:$B,$A$24,'OB History S2'!P:P, 1)</f>
        <v>1</v>
      </c>
      <c r="V24" s="2">
        <f>COUNTIFS('OB History S2'!$B:$B,$A$24,'OB History S2'!Q:Q, 1)</f>
        <v>1</v>
      </c>
      <c r="W24" s="2">
        <f>COUNTIFS('OB History S2'!$B:$B,$A$24,'OB History S2'!R:R, 1)</f>
        <v>0</v>
      </c>
      <c r="X24" s="2">
        <f>COUNTIFS('OB History S2'!$B:$B,$A$24,'OB History S2'!S:S, 1)</f>
        <v>0</v>
      </c>
      <c r="Y24" s="2">
        <f>COUNTIFS('OB History S2'!$B:$B,$A$24,'OB History S2'!T:T, 1)</f>
        <v>0</v>
      </c>
      <c r="Z24" s="2">
        <f>COUNTIFS('OB History S2'!$B:$B,$A$24,'OB History S2'!U:U, 1)</f>
        <v>1</v>
      </c>
      <c r="AA24" s="2">
        <f>COUNTIFS('OB History S2'!$B:$B,$A$24,'OB History S2'!V:V, 1)</f>
        <v>0</v>
      </c>
      <c r="AB24" s="2">
        <f>COUNTIFS('OB History S2'!$B:$B,$A$24,'OB History S2'!W:W, 1)</f>
        <v>0</v>
      </c>
      <c r="AC24" s="2">
        <f>COUNTIFS('OB History S2'!$B:$B,$A$24,'OB History S2'!X:X, 1)</f>
        <v>3</v>
      </c>
      <c r="AD24" s="2">
        <f>COUNTIFS('OB History S2'!$B:$B,$A$24,'OB History S2'!Y:Y, 1)</f>
        <v>0</v>
      </c>
      <c r="AE24" s="2">
        <f>COUNTIFS('OB History S2'!$B:$B,$A$24,'OB History S2'!Z:Z, 1)</f>
        <v>1</v>
      </c>
    </row>
    <row r="25" spans="1:31" x14ac:dyDescent="0.25">
      <c r="A25" s="2" t="s">
        <v>13</v>
      </c>
      <c r="B25" s="6" t="s">
        <v>124</v>
      </c>
      <c r="C25" s="6" t="s">
        <v>60</v>
      </c>
      <c r="D25" s="34">
        <f>SUMIFS('OB History S2'!C:C,'OB History S2'!B:B,A25)</f>
        <v>151</v>
      </c>
      <c r="E25" s="4">
        <f>AVERAGEIFS('OB History S2'!C:C,'OB History S2'!B:B,A25)</f>
        <v>25.166666666666668</v>
      </c>
      <c r="F25" s="35">
        <f t="array" ref="F25">MAX(IF('OB History S2'!B:B=A25, 'OB History S2'!C:C))</f>
        <v>35</v>
      </c>
      <c r="G25" s="34">
        <f>COUNTIFS('OB History S2'!B:B,A25,'OB History S2'!D:D, 1)</f>
        <v>5</v>
      </c>
      <c r="H25" s="2">
        <f>COUNTIFS('OB History S2'!B:B,A25,'OB History S2'!D:D, 0)</f>
        <v>1</v>
      </c>
      <c r="I25" s="88">
        <f>LOOKUP(2, 1/('OB History S2'!$B:$B=A25), 'OB History S2'!$AD:$AD)</f>
        <v>0.83333333333333337</v>
      </c>
      <c r="J25" s="34">
        <f>SUMIFS('OB History S2'!F:F,'OB History S2'!B:B,A25)</f>
        <v>17</v>
      </c>
      <c r="K25" s="2">
        <f>SUMIFS('OB History S2'!E:E,'OB History S2'!B:B,A25)-J25</f>
        <v>7</v>
      </c>
      <c r="L25" s="88">
        <f>LOOKUP(2, 1/('OB History S2'!$B:$B=A25), 'OB History S2'!$AB:$AB)</f>
        <v>0.75</v>
      </c>
      <c r="M25" s="34">
        <f>SUMIFS('OB History S2'!H:H,'OB History S2'!B:B,A25)</f>
        <v>61</v>
      </c>
      <c r="N25" s="2">
        <f>SUMIFS('OB History S2'!G:G,'OB History S2'!B:B,A25)-M25</f>
        <v>34</v>
      </c>
      <c r="O25" s="88">
        <f>LOOKUP(2, 1/('OB History S2'!$B:$B=A25), 'OB History S2'!$AC:$AC)</f>
        <v>0.66333333333333333</v>
      </c>
      <c r="P25" s="2">
        <f>COUNTIFS('OB History S2'!$B:$B,$A$25,'OB History S2'!K:K, 1)</f>
        <v>1</v>
      </c>
      <c r="Q25" s="2">
        <f>COUNTIFS('OB History S2'!$B:$B,$A$25,'OB History S2'!L:L, 1)</f>
        <v>2</v>
      </c>
      <c r="R25" s="2">
        <f>COUNTIFS('OB History S2'!$B:$B,$A$25,'OB History S2'!M:M, 1)</f>
        <v>1</v>
      </c>
      <c r="S25" s="2">
        <f>COUNTIFS('OB History S2'!$B:$B,$A$25,'OB History S2'!N:N, 1)</f>
        <v>1</v>
      </c>
      <c r="T25" s="2">
        <f>COUNTIFS('OB History S2'!$B:$B,$A$25,'OB History S2'!O:O, 1)</f>
        <v>0</v>
      </c>
      <c r="U25" s="2">
        <f>COUNTIFS('OB History S2'!$B:$B,$A$25,'OB History S2'!P:P, 1)</f>
        <v>1</v>
      </c>
      <c r="V25" s="2">
        <f>COUNTIFS('OB History S2'!$B:$B,$A$25,'OB History S2'!Q:Q, 1)</f>
        <v>1</v>
      </c>
      <c r="W25" s="2">
        <f>COUNTIFS('OB History S2'!$B:$B,$A$25,'OB History S2'!R:R, 1)</f>
        <v>0</v>
      </c>
      <c r="X25" s="2">
        <f>COUNTIFS('OB History S2'!$B:$B,$A$25,'OB History S2'!S:S, 1)</f>
        <v>0</v>
      </c>
      <c r="Y25" s="2">
        <f>COUNTIFS('OB History S2'!$B:$B,$A$25,'OB History S2'!T:T, 1)</f>
        <v>1</v>
      </c>
      <c r="Z25" s="2">
        <f>COUNTIFS('OB History S2'!$B:$B,$A$25,'OB History S2'!U:U, 1)</f>
        <v>1</v>
      </c>
      <c r="AA25" s="2">
        <f>COUNTIFS('OB History S2'!$B:$B,$A$25,'OB History S2'!V:V, 1)</f>
        <v>0</v>
      </c>
      <c r="AB25" s="2">
        <f>COUNTIFS('OB History S2'!$B:$B,$A$25,'OB History S2'!W:W, 1)</f>
        <v>2</v>
      </c>
      <c r="AC25" s="2">
        <f>COUNTIFS('OB History S2'!$B:$B,$A$25,'OB History S2'!X:X, 1)</f>
        <v>2</v>
      </c>
      <c r="AD25" s="2">
        <f>COUNTIFS('OB History S2'!$B:$B,$A$25,'OB History S2'!Y:Y, 1)</f>
        <v>3</v>
      </c>
      <c r="AE25" s="2">
        <f>COUNTIFS('OB History S2'!$B:$B,$A$25,'OB History S2'!Z:Z, 1)</f>
        <v>1</v>
      </c>
    </row>
    <row r="26" spans="1:31" x14ac:dyDescent="0.25">
      <c r="A26" s="2" t="s">
        <v>142</v>
      </c>
      <c r="B26" s="2" t="s">
        <v>79</v>
      </c>
      <c r="C26" s="2" t="s">
        <v>79</v>
      </c>
      <c r="D26" s="34">
        <f>SUMIFS('OB History S2'!C:C,'OB History S2'!B:B,A26)</f>
        <v>51</v>
      </c>
      <c r="E26" s="4">
        <f>AVERAGEIFS('OB History S2'!C:C,'OB History S2'!B:B,A26)</f>
        <v>17</v>
      </c>
      <c r="F26" s="35">
        <f t="array" ref="F26">MAX(IF('OB History S2'!B:B=A26, 'OB History S2'!C:C))</f>
        <v>20</v>
      </c>
      <c r="G26" s="34">
        <f>COUNTIFS('OB History S2'!B:B,A26,'OB History S2'!D:D, 1)</f>
        <v>1</v>
      </c>
      <c r="H26" s="2">
        <f>COUNTIFS('OB History S2'!B:B,A26,'OB History S2'!D:D, 0)</f>
        <v>2</v>
      </c>
      <c r="I26" s="88">
        <f>LOOKUP(2, 1/('OB History S2'!$B:$B=A26), 'OB History S2'!$AD:$AD)</f>
        <v>0.33333333333333331</v>
      </c>
      <c r="J26" s="34">
        <f>SUMIFS('OB History S2'!F:F,'OB History S2'!B:B,A26)</f>
        <v>7</v>
      </c>
      <c r="K26" s="2">
        <f>SUMIFS('OB History S2'!E:E,'OB History S2'!B:B,A26)-J26</f>
        <v>6</v>
      </c>
      <c r="L26" s="88">
        <f>LOOKUP(2, 1/('OB History S2'!$B:$B=A26), 'OB History S2'!$AB:$AB)</f>
        <v>0.6</v>
      </c>
      <c r="M26" s="34">
        <f>SUMIFS('OB History S2'!H:H,'OB History S2'!B:B,A26)</f>
        <v>27</v>
      </c>
      <c r="N26" s="2">
        <f>SUMIFS('OB History S2'!G:G,'OB History S2'!B:B,A26)-M26</f>
        <v>28</v>
      </c>
      <c r="O26" s="88">
        <f>LOOKUP(2, 1/('OB History S2'!$B:$B=A26), 'OB History S2'!$AC:$AC)</f>
        <v>0.51666666666666661</v>
      </c>
      <c r="P26" s="2">
        <f>COUNTIFS('OB History S2'!$B:$B,$A$26,'OB History S2'!K:K, 1)</f>
        <v>1</v>
      </c>
      <c r="Q26" s="2">
        <f>COUNTIFS('OB History S2'!$B:$B,$A$26,'OB History S2'!L:L, 1)</f>
        <v>1</v>
      </c>
      <c r="R26" s="2">
        <f>COUNTIFS('OB History S2'!$B:$B,$A$26,'OB History S2'!M:M, 1)</f>
        <v>0</v>
      </c>
      <c r="S26" s="2">
        <f>COUNTIFS('OB History S2'!$B:$B,$A$26,'OB History S2'!N:N, 1)</f>
        <v>0</v>
      </c>
      <c r="T26" s="2">
        <f>COUNTIFS('OB History S2'!$B:$B,$A$26,'OB History S2'!O:O, 1)</f>
        <v>0</v>
      </c>
      <c r="U26" s="2">
        <f>COUNTIFS('OB History S2'!$B:$B,$A$26,'OB History S2'!P:P, 1)</f>
        <v>1</v>
      </c>
      <c r="V26" s="2">
        <f>COUNTIFS('OB History S2'!$B:$B,$A$26,'OB History S2'!Q:Q, 1)</f>
        <v>1</v>
      </c>
      <c r="W26" s="2">
        <f>COUNTIFS('OB History S2'!$B:$B,$A$26,'OB History S2'!R:R, 1)</f>
        <v>0</v>
      </c>
      <c r="X26" s="2">
        <f>COUNTIFS('OB History S2'!$B:$B,$A$26,'OB History S2'!S:S, 1)</f>
        <v>0</v>
      </c>
      <c r="Y26" s="2">
        <f>COUNTIFS('OB History S2'!$B:$B,$A$26,'OB History S2'!T:T, 1)</f>
        <v>0</v>
      </c>
      <c r="Z26" s="2">
        <f>COUNTIFS('OB History S2'!$B:$B,$A$26,'OB History S2'!U:U, 1)</f>
        <v>0</v>
      </c>
      <c r="AA26" s="2">
        <f>COUNTIFS('OB History S2'!$B:$B,$A$26,'OB History S2'!V:V, 1)</f>
        <v>0</v>
      </c>
      <c r="AB26" s="2">
        <f>COUNTIFS('OB History S2'!$B:$B,$A$26,'OB History S2'!W:W, 1)</f>
        <v>1</v>
      </c>
      <c r="AC26" s="2">
        <f>COUNTIFS('OB History S2'!$B:$B,$A$26,'OB History S2'!X:X, 1)</f>
        <v>1</v>
      </c>
      <c r="AD26" s="2">
        <f>COUNTIFS('OB History S2'!$B:$B,$A$26,'OB History S2'!Y:Y, 1)</f>
        <v>0</v>
      </c>
      <c r="AE26" s="2">
        <f>COUNTIFS('OB History S2'!$B:$B,$A$26,'OB History S2'!Z:Z, 1)</f>
        <v>1</v>
      </c>
    </row>
    <row r="27" spans="1:31" x14ac:dyDescent="0.25">
      <c r="A27" s="2" t="s">
        <v>40</v>
      </c>
      <c r="B27" s="2" t="s">
        <v>79</v>
      </c>
      <c r="C27" s="2" t="s">
        <v>79</v>
      </c>
      <c r="D27" s="34">
        <f>SUMIFS('OB History S2'!C:C,'OB History S2'!B:B,A27)</f>
        <v>78</v>
      </c>
      <c r="E27" s="4">
        <f>AVERAGEIFS('OB History S2'!C:C,'OB History S2'!B:B,A27)</f>
        <v>19.5</v>
      </c>
      <c r="F27" s="35">
        <f t="array" ref="F27">MAX(IF('OB History S2'!B:B=A27, 'OB History S2'!C:C))</f>
        <v>25</v>
      </c>
      <c r="G27" s="34">
        <f>COUNTIFS('OB History S2'!B:B,A27,'OB History S2'!D:D, 1)</f>
        <v>2</v>
      </c>
      <c r="H27" s="2">
        <f>COUNTIFS('OB History S2'!B:B,A27,'OB History S2'!D:D, 0)</f>
        <v>2</v>
      </c>
      <c r="I27" s="88">
        <f>LOOKUP(2, 1/('OB History S2'!$B:$B=A27), 'OB History S2'!$AD:$AD)</f>
        <v>0.5</v>
      </c>
      <c r="J27" s="34">
        <f>SUMIFS('OB History S2'!F:F,'OB History S2'!B:B,A27)</f>
        <v>8</v>
      </c>
      <c r="K27" s="2">
        <f>SUMIFS('OB History S2'!E:E,'OB History S2'!B:B,A27)-J27</f>
        <v>8</v>
      </c>
      <c r="L27" s="88">
        <f>LOOKUP(2, 1/('OB History S2'!$B:$B=A27), 'OB History S2'!$AB:$AB)</f>
        <v>0.5</v>
      </c>
      <c r="M27" s="34">
        <f>SUMIFS('OB History S2'!H:H,'OB History S2'!B:B,A27)</f>
        <v>30</v>
      </c>
      <c r="N27" s="2">
        <f>SUMIFS('OB History S2'!G:G,'OB History S2'!B:B,A27)-M27</f>
        <v>36</v>
      </c>
      <c r="O27" s="88">
        <f>LOOKUP(2, 1/('OB History S2'!$B:$B=A27), 'OB History S2'!$AC:$AC)</f>
        <v>0.44249999999999995</v>
      </c>
      <c r="P27" s="2">
        <f>COUNTIFS('OB History S2'!$B:$B,$A$27,'OB History S2'!K:K, 1)</f>
        <v>0</v>
      </c>
      <c r="Q27" s="2">
        <f>COUNTIFS('OB History S2'!$B:$B,$A$27,'OB History S2'!L:L, 1)</f>
        <v>2</v>
      </c>
      <c r="R27" s="2">
        <f>COUNTIFS('OB History S2'!$B:$B,$A$27,'OB History S2'!M:M, 1)</f>
        <v>0</v>
      </c>
      <c r="S27" s="2">
        <f>COUNTIFS('OB History S2'!$B:$B,$A$27,'OB History S2'!N:N, 1)</f>
        <v>0</v>
      </c>
      <c r="T27" s="2">
        <f>COUNTIFS('OB History S2'!$B:$B,$A$27,'OB History S2'!O:O, 1)</f>
        <v>0</v>
      </c>
      <c r="U27" s="2">
        <f>COUNTIFS('OB History S2'!$B:$B,$A$27,'OB History S2'!P:P, 1)</f>
        <v>1</v>
      </c>
      <c r="V27" s="2">
        <f>COUNTIFS('OB History S2'!$B:$B,$A$27,'OB History S2'!Q:Q, 1)</f>
        <v>1</v>
      </c>
      <c r="W27" s="2">
        <f>COUNTIFS('OB History S2'!$B:$B,$A$27,'OB History S2'!R:R, 1)</f>
        <v>0</v>
      </c>
      <c r="X27" s="2">
        <f>COUNTIFS('OB History S2'!$B:$B,$A$27,'OB History S2'!S:S, 1)</f>
        <v>0</v>
      </c>
      <c r="Y27" s="2">
        <f>COUNTIFS('OB History S2'!$B:$B,$A$27,'OB History S2'!T:T, 1)</f>
        <v>0</v>
      </c>
      <c r="Z27" s="2">
        <f>COUNTIFS('OB History S2'!$B:$B,$A$27,'OB History S2'!U:U, 1)</f>
        <v>0</v>
      </c>
      <c r="AA27" s="2">
        <f>COUNTIFS('OB History S2'!$B:$B,$A$27,'OB History S2'!V:V, 1)</f>
        <v>0</v>
      </c>
      <c r="AB27" s="2">
        <f>COUNTIFS('OB History S2'!$B:$B,$A$27,'OB History S2'!W:W, 1)</f>
        <v>0</v>
      </c>
      <c r="AC27" s="2">
        <f>COUNTIFS('OB History S2'!$B:$B,$A$27,'OB History S2'!X:X, 1)</f>
        <v>2</v>
      </c>
      <c r="AD27" s="2">
        <f>COUNTIFS('OB History S2'!$B:$B,$A$27,'OB History S2'!Y:Y, 1)</f>
        <v>1</v>
      </c>
      <c r="AE27" s="2">
        <f>COUNTIFS('OB History S2'!$B:$B,$A$27,'OB History S2'!Z:Z, 1)</f>
        <v>1</v>
      </c>
    </row>
    <row r="28" spans="1:31" x14ac:dyDescent="0.25">
      <c r="A28" s="2" t="s">
        <v>148</v>
      </c>
      <c r="B28" s="2" t="s">
        <v>79</v>
      </c>
      <c r="C28" s="2" t="s">
        <v>79</v>
      </c>
      <c r="D28" s="34">
        <f>SUMIFS('OB History S2'!C:C,'OB History S2'!B:B,A28)</f>
        <v>24</v>
      </c>
      <c r="E28" s="4">
        <f>AVERAGEIFS('OB History S2'!C:C,'OB History S2'!B:B,A28)</f>
        <v>12</v>
      </c>
      <c r="F28" s="35">
        <f t="array" ref="F28">MAX(IF('OB History S2'!B:B=A28, 'OB History S2'!C:C))</f>
        <v>17</v>
      </c>
      <c r="G28" s="34">
        <f>COUNTIFS('OB History S2'!B:B,A28,'OB History S2'!D:D, 1)</f>
        <v>0</v>
      </c>
      <c r="H28" s="2">
        <f>COUNTIFS('OB History S2'!B:B,A28,'OB History S2'!D:D, 0)</f>
        <v>2</v>
      </c>
      <c r="I28" s="88">
        <f>LOOKUP(2, 1/('OB History S2'!$B:$B=A28), 'OB History S2'!$AD:$AD)</f>
        <v>0</v>
      </c>
      <c r="J28" s="34">
        <f>SUMIFS('OB History S2'!F:F,'OB History S2'!B:B,A28)</f>
        <v>0</v>
      </c>
      <c r="K28" s="2">
        <f>SUMIFS('OB History S2'!E:E,'OB History S2'!B:B,A28)-J28</f>
        <v>6</v>
      </c>
      <c r="L28" s="88">
        <f>LOOKUP(2, 1/('OB History S2'!$B:$B=A28), 'OB History S2'!$AB:$AB)</f>
        <v>0</v>
      </c>
      <c r="M28" s="34">
        <f>SUMIFS('OB History S2'!H:H,'OB History S2'!B:B,A28)</f>
        <v>6</v>
      </c>
      <c r="N28" s="2">
        <f>SUMIFS('OB History S2'!G:G,'OB History S2'!B:B,A28)-M28</f>
        <v>18</v>
      </c>
      <c r="O28" s="88">
        <f>LOOKUP(2, 1/('OB History S2'!$B:$B=A28), 'OB History S2'!$AC:$AC)</f>
        <v>0.245</v>
      </c>
      <c r="P28" s="2">
        <f>COUNTIFS('OB History S2'!$B:$B,$A$28,'OB History S2'!K:K, 1)</f>
        <v>0</v>
      </c>
      <c r="Q28" s="2">
        <f>COUNTIFS('OB History S2'!$B:$B,$A$28,'OB History S2'!L:L, 1)</f>
        <v>0</v>
      </c>
      <c r="R28" s="2">
        <f>COUNTIFS('OB History S2'!$B:$B,$A$28,'OB History S2'!M:M, 1)</f>
        <v>0</v>
      </c>
      <c r="S28" s="2">
        <f>COUNTIFS('OB History S2'!$B:$B,$A$28,'OB History S2'!N:N, 1)</f>
        <v>0</v>
      </c>
      <c r="T28" s="2">
        <f>COUNTIFS('OB History S2'!$B:$B,$A$28,'OB History S2'!O:O, 1)</f>
        <v>0</v>
      </c>
      <c r="U28" s="2">
        <f>COUNTIFS('OB History S2'!$B:$B,$A$28,'OB History S2'!P:P, 1)</f>
        <v>0</v>
      </c>
      <c r="V28" s="2">
        <f>COUNTIFS('OB History S2'!$B:$B,$A$28,'OB History S2'!Q:Q, 1)</f>
        <v>0</v>
      </c>
      <c r="W28" s="2">
        <f>COUNTIFS('OB History S2'!$B:$B,$A$28,'OB History S2'!R:R, 1)</f>
        <v>0</v>
      </c>
      <c r="X28" s="2">
        <f>COUNTIFS('OB History S2'!$B:$B,$A$28,'OB History S2'!S:S, 1)</f>
        <v>0</v>
      </c>
      <c r="Y28" s="2">
        <f>COUNTIFS('OB History S2'!$B:$B,$A$28,'OB History S2'!T:T, 1)</f>
        <v>0</v>
      </c>
      <c r="Z28" s="2">
        <f>COUNTIFS('OB History S2'!$B:$B,$A$28,'OB History S2'!U:U, 1)</f>
        <v>0</v>
      </c>
      <c r="AA28" s="2">
        <f>COUNTIFS('OB History S2'!$B:$B,$A$28,'OB History S2'!V:V, 1)</f>
        <v>0</v>
      </c>
      <c r="AB28" s="2">
        <f>COUNTIFS('OB History S2'!$B:$B,$A$28,'OB History S2'!W:W, 1)</f>
        <v>0</v>
      </c>
      <c r="AC28" s="2">
        <f>COUNTIFS('OB History S2'!$B:$B,$A$28,'OB History S2'!X:X, 1)</f>
        <v>0</v>
      </c>
      <c r="AD28" s="2">
        <f>COUNTIFS('OB History S2'!$B:$B,$A$28,'OB History S2'!Y:Y, 1)</f>
        <v>0</v>
      </c>
      <c r="AE28" s="2">
        <f>COUNTIFS('OB History S2'!$B:$B,$A$28,'OB History S2'!Z:Z, 1)</f>
        <v>0</v>
      </c>
    </row>
    <row r="29" spans="1:31" x14ac:dyDescent="0.25">
      <c r="A29" s="2" t="s">
        <v>17</v>
      </c>
      <c r="B29" s="2" t="s">
        <v>79</v>
      </c>
      <c r="C29" s="2" t="s">
        <v>79</v>
      </c>
      <c r="D29" s="34">
        <f>SUMIFS('OB History S2'!C:C,'OB History S2'!B:B,A29)</f>
        <v>86</v>
      </c>
      <c r="E29" s="4">
        <f>AVERAGEIFS('OB History S2'!C:C,'OB History S2'!B:B,A29)</f>
        <v>17.2</v>
      </c>
      <c r="F29" s="35">
        <f t="array" ref="F29">MAX(IF('OB History S2'!B:B=A29, 'OB History S2'!C:C))</f>
        <v>27</v>
      </c>
      <c r="G29" s="34">
        <f>COUNTIFS('OB History S2'!B:B,A29,'OB History S2'!D:D, 1)</f>
        <v>2</v>
      </c>
      <c r="H29" s="2">
        <f>COUNTIFS('OB History S2'!B:B,A29,'OB History S2'!D:D, 0)</f>
        <v>3</v>
      </c>
      <c r="I29" s="88">
        <f>LOOKUP(2, 1/('OB History S2'!$B:$B=A29), 'OB History S2'!$AD:$AD)</f>
        <v>0.4</v>
      </c>
      <c r="J29" s="34">
        <f>SUMIFS('OB History S2'!F:F,'OB History S2'!B:B,A29)</f>
        <v>8</v>
      </c>
      <c r="K29" s="2">
        <f>SUMIFS('OB History S2'!E:E,'OB History S2'!B:B,A29)-J29</f>
        <v>11</v>
      </c>
      <c r="L29" s="88">
        <f>LOOKUP(2, 1/('OB History S2'!$B:$B=A29), 'OB History S2'!$AB:$AB)</f>
        <v>0.42000000000000004</v>
      </c>
      <c r="M29" s="34">
        <f>SUMIFS('OB History S2'!H:H,'OB History S2'!B:B,A29)</f>
        <v>35</v>
      </c>
      <c r="N29" s="2">
        <f>SUMIFS('OB History S2'!G:G,'OB History S2'!B:B,A29)-M29</f>
        <v>39</v>
      </c>
      <c r="O29" s="88">
        <f>LOOKUP(2, 1/('OB History S2'!$B:$B=A29), 'OB History S2'!$AC:$AC)</f>
        <v>0.47599999999999998</v>
      </c>
      <c r="P29" s="2">
        <f>COUNTIFS('OB History S2'!$B:$B,$A$29,'OB History S2'!K:K, 1)</f>
        <v>0</v>
      </c>
      <c r="Q29" s="2">
        <f>COUNTIFS('OB History S2'!$B:$B,$A$29,'OB History S2'!L:L, 1)</f>
        <v>1</v>
      </c>
      <c r="R29" s="2">
        <f>COUNTIFS('OB History S2'!$B:$B,$A$29,'OB History S2'!M:M, 1)</f>
        <v>1</v>
      </c>
      <c r="S29" s="2">
        <f>COUNTIFS('OB History S2'!$B:$B,$A$29,'OB History S2'!N:N, 1)</f>
        <v>0</v>
      </c>
      <c r="T29" s="2">
        <f>COUNTIFS('OB History S2'!$B:$B,$A$29,'OB History S2'!O:O, 1)</f>
        <v>0</v>
      </c>
      <c r="U29" s="2">
        <f>COUNTIFS('OB History S2'!$B:$B,$A$29,'OB History S2'!P:P, 1)</f>
        <v>0</v>
      </c>
      <c r="V29" s="2">
        <f>COUNTIFS('OB History S2'!$B:$B,$A$29,'OB History S2'!Q:Q, 1)</f>
        <v>0</v>
      </c>
      <c r="W29" s="2">
        <f>COUNTIFS('OB History S2'!$B:$B,$A$29,'OB History S2'!R:R, 1)</f>
        <v>0</v>
      </c>
      <c r="X29" s="2">
        <f>COUNTIFS('OB History S2'!$B:$B,$A$29,'OB History S2'!S:S, 1)</f>
        <v>0</v>
      </c>
      <c r="Y29" s="2">
        <f>COUNTIFS('OB History S2'!$B:$B,$A$29,'OB History S2'!T:T, 1)</f>
        <v>1</v>
      </c>
      <c r="Z29" s="2">
        <f>COUNTIFS('OB History S2'!$B:$B,$A$29,'OB History S2'!U:U, 1)</f>
        <v>0</v>
      </c>
      <c r="AA29" s="2">
        <f>COUNTIFS('OB History S2'!$B:$B,$A$29,'OB History S2'!V:V, 1)</f>
        <v>0</v>
      </c>
      <c r="AB29" s="2">
        <f>COUNTIFS('OB History S2'!$B:$B,$A$29,'OB History S2'!W:W, 1)</f>
        <v>0</v>
      </c>
      <c r="AC29" s="2">
        <f>COUNTIFS('OB History S2'!$B:$B,$A$29,'OB History S2'!X:X, 1)</f>
        <v>2</v>
      </c>
      <c r="AD29" s="2">
        <f>COUNTIFS('OB History S2'!$B:$B,$A$29,'OB History S2'!Y:Y, 1)</f>
        <v>2</v>
      </c>
      <c r="AE29" s="2">
        <f>COUNTIFS('OB History S2'!$B:$B,$A$29,'OB History S2'!Z:Z, 1)</f>
        <v>1</v>
      </c>
    </row>
    <row r="30" spans="1:31" x14ac:dyDescent="0.25">
      <c r="A30" s="2" t="s">
        <v>156</v>
      </c>
      <c r="B30" s="2" t="s">
        <v>79</v>
      </c>
      <c r="C30" s="2" t="s">
        <v>79</v>
      </c>
      <c r="D30" s="34">
        <f>SUMIFS('OB History S2'!C:C,'OB History S2'!B:B,A30)</f>
        <v>64</v>
      </c>
      <c r="E30" s="4">
        <f>AVERAGEIFS('OB History S2'!C:C,'OB History S2'!B:B,A30)</f>
        <v>21.333333333333332</v>
      </c>
      <c r="F30" s="35">
        <f t="array" ref="F30">MAX(IF('OB History S2'!B:B=A30, 'OB History S2'!C:C))</f>
        <v>27</v>
      </c>
      <c r="G30" s="34">
        <f>COUNTIFS('OB History S2'!B:B,A30,'OB History S2'!D:D, 1)</f>
        <v>1</v>
      </c>
      <c r="H30" s="2">
        <f>COUNTIFS('OB History S2'!B:B,A30,'OB History S2'!D:D, 0)</f>
        <v>2</v>
      </c>
      <c r="I30" s="88">
        <f>LOOKUP(2, 1/('OB History S2'!$B:$B=A30), 'OB History S2'!$AD:$AD)</f>
        <v>0.33333333333333331</v>
      </c>
      <c r="J30" s="34">
        <f>SUMIFS('OB History S2'!F:F,'OB History S2'!B:B,A30)</f>
        <v>5</v>
      </c>
      <c r="K30" s="2">
        <f>SUMIFS('OB History S2'!E:E,'OB History S2'!B:B,A30)-J30</f>
        <v>8</v>
      </c>
      <c r="L30" s="88">
        <f>LOOKUP(2, 1/('OB History S2'!$B:$B=A30), 'OB History S2'!$AB:$AB)</f>
        <v>0.3666666666666667</v>
      </c>
      <c r="M30" s="34">
        <f>SUMIFS('OB History S2'!H:H,'OB History S2'!B:B,A30)</f>
        <v>22</v>
      </c>
      <c r="N30" s="2">
        <f>SUMIFS('OB History S2'!G:G,'OB History S2'!B:B,A30)-M30</f>
        <v>28</v>
      </c>
      <c r="O30" s="88">
        <f>LOOKUP(2, 1/('OB History S2'!$B:$B=A30), 'OB History S2'!$AC:$AC)</f>
        <v>0.41666666666666669</v>
      </c>
      <c r="P30" s="2">
        <f>COUNTIFS('OB History S2'!$B:$B,$A$30,'OB History S2'!K:K, 1)</f>
        <v>0</v>
      </c>
      <c r="Q30" s="2">
        <f>COUNTIFS('OB History S2'!$B:$B,$A$30,'OB History S2'!L:L, 1)</f>
        <v>0</v>
      </c>
      <c r="R30" s="2">
        <f>COUNTIFS('OB History S2'!$B:$B,$A$30,'OB History S2'!M:M, 1)</f>
        <v>1</v>
      </c>
      <c r="S30" s="2">
        <f>COUNTIFS('OB History S2'!$B:$B,$A$30,'OB History S2'!N:N, 1)</f>
        <v>0</v>
      </c>
      <c r="T30" s="2">
        <f>COUNTIFS('OB History S2'!$B:$B,$A$30,'OB History S2'!O:O, 1)</f>
        <v>0</v>
      </c>
      <c r="U30" s="2">
        <f>COUNTIFS('OB History S2'!$B:$B,$A$30,'OB History S2'!P:P, 1)</f>
        <v>0</v>
      </c>
      <c r="V30" s="2">
        <f>COUNTIFS('OB History S2'!$B:$B,$A$30,'OB History S2'!Q:Q, 1)</f>
        <v>0</v>
      </c>
      <c r="W30" s="2">
        <f>COUNTIFS('OB History S2'!$B:$B,$A$30,'OB History S2'!R:R, 1)</f>
        <v>0</v>
      </c>
      <c r="X30" s="2">
        <f>COUNTIFS('OB History S2'!$B:$B,$A$30,'OB History S2'!S:S, 1)</f>
        <v>0</v>
      </c>
      <c r="Y30" s="2">
        <f>COUNTIFS('OB History S2'!$B:$B,$A$30,'OB History S2'!T:T, 1)</f>
        <v>1</v>
      </c>
      <c r="Z30" s="2">
        <f>COUNTIFS('OB History S2'!$B:$B,$A$30,'OB History S2'!U:U, 1)</f>
        <v>0</v>
      </c>
      <c r="AA30" s="2">
        <f>COUNTIFS('OB History S2'!$B:$B,$A$30,'OB History S2'!V:V, 1)</f>
        <v>0</v>
      </c>
      <c r="AB30" s="2">
        <f>COUNTIFS('OB History S2'!$B:$B,$A$30,'OB History S2'!W:W, 1)</f>
        <v>0</v>
      </c>
      <c r="AC30" s="2">
        <f>COUNTIFS('OB History S2'!$B:$B,$A$30,'OB History S2'!X:X, 1)</f>
        <v>1</v>
      </c>
      <c r="AD30" s="2">
        <f>COUNTIFS('OB History S2'!$B:$B,$A$30,'OB History S2'!Y:Y, 1)</f>
        <v>1</v>
      </c>
      <c r="AE30" s="2">
        <f>COUNTIFS('OB History S2'!$B:$B,$A$30,'OB History S2'!Z:Z, 1)</f>
        <v>1</v>
      </c>
    </row>
    <row r="31" spans="1:31" x14ac:dyDescent="0.25">
      <c r="A31" s="2" t="s">
        <v>6</v>
      </c>
      <c r="B31" s="2" t="s">
        <v>60</v>
      </c>
      <c r="C31" s="2" t="s">
        <v>79</v>
      </c>
      <c r="D31" s="34">
        <f>SUMIFS('OB History S2'!C:C,'OB History S2'!B:B,A31)</f>
        <v>52</v>
      </c>
      <c r="E31" s="4">
        <f>AVERAGEIFS('OB History S2'!C:C,'OB History S2'!B:B,A31)</f>
        <v>26</v>
      </c>
      <c r="F31" s="35">
        <f t="array" ref="F31">MAX(IF('OB History S2'!B:B=A31, 'OB History S2'!C:C))</f>
        <v>42</v>
      </c>
      <c r="G31" s="34">
        <f>COUNTIFS('OB History S2'!B:B,A31,'OB History S2'!D:D, 1)</f>
        <v>1</v>
      </c>
      <c r="H31" s="2">
        <f>COUNTIFS('OB History S2'!B:B,A31,'OB History S2'!D:D, 0)</f>
        <v>1</v>
      </c>
      <c r="I31" s="88">
        <f>LOOKUP(2, 1/('OB History S2'!$B:$B=A31), 'OB History S2'!$AD:$AD)</f>
        <v>0.5</v>
      </c>
      <c r="J31" s="34">
        <f>SUMIFS('OB History S2'!F:F,'OB History S2'!B:B,A31)</f>
        <v>3</v>
      </c>
      <c r="K31" s="2">
        <f>SUMIFS('OB History S2'!E:E,'OB History S2'!B:B,A31)-J31</f>
        <v>5</v>
      </c>
      <c r="L31" s="88">
        <f>LOOKUP(2, 1/('OB History S2'!$B:$B=A31), 'OB History S2'!$AB:$AB)</f>
        <v>0.3</v>
      </c>
      <c r="M31" s="34">
        <f>SUMIFS('OB History S2'!H:H,'OB History S2'!B:B,A31)</f>
        <v>17</v>
      </c>
      <c r="N31" s="2">
        <f>SUMIFS('OB History S2'!G:G,'OB History S2'!B:B,A31)-M31</f>
        <v>17</v>
      </c>
      <c r="O31" s="88">
        <f>LOOKUP(2, 1/('OB History S2'!$B:$B=A31), 'OB History S2'!$AC:$AC)</f>
        <v>0.46499999999999997</v>
      </c>
      <c r="P31" s="2">
        <f>COUNTIFS('OB History S2'!$B:$B,$A$31,'OB History S2'!K:K, 1)</f>
        <v>0</v>
      </c>
      <c r="Q31" s="2">
        <f>COUNTIFS('OB History S2'!$B:$B,$A$31,'OB History S2'!L:L, 1)</f>
        <v>0</v>
      </c>
      <c r="R31" s="2">
        <f>COUNTIFS('OB History S2'!$B:$B,$A$31,'OB History S2'!M:M, 1)</f>
        <v>1</v>
      </c>
      <c r="S31" s="2">
        <f>COUNTIFS('OB History S2'!$B:$B,$A$31,'OB History S2'!N:N, 1)</f>
        <v>0</v>
      </c>
      <c r="T31" s="2">
        <f>COUNTIFS('OB History S2'!$B:$B,$A$31,'OB History S2'!O:O, 1)</f>
        <v>0</v>
      </c>
      <c r="U31" s="2">
        <f>COUNTIFS('OB History S2'!$B:$B,$A$31,'OB History S2'!P:P, 1)</f>
        <v>0</v>
      </c>
      <c r="V31" s="2">
        <f>COUNTIFS('OB History S2'!$B:$B,$A$31,'OB History S2'!Q:Q, 1)</f>
        <v>0</v>
      </c>
      <c r="W31" s="2">
        <f>COUNTIFS('OB History S2'!$B:$B,$A$31,'OB History S2'!R:R, 1)</f>
        <v>0</v>
      </c>
      <c r="X31" s="2">
        <f>COUNTIFS('OB History S2'!$B:$B,$A$31,'OB History S2'!S:S, 1)</f>
        <v>0</v>
      </c>
      <c r="Y31" s="2">
        <f>COUNTIFS('OB History S2'!$B:$B,$A$31,'OB History S2'!T:T, 1)</f>
        <v>1</v>
      </c>
      <c r="Z31" s="2">
        <f>COUNTIFS('OB History S2'!$B:$B,$A$31,'OB History S2'!U:U, 1)</f>
        <v>0</v>
      </c>
      <c r="AA31" s="2">
        <f>COUNTIFS('OB History S2'!$B:$B,$A$31,'OB History S2'!V:V, 1)</f>
        <v>0</v>
      </c>
      <c r="AB31" s="2">
        <f>COUNTIFS('OB History S2'!$B:$B,$A$31,'OB History S2'!W:W, 1)</f>
        <v>0</v>
      </c>
      <c r="AC31" s="2">
        <f>COUNTIFS('OB History S2'!$B:$B,$A$31,'OB History S2'!X:X, 1)</f>
        <v>0</v>
      </c>
      <c r="AD31" s="2">
        <f>COUNTIFS('OB History S2'!$B:$B,$A$31,'OB History S2'!Y:Y, 1)</f>
        <v>1</v>
      </c>
      <c r="AE31" s="2">
        <f>COUNTIFS('OB History S2'!$B:$B,$A$31,'OB History S2'!Z:Z, 1)</f>
        <v>0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SUMIFS('OB History S2'!C:C,'OB History S2'!B:B,A32)</f>
        <v>90</v>
      </c>
      <c r="E32" s="4">
        <f>AVERAGEIFS('OB History S2'!C:C,'OB History S2'!B:B,A32)</f>
        <v>22.5</v>
      </c>
      <c r="F32" s="35">
        <f t="array" ref="F32">MAX(IF('OB History S2'!B:B=A32, 'OB History S2'!C:C))</f>
        <v>28</v>
      </c>
      <c r="G32" s="34">
        <f>COUNTIFS('OB History S2'!B:B,A32,'OB History S2'!D:D, 1)</f>
        <v>4</v>
      </c>
      <c r="H32" s="2">
        <f>COUNTIFS('OB History S2'!B:B,A32,'OB History S2'!D:D, 0)</f>
        <v>0</v>
      </c>
      <c r="I32" s="88">
        <f>LOOKUP(2, 1/('OB History S2'!$B:$B=A32), 'OB History S2'!$AD:$AD)</f>
        <v>1</v>
      </c>
      <c r="J32" s="34">
        <f>SUMIFS('OB History S2'!F:F,'OB History S2'!B:B,A32)</f>
        <v>12</v>
      </c>
      <c r="K32" s="2">
        <f>SUMIFS('OB History S2'!E:E,'OB History S2'!B:B,A32)-J32</f>
        <v>2</v>
      </c>
      <c r="L32" s="88">
        <f>LOOKUP(2, 1/('OB History S2'!$B:$B=A32), 'OB History S2'!$AB:$AB)</f>
        <v>0.875</v>
      </c>
      <c r="M32" s="34">
        <f>SUMIFS('OB History S2'!H:H,'OB History S2'!B:B,A32)</f>
        <v>38</v>
      </c>
      <c r="N32" s="2">
        <f>SUMIFS('OB History S2'!G:G,'OB History S2'!B:B,A32)-M32</f>
        <v>15</v>
      </c>
      <c r="O32" s="88">
        <f>LOOKUP(2, 1/('OB History S2'!$B:$B=A32), 'OB History S2'!$AC:$AC)</f>
        <v>0.72</v>
      </c>
      <c r="P32" s="2">
        <f>COUNTIFS('OB History S2'!$B:$B,$A$32,'OB History S2'!K:K, 1)</f>
        <v>0</v>
      </c>
      <c r="Q32" s="2">
        <f>COUNTIFS('OB History S2'!$B:$B,$A$32,'OB History S2'!L:L, 1)</f>
        <v>2</v>
      </c>
      <c r="R32" s="2">
        <f>COUNTIFS('OB History S2'!$B:$B,$A$32,'OB History S2'!M:M, 1)</f>
        <v>0</v>
      </c>
      <c r="S32" s="2">
        <f>COUNTIFS('OB History S2'!$B:$B,$A$32,'OB History S2'!N:N, 1)</f>
        <v>1</v>
      </c>
      <c r="T32" s="2">
        <f>COUNTIFS('OB History S2'!$B:$B,$A$32,'OB History S2'!O:O, 1)</f>
        <v>0</v>
      </c>
      <c r="U32" s="2">
        <f>COUNTIFS('OB History S2'!$B:$B,$A$32,'OB History S2'!P:P, 1)</f>
        <v>1</v>
      </c>
      <c r="V32" s="2">
        <f>COUNTIFS('OB History S2'!$B:$B,$A$32,'OB History S2'!Q:Q, 1)</f>
        <v>1</v>
      </c>
      <c r="W32" s="2">
        <f>COUNTIFS('OB History S2'!$B:$B,$A$32,'OB History S2'!R:R, 1)</f>
        <v>0</v>
      </c>
      <c r="X32" s="2">
        <f>COUNTIFS('OB History S2'!$B:$B,$A$32,'OB History S2'!S:S, 1)</f>
        <v>0</v>
      </c>
      <c r="Y32" s="2">
        <f>COUNTIFS('OB History S2'!$B:$B,$A$32,'OB History S2'!T:T, 1)</f>
        <v>0</v>
      </c>
      <c r="Z32" s="2">
        <f>COUNTIFS('OB History S2'!$B:$B,$A$32,'OB History S2'!U:U, 1)</f>
        <v>1</v>
      </c>
      <c r="AA32" s="2">
        <f>COUNTIFS('OB History S2'!$B:$B,$A$32,'OB History S2'!V:V, 1)</f>
        <v>0</v>
      </c>
      <c r="AB32" s="2">
        <f>COUNTIFS('OB History S2'!$B:$B,$A$32,'OB History S2'!W:W, 1)</f>
        <v>1</v>
      </c>
      <c r="AC32" s="2">
        <f>COUNTIFS('OB History S2'!$B:$B,$A$32,'OB History S2'!X:X, 1)</f>
        <v>2</v>
      </c>
      <c r="AD32" s="2">
        <f>COUNTIFS('OB History S2'!$B:$B,$A$32,'OB History S2'!Y:Y, 1)</f>
        <v>2</v>
      </c>
      <c r="AE32" s="2">
        <f>COUNTIFS('OB History S2'!$B:$B,$A$32,'OB History S2'!Z:Z, 1)</f>
        <v>1</v>
      </c>
    </row>
    <row r="33" spans="1:31" x14ac:dyDescent="0.25">
      <c r="A33" s="2" t="s">
        <v>113</v>
      </c>
      <c r="B33" s="2" t="s">
        <v>79</v>
      </c>
      <c r="C33" s="2" t="s">
        <v>79</v>
      </c>
      <c r="D33" s="34">
        <f>SUMIFS('OB History S2'!C:C,'OB History S2'!B:B,A33)</f>
        <v>54</v>
      </c>
      <c r="E33" s="4">
        <f>AVERAGEIFS('OB History S2'!C:C,'OB History S2'!B:B,A33)</f>
        <v>18</v>
      </c>
      <c r="F33" s="35">
        <f t="array" ref="F33">MAX(IF('OB History S2'!B:B=A33, 'OB History S2'!C:C))</f>
        <v>21</v>
      </c>
      <c r="G33" s="34">
        <f>COUNTIFS('OB History S2'!B:B,A33,'OB History S2'!D:D, 1)</f>
        <v>2</v>
      </c>
      <c r="H33" s="2">
        <f>COUNTIFS('OB History S2'!B:B,A33,'OB History S2'!D:D, 0)</f>
        <v>1</v>
      </c>
      <c r="I33" s="88">
        <f>LOOKUP(2, 1/('OB History S2'!$B:$B=A33), 'OB History S2'!$AD:$AD)</f>
        <v>0.66666666666666663</v>
      </c>
      <c r="J33" s="34">
        <f>SUMIFS('OB History S2'!F:F,'OB History S2'!B:B,A33)</f>
        <v>6</v>
      </c>
      <c r="K33" s="2">
        <f>SUMIFS('OB History S2'!E:E,'OB History S2'!B:B,A33)-J33</f>
        <v>5</v>
      </c>
      <c r="L33" s="88">
        <f>LOOKUP(2, 1/('OB History S2'!$B:$B=A33), 'OB History S2'!$AB:$AB)</f>
        <v>0.53333333333333333</v>
      </c>
      <c r="M33" s="34">
        <f>SUMIFS('OB History S2'!H:H,'OB History S2'!B:B,A33)</f>
        <v>22</v>
      </c>
      <c r="N33" s="2">
        <f>SUMIFS('OB History S2'!G:G,'OB History S2'!B:B,A33)-M33</f>
        <v>23</v>
      </c>
      <c r="O33" s="88">
        <f>LOOKUP(2, 1/('OB History S2'!$B:$B=A33), 'OB History S2'!$AC:$AC)</f>
        <v>0.46333333333333332</v>
      </c>
      <c r="P33" s="2">
        <f>COUNTIFS('OB History S2'!$B:$B,$A$33,'OB History S2'!K:K, 1)</f>
        <v>0</v>
      </c>
      <c r="Q33" s="2">
        <f>COUNTIFS('OB History S2'!$B:$B,$A$33,'OB History S2'!L:L, 1)</f>
        <v>2</v>
      </c>
      <c r="R33" s="2">
        <f>COUNTIFS('OB History S2'!$B:$B,$A$33,'OB History S2'!M:M, 1)</f>
        <v>0</v>
      </c>
      <c r="S33" s="2">
        <f>COUNTIFS('OB History S2'!$B:$B,$A$33,'OB History S2'!N:N, 1)</f>
        <v>0</v>
      </c>
      <c r="T33" s="2">
        <f>COUNTIFS('OB History S2'!$B:$B,$A$33,'OB History S2'!O:O, 1)</f>
        <v>0</v>
      </c>
      <c r="U33" s="2">
        <f>COUNTIFS('OB History S2'!$B:$B,$A$33,'OB History S2'!P:P, 1)</f>
        <v>0</v>
      </c>
      <c r="V33" s="2">
        <f>COUNTIFS('OB History S2'!$B:$B,$A$33,'OB History S2'!Q:Q, 1)</f>
        <v>1</v>
      </c>
      <c r="W33" s="2">
        <f>COUNTIFS('OB History S2'!$B:$B,$A$33,'OB History S2'!R:R, 1)</f>
        <v>0</v>
      </c>
      <c r="X33" s="2">
        <f>COUNTIFS('OB History S2'!$B:$B,$A$33,'OB History S2'!S:S, 1)</f>
        <v>0</v>
      </c>
      <c r="Y33" s="2">
        <f>COUNTIFS('OB History S2'!$B:$B,$A$33,'OB History S2'!T:T, 1)</f>
        <v>0</v>
      </c>
      <c r="Z33" s="2">
        <f>COUNTIFS('OB History S2'!$B:$B,$A$33,'OB History S2'!U:U, 1)</f>
        <v>0</v>
      </c>
      <c r="AA33" s="2">
        <f>COUNTIFS('OB History S2'!$B:$B,$A$33,'OB History S2'!V:V, 1)</f>
        <v>0</v>
      </c>
      <c r="AB33" s="2">
        <f>COUNTIFS('OB History S2'!$B:$B,$A$33,'OB History S2'!W:W, 1)</f>
        <v>0</v>
      </c>
      <c r="AC33" s="2">
        <f>COUNTIFS('OB History S2'!$B:$B,$A$33,'OB History S2'!X:X, 1)</f>
        <v>1</v>
      </c>
      <c r="AD33" s="2">
        <f>COUNTIFS('OB History S2'!$B:$B,$A$33,'OB History S2'!Y:Y, 1)</f>
        <v>1</v>
      </c>
      <c r="AE33" s="2">
        <f>COUNTIFS('OB History S2'!$B:$B,$A$33,'OB History S2'!Z:Z, 1)</f>
        <v>1</v>
      </c>
    </row>
    <row r="34" spans="1:31" x14ac:dyDescent="0.25">
      <c r="A34" s="2" t="s">
        <v>14</v>
      </c>
      <c r="B34" s="6" t="s">
        <v>124</v>
      </c>
      <c r="C34" s="6" t="s">
        <v>124</v>
      </c>
      <c r="D34" s="34">
        <f>SUMIFS('OB History S2'!C:C,'OB History S2'!B:B,A34)</f>
        <v>70</v>
      </c>
      <c r="E34" s="4">
        <f>AVERAGEIFS('OB History S2'!C:C,'OB History S2'!B:B,A34)</f>
        <v>23.333333333333332</v>
      </c>
      <c r="F34" s="35">
        <f t="array" ref="F34">MAX(IF('OB History S2'!B:B=A34, 'OB History S2'!C:C))</f>
        <v>37</v>
      </c>
      <c r="G34" s="34">
        <f>COUNTIFS('OB History S2'!B:B,A34,'OB History S2'!D:D, 1)</f>
        <v>1</v>
      </c>
      <c r="H34" s="2">
        <f>COUNTIFS('OB History S2'!B:B,A34,'OB History S2'!D:D, 0)</f>
        <v>2</v>
      </c>
      <c r="I34" s="88">
        <f>LOOKUP(2, 1/('OB History S2'!$B:$B=A34), 'OB History S2'!$AD:$AD)</f>
        <v>0.33333333333333331</v>
      </c>
      <c r="J34" s="34">
        <f>SUMIFS('OB History S2'!F:F,'OB History S2'!B:B,A34)</f>
        <v>5</v>
      </c>
      <c r="K34" s="2">
        <f>SUMIFS('OB History S2'!E:E,'OB History S2'!B:B,A34)-J34</f>
        <v>6</v>
      </c>
      <c r="L34" s="88">
        <f>LOOKUP(2, 1/('OB History S2'!$B:$B=A34), 'OB History S2'!$AB:$AB)</f>
        <v>0.46666666666666662</v>
      </c>
      <c r="M34" s="34">
        <f>SUMIFS('OB History S2'!H:H,'OB History S2'!B:B,A34)</f>
        <v>21</v>
      </c>
      <c r="N34" s="2">
        <f>SUMIFS('OB History S2'!G:G,'OB History S2'!B:B,A34)-M34</f>
        <v>24</v>
      </c>
      <c r="O34" s="88">
        <f>LOOKUP(2, 1/('OB History S2'!$B:$B=A34), 'OB History S2'!$AC:$AC)</f>
        <v>0.5033333333333333</v>
      </c>
      <c r="P34" s="2">
        <f>COUNTIFS('OB History S2'!$B:$B,$A$34,'OB History S2'!K:K, 1)</f>
        <v>0</v>
      </c>
      <c r="Q34" s="2">
        <f>COUNTIFS('OB History S2'!$B:$B,$A$34,'OB History S2'!L:L, 1)</f>
        <v>1</v>
      </c>
      <c r="R34" s="2">
        <f>COUNTIFS('OB History S2'!$B:$B,$A$34,'OB History S2'!M:M, 1)</f>
        <v>0</v>
      </c>
      <c r="S34" s="2">
        <f>COUNTIFS('OB History S2'!$B:$B,$A$34,'OB History S2'!N:N, 1)</f>
        <v>0</v>
      </c>
      <c r="T34" s="2">
        <f>COUNTIFS('OB History S2'!$B:$B,$A$34,'OB History S2'!O:O, 1)</f>
        <v>0</v>
      </c>
      <c r="U34" s="2">
        <f>COUNTIFS('OB History S2'!$B:$B,$A$34,'OB History S2'!P:P, 1)</f>
        <v>1</v>
      </c>
      <c r="V34" s="2">
        <f>COUNTIFS('OB History S2'!$B:$B,$A$34,'OB History S2'!Q:Q, 1)</f>
        <v>0</v>
      </c>
      <c r="W34" s="2">
        <f>COUNTIFS('OB History S2'!$B:$B,$A$34,'OB History S2'!R:R, 1)</f>
        <v>0</v>
      </c>
      <c r="X34" s="2">
        <f>COUNTIFS('OB History S2'!$B:$B,$A$34,'OB History S2'!S:S, 1)</f>
        <v>0</v>
      </c>
      <c r="Y34" s="2">
        <f>COUNTIFS('OB History S2'!$B:$B,$A$34,'OB History S2'!T:T, 1)</f>
        <v>0</v>
      </c>
      <c r="Z34" s="2">
        <f>COUNTIFS('OB History S2'!$B:$B,$A$34,'OB History S2'!U:U, 1)</f>
        <v>0</v>
      </c>
      <c r="AA34" s="2">
        <f>COUNTIFS('OB History S2'!$B:$B,$A$34,'OB History S2'!V:V, 1)</f>
        <v>0</v>
      </c>
      <c r="AB34" s="2">
        <f>COUNTIFS('OB History S2'!$B:$B,$A$34,'OB History S2'!W:W, 1)</f>
        <v>0</v>
      </c>
      <c r="AC34" s="2">
        <f>COUNTIFS('OB History S2'!$B:$B,$A$34,'OB History S2'!X:X, 1)</f>
        <v>2</v>
      </c>
      <c r="AD34" s="2">
        <f>COUNTIFS('OB History S2'!$B:$B,$A$34,'OB History S2'!Y:Y, 1)</f>
        <v>1</v>
      </c>
      <c r="AE34" s="2">
        <f>COUNTIFS('OB History S2'!$B:$B,$A$34,'OB History S2'!Z:Z, 1)</f>
        <v>0</v>
      </c>
    </row>
    <row r="35" spans="1:31" x14ac:dyDescent="0.25">
      <c r="A35" s="2" t="s">
        <v>4</v>
      </c>
      <c r="B35" s="2" t="s">
        <v>79</v>
      </c>
      <c r="C35" s="2" t="s">
        <v>79</v>
      </c>
      <c r="D35" s="34">
        <f>SUMIFS('OB History S2'!C:C,'OB History S2'!B:B,A35)</f>
        <v>48</v>
      </c>
      <c r="E35" s="4">
        <f>AVERAGEIFS('OB History S2'!C:C,'OB History S2'!B:B,A35)</f>
        <v>24</v>
      </c>
      <c r="F35" s="35">
        <f t="array" ref="F35">MAX(IF('OB History S2'!B:B=A35, 'OB History S2'!C:C))</f>
        <v>31</v>
      </c>
      <c r="G35" s="34">
        <f>COUNTIFS('OB History S2'!B:B,A35,'OB History S2'!D:D, 1)</f>
        <v>1</v>
      </c>
      <c r="H35" s="2">
        <f>COUNTIFS('OB History S2'!B:B,A35,'OB History S2'!D:D, 0)</f>
        <v>1</v>
      </c>
      <c r="I35" s="88">
        <f>LOOKUP(2, 1/('OB History S2'!$B:$B=A35), 'OB History S2'!$AD:$AD)</f>
        <v>0.5</v>
      </c>
      <c r="J35" s="34">
        <f>SUMIFS('OB History S2'!F:F,'OB History S2'!B:B,A35)</f>
        <v>3</v>
      </c>
      <c r="K35" s="2">
        <f>SUMIFS('OB History S2'!E:E,'OB History S2'!B:B,A35)-J35</f>
        <v>5</v>
      </c>
      <c r="L35" s="88">
        <f>LOOKUP(2, 1/('OB History S2'!$B:$B=A35), 'OB History S2'!$AB:$AB)</f>
        <v>0.3</v>
      </c>
      <c r="M35" s="34">
        <f>SUMIFS('OB History S2'!H:H,'OB History S2'!B:B,A35)</f>
        <v>13</v>
      </c>
      <c r="N35" s="2">
        <f>SUMIFS('OB History S2'!G:G,'OB History S2'!B:B,A35)-M35</f>
        <v>19</v>
      </c>
      <c r="O35" s="88">
        <f>LOOKUP(2, 1/('OB History S2'!$B:$B=A35), 'OB History S2'!$AC:$AC)</f>
        <v>0.35</v>
      </c>
      <c r="P35" s="2">
        <f>COUNTIFS('OB History S2'!$B:$B,$A$35,'OB History S2'!K:K, 1)</f>
        <v>0</v>
      </c>
      <c r="Q35" s="2">
        <f>COUNTIFS('OB History S2'!$B:$B,$A$35,'OB History S2'!L:L, 1)</f>
        <v>1</v>
      </c>
      <c r="R35" s="2">
        <f>COUNTIFS('OB History S2'!$B:$B,$A$35,'OB History S2'!M:M, 1)</f>
        <v>0</v>
      </c>
      <c r="S35" s="2">
        <f>COUNTIFS('OB History S2'!$B:$B,$A$35,'OB History S2'!N:N, 1)</f>
        <v>0</v>
      </c>
      <c r="T35" s="2">
        <f>COUNTIFS('OB History S2'!$B:$B,$A$35,'OB History S2'!O:O, 1)</f>
        <v>0</v>
      </c>
      <c r="U35" s="2">
        <f>COUNTIFS('OB History S2'!$B:$B,$A$35,'OB History S2'!P:P, 1)</f>
        <v>0</v>
      </c>
      <c r="V35" s="2">
        <f>COUNTIFS('OB History S2'!$B:$B,$A$35,'OB History S2'!Q:Q, 1)</f>
        <v>0</v>
      </c>
      <c r="W35" s="2">
        <f>COUNTIFS('OB History S2'!$B:$B,$A$35,'OB History S2'!R:R, 1)</f>
        <v>0</v>
      </c>
      <c r="X35" s="2">
        <f>COUNTIFS('OB History S2'!$B:$B,$A$35,'OB History S2'!S:S, 1)</f>
        <v>0</v>
      </c>
      <c r="Y35" s="2">
        <f>COUNTIFS('OB History S2'!$B:$B,$A$35,'OB History S2'!T:T, 1)</f>
        <v>0</v>
      </c>
      <c r="Z35" s="2">
        <f>COUNTIFS('OB History S2'!$B:$B,$A$35,'OB History S2'!U:U, 1)</f>
        <v>0</v>
      </c>
      <c r="AA35" s="2">
        <f>COUNTIFS('OB History S2'!$B:$B,$A$35,'OB History S2'!V:V, 1)</f>
        <v>0</v>
      </c>
      <c r="AB35" s="2">
        <f>COUNTIFS('OB History S2'!$B:$B,$A$35,'OB History S2'!W:W, 1)</f>
        <v>0</v>
      </c>
      <c r="AC35" s="2">
        <f>COUNTIFS('OB History S2'!$B:$B,$A$35,'OB History S2'!X:X, 1)</f>
        <v>1</v>
      </c>
      <c r="AD35" s="2">
        <f>COUNTIFS('OB History S2'!$B:$B,$A$35,'OB History S2'!Y:Y, 1)</f>
        <v>1</v>
      </c>
      <c r="AE35" s="2">
        <f>COUNTIFS('OB History S2'!$B:$B,$A$35,'OB History S2'!Z:Z, 1)</f>
        <v>0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SUMIFS('OB History S2'!C:C,'OB History S2'!B:B,A36)</f>
        <v>16</v>
      </c>
      <c r="E36" s="4">
        <f>AVERAGEIFS('OB History S2'!C:C,'OB History S2'!B:B,A36)</f>
        <v>5.333333333333333</v>
      </c>
      <c r="F36" s="35">
        <f t="array" ref="F36">MAX(IF('OB History S2'!B:B=A36, 'OB History S2'!C:C))</f>
        <v>7</v>
      </c>
      <c r="G36" s="34">
        <f>COUNTIFS('OB History S2'!B:B,A36,'OB History S2'!D:D, 1)</f>
        <v>2</v>
      </c>
      <c r="H36" s="2">
        <f>COUNTIFS('OB History S2'!B:B,A36,'OB History S2'!D:D, 0)</f>
        <v>1</v>
      </c>
      <c r="I36" s="88">
        <f>LOOKUP(2, 1/('OB History S2'!$B:$B=A36), 'OB History S2'!$AD:$AD)</f>
        <v>0.66666666666666663</v>
      </c>
      <c r="J36" s="34">
        <f>SUMIFS('OB History S2'!F:F,'OB History S2'!B:B,A36)</f>
        <v>7</v>
      </c>
      <c r="K36" s="2">
        <f>SUMIFS('OB History S2'!E:E,'OB History S2'!B:B,A36)-J36</f>
        <v>4</v>
      </c>
      <c r="L36" s="88">
        <f>LOOKUP(2, 1/('OB History S2'!$B:$B=A36), 'OB History S2'!$AB:$AB)</f>
        <v>0.66666666666666663</v>
      </c>
      <c r="M36" s="34">
        <f>SUMIFS('OB History S2'!H:H,'OB History S2'!B:B,A36)</f>
        <v>25</v>
      </c>
      <c r="N36" s="2">
        <f>SUMIFS('OB History S2'!G:G,'OB History S2'!B:B,A36)-M36</f>
        <v>15</v>
      </c>
      <c r="O36" s="88">
        <f>LOOKUP(2, 1/('OB History S2'!$B:$B=A36), 'OB History S2'!$AC:$AC)</f>
        <v>0.6366666666666666</v>
      </c>
      <c r="P36" s="2">
        <f>COUNTIFS('OB History S2'!$B:$B,$A$36,'OB History S2'!K:K, 1)</f>
        <v>0</v>
      </c>
      <c r="Q36" s="2">
        <f>COUNTIFS('OB History S2'!$B:$B,$A$36,'OB History S2'!L:L, 1)</f>
        <v>1</v>
      </c>
      <c r="R36" s="2">
        <f>COUNTIFS('OB History S2'!$B:$B,$A$36,'OB History S2'!M:M, 1)</f>
        <v>0</v>
      </c>
      <c r="S36" s="2">
        <f>COUNTIFS('OB History S2'!$B:$B,$A$36,'OB History S2'!N:N, 1)</f>
        <v>1</v>
      </c>
      <c r="T36" s="2">
        <f>COUNTIFS('OB History S2'!$B:$B,$A$36,'OB History S2'!O:O, 1)</f>
        <v>0</v>
      </c>
      <c r="U36" s="2">
        <f>COUNTIFS('OB History S2'!$B:$B,$A$36,'OB History S2'!P:P, 1)</f>
        <v>0</v>
      </c>
      <c r="V36" s="2">
        <f>COUNTIFS('OB History S2'!$B:$B,$A$36,'OB History S2'!Q:Q, 1)</f>
        <v>0</v>
      </c>
      <c r="W36" s="2">
        <f>COUNTIFS('OB History S2'!$B:$B,$A$36,'OB History S2'!R:R, 1)</f>
        <v>0</v>
      </c>
      <c r="X36" s="2">
        <f>COUNTIFS('OB History S2'!$B:$B,$A$36,'OB History S2'!S:S, 1)</f>
        <v>0</v>
      </c>
      <c r="Y36" s="2">
        <f>COUNTIFS('OB History S2'!$B:$B,$A$36,'OB History S2'!T:T, 1)</f>
        <v>0</v>
      </c>
      <c r="Z36" s="2">
        <f>COUNTIFS('OB History S2'!$B:$B,$A$36,'OB History S2'!U:U, 1)</f>
        <v>1</v>
      </c>
      <c r="AA36" s="2">
        <f>COUNTIFS('OB History S2'!$B:$B,$A$36,'OB History S2'!V:V, 1)</f>
        <v>0</v>
      </c>
      <c r="AB36" s="2">
        <f>COUNTIFS('OB History S2'!$B:$B,$A$36,'OB History S2'!W:W, 1)</f>
        <v>0</v>
      </c>
      <c r="AC36" s="2">
        <f>COUNTIFS('OB History S2'!$B:$B,$A$36,'OB History S2'!X:X, 1)</f>
        <v>3</v>
      </c>
      <c r="AD36" s="2">
        <f>COUNTIFS('OB History S2'!$B:$B,$A$36,'OB History S2'!Y:Y, 1)</f>
        <v>1</v>
      </c>
      <c r="AE36" s="2">
        <f>COUNTIFS('OB History S2'!$B:$B,$A$36,'OB History S2'!Z:Z, 1)</f>
        <v>0</v>
      </c>
    </row>
  </sheetData>
  <autoFilter ref="A1:AE35" xr:uid="{EEC03B8F-669F-4FC0-BA62-50F3D395660C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57" activePane="bottomLeft" state="frozen"/>
      <selection pane="bottomLeft" activeCell="H64" sqref="H6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/>
      <c r="AA90" s="86"/>
      <c r="AB90" s="86"/>
      <c r="AC90" s="86"/>
      <c r="AD90" s="86"/>
    </row>
    <row r="91" spans="1:30" x14ac:dyDescent="0.25">
      <c r="A91" s="85"/>
      <c r="AA91" s="86"/>
      <c r="AB91" s="86"/>
      <c r="AC91" s="86"/>
      <c r="AD91" s="86"/>
    </row>
    <row r="92" spans="1:30" x14ac:dyDescent="0.25">
      <c r="A92" s="85"/>
      <c r="AA92" s="86"/>
      <c r="AB92" s="86"/>
      <c r="AC92" s="86"/>
      <c r="AD92" s="86"/>
    </row>
    <row r="93" spans="1:30" x14ac:dyDescent="0.25">
      <c r="A93" s="85"/>
      <c r="AA93" s="86"/>
      <c r="AB93" s="86"/>
      <c r="AC93" s="86"/>
      <c r="AD93" s="86"/>
    </row>
    <row r="94" spans="1:30" x14ac:dyDescent="0.25">
      <c r="A94" s="85"/>
      <c r="AA94" s="86"/>
      <c r="AB94" s="86"/>
      <c r="AC94" s="86"/>
      <c r="AD94" s="86"/>
    </row>
    <row r="95" spans="1:30" x14ac:dyDescent="0.25">
      <c r="A95" s="85"/>
      <c r="AA95" s="86"/>
      <c r="AB95" s="86"/>
      <c r="AC95" s="86"/>
      <c r="AD95" s="86"/>
    </row>
    <row r="96" spans="1:30" x14ac:dyDescent="0.25">
      <c r="A96" s="85"/>
      <c r="AA96" s="86"/>
      <c r="AB96" s="86"/>
      <c r="AC96" s="86"/>
      <c r="AD96" s="86"/>
    </row>
    <row r="97" spans="1:30" x14ac:dyDescent="0.25">
      <c r="A97" s="85"/>
      <c r="AA97" s="86"/>
      <c r="AB97" s="86"/>
      <c r="AC97" s="86"/>
      <c r="AD97" s="86"/>
    </row>
    <row r="98" spans="1:30" x14ac:dyDescent="0.25">
      <c r="A98" s="85"/>
      <c r="AA98" s="86"/>
      <c r="AB98" s="86"/>
      <c r="AC98" s="86"/>
      <c r="AD98" s="86"/>
    </row>
    <row r="99" spans="1:30" x14ac:dyDescent="0.25">
      <c r="A99" s="85"/>
      <c r="AA99" s="86"/>
      <c r="AB99" s="86"/>
      <c r="AC99" s="86"/>
      <c r="AD99" s="86"/>
    </row>
    <row r="100" spans="1:30" x14ac:dyDescent="0.25">
      <c r="A100" s="85"/>
      <c r="AA100" s="86"/>
      <c r="AB100" s="86"/>
      <c r="AC100" s="86"/>
      <c r="AD100" s="86"/>
    </row>
    <row r="101" spans="1:30" x14ac:dyDescent="0.25">
      <c r="A101" s="85"/>
      <c r="AA101" s="86"/>
      <c r="AB101" s="86"/>
      <c r="AC101" s="86"/>
      <c r="AD101" s="86"/>
    </row>
    <row r="102" spans="1:30" x14ac:dyDescent="0.25">
      <c r="A102" s="85"/>
      <c r="AA102" s="86"/>
      <c r="AB102" s="86"/>
      <c r="AC102" s="86"/>
      <c r="AD102" s="86"/>
    </row>
    <row r="103" spans="1:30" x14ac:dyDescent="0.25">
      <c r="A103" s="85"/>
      <c r="AA103" s="86"/>
      <c r="AB103" s="86"/>
      <c r="AC103" s="86"/>
      <c r="AD103" s="86"/>
    </row>
    <row r="104" spans="1:30" x14ac:dyDescent="0.25">
      <c r="A104" s="85"/>
      <c r="AA104" s="86"/>
      <c r="AB104" s="86"/>
      <c r="AC104" s="86"/>
      <c r="AD104" s="86"/>
    </row>
    <row r="105" spans="1:30" x14ac:dyDescent="0.25">
      <c r="A105" s="85"/>
      <c r="AA105" s="86"/>
      <c r="AB105" s="86"/>
      <c r="AC105" s="86"/>
      <c r="AD105" s="86"/>
    </row>
    <row r="106" spans="1:30" x14ac:dyDescent="0.25">
      <c r="A106" s="85"/>
      <c r="AA106" s="86"/>
      <c r="AB106" s="86"/>
      <c r="AC106" s="86"/>
      <c r="AD106" s="86"/>
    </row>
    <row r="107" spans="1:30" x14ac:dyDescent="0.25">
      <c r="A107" s="85"/>
      <c r="AA107" s="86"/>
      <c r="AB107" s="86"/>
      <c r="AC107" s="86"/>
      <c r="AD107" s="86"/>
    </row>
    <row r="108" spans="1:30" x14ac:dyDescent="0.25">
      <c r="A108" s="85"/>
      <c r="AA108" s="86"/>
      <c r="AB108" s="86"/>
      <c r="AC108" s="86"/>
      <c r="AD108" s="86"/>
    </row>
    <row r="109" spans="1:30" x14ac:dyDescent="0.25">
      <c r="A109" s="85"/>
      <c r="AA109" s="86"/>
      <c r="AB109" s="86"/>
      <c r="AC109" s="86"/>
      <c r="AD109" s="86"/>
    </row>
    <row r="110" spans="1:30" x14ac:dyDescent="0.25">
      <c r="A110" s="85"/>
      <c r="AA110" s="86"/>
      <c r="AB110" s="86"/>
      <c r="AC110" s="86"/>
      <c r="AD110" s="86"/>
    </row>
    <row r="111" spans="1:30" x14ac:dyDescent="0.25">
      <c r="A111" s="85"/>
      <c r="AA111" s="86"/>
      <c r="AB111" s="86"/>
      <c r="AC111" s="86"/>
      <c r="AD111" s="86"/>
    </row>
    <row r="112" spans="1:30" x14ac:dyDescent="0.25">
      <c r="A112" s="85"/>
      <c r="AA112" s="86"/>
      <c r="AB112" s="86"/>
      <c r="AC112" s="86"/>
      <c r="AD112" s="86"/>
    </row>
    <row r="113" spans="1:30" x14ac:dyDescent="0.25">
      <c r="A113" s="85"/>
      <c r="AA113" s="86"/>
      <c r="AB113" s="86"/>
      <c r="AC113" s="86"/>
      <c r="AD113" s="86"/>
    </row>
    <row r="114" spans="1:30" x14ac:dyDescent="0.25">
      <c r="A114" s="85"/>
      <c r="AA114" s="86"/>
      <c r="AB114" s="86"/>
      <c r="AC114" s="86"/>
      <c r="AD114" s="86"/>
    </row>
    <row r="115" spans="1:30" x14ac:dyDescent="0.25">
      <c r="A115" s="85"/>
      <c r="AA115" s="86"/>
      <c r="AB115" s="86"/>
      <c r="AC115" s="86"/>
      <c r="AD115" s="86"/>
    </row>
    <row r="116" spans="1:30" x14ac:dyDescent="0.25">
      <c r="A116" s="85"/>
      <c r="AA116" s="86"/>
      <c r="AB116" s="86"/>
      <c r="AC116" s="86"/>
      <c r="AD116" s="86"/>
    </row>
    <row r="117" spans="1:30" x14ac:dyDescent="0.25">
      <c r="A117" s="85"/>
      <c r="AA117" s="86"/>
      <c r="AB117" s="86"/>
      <c r="AC117" s="86"/>
      <c r="AD117" s="86"/>
    </row>
    <row r="118" spans="1:30" x14ac:dyDescent="0.25">
      <c r="A118" s="85"/>
      <c r="AA118" s="86"/>
      <c r="AB118" s="86"/>
      <c r="AC118" s="86"/>
      <c r="AD118" s="86"/>
    </row>
    <row r="119" spans="1:30" x14ac:dyDescent="0.25">
      <c r="A119" s="85"/>
      <c r="AA119" s="86"/>
      <c r="AB119" s="86"/>
      <c r="AC119" s="86"/>
      <c r="AD119" s="86"/>
    </row>
    <row r="120" spans="1:30" x14ac:dyDescent="0.25">
      <c r="A120" s="85"/>
      <c r="AA120" s="86"/>
      <c r="AB120" s="86"/>
      <c r="AC120" s="86"/>
      <c r="AD120" s="86"/>
    </row>
    <row r="121" spans="1:30" x14ac:dyDescent="0.25">
      <c r="A121" s="85"/>
      <c r="AA121" s="86"/>
      <c r="AB121" s="86"/>
      <c r="AC121" s="86"/>
      <c r="AD121" s="86"/>
    </row>
    <row r="122" spans="1:30" x14ac:dyDescent="0.25">
      <c r="A122" s="85"/>
      <c r="AA122" s="86"/>
      <c r="AB122" s="86"/>
      <c r="AC122" s="86"/>
      <c r="AD122" s="86"/>
    </row>
    <row r="123" spans="1:30" x14ac:dyDescent="0.25">
      <c r="A123" s="85"/>
      <c r="AA123" s="86"/>
      <c r="AB123" s="86"/>
      <c r="AC123" s="86"/>
      <c r="AD123" s="86"/>
    </row>
    <row r="124" spans="1:30" x14ac:dyDescent="0.25">
      <c r="A124" s="85"/>
      <c r="AA124" s="86"/>
      <c r="AB124" s="86"/>
      <c r="AC124" s="86"/>
      <c r="AD124" s="86"/>
    </row>
    <row r="125" spans="1:30" x14ac:dyDescent="0.25">
      <c r="A125" s="85"/>
      <c r="AA125" s="86"/>
      <c r="AB125" s="86"/>
      <c r="AC125" s="86"/>
      <c r="AD125" s="86"/>
    </row>
    <row r="126" spans="1:30" x14ac:dyDescent="0.25">
      <c r="A126" s="85"/>
      <c r="AA126" s="86"/>
      <c r="AB126" s="86"/>
      <c r="AC126" s="86"/>
      <c r="AD126" s="86"/>
    </row>
    <row r="127" spans="1:30" x14ac:dyDescent="0.25">
      <c r="A127" s="85"/>
      <c r="AA127" s="86"/>
      <c r="AB127" s="86"/>
      <c r="AC127" s="86"/>
      <c r="AD127" s="86"/>
    </row>
    <row r="128" spans="1:30" x14ac:dyDescent="0.25">
      <c r="A128" s="85"/>
      <c r="AA128" s="86"/>
      <c r="AB128" s="86"/>
      <c r="AC128" s="86"/>
      <c r="AD128" s="86"/>
    </row>
    <row r="129" spans="1:30" x14ac:dyDescent="0.25">
      <c r="A129" s="85"/>
      <c r="AA129" s="86"/>
      <c r="AB129" s="86"/>
      <c r="AC129" s="86"/>
      <c r="AD129" s="86"/>
    </row>
    <row r="130" spans="1:30" x14ac:dyDescent="0.25">
      <c r="A130" s="85"/>
      <c r="AA130" s="86"/>
      <c r="AB130" s="86"/>
      <c r="AC130" s="86"/>
      <c r="AD130" s="86"/>
    </row>
    <row r="131" spans="1:30" x14ac:dyDescent="0.25">
      <c r="A131" s="85"/>
      <c r="AA131" s="86"/>
      <c r="AB131" s="86"/>
      <c r="AC131" s="86"/>
      <c r="AD131" s="86"/>
    </row>
    <row r="132" spans="1:30" x14ac:dyDescent="0.25">
      <c r="A132" s="85"/>
      <c r="AA132" s="86"/>
      <c r="AB132" s="86"/>
      <c r="AC132" s="86"/>
      <c r="AD132" s="86"/>
    </row>
    <row r="133" spans="1:30" x14ac:dyDescent="0.25">
      <c r="A133" s="85"/>
      <c r="AA133" s="86"/>
      <c r="AB133" s="86"/>
      <c r="AC133" s="86"/>
      <c r="AD133" s="86"/>
    </row>
    <row r="134" spans="1:30" x14ac:dyDescent="0.25">
      <c r="A134" s="85"/>
      <c r="AA134" s="86"/>
      <c r="AB134" s="86"/>
      <c r="AC134" s="86"/>
      <c r="AD134" s="86"/>
    </row>
    <row r="135" spans="1:30" x14ac:dyDescent="0.25">
      <c r="A135" s="85"/>
      <c r="AA135" s="86"/>
      <c r="AB135" s="86"/>
      <c r="AC135" s="86"/>
      <c r="AD135" s="86"/>
    </row>
    <row r="136" spans="1:30" x14ac:dyDescent="0.25">
      <c r="A136" s="85"/>
      <c r="AA136" s="86"/>
      <c r="AB136" s="86"/>
      <c r="AC136" s="86"/>
      <c r="AD136" s="86"/>
    </row>
    <row r="137" spans="1:30" x14ac:dyDescent="0.25">
      <c r="A137" s="85"/>
      <c r="AA137" s="86"/>
      <c r="AB137" s="86"/>
      <c r="AC137" s="86"/>
      <c r="AD137" s="86"/>
    </row>
    <row r="138" spans="1:30" x14ac:dyDescent="0.25">
      <c r="A138" s="85"/>
      <c r="AA138" s="86"/>
      <c r="AB138" s="86"/>
      <c r="AC138" s="86"/>
      <c r="AD138" s="86"/>
    </row>
    <row r="139" spans="1:30" x14ac:dyDescent="0.25">
      <c r="A139" s="85"/>
      <c r="AA139" s="86"/>
      <c r="AB139" s="86"/>
      <c r="AC139" s="86"/>
      <c r="AD139" s="86"/>
    </row>
    <row r="140" spans="1:30" x14ac:dyDescent="0.25">
      <c r="A140" s="85"/>
      <c r="AA140" s="86"/>
      <c r="AB140" s="86"/>
      <c r="AC140" s="86"/>
      <c r="AD140" s="86"/>
    </row>
    <row r="141" spans="1:30" x14ac:dyDescent="0.25">
      <c r="A141" s="85"/>
      <c r="AA141" s="86"/>
      <c r="AB141" s="86"/>
      <c r="AC141" s="86"/>
      <c r="AD141" s="86"/>
    </row>
    <row r="142" spans="1:30" x14ac:dyDescent="0.25">
      <c r="A142" s="85"/>
      <c r="AA142" s="86"/>
      <c r="AB142" s="86"/>
      <c r="AC142" s="86"/>
      <c r="AD142" s="86"/>
    </row>
    <row r="143" spans="1:30" x14ac:dyDescent="0.25">
      <c r="A143" s="85"/>
      <c r="AA143" s="86"/>
      <c r="AB143" s="86"/>
      <c r="AC143" s="86"/>
      <c r="AD143" s="86"/>
    </row>
    <row r="144" spans="1:30" x14ac:dyDescent="0.25">
      <c r="A144" s="85"/>
      <c r="AA144" s="86"/>
      <c r="AB144" s="86"/>
      <c r="AC144" s="86"/>
      <c r="AD144" s="86"/>
    </row>
    <row r="145" spans="1:30" x14ac:dyDescent="0.25">
      <c r="A145" s="85"/>
      <c r="AA145" s="86"/>
      <c r="AB145" s="86"/>
      <c r="AC145" s="86"/>
      <c r="AD145" s="86"/>
    </row>
    <row r="146" spans="1:30" x14ac:dyDescent="0.25">
      <c r="A146" s="85"/>
      <c r="AA146" s="86"/>
      <c r="AB146" s="86"/>
      <c r="AC146" s="86"/>
      <c r="AD146" s="86"/>
    </row>
    <row r="147" spans="1:30" x14ac:dyDescent="0.25">
      <c r="A147" s="85"/>
      <c r="AA147" s="86"/>
      <c r="AB147" s="86"/>
      <c r="AC147" s="86"/>
      <c r="AD147" s="86"/>
    </row>
    <row r="148" spans="1:30" x14ac:dyDescent="0.25">
      <c r="A148" s="85"/>
      <c r="AA148" s="86"/>
      <c r="AB148" s="86"/>
      <c r="AC148" s="86"/>
      <c r="AD148" s="86"/>
    </row>
    <row r="149" spans="1:30" x14ac:dyDescent="0.25">
      <c r="A149" s="85"/>
      <c r="AA149" s="86"/>
      <c r="AB149" s="86"/>
      <c r="AC149" s="86"/>
      <c r="AD149" s="86"/>
    </row>
    <row r="150" spans="1:30" x14ac:dyDescent="0.25">
      <c r="A150" s="85"/>
      <c r="AA150" s="86"/>
      <c r="AB150" s="86"/>
      <c r="AC150" s="86"/>
      <c r="AD150" s="86"/>
    </row>
    <row r="151" spans="1:30" x14ac:dyDescent="0.25">
      <c r="A151" s="85"/>
      <c r="AA151" s="86"/>
      <c r="AB151" s="86"/>
      <c r="AC151" s="86"/>
      <c r="AD151" s="86"/>
    </row>
    <row r="152" spans="1:30" x14ac:dyDescent="0.25">
      <c r="A152" s="85"/>
      <c r="AA152" s="86"/>
      <c r="AB152" s="86"/>
      <c r="AC152" s="86"/>
      <c r="AD152" s="86"/>
    </row>
    <row r="153" spans="1:30" x14ac:dyDescent="0.25">
      <c r="A153" s="85"/>
      <c r="AA153" s="86"/>
      <c r="AB153" s="86"/>
      <c r="AC153" s="86"/>
      <c r="AD153" s="86"/>
    </row>
    <row r="154" spans="1:30" x14ac:dyDescent="0.25">
      <c r="A154" s="85"/>
      <c r="AA154" s="86"/>
      <c r="AB154" s="86"/>
      <c r="AC154" s="86"/>
      <c r="AD154" s="86"/>
    </row>
    <row r="155" spans="1:30" x14ac:dyDescent="0.25">
      <c r="A155" s="85"/>
      <c r="AA155" s="86"/>
      <c r="AB155" s="86"/>
      <c r="AC155" s="86"/>
      <c r="AD155" s="86"/>
    </row>
    <row r="156" spans="1:30" x14ac:dyDescent="0.25">
      <c r="A156" s="85"/>
      <c r="AA156" s="86"/>
      <c r="AB156" s="86"/>
      <c r="AC156" s="86"/>
      <c r="AD156" s="86"/>
    </row>
    <row r="157" spans="1:30" x14ac:dyDescent="0.25">
      <c r="A157" s="85"/>
      <c r="AA157" s="86"/>
      <c r="AB157" s="86"/>
      <c r="AC157" s="86"/>
      <c r="AD157" s="86"/>
    </row>
    <row r="158" spans="1:30" x14ac:dyDescent="0.25">
      <c r="A158" s="85"/>
      <c r="AA158" s="86"/>
      <c r="AB158" s="86"/>
      <c r="AC158" s="86"/>
      <c r="AD158" s="86"/>
    </row>
    <row r="159" spans="1:30" x14ac:dyDescent="0.25">
      <c r="A159" s="85"/>
      <c r="AA159" s="86"/>
      <c r="AB159" s="86"/>
      <c r="AC159" s="86"/>
      <c r="AD159" s="86"/>
    </row>
    <row r="160" spans="1:30" x14ac:dyDescent="0.25">
      <c r="A160" s="85"/>
      <c r="AA160" s="86"/>
      <c r="AB160" s="86"/>
      <c r="AC160" s="86"/>
      <c r="AD160" s="86"/>
    </row>
    <row r="161" spans="1:30" x14ac:dyDescent="0.25">
      <c r="A161" s="85"/>
      <c r="AA161" s="86"/>
      <c r="AB161" s="86"/>
      <c r="AC161" s="86"/>
      <c r="AD161" s="86"/>
    </row>
    <row r="162" spans="1:30" x14ac:dyDescent="0.25">
      <c r="A162" s="85"/>
      <c r="AA162" s="86"/>
      <c r="AB162" s="86"/>
      <c r="AC162" s="86"/>
      <c r="AD162" s="86"/>
    </row>
    <row r="163" spans="1:30" x14ac:dyDescent="0.25">
      <c r="A163" s="85"/>
      <c r="AA163" s="86"/>
      <c r="AB163" s="86"/>
      <c r="AC163" s="86"/>
      <c r="AD163" s="86"/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6" t="s">
        <v>119</v>
      </c>
      <c r="B4" s="97"/>
      <c r="C4" s="97"/>
    </row>
    <row r="5" spans="1:3" x14ac:dyDescent="0.25">
      <c r="A5" s="96" t="s">
        <v>120</v>
      </c>
      <c r="B5" s="97"/>
      <c r="C5" s="97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99" t="s">
        <v>7</v>
      </c>
      <c r="D1" s="100"/>
      <c r="E1" s="100"/>
      <c r="F1" s="99" t="s">
        <v>22</v>
      </c>
      <c r="G1" s="100"/>
      <c r="H1" s="101"/>
      <c r="I1" s="99" t="s">
        <v>16</v>
      </c>
      <c r="J1" s="100"/>
      <c r="K1" s="101"/>
      <c r="L1" s="99" t="s">
        <v>23</v>
      </c>
      <c r="M1" s="100"/>
      <c r="N1" s="101"/>
      <c r="O1" s="100" t="s">
        <v>64</v>
      </c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1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2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2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2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2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2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2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2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2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99" t="s">
        <v>7</v>
      </c>
      <c r="D15" s="100"/>
      <c r="E15" s="101"/>
      <c r="F15" s="99" t="s">
        <v>22</v>
      </c>
      <c r="G15" s="100"/>
      <c r="H15" s="101"/>
      <c r="I15" s="99" t="s">
        <v>16</v>
      </c>
      <c r="J15" s="100"/>
      <c r="K15" s="101"/>
      <c r="L15" s="99" t="s">
        <v>23</v>
      </c>
      <c r="M15" s="100"/>
      <c r="N15" s="101"/>
      <c r="O15" s="99" t="s">
        <v>64</v>
      </c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1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8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8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8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8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8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8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8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8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5" sqref="A2:A55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170</v>
      </c>
      <c r="D2" s="66">
        <f>AVERAGEIFS('BA History'!C:C,'BA History'!B:B,A2)</f>
        <v>13.076923076923077</v>
      </c>
      <c r="E2" s="35">
        <f t="array" ref="E2">MAX(IF('BA History'!B:B=A2, 'BA History'!C:C))</f>
        <v>23</v>
      </c>
      <c r="F2" s="34">
        <f>COUNTIFS('BA History'!B:B,A2,'BA History'!D:D, 1)</f>
        <v>6</v>
      </c>
      <c r="G2" s="2">
        <f>COUNTIFS('BA History'!B:B,A2,'BA History'!D:D, 0)</f>
        <v>7</v>
      </c>
      <c r="H2" s="75">
        <f>LOOKUP(2, 1/('BA History'!$B:$B=A2), 'BA History'!$AJ:$AJ)</f>
        <v>0.46153846153846156</v>
      </c>
      <c r="I2" s="34">
        <f>SUMIFS('BA History'!F:F,'BA History'!B:B,A2)</f>
        <v>25</v>
      </c>
      <c r="J2" s="2">
        <f>SUMIFS('BA History'!E:E,'BA History'!B:B,A2)-I2</f>
        <v>28</v>
      </c>
      <c r="K2" s="75">
        <f>LOOKUP(2, 1/('BA History'!$B:$B=A2), 'BA History'!$AH:$AH)</f>
        <v>0.4538461538461539</v>
      </c>
      <c r="L2" s="34">
        <f>SUMIFS('BA History'!H:H,'BA History'!B:B,A2)</f>
        <v>107</v>
      </c>
      <c r="M2" s="2">
        <f>SUMIFS('BA History'!G:G,'BA History'!B:B,A2)-L2</f>
        <v>110</v>
      </c>
      <c r="N2" s="89">
        <f>LOOKUP(2, 1/('BA History'!$B:$B=A2), 'BA History'!$AI:$AI)</f>
        <v>0.47076923076923077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5</v>
      </c>
      <c r="R2" s="2">
        <f>COUNTIFS('BA History'!$B:$B,$A$2,'BA History'!N:N, 1)</f>
        <v>3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2</v>
      </c>
      <c r="AE2" s="2">
        <f>COUNTIFS('BA History'!$B:$B,$A$2,'BA History'!AA:AA, 1)</f>
        <v>0</v>
      </c>
      <c r="AF2" s="2">
        <f>COUNTIFS('BA History'!$B:$B,$A$2,'BA History'!AB:AB, 1)</f>
        <v>3</v>
      </c>
      <c r="AG2" s="2">
        <f>COUNTIFS('BA History'!$B:$B,$A$2,'BA History'!AC:AC, 1)</f>
        <v>0</v>
      </c>
      <c r="AH2" s="2">
        <f>COUNTIFS('BA History'!$B:$B,$A$2,'BA History'!AD:AD, 1)</f>
        <v>3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115</v>
      </c>
      <c r="D3" s="66">
        <f>AVERAGEIFS('BA History'!C:C,'BA History'!B:B,A3)</f>
        <v>12.777777777777779</v>
      </c>
      <c r="E3" s="35">
        <f t="array" ref="E3">MAX(IF('BA History'!B:B=A3, 'BA History'!C:C))</f>
        <v>19</v>
      </c>
      <c r="F3" s="34">
        <f>COUNTIFS('BA History'!B:B,A3,'BA History'!D:D, 1)</f>
        <v>4</v>
      </c>
      <c r="G3" s="2">
        <f>COUNTIFS('BA History'!B:B,A3,'BA History'!D:D, 0)</f>
        <v>5</v>
      </c>
      <c r="H3" s="75">
        <f>LOOKUP(2, 1/('BA History'!$B:$B=A3), 'BA History'!$AJ:$AJ)</f>
        <v>0.44444444444444442</v>
      </c>
      <c r="I3" s="34">
        <f>SUMIFS('BA History'!F:F,'BA History'!B:B,A3)</f>
        <v>20</v>
      </c>
      <c r="J3" s="2">
        <f>SUMIFS('BA History'!E:E,'BA History'!B:B,A3)-I3</f>
        <v>18</v>
      </c>
      <c r="K3" s="75">
        <f>LOOKUP(2, 1/('BA History'!$B:$B=A3), 'BA History'!$AH:$AH)</f>
        <v>0.53888888888888886</v>
      </c>
      <c r="L3" s="34">
        <f>SUMIFS('BA History'!H:H,'BA History'!B:B,A3)</f>
        <v>80</v>
      </c>
      <c r="M3" s="2">
        <f>SUMIFS('BA History'!G:G,'BA History'!B:B,A3)-L3</f>
        <v>79</v>
      </c>
      <c r="N3" s="89">
        <f>LOOKUP(2, 1/('BA History'!$B:$B=A3), 'BA History'!$AI:$AI)</f>
        <v>0.49222222222222217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3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1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2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LOOKUP(2, 1/('BA History'!$B:$B=A4), 'BA History'!$AJ:$AJ)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LOOKUP(2, 1/('BA History'!$B:$B=A4), 'BA History'!$AH:$AH)</f>
        <v>0.46666666666666662</v>
      </c>
      <c r="L4" s="34">
        <f>SUMIFS('BA History'!H:H,'BA History'!B:B,A4)</f>
        <v>24</v>
      </c>
      <c r="M4" s="2">
        <f>SUMIFS('BA History'!G:G,'BA History'!B:B,A4)-L4</f>
        <v>29</v>
      </c>
      <c r="N4" s="89">
        <f>LOOKUP(2, 1/('BA History'!$B:$B=A4), 'BA History'!$AI:$AI)</f>
        <v>0.44333333333333336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243</v>
      </c>
      <c r="D5" s="66">
        <f>AVERAGEIFS('BA History'!C:C,'BA History'!B:B,A5)</f>
        <v>12.15</v>
      </c>
      <c r="E5" s="35">
        <f t="array" ref="E5">MAX(IF('BA History'!B:B=A5, 'BA History'!C:C))</f>
        <v>19</v>
      </c>
      <c r="F5" s="34">
        <f>COUNTIFS('BA History'!B:B,A5,'BA History'!D:D, 1)</f>
        <v>10</v>
      </c>
      <c r="G5" s="2">
        <f>COUNTIFS('BA History'!B:B,A5,'BA History'!D:D, 0)</f>
        <v>10</v>
      </c>
      <c r="H5" s="75">
        <f>LOOKUP(2, 1/('BA History'!$B:$B=A5), 'BA History'!$AJ:$AJ)</f>
        <v>0.5</v>
      </c>
      <c r="I5" s="34">
        <f>SUMIFS('BA History'!F:F,'BA History'!B:B,A5)</f>
        <v>39</v>
      </c>
      <c r="J5" s="2">
        <f>SUMIFS('BA History'!E:E,'BA History'!B:B,A5)-I5</f>
        <v>43</v>
      </c>
      <c r="K5" s="75">
        <f>LOOKUP(2, 1/('BA History'!$B:$B=A5), 'BA History'!$AH:$AH)</f>
        <v>0.45</v>
      </c>
      <c r="L5" s="34">
        <f>SUMIFS('BA History'!H:H,'BA History'!B:B,A5)</f>
        <v>159</v>
      </c>
      <c r="M5" s="2">
        <f>SUMIFS('BA History'!G:G,'BA History'!B:B,A5)-L5</f>
        <v>172</v>
      </c>
      <c r="N5" s="89">
        <f>LOOKUP(2, 1/('BA History'!$B:$B=A5), 'BA History'!$AI:$AI)</f>
        <v>0.46850000000000003</v>
      </c>
      <c r="O5" s="2">
        <f>COUNTIFS('BA History'!$B:$B,$A$5,'BA History'!K:K, 1)</f>
        <v>2</v>
      </c>
      <c r="P5" s="2">
        <f>COUNTIFS('BA History'!$B:$B,$A$5,'BA History'!L:L, 1)</f>
        <v>3</v>
      </c>
      <c r="Q5" s="2">
        <f>COUNTIFS('BA History'!$B:$B,$A$5,'BA History'!M:M, 1)</f>
        <v>3</v>
      </c>
      <c r="R5" s="2">
        <f>COUNTIFS('BA History'!$B:$B,$A$5,'BA History'!N:N, 1)</f>
        <v>2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2</v>
      </c>
      <c r="AB5" s="2">
        <f>COUNTIFS('BA History'!$B:$B,$A$5,'BA History'!X:X, 1)</f>
        <v>0</v>
      </c>
      <c r="AC5" s="2">
        <f>COUNTIFS('BA History'!$B:$B,$A$5,'BA History'!Y:Y, 1)</f>
        <v>7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4</v>
      </c>
      <c r="AG5" s="2">
        <f>COUNTIFS('BA History'!$B:$B,$A$5,'BA History'!AC:AC, 1)</f>
        <v>2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LOOKUP(2, 1/('BA History'!$B:$B=A6), 'BA History'!$AJ:$AJ)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LOOKUP(2, 1/('BA History'!$B:$B=A6), 'BA History'!$AH:$AH)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>LOOKUP(2, 1/('BA History'!$B:$B=A6), 'BA History'!$AI:$AI)</f>
        <v>0.42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391</v>
      </c>
      <c r="D7" s="66">
        <f>AVERAGEIFS('BA History'!C:C,'BA History'!B:B,A7)</f>
        <v>10.861111111111111</v>
      </c>
      <c r="E7" s="35">
        <f t="array" ref="E7">MAX(IF('BA History'!B:B=A7, 'BA History'!C:C))</f>
        <v>24</v>
      </c>
      <c r="F7" s="34">
        <f>COUNTIFS('BA History'!B:B,A7,'BA History'!D:D, 1)</f>
        <v>16</v>
      </c>
      <c r="G7" s="2">
        <f>COUNTIFS('BA History'!B:B,A7,'BA History'!D:D, 0)</f>
        <v>20</v>
      </c>
      <c r="H7" s="75">
        <f>LOOKUP(2, 1/('BA History'!$B:$B=A7), 'BA History'!$AJ:$AJ)</f>
        <v>0.44444444444444442</v>
      </c>
      <c r="I7" s="34">
        <f>SUMIFS('BA History'!F:F,'BA History'!B:B,A7)</f>
        <v>71</v>
      </c>
      <c r="J7" s="2">
        <f>SUMIFS('BA History'!E:E,'BA History'!B:B,A7)-I7</f>
        <v>77</v>
      </c>
      <c r="K7" s="75">
        <f>LOOKUP(2, 1/('BA History'!$B:$B=A7), 'BA History'!$AH:$AH)</f>
        <v>0.46750000000000003</v>
      </c>
      <c r="L7" s="34">
        <f>SUMIFS('BA History'!H:H,'BA History'!B:B,A7)</f>
        <v>308</v>
      </c>
      <c r="M7" s="2">
        <f>SUMIFS('BA History'!G:G,'BA History'!B:B,A7)-L7</f>
        <v>313</v>
      </c>
      <c r="N7" s="89">
        <f>LOOKUP(2, 1/('BA History'!$B:$B=A7), 'BA History'!$AI:$AI)</f>
        <v>0.48861111111111111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6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4</v>
      </c>
      <c r="AA7" s="2">
        <f>COUNTIFS('BA History'!$B:$B,$A$7,'BA History'!W:W, 1)</f>
        <v>1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8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LOOKUP(2, 1/('BA History'!$B:$B=A8), 'BA History'!$AJ:$AJ)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LOOKUP(2, 1/('BA History'!$B:$B=A8), 'BA History'!$AH:$AH)</f>
        <v>0.60615384615384615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>LOOKUP(2, 1/('BA History'!$B:$B=A8), 'BA History'!$AI:$AI)</f>
        <v>0.57846153846153836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576</v>
      </c>
      <c r="D9" s="66">
        <f>AVERAGEIFS('BA History'!C:C,'BA History'!B:B,A9)</f>
        <v>19.2</v>
      </c>
      <c r="E9" s="35">
        <f t="array" ref="E9">MAX(IF('BA History'!B:B=A9, 'BA History'!C:C))</f>
        <v>34</v>
      </c>
      <c r="F9" s="34">
        <f>COUNTIFS('BA History'!B:B,A9,'BA History'!D:D, 1)</f>
        <v>13</v>
      </c>
      <c r="G9" s="2">
        <f>COUNTIFS('BA History'!B:B,A9,'BA History'!D:D, 0)</f>
        <v>17</v>
      </c>
      <c r="H9" s="75">
        <f>LOOKUP(2, 1/('BA History'!$B:$B=A9), 'BA History'!$AJ:$AJ)</f>
        <v>0.43333333333333335</v>
      </c>
      <c r="I9" s="34">
        <f>SUMIFS('BA History'!F:F,'BA History'!B:B,A9)</f>
        <v>56</v>
      </c>
      <c r="J9" s="2">
        <f>SUMIFS('BA History'!E:E,'BA History'!B:B,A9)-I9</f>
        <v>69</v>
      </c>
      <c r="K9" s="75">
        <f>LOOKUP(2, 1/('BA History'!$B:$B=A9), 'BA History'!$AH:$AH)</f>
        <v>0.4383333333333333</v>
      </c>
      <c r="L9" s="34">
        <f>SUMIFS('BA History'!H:H,'BA History'!B:B,A9)</f>
        <v>237</v>
      </c>
      <c r="M9" s="2">
        <f>SUMIFS('BA History'!G:G,'BA History'!B:B,A9)-L9</f>
        <v>278</v>
      </c>
      <c r="N9" s="89">
        <f>LOOKUP(2, 1/('BA History'!$B:$B=A9), 'BA History'!$AI:$AI)</f>
        <v>0.45166666666666661</v>
      </c>
      <c r="O9" s="2">
        <f>COUNTIFS('BA History'!$B:$B,$A$9,'BA History'!K:K, 1)</f>
        <v>3</v>
      </c>
      <c r="P9" s="2">
        <f>COUNTIFS('BA History'!$B:$B,$A$9,'BA History'!L:L, 1)</f>
        <v>6</v>
      </c>
      <c r="Q9" s="2">
        <f>COUNTIFS('BA History'!$B:$B,$A$9,'BA History'!M:M, 1)</f>
        <v>1</v>
      </c>
      <c r="R9" s="2">
        <f>COUNTIFS('BA History'!$B:$B,$A$9,'BA History'!N:N, 1)</f>
        <v>6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6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4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LOOKUP(2, 1/('BA History'!$B:$B=A10), 'BA History'!$AJ:$AJ)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LOOKUP(2, 1/('BA History'!$B:$B=A10), 'BA History'!$AH:$AH)</f>
        <v>0.66666666666666663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>LOOKUP(2, 1/('BA History'!$B:$B=A10), 'BA History'!$AI:$AI)</f>
        <v>0.63833333333333331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LOOKUP(2, 1/('BA History'!$B:$B=A11), 'BA History'!$AJ:$AJ)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LOOKUP(2, 1/('BA History'!$B:$B=A11), 'BA History'!$AH:$AH)</f>
        <v>0.45624999999999999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>LOOKUP(2, 1/('BA History'!$B:$B=A11), 'BA History'!$AI:$AI)</f>
        <v>0.48374999999999996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>LOOKUP(2, 1/('BA History'!$B:$B=A12), 'BA History'!$AJ:$AJ)</f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>LOOKUP(2, 1/('BA History'!$B:$B=A12), 'BA History'!$AH:$AH)</f>
        <v>0.3</v>
      </c>
      <c r="L12" s="34">
        <f>SUMIFS('BA History'!H:H,'BA History'!B:B,A12)</f>
        <v>26</v>
      </c>
      <c r="M12" s="2">
        <f>SUMIFS('BA History'!G:G,'BA History'!B:B,A12)-L12</f>
        <v>43</v>
      </c>
      <c r="N12" s="89">
        <f>LOOKUP(2, 1/('BA History'!$B:$B=A12), 'BA History'!$AI:$AI)</f>
        <v>0.36199999999999999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>LOOKUP(2, 1/('BA History'!$B:$B=A13), 'BA History'!$AJ:$AJ)</f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>LOOKUP(2, 1/('BA History'!$B:$B=A13), 'BA History'!$AH:$AH)</f>
        <v>0.32500000000000001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>LOOKUP(2, 1/('BA History'!$B:$B=A13), 'BA History'!$AI:$AI)</f>
        <v>0.36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LOOKUP(2, 1/('BA History'!$B:$B=A14), 'BA History'!$AJ:$AJ)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LOOKUP(2, 1/('BA History'!$B:$B=A14), 'BA History'!$AH:$AH)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>LOOKUP(2, 1/('BA History'!$B:$B=A14), 'BA History'!$AI:$AI)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>LOOKUP(2, 1/('BA History'!$B:$B=A15), 'BA History'!$AJ:$AJ)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>LOOKUP(2, 1/('BA History'!$B:$B=A15), 'BA History'!$AH:$AH)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89">
        <f>LOOKUP(2, 1/('BA History'!$B:$B=A15), 'BA History'!$AI:$AI)</f>
        <v>0.74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>LOOKUP(2, 1/('BA History'!$B:$B=A16), 'BA History'!$AJ:$AJ)</f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>LOOKUP(2, 1/('BA History'!$B:$B=A16), 'BA History'!$AH:$AH)</f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>LOOKUP(2, 1/('BA History'!$B:$B=A16), 'BA History'!$AI:$AI)</f>
        <v>0.31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>LOOKUP(2, 1/('BA History'!$B:$B=A17), 'BA History'!$AJ:$AJ)</f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>LOOKUP(2, 1/('BA History'!$B:$B=A17), 'BA History'!$AH:$AH)</f>
        <v>0.45999999999999996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>LOOKUP(2, 1/('BA History'!$B:$B=A17), 'BA History'!$AI:$AI)</f>
        <v>0.48142857142857143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626</v>
      </c>
      <c r="D18" s="66">
        <f>AVERAGEIFS('BA History'!C:C,'BA History'!B:B,A18)</f>
        <v>18.411764705882351</v>
      </c>
      <c r="E18" s="35">
        <f t="array" ref="E18">MAX(IF('BA History'!B:B=A18, 'BA History'!C:C))</f>
        <v>31</v>
      </c>
      <c r="F18" s="34">
        <f>COUNTIFS('BA History'!B:B,A18,'BA History'!D:D, 1)</f>
        <v>18</v>
      </c>
      <c r="G18" s="2">
        <f>COUNTIFS('BA History'!B:B,A18,'BA History'!D:D, 0)</f>
        <v>16</v>
      </c>
      <c r="H18" s="75">
        <f>LOOKUP(2, 1/('BA History'!$B:$B=A18), 'BA History'!$AJ:$AJ)</f>
        <v>0.52941176470588236</v>
      </c>
      <c r="I18" s="34">
        <f>SUMIFS('BA History'!F:F,'BA History'!B:B,A18)</f>
        <v>71</v>
      </c>
      <c r="J18" s="2">
        <f>SUMIFS('BA History'!E:E,'BA History'!B:B,A18)-I18</f>
        <v>65</v>
      </c>
      <c r="K18" s="75">
        <f>LOOKUP(2, 1/('BA History'!$B:$B=A18), 'BA History'!$AH:$AH)</f>
        <v>0.53323529411764714</v>
      </c>
      <c r="L18" s="34">
        <f>SUMIFS('BA History'!H:H,'BA History'!B:B,A18)</f>
        <v>295</v>
      </c>
      <c r="M18" s="2">
        <f>SUMIFS('BA History'!G:G,'BA History'!B:B,A18)-L18</f>
        <v>278</v>
      </c>
      <c r="N18" s="89">
        <f>LOOKUP(2, 1/('BA History'!$B:$B=A18), 'BA History'!$AI:$AI)</f>
        <v>0.53176470588235281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2</v>
      </c>
      <c r="R18" s="2">
        <f>COUNTIFS('BA History'!$B:$B,$A$18,'BA History'!N:N, 1)</f>
        <v>6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8</v>
      </c>
      <c r="AA18" s="2">
        <f>COUNTIFS('BA History'!$B:$B,$A$18,'BA History'!W:W, 1)</f>
        <v>2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9</v>
      </c>
      <c r="AE18" s="2">
        <f>COUNTIFS('BA History'!$B:$B,$A$18,'BA History'!AA:AA, 1)</f>
        <v>1</v>
      </c>
      <c r="AF18" s="2">
        <f>COUNTIFS('BA History'!$B:$B,$A$18,'BA History'!AB:AB, 1)</f>
        <v>8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208</v>
      </c>
      <c r="D19" s="66">
        <f>AVERAGEIFS('BA History'!C:C,'BA History'!B:B,A19)</f>
        <v>16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8</v>
      </c>
      <c r="H19" s="75">
        <f>LOOKUP(2, 1/('BA History'!$B:$B=A19), 'BA History'!$AJ:$AJ)</f>
        <v>0.38461538461538464</v>
      </c>
      <c r="I19" s="34">
        <f>SUMIFS('BA History'!F:F,'BA History'!B:B,A19)</f>
        <v>26</v>
      </c>
      <c r="J19" s="2">
        <f>SUMIFS('BA History'!E:E,'BA History'!B:B,A19)-I19</f>
        <v>29</v>
      </c>
      <c r="K19" s="75">
        <f>LOOKUP(2, 1/('BA History'!$B:$B=A19), 'BA History'!$AH:$AH)</f>
        <v>0.49230769230769234</v>
      </c>
      <c r="L19" s="34">
        <f>SUMIFS('BA History'!H:H,'BA History'!B:B,A19)</f>
        <v>104</v>
      </c>
      <c r="M19" s="2">
        <f>SUMIFS('BA History'!G:G,'BA History'!B:B,A19)-L19</f>
        <v>113</v>
      </c>
      <c r="N19" s="89">
        <f>LOOKUP(2, 1/('BA History'!$B:$B=A19), 'BA History'!$AI:$AI)</f>
        <v>0.49230769230769239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3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502</v>
      </c>
      <c r="D20" s="66">
        <f>AVERAGEIFS('BA History'!C:C,'BA History'!B:B,A20)</f>
        <v>16.733333333333334</v>
      </c>
      <c r="E20" s="35">
        <f t="array" ref="E20">MAX(IF('BA History'!B:B=A20, 'BA History'!C:C))</f>
        <v>36</v>
      </c>
      <c r="F20" s="34">
        <f>COUNTIFS('BA History'!B:B,A20,'BA History'!D:D, 1)</f>
        <v>19</v>
      </c>
      <c r="G20" s="2">
        <f>COUNTIFS('BA History'!B:B,A20,'BA History'!D:D, 0)</f>
        <v>11</v>
      </c>
      <c r="H20" s="75">
        <f>LOOKUP(2, 1/('BA History'!$B:$B=A20), 'BA History'!$AJ:$AJ)</f>
        <v>0.6333333333333333</v>
      </c>
      <c r="I20" s="34">
        <f>SUMIFS('BA History'!F:F,'BA History'!B:B,A20)</f>
        <v>65</v>
      </c>
      <c r="J20" s="2">
        <f>SUMIFS('BA History'!E:E,'BA History'!B:B,A20)-I20</f>
        <v>57</v>
      </c>
      <c r="K20" s="75">
        <f>LOOKUP(2, 1/('BA History'!$B:$B=A20), 'BA History'!$AH:$AH)</f>
        <v>0.51666666666666661</v>
      </c>
      <c r="L20" s="34">
        <f>SUMIFS('BA History'!H:H,'BA History'!B:B,A20)</f>
        <v>268</v>
      </c>
      <c r="M20" s="2">
        <f>SUMIFS('BA History'!G:G,'BA History'!B:B,A20)-L20</f>
        <v>240</v>
      </c>
      <c r="N20" s="89">
        <f>LOOKUP(2, 1/('BA History'!$B:$B=A20), 'BA History'!$AI:$AI)</f>
        <v>0.52900000000000003</v>
      </c>
      <c r="O20" s="2">
        <f>COUNTIFS('BA History'!$B:$B,$A$20,'BA History'!K:K, 1)</f>
        <v>3</v>
      </c>
      <c r="P20" s="2">
        <f>COUNTIFS('BA History'!$B:$B,$A$20,'BA History'!L:L, 1)</f>
        <v>4</v>
      </c>
      <c r="Q20" s="2">
        <f>COUNTIFS('BA History'!$B:$B,$A$20,'BA History'!M:M, 1)</f>
        <v>6</v>
      </c>
      <c r="R20" s="2">
        <f>COUNTIFS('BA History'!$B:$B,$A$20,'BA History'!N:N, 1)</f>
        <v>6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3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4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7</v>
      </c>
      <c r="AE20" s="2">
        <f>COUNTIFS('BA History'!$B:$B,$A$20,'BA History'!AA:AA, 1)</f>
        <v>2</v>
      </c>
      <c r="AF20" s="2">
        <f>COUNTIFS('BA History'!$B:$B,$A$20,'BA History'!AB:AB, 1)</f>
        <v>5</v>
      </c>
      <c r="AG20" s="2">
        <f>COUNTIFS('BA History'!$B:$B,$A$20,'BA History'!AC:AC, 1)</f>
        <v>5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>LOOKUP(2, 1/('BA History'!$B:$B=A21), 'BA History'!$AJ:$AJ)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>LOOKUP(2, 1/('BA History'!$B:$B=A21), 'BA History'!$AH:$AH)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89">
        <f>LOOKUP(2, 1/('BA History'!$B:$B=A21), 'BA History'!$AI:$AI)</f>
        <v>0.45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ht="15.75" x14ac:dyDescent="0.25">
      <c r="A22" s="2" t="s">
        <v>1</v>
      </c>
      <c r="B22" s="80" t="s">
        <v>60</v>
      </c>
      <c r="C22" s="34">
        <f>SUMIFS('BA History'!C:C,'BA History'!B:B,A22)</f>
        <v>696</v>
      </c>
      <c r="D22" s="66">
        <f>AVERAGEIFS('BA History'!C:C,'BA History'!B:B,A22)</f>
        <v>26.76923076923077</v>
      </c>
      <c r="E22" s="35">
        <f t="array" ref="E22">MAX(IF('BA History'!B:B=A22, 'BA History'!C:C))</f>
        <v>50</v>
      </c>
      <c r="F22" s="34">
        <f>COUNTIFS('BA History'!B:B,A22,'BA History'!D:D, 1)</f>
        <v>11</v>
      </c>
      <c r="G22" s="2">
        <f>COUNTIFS('BA History'!B:B,A22,'BA History'!D:D, 0)</f>
        <v>15</v>
      </c>
      <c r="H22" s="75">
        <f>LOOKUP(2, 1/('BA History'!$B:$B=A22), 'BA History'!$AJ:$AJ)</f>
        <v>0.42307692307692307</v>
      </c>
      <c r="I22" s="34">
        <f>SUMIFS('BA History'!F:F,'BA History'!B:B,A22)</f>
        <v>46</v>
      </c>
      <c r="J22" s="2">
        <f>SUMIFS('BA History'!E:E,'BA History'!B:B,A22)-I22</f>
        <v>59</v>
      </c>
      <c r="K22" s="75">
        <f>LOOKUP(2, 1/('BA History'!$B:$B=A22), 'BA History'!$AH:$AH)</f>
        <v>0.41730769230769238</v>
      </c>
      <c r="L22" s="34">
        <f>SUMIFS('BA History'!H:H,'BA History'!B:B,A22)</f>
        <v>199</v>
      </c>
      <c r="M22" s="2">
        <f>SUMIFS('BA History'!G:G,'BA History'!B:B,A22)-L22</f>
        <v>234</v>
      </c>
      <c r="N22" s="89">
        <f>LOOKUP(2, 1/('BA History'!$B:$B=A22), 'BA History'!$AI:$AI)</f>
        <v>0.44961538461538464</v>
      </c>
      <c r="O22" s="2">
        <f>COUNTIFS('BA History'!$B:$B,$A$22,'BA History'!K:K, 1)</f>
        <v>3</v>
      </c>
      <c r="P22" s="2">
        <f>COUNTIFS('BA History'!$B:$B,$A$22,'BA History'!L:L, 1)</f>
        <v>5</v>
      </c>
      <c r="Q22" s="2">
        <f>COUNTIFS('BA History'!$B:$B,$A$22,'BA History'!M:M, 1)</f>
        <v>4</v>
      </c>
      <c r="R22" s="2">
        <f>COUNTIFS('BA History'!$B:$B,$A$22,'BA History'!N:N, 1)</f>
        <v>2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4</v>
      </c>
      <c r="AA22" s="2">
        <f>COUNTIFS('BA History'!$B:$B,$A$22,'BA History'!W:W, 1)</f>
        <v>2</v>
      </c>
      <c r="AB22" s="2">
        <f>COUNTIFS('BA History'!$B:$B,$A$22,'BA History'!X:X, 1)</f>
        <v>0</v>
      </c>
      <c r="AC22" s="2">
        <f>COUNTIFS('BA History'!$B:$B,$A$22,'BA History'!Y:Y, 1)</f>
        <v>3</v>
      </c>
      <c r="AD22" s="2">
        <f>COUNTIFS('BA History'!$B:$B,$A$22,'BA History'!Z:Z, 1)</f>
        <v>3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3</v>
      </c>
      <c r="AH22" s="2">
        <f>COUNTIFS('BA History'!$B:$B,$A$22,'BA History'!AD:AD, 1)</f>
        <v>5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80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>LOOKUP(2, 1/('BA History'!$B:$B=A23), 'BA History'!$AJ:$AJ)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>LOOKUP(2, 1/('BA History'!$B:$B=A23), 'BA History'!$AH:$AH)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>LOOKUP(2, 1/('BA History'!$B:$B=A23), 'BA History'!$AI:$AI)</f>
        <v>0.26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5" t="s">
        <v>79</v>
      </c>
      <c r="C24" s="34">
        <f>SUMIFS('BA History'!C:C,'BA History'!B:B,A24)</f>
        <v>101</v>
      </c>
      <c r="D24" s="66">
        <f>AVERAGEIFS('BA History'!C:C,'BA History'!B:B,A24)</f>
        <v>14.428571428571429</v>
      </c>
      <c r="E24" s="35">
        <f t="array" ref="E24">MAX(IF('BA History'!B:B=A24, 'BA History'!C:C))</f>
        <v>21</v>
      </c>
      <c r="F24" s="34">
        <f>COUNTIFS('BA History'!B:B,A24,'BA History'!D:D, 1)</f>
        <v>3</v>
      </c>
      <c r="G24" s="2">
        <f>COUNTIFS('BA History'!B:B,A24,'BA History'!D:D, 0)</f>
        <v>4</v>
      </c>
      <c r="H24" s="75">
        <f>LOOKUP(2, 1/('BA History'!$B:$B=A24), 'BA History'!$AJ:$AJ)</f>
        <v>0.42857142857142855</v>
      </c>
      <c r="I24" s="34">
        <f>SUMIFS('BA History'!F:F,'BA History'!B:B,A24)</f>
        <v>16</v>
      </c>
      <c r="J24" s="2">
        <f>SUMIFS('BA History'!E:E,'BA History'!B:B,A24)-I24</f>
        <v>16</v>
      </c>
      <c r="K24" s="75">
        <f>LOOKUP(2, 1/('BA History'!$B:$B=A24), 'BA History'!$AH:$AH)</f>
        <v>0.50714285714285712</v>
      </c>
      <c r="L24" s="34">
        <f>SUMIFS('BA History'!H:H,'BA History'!B:B,A24)</f>
        <v>69</v>
      </c>
      <c r="M24" s="2">
        <f>SUMIFS('BA History'!G:G,'BA History'!B:B,A24)-L24</f>
        <v>64</v>
      </c>
      <c r="N24" s="89">
        <f>LOOKUP(2, 1/('BA History'!$B:$B=A24), 'BA History'!$AI:$AI)</f>
        <v>0.51999999999999991</v>
      </c>
      <c r="O24" s="2">
        <f>COUNTIFS('BA History'!$B:$B,$A$24,'BA History'!K:K, 1)</f>
        <v>0</v>
      </c>
      <c r="P24" s="2">
        <f>COUNTIFS('BA History'!$B:$B,$A$24,'BA History'!L:L, 1)</f>
        <v>1</v>
      </c>
      <c r="Q24" s="2">
        <f>COUNTIFS('BA History'!$B:$B,$A$24,'BA History'!M:M, 1)</f>
        <v>3</v>
      </c>
      <c r="R24" s="2">
        <f>COUNTIFS('BA History'!$B:$B,$A$24,'BA History'!N:N, 1)</f>
        <v>0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1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1</v>
      </c>
      <c r="AE24" s="2">
        <f>COUNTIFS('BA History'!$B:$B,$A$24,'BA History'!AA:AA, 1)</f>
        <v>0</v>
      </c>
      <c r="AF24" s="2">
        <f>COUNTIFS('BA History'!$B:$B,$A$24,'BA History'!AB:AB, 1)</f>
        <v>3</v>
      </c>
      <c r="AG24" s="2">
        <f>COUNTIFS('BA History'!$B:$B,$A$24,'BA History'!AC:AC, 1)</f>
        <v>0</v>
      </c>
      <c r="AH24" s="2">
        <f>COUNTIFS('BA History'!$B:$B,$A$24,'BA History'!AD:AD, 1)</f>
        <v>2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ht="15.75" x14ac:dyDescent="0.25">
      <c r="A25" s="2" t="s">
        <v>46</v>
      </c>
      <c r="B25" s="80" t="s">
        <v>60</v>
      </c>
      <c r="C25" s="34">
        <f>SUMIFS('BA History'!C:C,'BA History'!B:B,A25)</f>
        <v>460</v>
      </c>
      <c r="D25" s="66">
        <f>AVERAGEIFS('BA History'!C:C,'BA History'!B:B,A25)</f>
        <v>17.692307692307693</v>
      </c>
      <c r="E25" s="35">
        <f t="array" ref="E25">MAX(IF('BA History'!B:B=A25, 'BA History'!C:C))</f>
        <v>27</v>
      </c>
      <c r="F25" s="34">
        <f>COUNTIFS('BA History'!B:B,A25,'BA History'!D:D, 1)</f>
        <v>9</v>
      </c>
      <c r="G25" s="2">
        <f>COUNTIFS('BA History'!B:B,A25,'BA History'!D:D, 0)</f>
        <v>17</v>
      </c>
      <c r="H25" s="75">
        <f>LOOKUP(2, 1/('BA History'!$B:$B=A25), 'BA History'!$AJ:$AJ)</f>
        <v>0.34615384615384615</v>
      </c>
      <c r="I25" s="34">
        <f>SUMIFS('BA History'!F:F,'BA History'!B:B,A25)</f>
        <v>46</v>
      </c>
      <c r="J25" s="2">
        <f>SUMIFS('BA History'!E:E,'BA History'!B:B,A25)-I25</f>
        <v>64</v>
      </c>
      <c r="K25" s="75">
        <f>LOOKUP(2, 1/('BA History'!$B:$B=A25), 'BA History'!$AH:$AH)</f>
        <v>0.39999999999999997</v>
      </c>
      <c r="L25" s="34">
        <f>SUMIFS('BA History'!H:H,'BA History'!B:B,A25)</f>
        <v>209</v>
      </c>
      <c r="M25" s="2">
        <f>SUMIFS('BA History'!G:G,'BA History'!B:B,A25)-L25</f>
        <v>250</v>
      </c>
      <c r="N25" s="89">
        <f>LOOKUP(2, 1/('BA History'!$B:$B=A25), 'BA History'!$AI:$AI)</f>
        <v>0.44615384615384623</v>
      </c>
      <c r="O25" s="2">
        <f>COUNTIFS('BA History'!$B:$B,$A$25,'BA History'!K:K, 1)</f>
        <v>6</v>
      </c>
      <c r="P25" s="2">
        <f>COUNTIFS('BA History'!$B:$B,$A$25,'BA History'!L:L, 1)</f>
        <v>2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3</v>
      </c>
      <c r="AB25" s="2">
        <f>COUNTIFS('BA History'!$B:$B,$A$25,'BA History'!X:X, 1)</f>
        <v>1</v>
      </c>
      <c r="AC25" s="2">
        <f>COUNTIFS('BA History'!$B:$B,$A$25,'BA History'!Y:Y, 1)</f>
        <v>1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3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372</v>
      </c>
      <c r="D26" s="66">
        <f>AVERAGEIFS('BA History'!C:C,'BA History'!B:B,A26)</f>
        <v>13.777777777777779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16</v>
      </c>
      <c r="H26" s="75">
        <f>LOOKUP(2, 1/('BA History'!$B:$B=A26), 'BA History'!$AJ:$AJ)</f>
        <v>0.40740740740740738</v>
      </c>
      <c r="I26" s="34">
        <f>SUMIFS('BA History'!F:F,'BA History'!B:B,A26)</f>
        <v>46</v>
      </c>
      <c r="J26" s="2">
        <f>SUMIFS('BA History'!E:E,'BA History'!B:B,A26)-I26</f>
        <v>57</v>
      </c>
      <c r="K26" s="75">
        <f>LOOKUP(2, 1/('BA History'!$B:$B=A26), 'BA History'!$AH:$AH)</f>
        <v>0.44925925925925925</v>
      </c>
      <c r="L26" s="34">
        <f>SUMIFS('BA History'!H:H,'BA History'!B:B,A26)</f>
        <v>198</v>
      </c>
      <c r="M26" s="2">
        <f>SUMIFS('BA History'!G:G,'BA History'!B:B,A26)-L26</f>
        <v>221</v>
      </c>
      <c r="N26" s="89">
        <f>LOOKUP(2, 1/('BA History'!$B:$B=A26), 'BA History'!$AI:$AI)</f>
        <v>0.47037037037037027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263</v>
      </c>
      <c r="D27" s="66">
        <f>AVERAGEIFS('BA History'!C:C,'BA History'!B:B,A27)</f>
        <v>15.470588235294118</v>
      </c>
      <c r="E27" s="35">
        <f t="array" ref="E27">MAX(IF('BA History'!B:B=A27, 'BA History'!C:C))</f>
        <v>36</v>
      </c>
      <c r="F27" s="34">
        <f>COUNTIFS('BA History'!B:B,A27,'BA History'!D:D, 1)</f>
        <v>9</v>
      </c>
      <c r="G27" s="2">
        <f>COUNTIFS('BA History'!B:B,A27,'BA History'!D:D, 0)</f>
        <v>8</v>
      </c>
      <c r="H27" s="75">
        <f>LOOKUP(2, 1/('BA History'!$B:$B=A27), 'BA History'!$AJ:$AJ)</f>
        <v>0.52941176470588236</v>
      </c>
      <c r="I27" s="34">
        <f>SUMIFS('BA History'!F:F,'BA History'!B:B,A27)</f>
        <v>35</v>
      </c>
      <c r="J27" s="2">
        <f>SUMIFS('BA History'!E:E,'BA History'!B:B,A27)-I27</f>
        <v>29</v>
      </c>
      <c r="K27" s="75">
        <f>LOOKUP(2, 1/('BA History'!$B:$B=A27), 'BA History'!$AH:$AH)</f>
        <v>0.56176470588235294</v>
      </c>
      <c r="L27" s="34">
        <f>SUMIFS('BA History'!H:H,'BA History'!B:B,A27)</f>
        <v>131</v>
      </c>
      <c r="M27" s="2">
        <f>SUMIFS('BA History'!G:G,'BA History'!B:B,A27)-L27</f>
        <v>124</v>
      </c>
      <c r="N27" s="89">
        <f>LOOKUP(2, 1/('BA History'!$B:$B=A27), 'BA History'!$AI:$AI)</f>
        <v>0.52235294117647069</v>
      </c>
      <c r="O27" s="2">
        <f>COUNTIFS('BA History'!$B:$B,$A$27,'BA History'!K:K, 1)</f>
        <v>2</v>
      </c>
      <c r="P27" s="2">
        <f>COUNTIFS('BA History'!$B:$B,$A$27,'BA History'!L:L, 1)</f>
        <v>3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3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2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1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>LOOKUP(2, 1/('BA History'!$B:$B=A28), 'BA History'!$AJ:$AJ)</f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>LOOKUP(2, 1/('BA History'!$B:$B=A28), 'BA History'!$AH:$AH)</f>
        <v>0.33500000000000002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>LOOKUP(2, 1/('BA History'!$B:$B=A28), 'BA History'!$AI:$AI)</f>
        <v>0.35499999999999998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>LOOKUP(2, 1/('BA History'!$B:$B=A29), 'BA History'!$AJ:$AJ)</f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>LOOKUP(2, 1/('BA History'!$B:$B=A29), 'BA History'!$AH:$AH)</f>
        <v>0.5083333333333333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>LOOKUP(2, 1/('BA History'!$B:$B=A29), 'BA History'!$AI:$AI)</f>
        <v>0.51666666666666661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ht="15.75" x14ac:dyDescent="0.25">
      <c r="A30" s="2" t="s">
        <v>3</v>
      </c>
      <c r="B30" s="80" t="s">
        <v>60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>LOOKUP(2, 1/('BA History'!$B:$B=A30), 'BA History'!$AJ:$AJ)</f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>LOOKUP(2, 1/('BA History'!$B:$B=A30), 'BA History'!$AH:$AH)</f>
        <v>0.42499999999999999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>LOOKUP(2, 1/('BA History'!$B:$B=A30), 'BA History'!$AI:$AI)</f>
        <v>0.46875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>LOOKUP(2, 1/('BA History'!$B:$B=A31), 'BA History'!$AJ:$AJ)</f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>LOOKUP(2, 1/('BA History'!$B:$B=A31), 'BA History'!$AH:$AH)</f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89">
        <f>LOOKUP(2, 1/('BA History'!$B:$B=A31), 'BA History'!$AI:$AI)</f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143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>LOOKUP(2, 1/('BA History'!$B:$B=A32), 'BA History'!$AJ:$AJ)</f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>LOOKUP(2, 1/('BA History'!$B:$B=A32), 'BA History'!$AH:$AH)</f>
        <v>0.16666666666666666</v>
      </c>
      <c r="L32" s="34">
        <f>SUMIFS('BA History'!H:H,'BA History'!B:B,A32)</f>
        <v>14</v>
      </c>
      <c r="M32" s="2">
        <f>SUMIFS('BA History'!G:G,'BA History'!B:B,A32)-L32</f>
        <v>29</v>
      </c>
      <c r="N32" s="89">
        <f>LOOKUP(2, 1/('BA History'!$B:$B=A32), 'BA History'!$AI:$AI)</f>
        <v>0.32666666666666666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>LOOKUP(2, 1/('BA History'!$B:$B=A33), 'BA History'!$AJ:$AJ)</f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>LOOKUP(2, 1/('BA History'!$B:$B=A33), 'BA History'!$AH:$AH)</f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89">
        <f>LOOKUP(2, 1/('BA History'!$B:$B=A33), 'BA History'!$AI:$AI)</f>
        <v>0.64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180</v>
      </c>
      <c r="D34" s="66">
        <f>AVERAGEIFS('BA History'!C:C,'BA History'!B:B,A34)</f>
        <v>13.846153846153847</v>
      </c>
      <c r="E34" s="35">
        <f t="array" ref="E34">MAX(IF('BA History'!B:B=A34, 'BA History'!C:C))</f>
        <v>21</v>
      </c>
      <c r="F34" s="34">
        <f>COUNTIFS('BA History'!B:B,A34,'BA History'!D:D, 1)</f>
        <v>5</v>
      </c>
      <c r="G34" s="2">
        <f>COUNTIFS('BA History'!B:B,A34,'BA History'!D:D, 0)</f>
        <v>8</v>
      </c>
      <c r="H34" s="75">
        <f>LOOKUP(2, 1/('BA History'!$B:$B=A34), 'BA History'!$AJ:$AJ)</f>
        <v>0.38461538461538464</v>
      </c>
      <c r="I34" s="34">
        <f>SUMIFS('BA History'!F:F,'BA History'!B:B,A34)</f>
        <v>25</v>
      </c>
      <c r="J34" s="2">
        <f>SUMIFS('BA History'!E:E,'BA History'!B:B,A34)-I34</f>
        <v>26</v>
      </c>
      <c r="K34" s="75">
        <f>LOOKUP(2, 1/('BA History'!$B:$B=A34), 'BA History'!$AH:$AH)</f>
        <v>0.51538461538461544</v>
      </c>
      <c r="L34" s="34">
        <f>SUMIFS('BA History'!H:H,'BA History'!B:B,A34)</f>
        <v>105</v>
      </c>
      <c r="M34" s="2">
        <f>SUMIFS('BA History'!G:G,'BA History'!B:B,A34)-L34</f>
        <v>111</v>
      </c>
      <c r="N34" s="89">
        <f>LOOKUP(2, 1/('BA History'!$B:$B=A34), 'BA History'!$AI:$AI)</f>
        <v>0.51923076923076916</v>
      </c>
      <c r="O34" s="2">
        <f>COUNTIFS('BA History'!$B:$B,$A$34,'BA History'!K:K, 1)</f>
        <v>4</v>
      </c>
      <c r="P34" s="2">
        <f>COUNTIFS('BA History'!$B:$B,$A$34,'BA History'!L:L, 1)</f>
        <v>1</v>
      </c>
      <c r="Q34" s="2">
        <f>COUNTIFS('BA History'!$B:$B,$A$34,'BA History'!M:M, 1)</f>
        <v>2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1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2</v>
      </c>
      <c r="AG34" s="2">
        <f>COUNTIFS('BA History'!$B:$B,$A$34,'BA History'!AC:AC, 1)</f>
        <v>2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3</v>
      </c>
    </row>
    <row r="35" spans="1:36" ht="15.75" x14ac:dyDescent="0.25">
      <c r="A35" s="2" t="s">
        <v>2</v>
      </c>
      <c r="B35" s="80" t="s">
        <v>60</v>
      </c>
      <c r="C35" s="34">
        <f>SUMIFS('BA History'!C:C,'BA History'!B:B,A35)</f>
        <v>763</v>
      </c>
      <c r="D35" s="66">
        <f>AVERAGEIFS('BA History'!C:C,'BA History'!B:B,A35)</f>
        <v>24.612903225806452</v>
      </c>
      <c r="E35" s="35">
        <f t="array" ref="E35">MAX(IF('BA History'!B:B=A35, 'BA History'!C:C))</f>
        <v>43</v>
      </c>
      <c r="F35" s="34">
        <f>COUNTIFS('BA History'!B:B,A35,'BA History'!D:D, 1)</f>
        <v>17</v>
      </c>
      <c r="G35" s="2">
        <f>COUNTIFS('BA History'!B:B,A35,'BA History'!D:D, 0)</f>
        <v>14</v>
      </c>
      <c r="H35" s="75">
        <f>LOOKUP(2, 1/('BA History'!$B:$B=A35), 'BA History'!$AJ:$AJ)</f>
        <v>0.54838709677419351</v>
      </c>
      <c r="I35" s="34">
        <f>SUMIFS('BA History'!F:F,'BA History'!B:B,A35)</f>
        <v>65</v>
      </c>
      <c r="J35" s="2">
        <f>SUMIFS('BA History'!E:E,'BA History'!B:B,A35)-I35</f>
        <v>55</v>
      </c>
      <c r="K35" s="75">
        <f>LOOKUP(2, 1/('BA History'!$B:$B=A35), 'BA History'!$AH:$AH)</f>
        <v>0.55096774193548381</v>
      </c>
      <c r="L35" s="34">
        <f>SUMIFS('BA History'!H:H,'BA History'!B:B,A35)</f>
        <v>265</v>
      </c>
      <c r="M35" s="2">
        <f>SUMIFS('BA History'!G:G,'BA History'!B:B,A35)-L35</f>
        <v>231</v>
      </c>
      <c r="N35" s="89">
        <f>LOOKUP(2, 1/('BA History'!$B:$B=A35), 'BA History'!$AI:$AI)</f>
        <v>0.54903225806451628</v>
      </c>
      <c r="O35" s="2">
        <f>COUNTIFS('BA History'!$B:$B,$A$35,'BA History'!K:K, 1)</f>
        <v>4</v>
      </c>
      <c r="P35" s="2">
        <f>COUNTIFS('BA History'!$B:$B,$A$35,'BA History'!L:L, 1)</f>
        <v>1</v>
      </c>
      <c r="Q35" s="2">
        <f>COUNTIFS('BA History'!$B:$B,$A$35,'BA History'!M:M, 1)</f>
        <v>5</v>
      </c>
      <c r="R35" s="2">
        <f>COUNTIFS('BA History'!$B:$B,$A$35,'BA History'!N:N, 1)</f>
        <v>7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1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3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6</v>
      </c>
      <c r="AD35" s="2">
        <f>COUNTIFS('BA History'!$B:$B,$A$35,'BA History'!Z:Z, 1)</f>
        <v>8</v>
      </c>
      <c r="AE35" s="2">
        <f>COUNTIFS('BA History'!$B:$B,$A$35,'BA History'!AA:AA, 1)</f>
        <v>0</v>
      </c>
      <c r="AF35" s="2">
        <f>COUNTIFS('BA History'!$B:$B,$A$35,'BA History'!AB:AB, 1)</f>
        <v>12</v>
      </c>
      <c r="AG35" s="2">
        <f>COUNTIFS('BA History'!$B:$B,$A$35,'BA History'!AC:AC, 1)</f>
        <v>3</v>
      </c>
      <c r="AH35" s="2">
        <f>COUNTIFS('BA History'!$B:$B,$A$35,'BA History'!AD:AD, 1)</f>
        <v>4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1149</v>
      </c>
      <c r="D36" s="66">
        <f>AVERAGEIFS('BA History'!C:C,'BA History'!B:B,A36)</f>
        <v>23.9375</v>
      </c>
      <c r="E36" s="35">
        <f t="array" ref="E36">MAX(IF('BA History'!B:B=A36, 'BA History'!C:C))</f>
        <v>37</v>
      </c>
      <c r="F36" s="34">
        <f>COUNTIFS('BA History'!B:B,A36,'BA History'!D:D, 1)</f>
        <v>27</v>
      </c>
      <c r="G36" s="2">
        <f>COUNTIFS('BA History'!B:B,A36,'BA History'!D:D, 0)</f>
        <v>21</v>
      </c>
      <c r="H36" s="75">
        <f>LOOKUP(2, 1/('BA History'!$B:$B=A36), 'BA History'!$AJ:$AJ)</f>
        <v>0.5625</v>
      </c>
      <c r="I36" s="34">
        <f>SUMIFS('BA History'!F:F,'BA History'!B:B,A36)</f>
        <v>105</v>
      </c>
      <c r="J36" s="2">
        <f>SUMIFS('BA History'!E:E,'BA History'!B:B,A36)-I36</f>
        <v>90</v>
      </c>
      <c r="K36" s="75">
        <f>LOOKUP(2, 1/('BA History'!$B:$B=A36), 'BA History'!$AH:$AH)</f>
        <v>0.54208333333333336</v>
      </c>
      <c r="L36" s="34">
        <f>SUMIFS('BA History'!H:H,'BA History'!B:B,A36)</f>
        <v>416</v>
      </c>
      <c r="M36" s="2">
        <f>SUMIFS('BA History'!G:G,'BA History'!B:B,A36)-L36</f>
        <v>395</v>
      </c>
      <c r="N36" s="89">
        <f>LOOKUP(2, 1/('BA History'!$B:$B=A36), 'BA History'!$AI:$AI)</f>
        <v>0.51458333333333328</v>
      </c>
      <c r="O36" s="2">
        <f>COUNTIFS('BA History'!$B:$B,$A$36,'BA History'!K:K, 1)</f>
        <v>5</v>
      </c>
      <c r="P36" s="2">
        <f>COUNTIFS('BA History'!$B:$B,$A$36,'BA History'!L:L, 1)</f>
        <v>8</v>
      </c>
      <c r="Q36" s="2">
        <f>COUNTIFS('BA History'!$B:$B,$A$36,'BA History'!M:M, 1)</f>
        <v>7</v>
      </c>
      <c r="R36" s="2">
        <f>COUNTIFS('BA History'!$B:$B,$A$36,'BA History'!N:N, 1)</f>
        <v>8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3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7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9</v>
      </c>
      <c r="AD36" s="2">
        <f>COUNTIFS('BA History'!$B:$B,$A$36,'BA History'!Z:Z, 1)</f>
        <v>9</v>
      </c>
      <c r="AE36" s="2">
        <f>COUNTIFS('BA History'!$B:$B,$A$36,'BA History'!AA:AA, 1)</f>
        <v>3</v>
      </c>
      <c r="AF36" s="2">
        <f>COUNTIFS('BA History'!$B:$B,$A$36,'BA History'!AB:AB, 1)</f>
        <v>13</v>
      </c>
      <c r="AG36" s="2">
        <f>COUNTIFS('BA History'!$B:$B,$A$36,'BA History'!AC:AC, 1)</f>
        <v>9</v>
      </c>
      <c r="AH36" s="2">
        <f>COUNTIFS('BA History'!$B:$B,$A$36,'BA History'!AD:AD, 1)</f>
        <v>8</v>
      </c>
      <c r="AI36" s="2">
        <f>COUNTIFS('BA History'!$B:$B,$A$36,'BA History'!AE:AE, 1)</f>
        <v>2</v>
      </c>
      <c r="AJ36" s="2">
        <f>COUNTIFS('BA History'!$B:$B,$A$36,'BA History'!AF:AF, 1)</f>
        <v>5</v>
      </c>
    </row>
    <row r="37" spans="1:36" ht="15.75" x14ac:dyDescent="0.25">
      <c r="A37" s="2" t="s">
        <v>5</v>
      </c>
      <c r="B37" s="80" t="s">
        <v>60</v>
      </c>
      <c r="C37" s="34">
        <f>SUMIFS('BA History'!C:C,'BA History'!B:B,A37)</f>
        <v>337</v>
      </c>
      <c r="D37" s="66">
        <f>AVERAGEIFS('BA History'!C:C,'BA History'!B:B,A37)</f>
        <v>21.0625</v>
      </c>
      <c r="E37" s="35">
        <f t="array" ref="E37">MAX(IF('BA History'!B:B=A37, 'BA History'!C:C))</f>
        <v>36</v>
      </c>
      <c r="F37" s="34">
        <f>COUNTIFS('BA History'!B:B,A37,'BA History'!D:D, 1)</f>
        <v>13</v>
      </c>
      <c r="G37" s="2">
        <f>COUNTIFS('BA History'!B:B,A37,'BA History'!D:D, 0)</f>
        <v>3</v>
      </c>
      <c r="H37" s="75">
        <f>LOOKUP(2, 1/('BA History'!$B:$B=A37), 'BA History'!$AJ:$AJ)</f>
        <v>0.8125</v>
      </c>
      <c r="I37" s="34">
        <f>SUMIFS('BA History'!F:F,'BA History'!B:B,A37)</f>
        <v>40</v>
      </c>
      <c r="J37" s="2">
        <f>SUMIFS('BA History'!E:E,'BA History'!B:B,A37)-I37</f>
        <v>21</v>
      </c>
      <c r="K37" s="75">
        <f>LOOKUP(2, 1/('BA History'!$B:$B=A37), 'BA History'!$AH:$AH)</f>
        <v>0.66374999999999995</v>
      </c>
      <c r="L37" s="34">
        <f>SUMIFS('BA History'!H:H,'BA History'!B:B,A37)</f>
        <v>149</v>
      </c>
      <c r="M37" s="2">
        <f>SUMIFS('BA History'!G:G,'BA History'!B:B,A37)-L37</f>
        <v>113</v>
      </c>
      <c r="N37" s="89">
        <f>LOOKUP(2, 1/('BA History'!$B:$B=A37), 'BA History'!$AI:$AI)</f>
        <v>0.57937499999999997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1</v>
      </c>
      <c r="R37" s="2">
        <f>COUNTIFS('BA History'!$B:$B,$A$37,'BA History'!N:N, 1)</f>
        <v>5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3</v>
      </c>
      <c r="AD37" s="2">
        <f>COUNTIFS('BA History'!$B:$B,$A$37,'BA History'!Z:Z, 1)</f>
        <v>2</v>
      </c>
      <c r="AE37" s="2">
        <f>COUNTIFS('BA History'!$B:$B,$A$37,'BA History'!AA:AA, 1)</f>
        <v>3</v>
      </c>
      <c r="AF37" s="2">
        <f>COUNTIFS('BA History'!$B:$B,$A$37,'BA History'!AB:AB, 1)</f>
        <v>3</v>
      </c>
      <c r="AG37" s="2">
        <f>COUNTIFS('BA History'!$B:$B,$A$37,'BA History'!AC:AC, 1)</f>
        <v>5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>LOOKUP(2, 1/('BA History'!$B:$B=A38), 'BA History'!$AJ:$AJ)</f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>LOOKUP(2, 1/('BA History'!$B:$B=A38), 'BA History'!$AH:$AH)</f>
        <v>0.43</v>
      </c>
      <c r="L38" s="34">
        <f>SUMIFS('BA History'!H:H,'BA History'!B:B,A38)</f>
        <v>41</v>
      </c>
      <c r="M38" s="2">
        <f>SUMIFS('BA History'!G:G,'BA History'!B:B,A38)-L38</f>
        <v>49</v>
      </c>
      <c r="N38" s="89">
        <f>LOOKUP(2, 1/('BA History'!$B:$B=A38), 'BA History'!$AI:$AI)</f>
        <v>0.43600000000000005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97</v>
      </c>
      <c r="D39" s="66">
        <f>AVERAGEIFS('BA History'!C:C,'BA History'!B:B,A39)</f>
        <v>12.125</v>
      </c>
      <c r="E39" s="35">
        <f t="array" ref="E39">MAX(IF('BA History'!B:B=A39, 'BA History'!C:C))</f>
        <v>22</v>
      </c>
      <c r="F39" s="34">
        <f>COUNTIFS('BA History'!B:B,A39,'BA History'!D:D, 1)</f>
        <v>4</v>
      </c>
      <c r="G39" s="2">
        <f>COUNTIFS('BA History'!B:B,A39,'BA History'!D:D, 0)</f>
        <v>4</v>
      </c>
      <c r="H39" s="75">
        <f>LOOKUP(2, 1/('BA History'!$B:$B=A39), 'BA History'!$AJ:$AJ)</f>
        <v>0.5</v>
      </c>
      <c r="I39" s="34">
        <f>SUMIFS('BA History'!F:F,'BA History'!B:B,A39)</f>
        <v>13</v>
      </c>
      <c r="J39" s="2">
        <f>SUMIFS('BA History'!E:E,'BA History'!B:B,A39)-I39</f>
        <v>17</v>
      </c>
      <c r="K39" s="75">
        <f>LOOKUP(2, 1/('BA History'!$B:$B=A39), 'BA History'!$AH:$AH)</f>
        <v>0.4</v>
      </c>
      <c r="L39" s="34">
        <f>SUMIFS('BA History'!H:H,'BA History'!B:B,A39)</f>
        <v>61</v>
      </c>
      <c r="M39" s="2">
        <f>SUMIFS('BA History'!G:G,'BA History'!B:B,A39)-L39</f>
        <v>63</v>
      </c>
      <c r="N39" s="89">
        <f>LOOKUP(2, 1/('BA History'!$B:$B=A39), 'BA History'!$AI:$AI)</f>
        <v>0.49000000000000005</v>
      </c>
      <c r="O39" s="2">
        <f>COUNTIFS('BA History'!$B:$B,$A$39,'BA History'!K:K, 1)</f>
        <v>2</v>
      </c>
      <c r="P39" s="2">
        <f>COUNTIFS('BA History'!$B:$B,$A$39,'BA History'!L:L, 1)</f>
        <v>2</v>
      </c>
      <c r="Q39" s="2">
        <f>COUNTIFS('BA History'!$B:$B,$A$39,'BA History'!M:M, 1)</f>
        <v>1</v>
      </c>
      <c r="R39" s="2">
        <f>COUNTIFS('BA History'!$B:$B,$A$39,'BA History'!N:N, 1)</f>
        <v>2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2</v>
      </c>
      <c r="AG39" s="2">
        <f>COUNTIFS('BA History'!$B:$B,$A$39,'BA History'!AC:AC, 1)</f>
        <v>1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154</v>
      </c>
      <c r="B40" s="2" t="s">
        <v>79</v>
      </c>
      <c r="C40" s="34">
        <f>SUMIFS('BA History'!C:C,'BA History'!B:B,A40)</f>
        <v>57</v>
      </c>
      <c r="D40" s="66">
        <f>AVERAGEIFS('BA History'!C:C,'BA History'!B:B,A40)</f>
        <v>11.4</v>
      </c>
      <c r="E40" s="35">
        <f t="array" ref="E40">MAX(IF('BA History'!B:B=A40, 'BA History'!C:C))</f>
        <v>14</v>
      </c>
      <c r="F40" s="34">
        <f>COUNTIFS('BA History'!B:B,A40,'BA History'!D:D, 1)</f>
        <v>3</v>
      </c>
      <c r="G40" s="2">
        <f>COUNTIFS('BA History'!B:B,A40,'BA History'!D:D, 0)</f>
        <v>2</v>
      </c>
      <c r="H40" s="75">
        <f>LOOKUP(2, 1/('BA History'!$B:$B=A40), 'BA History'!$AJ:$AJ)</f>
        <v>0.6</v>
      </c>
      <c r="I40" s="34">
        <f>SUMIFS('BA History'!F:F,'BA History'!B:B,A40)</f>
        <v>10</v>
      </c>
      <c r="J40" s="2">
        <f>SUMIFS('BA History'!E:E,'BA History'!B:B,A40)-I40</f>
        <v>11</v>
      </c>
      <c r="K40" s="75">
        <f>LOOKUP(2, 1/('BA History'!$B:$B=A40), 'BA History'!$AH:$AH)</f>
        <v>0.44000000000000006</v>
      </c>
      <c r="L40" s="34">
        <f>SUMIFS('BA History'!H:H,'BA History'!B:B,A40)</f>
        <v>44</v>
      </c>
      <c r="M40" s="2">
        <f>SUMIFS('BA History'!G:G,'BA History'!B:B,A40)-L40</f>
        <v>46</v>
      </c>
      <c r="N40" s="89">
        <f>LOOKUP(2, 1/('BA History'!$B:$B=A40), 'BA History'!$AI:$AI)</f>
        <v>0.44799999999999995</v>
      </c>
      <c r="O40" s="2">
        <f>COUNTIFS('BA History'!$B:$B,$A$40,'BA History'!K:K, 1)</f>
        <v>0</v>
      </c>
      <c r="P40" s="2">
        <f>COUNTIFS('BA History'!$B:$B,$A$40,'BA History'!L:L, 1)</f>
        <v>1</v>
      </c>
      <c r="Q40" s="2">
        <f>COUNTIFS('BA History'!$B:$B,$A$40,'BA History'!M:M, 1)</f>
        <v>0</v>
      </c>
      <c r="R40" s="2">
        <f>COUNTIFS('BA History'!$B:$B,$A$40,'BA History'!N:N, 1)</f>
        <v>1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1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2</v>
      </c>
      <c r="AE40" s="2">
        <f>COUNTIFS('BA History'!$B:$B,$A$40,'BA History'!AA:AA, 1)</f>
        <v>0</v>
      </c>
      <c r="AF40" s="2">
        <f>COUNTIFS('BA History'!$B:$B,$A$40,'BA History'!AB:AB, 1)</f>
        <v>3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40</v>
      </c>
      <c r="B41" s="2" t="s">
        <v>79</v>
      </c>
      <c r="C41" s="34">
        <f>SUMIFS('BA History'!C:C,'BA History'!B:B,A41)</f>
        <v>870</v>
      </c>
      <c r="D41" s="66">
        <f>AVERAGEIFS('BA History'!C:C,'BA History'!B:B,A41)</f>
        <v>18.125</v>
      </c>
      <c r="E41" s="35">
        <f t="array" ref="E41">MAX(IF('BA History'!B:B=A41, 'BA History'!C:C))</f>
        <v>35</v>
      </c>
      <c r="F41" s="34">
        <f>COUNTIFS('BA History'!B:B,A41,'BA History'!D:D, 1)</f>
        <v>22</v>
      </c>
      <c r="G41" s="2">
        <f>COUNTIFS('BA History'!B:B,A41,'BA History'!D:D, 0)</f>
        <v>26</v>
      </c>
      <c r="H41" s="75">
        <f>LOOKUP(2, 1/('BA History'!$B:$B=A41), 'BA History'!$AJ:$AJ)</f>
        <v>0.45833333333333331</v>
      </c>
      <c r="I41" s="34">
        <f>SUMIFS('BA History'!F:F,'BA History'!B:B,A41)</f>
        <v>98</v>
      </c>
      <c r="J41" s="2">
        <f>SUMIFS('BA History'!E:E,'BA History'!B:B,A41)-I41</f>
        <v>100</v>
      </c>
      <c r="K41" s="75">
        <f>LOOKUP(2, 1/('BA History'!$B:$B=A41), 'BA History'!$AH:$AH)</f>
        <v>0.50208333333333321</v>
      </c>
      <c r="L41" s="34">
        <f>SUMIFS('BA History'!H:H,'BA History'!B:B,A41)</f>
        <v>400</v>
      </c>
      <c r="M41" s="2">
        <f>SUMIFS('BA History'!G:G,'BA History'!B:B,A41)-L41</f>
        <v>414</v>
      </c>
      <c r="N41" s="89">
        <f>LOOKUP(2, 1/('BA History'!$B:$B=A41), 'BA History'!$AI:$AI)</f>
        <v>0.48916666666666675</v>
      </c>
      <c r="O41" s="2">
        <f>COUNTIFS('BA History'!$B:$B,$A$41,'BA History'!K:K, 1)</f>
        <v>4</v>
      </c>
      <c r="P41" s="2">
        <f>COUNTIFS('BA History'!$B:$B,$A$41,'BA History'!L:L, 1)</f>
        <v>7</v>
      </c>
      <c r="Q41" s="2">
        <f>COUNTIFS('BA History'!$B:$B,$A$41,'BA History'!M:M, 1)</f>
        <v>12</v>
      </c>
      <c r="R41" s="2">
        <f>COUNTIFS('BA History'!$B:$B,$A$41,'BA History'!N:N, 1)</f>
        <v>12</v>
      </c>
      <c r="S41" s="2">
        <f>COUNTIFS('BA History'!$B:$B,$A$41,'BA History'!O:O, 1)</f>
        <v>3</v>
      </c>
      <c r="T41" s="2">
        <f>COUNTIFS('BA History'!$B:$B,$A$41,'BA History'!P:P, 1)</f>
        <v>1</v>
      </c>
      <c r="U41" s="2">
        <f>COUNTIFS('BA History'!$B:$B,$A$41,'BA History'!Q:Q, 1)</f>
        <v>4</v>
      </c>
      <c r="V41" s="2">
        <f>COUNTIFS('BA History'!$B:$B,$A$41,'BA History'!R:R, 1)</f>
        <v>3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3</v>
      </c>
      <c r="Z41" s="2">
        <f>COUNTIFS('BA History'!$B:$B,$A$41,'BA History'!V:V, 1)</f>
        <v>5</v>
      </c>
      <c r="AA41" s="2">
        <f>COUNTIFS('BA History'!$B:$B,$A$41,'BA History'!W:W, 1)</f>
        <v>2</v>
      </c>
      <c r="AB41" s="2">
        <f>COUNTIFS('BA History'!$B:$B,$A$41,'BA History'!X:X, 1)</f>
        <v>1</v>
      </c>
      <c r="AC41" s="2">
        <f>COUNTIFS('BA History'!$B:$B,$A$41,'BA History'!Y:Y, 1)</f>
        <v>5</v>
      </c>
      <c r="AD41" s="2">
        <f>COUNTIFS('BA History'!$B:$B,$A$41,'BA History'!Z:Z, 1)</f>
        <v>7</v>
      </c>
      <c r="AE41" s="2">
        <f>COUNTIFS('BA History'!$B:$B,$A$41,'BA History'!AA:AA, 1)</f>
        <v>1</v>
      </c>
      <c r="AF41" s="2">
        <f>COUNTIFS('BA History'!$B:$B,$A$41,'BA History'!AB:AB, 1)</f>
        <v>4</v>
      </c>
      <c r="AG41" s="2">
        <f>COUNTIFS('BA History'!$B:$B,$A$41,'BA History'!AC:AC, 1)</f>
        <v>5</v>
      </c>
      <c r="AH41" s="2">
        <f>COUNTIFS('BA History'!$B:$B,$A$41,'BA History'!AD:AD, 1)</f>
        <v>13</v>
      </c>
      <c r="AI41" s="2">
        <f>COUNTIFS('BA History'!$B:$B,$A$41,'BA History'!AE:AE, 1)</f>
        <v>0</v>
      </c>
      <c r="AJ41" s="2">
        <f>COUNTIFS('BA History'!$B:$B,$A$41,'BA History'!AF:AF, 1)</f>
        <v>5</v>
      </c>
    </row>
    <row r="42" spans="1:36" x14ac:dyDescent="0.25">
      <c r="A42" s="2" t="s">
        <v>148</v>
      </c>
      <c r="B42" s="2" t="s">
        <v>79</v>
      </c>
      <c r="C42" s="34">
        <f>SUMIFS('BA History'!C:C,'BA History'!B:B,A42)</f>
        <v>209</v>
      </c>
      <c r="D42" s="66">
        <f>AVERAGEIFS('BA History'!C:C,'BA History'!B:B,A42)</f>
        <v>11.611111111111111</v>
      </c>
      <c r="E42" s="35">
        <f t="array" ref="E42">MAX(IF('BA History'!B:B=A42, 'BA History'!C:C))</f>
        <v>33</v>
      </c>
      <c r="F42" s="34">
        <f>COUNTIFS('BA History'!B:B,A42,'BA History'!D:D, 1)</f>
        <v>10</v>
      </c>
      <c r="G42" s="2">
        <f>COUNTIFS('BA History'!B:B,A42,'BA History'!D:D, 0)</f>
        <v>8</v>
      </c>
      <c r="H42" s="75">
        <f>LOOKUP(2, 1/('BA History'!$B:$B=A42), 'BA History'!$AJ:$AJ)</f>
        <v>0.55555555555555558</v>
      </c>
      <c r="I42" s="34">
        <f>SUMIFS('BA History'!F:F,'BA History'!B:B,A42)</f>
        <v>38</v>
      </c>
      <c r="J42" s="2">
        <f>SUMIFS('BA History'!E:E,'BA History'!B:B,A42)-I42</f>
        <v>32</v>
      </c>
      <c r="K42" s="75">
        <f>LOOKUP(2, 1/('BA History'!$B:$B=A42), 'BA History'!$AH:$AH)</f>
        <v>0.56666666666666665</v>
      </c>
      <c r="L42" s="34">
        <f>SUMIFS('BA History'!H:H,'BA History'!B:B,A42)</f>
        <v>146</v>
      </c>
      <c r="M42" s="2">
        <f>SUMIFS('BA History'!G:G,'BA History'!B:B,A42)-L42</f>
        <v>139</v>
      </c>
      <c r="N42" s="89">
        <f>LOOKUP(2, 1/('BA History'!$B:$B=A42), 'BA History'!$AI:$AI)</f>
        <v>0.52888888888888874</v>
      </c>
      <c r="O42" s="2">
        <f>COUNTIFS('BA History'!$B:$B,$A$42,'BA History'!K:K, 1)</f>
        <v>3</v>
      </c>
      <c r="P42" s="2">
        <f>COUNTIFS('BA History'!$B:$B,$A$42,'BA History'!L:L, 1)</f>
        <v>2</v>
      </c>
      <c r="Q42" s="2">
        <f>COUNTIFS('BA History'!$B:$B,$A$42,'BA History'!M:M, 1)</f>
        <v>3</v>
      </c>
      <c r="R42" s="2">
        <f>COUNTIFS('BA History'!$B:$B,$A$42,'BA History'!N:N, 1)</f>
        <v>4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1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2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5</v>
      </c>
      <c r="AD42" s="2">
        <f>COUNTIFS('BA History'!$B:$B,$A$42,'BA History'!Z:Z, 1)</f>
        <v>6</v>
      </c>
      <c r="AE42" s="2">
        <f>COUNTIFS('BA History'!$B:$B,$A$42,'BA History'!AA:AA, 1)</f>
        <v>0</v>
      </c>
      <c r="AF42" s="2">
        <f>COUNTIFS('BA History'!$B:$B,$A$42,'BA History'!AB:AB, 1)</f>
        <v>7</v>
      </c>
      <c r="AG42" s="2">
        <f>COUNTIFS('BA History'!$B:$B,$A$42,'BA History'!AC:AC, 1)</f>
        <v>0</v>
      </c>
      <c r="AH42" s="2">
        <f>COUNTIFS('BA History'!$B:$B,$A$42,'BA History'!AD:AD, 1)</f>
        <v>2</v>
      </c>
      <c r="AI42" s="2">
        <f>COUNTIFS('BA History'!$B:$B,$A$42,'BA History'!AE:AE, 1)</f>
        <v>0</v>
      </c>
      <c r="AJ42" s="2">
        <f>COUNTIFS('BA History'!$B:$B,$A$42,'BA History'!AF:AF, 1)</f>
        <v>3</v>
      </c>
    </row>
    <row r="43" spans="1:36" x14ac:dyDescent="0.25">
      <c r="A43" s="2" t="s">
        <v>17</v>
      </c>
      <c r="B43" s="2" t="s">
        <v>79</v>
      </c>
      <c r="C43" s="34">
        <f>SUMIFS('BA History'!C:C,'BA History'!B:B,A43)</f>
        <v>577</v>
      </c>
      <c r="D43" s="66">
        <f>AVERAGEIFS('BA History'!C:C,'BA History'!B:B,A43)</f>
        <v>20.607142857142858</v>
      </c>
      <c r="E43" s="35">
        <f t="array" ref="E43">MAX(IF('BA History'!B:B=A43, 'BA History'!C:C))</f>
        <v>32</v>
      </c>
      <c r="F43" s="34">
        <f>COUNTIFS('BA History'!B:B,A43,'BA History'!D:D, 1)</f>
        <v>14</v>
      </c>
      <c r="G43" s="2">
        <f>COUNTIFS('BA History'!B:B,A43,'BA History'!D:D, 0)</f>
        <v>14</v>
      </c>
      <c r="H43" s="75">
        <f>LOOKUP(2, 1/('BA History'!$B:$B=A43), 'BA History'!$AJ:$AJ)</f>
        <v>0.5</v>
      </c>
      <c r="I43" s="34">
        <f>SUMIFS('BA History'!F:F,'BA History'!B:B,A43)</f>
        <v>57</v>
      </c>
      <c r="J43" s="2">
        <f>SUMIFS('BA History'!E:E,'BA History'!B:B,A43)-I43</f>
        <v>55</v>
      </c>
      <c r="K43" s="75">
        <f>LOOKUP(2, 1/('BA History'!$B:$B=A43), 'BA History'!$AH:$AH)</f>
        <v>0.51321428571428573</v>
      </c>
      <c r="L43" s="34">
        <f>SUMIFS('BA History'!H:H,'BA History'!B:B,A43)</f>
        <v>231</v>
      </c>
      <c r="M43" s="2">
        <f>SUMIFS('BA History'!G:G,'BA History'!B:B,A43)-L43</f>
        <v>236</v>
      </c>
      <c r="N43" s="89">
        <f>LOOKUP(2, 1/('BA History'!$B:$B=A43), 'BA History'!$AI:$AI)</f>
        <v>0.48892857142857155</v>
      </c>
      <c r="O43" s="2">
        <f>COUNTIFS('BA History'!$B:$B,$A$43,'BA History'!K:K, 1)</f>
        <v>4</v>
      </c>
      <c r="P43" s="2">
        <f>COUNTIFS('BA History'!$B:$B,$A$43,'BA History'!L:L, 1)</f>
        <v>1</v>
      </c>
      <c r="Q43" s="2">
        <f>COUNTIFS('BA History'!$B:$B,$A$43,'BA History'!M:M, 1)</f>
        <v>5</v>
      </c>
      <c r="R43" s="2">
        <f>COUNTIFS('BA History'!$B:$B,$A$43,'BA History'!N:N, 1)</f>
        <v>7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2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2</v>
      </c>
      <c r="Z43" s="2">
        <f>COUNTIFS('BA History'!$B:$B,$A$43,'BA History'!V:V, 1)</f>
        <v>3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2</v>
      </c>
      <c r="AD43" s="2">
        <f>COUNTIFS('BA History'!$B:$B,$A$43,'BA History'!Z:Z, 1)</f>
        <v>7</v>
      </c>
      <c r="AE43" s="2">
        <f>COUNTIFS('BA History'!$B:$B,$A$43,'BA History'!AA:AA, 1)</f>
        <v>1</v>
      </c>
      <c r="AF43" s="2">
        <f>COUNTIFS('BA History'!$B:$B,$A$43,'BA History'!AB:AB, 1)</f>
        <v>7</v>
      </c>
      <c r="AG43" s="2">
        <f>COUNTIFS('BA History'!$B:$B,$A$43,'BA History'!AC:AC, 1)</f>
        <v>5</v>
      </c>
      <c r="AH43" s="2">
        <f>COUNTIFS('BA History'!$B:$B,$A$43,'BA History'!AD:AD, 1)</f>
        <v>7</v>
      </c>
      <c r="AI43" s="2">
        <f>COUNTIFS('BA History'!$B:$B,$A$43,'BA History'!AE:AE, 1)</f>
        <v>1</v>
      </c>
      <c r="AJ43" s="2">
        <f>COUNTIFS('BA History'!$B:$B,$A$43,'BA History'!AF:AF, 1)</f>
        <v>2</v>
      </c>
    </row>
    <row r="44" spans="1:36" ht="14.25" customHeight="1" x14ac:dyDescent="0.25">
      <c r="A44" s="1" t="s">
        <v>105</v>
      </c>
      <c r="B44" s="2" t="s">
        <v>79</v>
      </c>
      <c r="C44" s="34">
        <f>SUMIFS('BA History'!C:C,'BA History'!B:B,A44)</f>
        <v>12</v>
      </c>
      <c r="D44" s="66">
        <f>AVERAGEIFS('BA History'!C:C,'BA History'!B:B,A44)</f>
        <v>12</v>
      </c>
      <c r="E44" s="35">
        <f t="array" ref="E44">MAX(IF('BA History'!B:B=A44, 'BA History'!C:C))</f>
        <v>12</v>
      </c>
      <c r="F44" s="34">
        <f>COUNTIFS('BA History'!B:B,A44,'BA History'!D:D, 1)</f>
        <v>1</v>
      </c>
      <c r="G44" s="2">
        <f>COUNTIFS('BA History'!B:B,A44,'BA History'!D:D, 0)</f>
        <v>0</v>
      </c>
      <c r="H44" s="75">
        <f>LOOKUP(2, 1/('BA History'!$B:$B=A44), 'BA History'!$AJ:$AJ)</f>
        <v>1</v>
      </c>
      <c r="I44" s="34">
        <f>SUMIFS('BA History'!F:F,'BA History'!B:B,A44)</f>
        <v>3</v>
      </c>
      <c r="J44" s="2">
        <f>SUMIFS('BA History'!E:E,'BA History'!B:B,A44)-I44</f>
        <v>2</v>
      </c>
      <c r="K44" s="75">
        <f>LOOKUP(2, 1/('BA History'!$B:$B=A44), 'BA History'!$AH:$AH)</f>
        <v>0.6</v>
      </c>
      <c r="L44" s="34">
        <f>SUMIFS('BA History'!H:H,'BA History'!B:B,A44)</f>
        <v>9</v>
      </c>
      <c r="M44" s="2">
        <f>SUMIFS('BA History'!G:G,'BA History'!B:B,A44)-L44</f>
        <v>10</v>
      </c>
      <c r="N44" s="89">
        <f>LOOKUP(2, 1/('BA History'!$B:$B=A44), 'BA History'!$AI:$AI)</f>
        <v>0.47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1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4.25" customHeight="1" x14ac:dyDescent="0.25">
      <c r="A45" s="1" t="s">
        <v>144</v>
      </c>
      <c r="B45" s="2" t="s">
        <v>79</v>
      </c>
      <c r="C45" s="34">
        <f>SUMIFS('BA History'!C:C,'BA History'!B:B,A45)</f>
        <v>4</v>
      </c>
      <c r="D45" s="66">
        <f>AVERAGEIFS('BA History'!C:C,'BA History'!B:B,A45)</f>
        <v>4</v>
      </c>
      <c r="E45" s="35">
        <f t="array" ref="E45">MAX(IF('BA History'!B:B=A45, 'BA History'!C:C))</f>
        <v>4</v>
      </c>
      <c r="F45" s="34">
        <f>COUNTIFS('BA History'!B:B,A45,'BA History'!D:D, 1)</f>
        <v>0</v>
      </c>
      <c r="G45" s="2">
        <f>COUNTIFS('BA History'!B:B,A45,'BA History'!D:D, 0)</f>
        <v>1</v>
      </c>
      <c r="H45" s="75">
        <f>LOOKUP(2, 1/('BA History'!$B:$B=A45), 'BA History'!$AJ:$AJ)</f>
        <v>0</v>
      </c>
      <c r="I45" s="34">
        <f>SUMIFS('BA History'!F:F,'BA History'!B:B,A45)</f>
        <v>1</v>
      </c>
      <c r="J45" s="2">
        <f>SUMIFS('BA History'!E:E,'BA History'!B:B,A45)-I45</f>
        <v>3</v>
      </c>
      <c r="K45" s="75">
        <f>LOOKUP(2, 1/('BA History'!$B:$B=A45), 'BA History'!$AH:$AH)</f>
        <v>0.25</v>
      </c>
      <c r="L45" s="34">
        <f>SUMIFS('BA History'!H:H,'BA History'!B:B,A45)</f>
        <v>7</v>
      </c>
      <c r="M45" s="2">
        <f>SUMIFS('BA History'!G:G,'BA History'!B:B,A45)-L45</f>
        <v>9</v>
      </c>
      <c r="N45" s="89">
        <f>LOOKUP(2, 1/('BA History'!$B:$B=A45), 'BA History'!$AI:$AI)</f>
        <v>0.44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0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x14ac:dyDescent="0.25">
      <c r="A46" s="1" t="s">
        <v>118</v>
      </c>
      <c r="B46" s="2" t="s">
        <v>79</v>
      </c>
      <c r="C46" s="34">
        <f>SUMIFS('BA History'!C:C,'BA History'!B:B,A46)</f>
        <v>30</v>
      </c>
      <c r="D46" s="66">
        <f>AVERAGEIFS('BA History'!C:C,'BA History'!B:B,A46)</f>
        <v>15</v>
      </c>
      <c r="E46" s="35">
        <f t="array" ref="E46">MAX(IF('BA History'!B:B=A46, 'BA History'!C:C))</f>
        <v>20</v>
      </c>
      <c r="F46" s="34">
        <f>COUNTIFS('BA History'!B:B,A46,'BA History'!D:D, 1)</f>
        <v>1</v>
      </c>
      <c r="G46" s="2">
        <f>COUNTIFS('BA History'!B:B,A46,'BA History'!D:D, 0)</f>
        <v>1</v>
      </c>
      <c r="H46" s="75">
        <f>LOOKUP(2, 1/('BA History'!$B:$B=A46), 'BA History'!$AJ:$AJ)</f>
        <v>0.5</v>
      </c>
      <c r="I46" s="34">
        <f>SUMIFS('BA History'!F:F,'BA History'!B:B,A46)</f>
        <v>4</v>
      </c>
      <c r="J46" s="2">
        <f>SUMIFS('BA History'!E:E,'BA History'!B:B,A46)-I46</f>
        <v>4</v>
      </c>
      <c r="K46" s="75">
        <f>LOOKUP(2, 1/('BA History'!$B:$B=A46), 'BA History'!$AH:$AH)</f>
        <v>0.5</v>
      </c>
      <c r="L46" s="34">
        <f>SUMIFS('BA History'!H:H,'BA History'!B:B,A46)</f>
        <v>15</v>
      </c>
      <c r="M46" s="2">
        <f>SUMIFS('BA History'!G:G,'BA History'!B:B,A46)-L46</f>
        <v>15</v>
      </c>
      <c r="N46" s="89">
        <f>LOOKUP(2, 1/('BA History'!$B:$B=A46), 'BA History'!$AI:$AI)</f>
        <v>0.51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1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1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ht="15.75" x14ac:dyDescent="0.25">
      <c r="A47" s="2" t="s">
        <v>6</v>
      </c>
      <c r="B47" s="80" t="s">
        <v>60</v>
      </c>
      <c r="C47" s="34">
        <f>SUMIFS('BA History'!C:C,'BA History'!B:B,A47)</f>
        <v>1090</v>
      </c>
      <c r="D47" s="66">
        <f>AVERAGEIFS('BA History'!C:C,'BA History'!B:B,A47)</f>
        <v>22.244897959183675</v>
      </c>
      <c r="E47" s="35">
        <f t="array" ref="E47">MAX(IF('BA History'!B:B=A47, 'BA History'!C:C))</f>
        <v>37</v>
      </c>
      <c r="F47" s="34">
        <f>COUNTIFS('BA History'!B:B,A47,'BA History'!D:D, 1)</f>
        <v>32</v>
      </c>
      <c r="G47" s="2">
        <f>COUNTIFS('BA History'!B:B,A47,'BA History'!D:D, 0)</f>
        <v>17</v>
      </c>
      <c r="H47" s="75">
        <f>LOOKUP(2, 1/('BA History'!$B:$B=A47), 'BA History'!$AJ:$AJ)</f>
        <v>0.65306122448979587</v>
      </c>
      <c r="I47" s="34">
        <f>SUMIFS('BA History'!F:F,'BA History'!B:B,A47)</f>
        <v>111</v>
      </c>
      <c r="J47" s="2">
        <f>SUMIFS('BA History'!E:E,'BA History'!B:B,A47)-I47</f>
        <v>87</v>
      </c>
      <c r="K47" s="75">
        <f>LOOKUP(2, 1/('BA History'!$B:$B=A47), 'BA History'!$AH:$AH)</f>
        <v>0.55673469387755115</v>
      </c>
      <c r="L47" s="34">
        <f>SUMIFS('BA History'!H:H,'BA History'!B:B,A47)</f>
        <v>442</v>
      </c>
      <c r="M47" s="2">
        <f>SUMIFS('BA History'!G:G,'BA History'!B:B,A47)-L47</f>
        <v>383</v>
      </c>
      <c r="N47" s="89">
        <f>LOOKUP(2, 1/('BA History'!$B:$B=A47), 'BA History'!$AI:$AI)</f>
        <v>0.53510204081632651</v>
      </c>
      <c r="O47" s="2">
        <f>COUNTIFS('BA History'!$B:$B,$A$47,'BA History'!K:K, 1)</f>
        <v>5</v>
      </c>
      <c r="P47" s="2">
        <f>COUNTIFS('BA History'!$B:$B,$A$47,'BA History'!L:L, 1)</f>
        <v>5</v>
      </c>
      <c r="Q47" s="2">
        <f>COUNTIFS('BA History'!$B:$B,$A$47,'BA History'!M:M, 1)</f>
        <v>10</v>
      </c>
      <c r="R47" s="2">
        <f>COUNTIFS('BA History'!$B:$B,$A$47,'BA History'!N:N, 1)</f>
        <v>9</v>
      </c>
      <c r="S47" s="2">
        <f>COUNTIFS('BA History'!$B:$B,$A$47,'BA History'!O:O, 1)</f>
        <v>2</v>
      </c>
      <c r="T47" s="2">
        <f>COUNTIFS('BA History'!$B:$B,$A$47,'BA History'!P:P, 1)</f>
        <v>0</v>
      </c>
      <c r="U47" s="2">
        <f>COUNTIFS('BA History'!$B:$B,$A$47,'BA History'!Q:Q, 1)</f>
        <v>5</v>
      </c>
      <c r="V47" s="2">
        <f>COUNTIFS('BA History'!$B:$B,$A$47,'BA History'!R:R, 1)</f>
        <v>3</v>
      </c>
      <c r="W47" s="2">
        <f>COUNTIFS('BA History'!$B:$B,$A$47,'BA History'!S:S, 1)</f>
        <v>1</v>
      </c>
      <c r="X47" s="2">
        <f>COUNTIFS('BA History'!$B:$B,$A$47,'BA History'!T:T, 1)</f>
        <v>0</v>
      </c>
      <c r="Y47" s="2">
        <f>COUNTIFS('BA History'!$B:$B,$A$47,'BA History'!U:U, 1)</f>
        <v>2</v>
      </c>
      <c r="Z47" s="2">
        <f>COUNTIFS('BA History'!$B:$B,$A$47,'BA History'!V:V, 1)</f>
        <v>9</v>
      </c>
      <c r="AA47" s="2">
        <f>COUNTIFS('BA History'!$B:$B,$A$47,'BA History'!W:W, 1)</f>
        <v>4</v>
      </c>
      <c r="AB47" s="2">
        <f>COUNTIFS('BA History'!$B:$B,$A$47,'BA History'!X:X, 1)</f>
        <v>2</v>
      </c>
      <c r="AC47" s="2">
        <f>COUNTIFS('BA History'!$B:$B,$A$47,'BA History'!Y:Y, 1)</f>
        <v>5</v>
      </c>
      <c r="AD47" s="2">
        <f>COUNTIFS('BA History'!$B:$B,$A$47,'BA History'!Z:Z, 1)</f>
        <v>15</v>
      </c>
      <c r="AE47" s="2">
        <f>COUNTIFS('BA History'!$B:$B,$A$47,'BA History'!AA:AA, 1)</f>
        <v>1</v>
      </c>
      <c r="AF47" s="2">
        <f>COUNTIFS('BA History'!$B:$B,$A$47,'BA History'!AB:AB, 1)</f>
        <v>12</v>
      </c>
      <c r="AG47" s="2">
        <f>COUNTIFS('BA History'!$B:$B,$A$47,'BA History'!AC:AC, 1)</f>
        <v>5</v>
      </c>
      <c r="AH47" s="2">
        <f>COUNTIFS('BA History'!$B:$B,$A$47,'BA History'!AD:AD, 1)</f>
        <v>9</v>
      </c>
      <c r="AI47" s="2">
        <f>COUNTIFS('BA History'!$B:$B,$A$47,'BA History'!AE:AE, 1)</f>
        <v>1</v>
      </c>
      <c r="AJ47" s="2">
        <f>COUNTIFS('BA History'!$B:$B,$A$47,'BA History'!AF:AF, 1)</f>
        <v>6</v>
      </c>
    </row>
    <row r="48" spans="1:36" x14ac:dyDescent="0.25">
      <c r="A48" s="2" t="s">
        <v>18</v>
      </c>
      <c r="B48" s="2" t="s">
        <v>79</v>
      </c>
      <c r="C48" s="34">
        <f>SUMIFS('BA History'!C:C,'BA History'!B:B,A48)</f>
        <v>129</v>
      </c>
      <c r="D48" s="66">
        <f>AVERAGEIFS('BA History'!C:C,'BA History'!B:B,A48)</f>
        <v>18.428571428571427</v>
      </c>
      <c r="E48" s="35">
        <f t="array" ref="E48">MAX(IF('BA History'!B:B=A48, 'BA History'!C:C))</f>
        <v>26</v>
      </c>
      <c r="F48" s="34">
        <f>COUNTIFS('BA History'!B:B,A48,'BA History'!D:D, 1)</f>
        <v>6</v>
      </c>
      <c r="G48" s="2">
        <f>COUNTIFS('BA History'!B:B,A48,'BA History'!D:D, 0)</f>
        <v>1</v>
      </c>
      <c r="H48" s="75">
        <f>LOOKUP(2, 1/('BA History'!$B:$B=A48), 'BA History'!$AJ:$AJ)</f>
        <v>0.8571428571428571</v>
      </c>
      <c r="I48" s="34">
        <f>SUMIFS('BA History'!F:F,'BA History'!B:B,A48)</f>
        <v>19</v>
      </c>
      <c r="J48" s="2">
        <f>SUMIFS('BA History'!E:E,'BA History'!B:B,A48)-I48</f>
        <v>7</v>
      </c>
      <c r="K48" s="75">
        <f>LOOKUP(2, 1/('BA History'!$B:$B=A48), 'BA History'!$AH:$AH)</f>
        <v>0.76428571428571423</v>
      </c>
      <c r="L48" s="34">
        <f>SUMIFS('BA History'!H:H,'BA History'!B:B,A48)</f>
        <v>66</v>
      </c>
      <c r="M48" s="2">
        <f>SUMIFS('BA History'!G:G,'BA History'!B:B,A48)-L48</f>
        <v>44</v>
      </c>
      <c r="N48" s="89">
        <f>LOOKUP(2, 1/('BA History'!$B:$B=A48), 'BA History'!$AI:$AI)</f>
        <v>0.62</v>
      </c>
      <c r="O48" s="2">
        <f>COUNTIFS('BA History'!$B:$B,$A$48,'BA History'!K:K, 1)</f>
        <v>0</v>
      </c>
      <c r="P48" s="2">
        <f>COUNTIFS('BA History'!$B:$B,$A$48,'BA History'!L:L, 1)</f>
        <v>3</v>
      </c>
      <c r="Q48" s="2">
        <f>COUNTIFS('BA History'!$B:$B,$A$48,'BA History'!M:M, 1)</f>
        <v>1</v>
      </c>
      <c r="R48" s="2">
        <f>COUNTIFS('BA History'!$B:$B,$A$48,'BA History'!N:N, 1)</f>
        <v>3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1</v>
      </c>
      <c r="AB48" s="2">
        <f>COUNTIFS('BA History'!$B:$B,$A$48,'BA History'!X:X, 1)</f>
        <v>1</v>
      </c>
      <c r="AC48" s="2">
        <f>COUNTIFS('BA History'!$B:$B,$A$48,'BA History'!Y:Y, 1)</f>
        <v>1</v>
      </c>
      <c r="AD48" s="2">
        <f>COUNTIFS('BA History'!$B:$B,$A$48,'BA History'!Z:Z, 1)</f>
        <v>2</v>
      </c>
      <c r="AE48" s="2">
        <f>COUNTIFS('BA History'!$B:$B,$A$48,'BA History'!AA:AA, 1)</f>
        <v>1</v>
      </c>
      <c r="AF48" s="2">
        <f>COUNTIFS('BA History'!$B:$B,$A$48,'BA History'!AB:AB, 1)</f>
        <v>1</v>
      </c>
      <c r="AG48" s="2">
        <f>COUNTIFS('BA History'!$B:$B,$A$48,'BA History'!AC:AC, 1)</f>
        <v>0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113</v>
      </c>
      <c r="B49" s="2" t="s">
        <v>79</v>
      </c>
      <c r="C49" s="34">
        <f>SUMIFS('BA History'!C:C,'BA History'!B:B,A49)</f>
        <v>393</v>
      </c>
      <c r="D49" s="66">
        <f>AVERAGEIFS('BA History'!C:C,'BA History'!B:B,A49)</f>
        <v>16.375</v>
      </c>
      <c r="E49" s="35">
        <f t="array" ref="E49">MAX(IF('BA History'!B:B=A49, 'BA History'!C:C))</f>
        <v>28</v>
      </c>
      <c r="F49" s="34">
        <f>COUNTIFS('BA History'!B:B,A49,'BA History'!D:D, 1)</f>
        <v>13</v>
      </c>
      <c r="G49" s="2">
        <f>COUNTIFS('BA History'!B:B,A49,'BA History'!D:D, 0)</f>
        <v>11</v>
      </c>
      <c r="H49" s="75">
        <f>LOOKUP(2, 1/('BA History'!$B:$B=A49), 'BA History'!$AJ:$AJ)</f>
        <v>0.54166666666666663</v>
      </c>
      <c r="I49" s="34">
        <f>SUMIFS('BA History'!F:F,'BA History'!B:B,A49)</f>
        <v>51</v>
      </c>
      <c r="J49" s="2">
        <f>SUMIFS('BA History'!E:E,'BA History'!B:B,A49)-I49</f>
        <v>43</v>
      </c>
      <c r="K49" s="75">
        <f>LOOKUP(2, 1/('BA History'!$B:$B=A49), 'BA History'!$AH:$AH)</f>
        <v>0.5541666666666667</v>
      </c>
      <c r="L49" s="34">
        <f>SUMIFS('BA History'!H:H,'BA History'!B:B,A49)</f>
        <v>194</v>
      </c>
      <c r="M49" s="2">
        <f>SUMIFS('BA History'!G:G,'BA History'!B:B,A49)-L49</f>
        <v>182</v>
      </c>
      <c r="N49" s="89">
        <f>LOOKUP(2, 1/('BA History'!$B:$B=A49), 'BA History'!$AI:$AI)</f>
        <v>0.51083333333333336</v>
      </c>
      <c r="O49" s="2">
        <f>COUNTIFS('BA History'!$B:$B,$A$49,'BA History'!K:K, 1)</f>
        <v>2</v>
      </c>
      <c r="P49" s="2">
        <f>COUNTIFS('BA History'!$B:$B,$A$49,'BA History'!L:L, 1)</f>
        <v>3</v>
      </c>
      <c r="Q49" s="2">
        <f>COUNTIFS('BA History'!$B:$B,$A$49,'BA History'!M:M, 1)</f>
        <v>9</v>
      </c>
      <c r="R49" s="2">
        <f>COUNTIFS('BA History'!$B:$B,$A$49,'BA History'!N:N, 1)</f>
        <v>6</v>
      </c>
      <c r="S49" s="2">
        <f>COUNTIFS('BA History'!$B:$B,$A$49,'BA History'!O:O, 1)</f>
        <v>1</v>
      </c>
      <c r="T49" s="2">
        <f>COUNTIFS('BA History'!$B:$B,$A$49,'BA History'!P:P, 1)</f>
        <v>0</v>
      </c>
      <c r="U49" s="2">
        <f>COUNTIFS('BA History'!$B:$B,$A$49,'BA History'!Q:Q, 1)</f>
        <v>2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1</v>
      </c>
      <c r="Z49" s="2">
        <f>COUNTIFS('BA History'!$B:$B,$A$49,'BA History'!V:V, 1)</f>
        <v>3</v>
      </c>
      <c r="AA49" s="2">
        <f>COUNTIFS('BA History'!$B:$B,$A$49,'BA History'!W:W, 1)</f>
        <v>0</v>
      </c>
      <c r="AB49" s="2">
        <f>COUNTIFS('BA History'!$B:$B,$A$49,'BA History'!X:X, 1)</f>
        <v>0</v>
      </c>
      <c r="AC49" s="2">
        <f>COUNTIFS('BA History'!$B:$B,$A$49,'BA History'!Y:Y, 1)</f>
        <v>6</v>
      </c>
      <c r="AD49" s="2">
        <f>COUNTIFS('BA History'!$B:$B,$A$49,'BA History'!Z:Z, 1)</f>
        <v>3</v>
      </c>
      <c r="AE49" s="2">
        <f>COUNTIFS('BA History'!$B:$B,$A$49,'BA History'!AA:AA, 1)</f>
        <v>0</v>
      </c>
      <c r="AF49" s="2">
        <f>COUNTIFS('BA History'!$B:$B,$A$49,'BA History'!AB:AB, 1)</f>
        <v>5</v>
      </c>
      <c r="AG49" s="2">
        <f>COUNTIFS('BA History'!$B:$B,$A$49,'BA History'!AC:AC, 1)</f>
        <v>6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1</v>
      </c>
    </row>
    <row r="50" spans="1:36" x14ac:dyDescent="0.25">
      <c r="A50" s="2" t="s">
        <v>14</v>
      </c>
      <c r="B50" s="2" t="s">
        <v>79</v>
      </c>
      <c r="C50" s="34">
        <f>SUMIFS('BA History'!C:C,'BA History'!B:B,A50)</f>
        <v>296</v>
      </c>
      <c r="D50" s="66">
        <f>AVERAGEIFS('BA History'!C:C,'BA History'!B:B,A50)</f>
        <v>17.411764705882351</v>
      </c>
      <c r="E50" s="35">
        <f t="array" ref="E50">MAX(IF('BA History'!B:B=A50, 'BA History'!C:C))</f>
        <v>30</v>
      </c>
      <c r="F50" s="34">
        <f>COUNTIFS('BA History'!B:B,A50,'BA History'!D:D, 1)</f>
        <v>8</v>
      </c>
      <c r="G50" s="2">
        <f>COUNTIFS('BA History'!B:B,A50,'BA History'!D:D, 0)</f>
        <v>9</v>
      </c>
      <c r="H50" s="75">
        <f>LOOKUP(2, 1/('BA History'!$B:$B=A50), 'BA History'!$AJ:$AJ)</f>
        <v>0.47058823529411764</v>
      </c>
      <c r="I50" s="34">
        <f>SUMIFS('BA History'!F:F,'BA History'!B:B,A50)</f>
        <v>34</v>
      </c>
      <c r="J50" s="2">
        <f>SUMIFS('BA History'!E:E,'BA History'!B:B,A50)-I50</f>
        <v>37</v>
      </c>
      <c r="K50" s="75">
        <f>LOOKUP(2, 1/('BA History'!$B:$B=A50), 'BA History'!$AH:$AH)</f>
        <v>0.4864705882352941</v>
      </c>
      <c r="L50" s="34">
        <f>SUMIFS('BA History'!H:H,'BA History'!B:B,A50)</f>
        <v>150</v>
      </c>
      <c r="M50" s="2">
        <f>SUMIFS('BA History'!G:G,'BA History'!B:B,A50)-L50</f>
        <v>144</v>
      </c>
      <c r="N50" s="89">
        <f>LOOKUP(2, 1/('BA History'!$B:$B=A50), 'BA History'!$AI:$AI)</f>
        <v>0.51882352941176468</v>
      </c>
      <c r="O50" s="2">
        <f>COUNTIFS('BA History'!$B:$B,$A$50,'BA History'!K:K, 1)</f>
        <v>1</v>
      </c>
      <c r="P50" s="2">
        <f>COUNTIFS('BA History'!$B:$B,$A$50,'BA History'!L:L, 1)</f>
        <v>2</v>
      </c>
      <c r="Q50" s="2">
        <f>COUNTIFS('BA History'!$B:$B,$A$50,'BA History'!M:M, 1)</f>
        <v>0</v>
      </c>
      <c r="R50" s="2">
        <f>COUNTIFS('BA History'!$B:$B,$A$50,'BA History'!N:N, 1)</f>
        <v>1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1</v>
      </c>
      <c r="Y50" s="2">
        <f>COUNTIFS('BA History'!$B:$B,$A$50,'BA History'!U:U, 1)</f>
        <v>1</v>
      </c>
      <c r="Z50" s="2">
        <f>COUNTIFS('BA History'!$B:$B,$A$50,'BA History'!V:V, 1)</f>
        <v>1</v>
      </c>
      <c r="AA50" s="2">
        <f>COUNTIFS('BA History'!$B:$B,$A$50,'BA History'!W:W, 1)</f>
        <v>2</v>
      </c>
      <c r="AB50" s="2">
        <f>COUNTIFS('BA History'!$B:$B,$A$50,'BA History'!X:X, 1)</f>
        <v>1</v>
      </c>
      <c r="AC50" s="2">
        <f>COUNTIFS('BA History'!$B:$B,$A$50,'BA History'!Y:Y, 1)</f>
        <v>4</v>
      </c>
      <c r="AD50" s="2">
        <f>COUNTIFS('BA History'!$B:$B,$A$50,'BA History'!Z:Z, 1)</f>
        <v>6</v>
      </c>
      <c r="AE50" s="2">
        <f>COUNTIFS('BA History'!$B:$B,$A$50,'BA History'!AA:AA, 1)</f>
        <v>1</v>
      </c>
      <c r="AF50" s="2">
        <f>COUNTIFS('BA History'!$B:$B,$A$50,'BA History'!AB:AB, 1)</f>
        <v>6</v>
      </c>
      <c r="AG50" s="2">
        <f>COUNTIFS('BA History'!$B:$B,$A$50,'BA History'!AC:AC, 1)</f>
        <v>3</v>
      </c>
      <c r="AH50" s="2">
        <f>COUNTIFS('BA History'!$B:$B,$A$50,'BA History'!AD:AD, 1)</f>
        <v>0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70</v>
      </c>
      <c r="B51" s="2" t="s">
        <v>79</v>
      </c>
      <c r="C51" s="34">
        <f>SUMIFS('BA History'!C:C,'BA History'!B:B,A51)</f>
        <v>73</v>
      </c>
      <c r="D51" s="66">
        <f>AVERAGEIFS('BA History'!C:C,'BA History'!B:B,A51)</f>
        <v>12.166666666666666</v>
      </c>
      <c r="E51" s="35">
        <f t="array" ref="E51">MAX(IF('BA History'!B:B=A51, 'BA History'!C:C))</f>
        <v>19</v>
      </c>
      <c r="F51" s="34">
        <f>COUNTIFS('BA History'!B:B,A51,'BA History'!D:D, 1)</f>
        <v>5</v>
      </c>
      <c r="G51" s="2">
        <f>COUNTIFS('BA History'!B:B,A51,'BA History'!D:D, 0)</f>
        <v>1</v>
      </c>
      <c r="H51" s="75">
        <f>LOOKUP(2, 1/('BA History'!$B:$B=A51), 'BA History'!$AJ:$AJ)</f>
        <v>0.83333333333333337</v>
      </c>
      <c r="I51" s="34">
        <f>SUMIFS('BA History'!F:F,'BA History'!B:B,A51)</f>
        <v>15</v>
      </c>
      <c r="J51" s="2">
        <f>SUMIFS('BA History'!E:E,'BA History'!B:B,A51)-I51</f>
        <v>10</v>
      </c>
      <c r="K51" s="75">
        <f>LOOKUP(2, 1/('BA History'!$B:$B=A51), 'BA History'!$AH:$AH)</f>
        <v>0.59166666666666667</v>
      </c>
      <c r="L51" s="34">
        <f>SUMIFS('BA History'!H:H,'BA History'!B:B,A51)</f>
        <v>56</v>
      </c>
      <c r="M51" s="2">
        <f>SUMIFS('BA History'!G:G,'BA History'!B:B,A51)-L51</f>
        <v>49</v>
      </c>
      <c r="N51" s="89">
        <f>LOOKUP(2, 1/('BA History'!$B:$B=A51), 'BA History'!$AI:$AI)</f>
        <v>0.53500000000000003</v>
      </c>
      <c r="O51" s="2">
        <f>COUNTIFS('BA History'!$B:$B,$A$51,'BA History'!K:K, 1)</f>
        <v>1</v>
      </c>
      <c r="P51" s="2">
        <f>COUNTIFS('BA History'!$B:$B,$A$51,'BA History'!L:L, 1)</f>
        <v>1</v>
      </c>
      <c r="Q51" s="2">
        <f>COUNTIFS('BA History'!$B:$B,$A$51,'BA History'!M:M, 1)</f>
        <v>2</v>
      </c>
      <c r="R51" s="2">
        <f>COUNTIFS('BA History'!$B:$B,$A$51,'BA History'!N:N, 1)</f>
        <v>2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1</v>
      </c>
      <c r="AA51" s="2">
        <f>COUNTIFS('BA History'!$B:$B,$A$51,'BA History'!W:W, 1)</f>
        <v>1</v>
      </c>
      <c r="AB51" s="2">
        <f>COUNTIFS('BA History'!$B:$B,$A$51,'BA History'!X:X, 1)</f>
        <v>0</v>
      </c>
      <c r="AC51" s="2">
        <f>COUNTIFS('BA History'!$B:$B,$A$51,'BA History'!Y:Y, 1)</f>
        <v>1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2</v>
      </c>
    </row>
    <row r="52" spans="1:36" ht="15.75" x14ac:dyDescent="0.25">
      <c r="A52" s="2" t="s">
        <v>4</v>
      </c>
      <c r="B52" s="80" t="s">
        <v>60</v>
      </c>
      <c r="C52" s="34">
        <f>SUMIFS('BA History'!C:C,'BA History'!B:B,A52)</f>
        <v>588</v>
      </c>
      <c r="D52" s="66">
        <f>AVERAGEIFS('BA History'!C:C,'BA History'!B:B,A52)</f>
        <v>23.52</v>
      </c>
      <c r="E52" s="35">
        <f t="array" ref="E52">MAX(IF('BA History'!B:B=A52, 'BA History'!C:C))</f>
        <v>41</v>
      </c>
      <c r="F52" s="34">
        <f>COUNTIFS('BA History'!B:B,A52,'BA History'!D:D, 1)</f>
        <v>7</v>
      </c>
      <c r="G52" s="2">
        <f>COUNTIFS('BA History'!B:B,A52,'BA History'!D:D, 0)</f>
        <v>18</v>
      </c>
      <c r="H52" s="75">
        <f>LOOKUP(2, 1/('BA History'!$B:$B=A52), 'BA History'!$AJ:$AJ)</f>
        <v>0.28000000000000003</v>
      </c>
      <c r="I52" s="34">
        <f>SUMIFS('BA History'!F:F,'BA History'!B:B,A52)</f>
        <v>42</v>
      </c>
      <c r="J52" s="2">
        <f>SUMIFS('BA History'!E:E,'BA History'!B:B,A52)-I52</f>
        <v>60</v>
      </c>
      <c r="K52" s="75">
        <f>LOOKUP(2, 1/('BA History'!$B:$B=A52), 'BA History'!$AH:$AH)</f>
        <v>0.41399999999999998</v>
      </c>
      <c r="L52" s="34">
        <f>SUMIFS('BA History'!H:H,'BA History'!B:B,A52)</f>
        <v>189</v>
      </c>
      <c r="M52" s="2">
        <f>SUMIFS('BA History'!G:G,'BA History'!B:B,A52)-L52</f>
        <v>226</v>
      </c>
      <c r="N52" s="89">
        <f>LOOKUP(2, 1/('BA History'!$B:$B=A52), 'BA History'!$AI:$AI)</f>
        <v>0.45039999999999997</v>
      </c>
      <c r="O52" s="2">
        <f>COUNTIFS('BA History'!$B:$B,$A$52,'BA History'!K:K, 1)</f>
        <v>1</v>
      </c>
      <c r="P52" s="2">
        <f>COUNTIFS('BA History'!$B:$B,$A$52,'BA History'!L:L, 1)</f>
        <v>6</v>
      </c>
      <c r="Q52" s="2">
        <f>COUNTIFS('BA History'!$B:$B,$A$52,'BA History'!M:M, 1)</f>
        <v>3</v>
      </c>
      <c r="R52" s="2">
        <f>COUNTIFS('BA History'!$B:$B,$A$52,'BA History'!N:N, 1)</f>
        <v>6</v>
      </c>
      <c r="S52" s="2">
        <f>COUNTIFS('BA History'!$B:$B,$A$52,'BA History'!O:O, 1)</f>
        <v>1</v>
      </c>
      <c r="T52" s="2">
        <f>COUNTIFS('BA History'!$B:$B,$A$52,'BA History'!P:P, 1)</f>
        <v>0</v>
      </c>
      <c r="U52" s="2">
        <f>COUNTIFS('BA History'!$B:$B,$A$52,'BA History'!Q:Q, 1)</f>
        <v>1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2</v>
      </c>
      <c r="Z52" s="2">
        <f>COUNTIFS('BA History'!$B:$B,$A$52,'BA History'!V:V, 1)</f>
        <v>1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7</v>
      </c>
      <c r="AD52" s="2">
        <f>COUNTIFS('BA History'!$B:$B,$A$52,'BA History'!Z:Z, 1)</f>
        <v>2</v>
      </c>
      <c r="AE52" s="2">
        <f>COUNTIFS('BA History'!$B:$B,$A$52,'BA History'!AA:AA, 1)</f>
        <v>0</v>
      </c>
      <c r="AF52" s="2">
        <f>COUNTIFS('BA History'!$B:$B,$A$52,'BA History'!AB:AB, 1)</f>
        <v>3</v>
      </c>
      <c r="AG52" s="2">
        <f>COUNTIFS('BA History'!$B:$B,$A$52,'BA History'!AC:AC, 1)</f>
        <v>5</v>
      </c>
      <c r="AH52" s="2">
        <f>COUNTIFS('BA History'!$B:$B,$A$52,'BA History'!AD:AD, 1)</f>
        <v>3</v>
      </c>
      <c r="AI52" s="2">
        <f>COUNTIFS('BA History'!$B:$B,$A$52,'BA History'!AE:AE, 1)</f>
        <v>0</v>
      </c>
      <c r="AJ52" s="2">
        <f>COUNTIFS('BA History'!$B:$B,$A$52,'BA History'!AF:AF, 1)</f>
        <v>1</v>
      </c>
    </row>
    <row r="53" spans="1:36" x14ac:dyDescent="0.25">
      <c r="A53" s="1" t="s">
        <v>107</v>
      </c>
      <c r="B53" s="2" t="s">
        <v>79</v>
      </c>
      <c r="C53" s="34">
        <f>SUMIFS('BA History'!C:C,'BA History'!B:B,A53)</f>
        <v>507</v>
      </c>
      <c r="D53" s="66">
        <f>AVERAGEIFS('BA History'!C:C,'BA History'!B:B,A53)</f>
        <v>16.899999999999999</v>
      </c>
      <c r="E53" s="35">
        <f t="array" ref="E53">MAX(IF('BA History'!B:B=A53, 'BA History'!C:C))</f>
        <v>35</v>
      </c>
      <c r="F53" s="34">
        <f>COUNTIFS('BA History'!B:B,A53,'BA History'!D:D, 1)</f>
        <v>17</v>
      </c>
      <c r="G53" s="2">
        <f>COUNTIFS('BA History'!B:B,A53,'BA History'!D:D, 0)</f>
        <v>13</v>
      </c>
      <c r="H53" s="75">
        <f>LOOKUP(2, 1/('BA History'!$B:$B=A53), 'BA History'!$AJ:$AJ)</f>
        <v>0.56666666666666665</v>
      </c>
      <c r="I53" s="34">
        <f>SUMIFS('BA History'!F:F,'BA History'!B:B,A53)</f>
        <v>66</v>
      </c>
      <c r="J53" s="2">
        <f>SUMIFS('BA History'!E:E,'BA History'!B:B,A53)-I53</f>
        <v>57</v>
      </c>
      <c r="K53" s="75">
        <f>LOOKUP(2, 1/('BA History'!$B:$B=A53), 'BA History'!$AH:$AH)</f>
        <v>0.53833333333333333</v>
      </c>
      <c r="L53" s="34">
        <f>SUMIFS('BA History'!H:H,'BA History'!B:B,A53)</f>
        <v>271</v>
      </c>
      <c r="M53" s="2">
        <f>SUMIFS('BA History'!G:G,'BA History'!B:B,A53)-L53</f>
        <v>241</v>
      </c>
      <c r="N53" s="89">
        <f>LOOKUP(2, 1/('BA History'!$B:$B=A53), 'BA History'!$AI:$AI)</f>
        <v>0.53066666666666673</v>
      </c>
      <c r="O53" s="2">
        <f>COUNTIFS('BA History'!$B:$B,$A$53,'BA History'!K:K, 1)</f>
        <v>3</v>
      </c>
      <c r="P53" s="2">
        <f>COUNTIFS('BA History'!$B:$B,$A$53,'BA History'!L:L, 1)</f>
        <v>2</v>
      </c>
      <c r="Q53" s="2">
        <f>COUNTIFS('BA History'!$B:$B,$A$53,'BA History'!M:M, 1)</f>
        <v>8</v>
      </c>
      <c r="R53" s="2">
        <f>COUNTIFS('BA History'!$B:$B,$A$53,'BA History'!N:N, 1)</f>
        <v>10</v>
      </c>
      <c r="S53" s="2">
        <f>COUNTIFS('BA History'!$B:$B,$A$53,'BA History'!O:O, 1)</f>
        <v>2</v>
      </c>
      <c r="T53" s="2">
        <f>COUNTIFS('BA History'!$B:$B,$A$53,'BA History'!P:P, 1)</f>
        <v>1</v>
      </c>
      <c r="U53" s="2">
        <f>COUNTIFS('BA History'!$B:$B,$A$53,'BA History'!Q:Q, 1)</f>
        <v>2</v>
      </c>
      <c r="V53" s="2">
        <f>COUNTIFS('BA History'!$B:$B,$A$53,'BA History'!R:R, 1)</f>
        <v>1</v>
      </c>
      <c r="W53" s="2">
        <f>COUNTIFS('BA History'!$B:$B,$A$53,'BA History'!S:S, 1)</f>
        <v>1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2</v>
      </c>
      <c r="AA53" s="2">
        <f>COUNTIFS('BA History'!$B:$B,$A$53,'BA History'!W:W, 1)</f>
        <v>2</v>
      </c>
      <c r="AB53" s="2">
        <f>COUNTIFS('BA History'!$B:$B,$A$53,'BA History'!X:X, 1)</f>
        <v>0</v>
      </c>
      <c r="AC53" s="2">
        <f>COUNTIFS('BA History'!$B:$B,$A$53,'BA History'!Y:Y, 1)</f>
        <v>6</v>
      </c>
      <c r="AD53" s="2">
        <f>COUNTIFS('BA History'!$B:$B,$A$53,'BA History'!Z:Z, 1)</f>
        <v>7</v>
      </c>
      <c r="AE53" s="2">
        <f>COUNTIFS('BA History'!$B:$B,$A$53,'BA History'!AA:AA, 1)</f>
        <v>1</v>
      </c>
      <c r="AF53" s="2">
        <f>COUNTIFS('BA History'!$B:$B,$A$53,'BA History'!AB:AB, 1)</f>
        <v>5</v>
      </c>
      <c r="AG53" s="2">
        <f>COUNTIFS('BA History'!$B:$B,$A$53,'BA History'!AC:AC, 1)</f>
        <v>3</v>
      </c>
      <c r="AH53" s="2">
        <f>COUNTIFS('BA History'!$B:$B,$A$53,'BA History'!AD:AD, 1)</f>
        <v>6</v>
      </c>
      <c r="AI53" s="2">
        <f>COUNTIFS('BA History'!$B:$B,$A$53,'BA History'!AE:AE, 1)</f>
        <v>0</v>
      </c>
      <c r="AJ53" s="2">
        <f>COUNTIFS('BA History'!$B:$B,$A$53,'BA History'!AF:AF, 1)</f>
        <v>4</v>
      </c>
    </row>
    <row r="54" spans="1:36" x14ac:dyDescent="0.25">
      <c r="A54" s="2" t="s">
        <v>94</v>
      </c>
      <c r="B54" s="2" t="s">
        <v>79</v>
      </c>
      <c r="C54" s="34">
        <f>SUMIFS('BA History'!C:C,'BA History'!B:B,A54)</f>
        <v>18</v>
      </c>
      <c r="D54" s="66">
        <f>AVERAGEIFS('BA History'!C:C,'BA History'!B:B,A54)</f>
        <v>18</v>
      </c>
      <c r="E54" s="35">
        <f t="array" ref="E54">MAX(IF('BA History'!B:B=A54, 'BA History'!C:C))</f>
        <v>18</v>
      </c>
      <c r="F54" s="34">
        <f>COUNTIFS('BA History'!B:B,A54,'BA History'!D:D, 1)</f>
        <v>1</v>
      </c>
      <c r="G54" s="2">
        <f>COUNTIFS('BA History'!B:B,A54,'BA History'!D:D, 0)</f>
        <v>0</v>
      </c>
      <c r="H54" s="75">
        <f>LOOKUP(2, 1/('BA History'!$B:$B=A54), 'BA History'!$AJ:$AJ)</f>
        <v>1</v>
      </c>
      <c r="I54" s="34">
        <f>SUMIFS('BA History'!F:F,'BA History'!B:B,A54)</f>
        <v>3</v>
      </c>
      <c r="J54" s="2">
        <f>SUMIFS('BA History'!E:E,'BA History'!B:B,A54)-I54</f>
        <v>2</v>
      </c>
      <c r="K54" s="75">
        <f>LOOKUP(2, 1/('BA History'!$B:$B=A54), 'BA History'!$AH:$AH)</f>
        <v>0.6</v>
      </c>
      <c r="L54" s="34">
        <f>SUMIFS('BA History'!H:H,'BA History'!B:B,A54)</f>
        <v>11</v>
      </c>
      <c r="M54" s="2">
        <f>SUMIFS('BA History'!G:G,'BA History'!B:B,A54)-L54</f>
        <v>10</v>
      </c>
      <c r="N54" s="89">
        <f>LOOKUP(2, 1/('BA History'!$B:$B=A54), 'BA History'!$AI:$AI)</f>
        <v>0.52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1</v>
      </c>
      <c r="AB54" s="2">
        <f>COUNTIFS('BA History'!$B:$B,$A$54,'BA History'!X:X, 1)</f>
        <v>1</v>
      </c>
      <c r="AC54" s="2">
        <f>COUNTIFS('BA History'!$B:$B,$A$54,'BA History'!Y:Y, 1)</f>
        <v>0</v>
      </c>
      <c r="AD54" s="2">
        <f>COUNTIFS('BA History'!$B:$B,$A$54,'BA History'!Z:Z, 1)</f>
        <v>1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  <row r="55" spans="1:36" ht="15.75" thickBot="1" x14ac:dyDescent="0.3">
      <c r="A55" s="2" t="s">
        <v>55</v>
      </c>
      <c r="B55" s="2" t="s">
        <v>79</v>
      </c>
      <c r="C55" s="34">
        <f>SUMIFS('BA History'!C:C,'BA History'!B:B,A55)</f>
        <v>2</v>
      </c>
      <c r="D55" s="66">
        <f>AVERAGEIFS('BA History'!C:C,'BA History'!B:B,A55)</f>
        <v>2</v>
      </c>
      <c r="E55" s="35">
        <f t="array" ref="E55">MAX(IF('BA History'!B:B=A55, 'BA History'!C:C))</f>
        <v>2</v>
      </c>
      <c r="F55" s="34">
        <f>COUNTIFS('BA History'!B:B,A55,'BA History'!D:D, 1)</f>
        <v>0</v>
      </c>
      <c r="G55" s="2">
        <f>COUNTIFS('BA History'!B:B,A55,'BA History'!D:D, 0)</f>
        <v>1</v>
      </c>
      <c r="H55" s="75">
        <f>LOOKUP(2, 1/('BA History'!$B:$B=A55), 'BA History'!$AJ:$AJ)</f>
        <v>0</v>
      </c>
      <c r="I55" s="34">
        <f>SUMIFS('BA History'!F:F,'BA History'!B:B,A55)</f>
        <v>0</v>
      </c>
      <c r="J55" s="2">
        <f>SUMIFS('BA History'!E:E,'BA History'!B:B,A55)-I55</f>
        <v>3</v>
      </c>
      <c r="K55" s="75">
        <f>LOOKUP(2, 1/('BA History'!$B:$B=A55), 'BA History'!$AH:$AH)</f>
        <v>0</v>
      </c>
      <c r="L55" s="34">
        <f>SUMIFS('BA History'!H:H,'BA History'!B:B,A55)</f>
        <v>4</v>
      </c>
      <c r="M55" s="48">
        <v>9</v>
      </c>
      <c r="N55" s="89">
        <f>LOOKUP(2, 1/('BA History'!$B:$B=A55), 'BA History'!$AI:$AI)</f>
        <v>0.31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0</v>
      </c>
      <c r="AB55" s="2">
        <f>COUNTIFS('BA History'!$B:$B,$A$55,'BA History'!X:X, 1)</f>
        <v>0</v>
      </c>
      <c r="AC55" s="2">
        <f>COUNTIFS('BA History'!$B:$B,$A$55,'BA History'!Y:Y, 1)</f>
        <v>0</v>
      </c>
      <c r="AD55" s="2">
        <f>COUNTIFS('BA History'!$B:$B,$A$55,'BA History'!Z:Z, 1)</f>
        <v>0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</sheetData>
  <autoFilter ref="A1:AJ55" xr:uid="{DA548192-1F03-46EA-8AB8-115EB9A7CE5D}">
    <sortState xmlns:xlrd2="http://schemas.microsoft.com/office/spreadsheetml/2017/richdata2" ref="A2:AJ55">
      <sortCondition ref="A1:A55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750"/>
  <sheetViews>
    <sheetView tabSelected="1" workbookViewId="0">
      <pane xSplit="2" ySplit="1" topLeftCell="L727" activePane="bottomRight" state="frozen"/>
      <selection pane="topRight" activeCell="C1" sqref="C1"/>
      <selection pane="bottomLeft" activeCell="A2" sqref="A2"/>
      <selection pane="bottomRight" activeCell="N759" sqref="N759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160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J2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9" sqref="G29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 S2'!C:C,'BA History S2'!B:B,A2)</f>
        <v>24</v>
      </c>
      <c r="D2" s="66">
        <f>AVERAGEIFS('BA History S2'!C:C,'BA History S2'!B:B,A2)</f>
        <v>12</v>
      </c>
      <c r="E2" s="35">
        <f t="array" ref="E2">MAX(IF('BA History S2'!B:B=A2, 'BA History S2'!C:C))</f>
        <v>15</v>
      </c>
      <c r="F2" s="34">
        <f>COUNTIFS('BA History S2'!B:B,A2,'BA History S2'!D:D, 1)</f>
        <v>1</v>
      </c>
      <c r="G2" s="2">
        <f>COUNTIFS('BA History S2'!B:B,A2,'BA History S2'!D:D, 0)</f>
        <v>1</v>
      </c>
      <c r="H2" s="75">
        <f>LOOKUP(2, 1/('BA History S2'!$B:$B=A2), 'BA History S2'!$AJ:$AJ)</f>
        <v>0.5</v>
      </c>
      <c r="I2" s="34">
        <f>SUMIFS('BA History S2'!F:F,'BA History S2'!B:B,A2)</f>
        <v>3</v>
      </c>
      <c r="J2" s="2">
        <f>SUMIFS('BA History S2'!E:E,'BA History S2'!B:B,A2)-I2</f>
        <v>4</v>
      </c>
      <c r="K2" s="75">
        <f>LOOKUP(2, 1/('BA History S2'!$B:$B=A2), 'BA History S2'!$AH:$AH)</f>
        <v>0.375</v>
      </c>
      <c r="L2" s="34">
        <f>SUMIFS('BA History S2'!H:H,'BA History S2'!B:B,A2)</f>
        <v>15</v>
      </c>
      <c r="M2" s="2">
        <f>SUMIFS('BA History S2'!G:G,'BA History S2'!B:B,A2)-L2</f>
        <v>16</v>
      </c>
      <c r="N2" s="89">
        <f>LOOKUP(2, 1/('BA History S2'!$B:$B=A2), 'BA History S2'!$AI:$AI)</f>
        <v>0.45999999999999996</v>
      </c>
      <c r="O2" s="2">
        <f>COUNTIFS('BA History S2'!$B:$B,$A$2,'BA History S2'!K:K, 1)</f>
        <v>0</v>
      </c>
      <c r="P2" s="2">
        <f>COUNTIFS('BA History S2'!$B:$B,$A$2,'BA History S2'!L:L, 1)</f>
        <v>0</v>
      </c>
      <c r="Q2" s="2">
        <f>COUNTIFS('BA History S2'!$B:$B,$A$2,'BA History S2'!M:M, 1)</f>
        <v>1</v>
      </c>
      <c r="R2" s="2">
        <f>COUNTIFS('BA History S2'!$B:$B,$A$2,'BA History S2'!N:N, 1)</f>
        <v>0</v>
      </c>
      <c r="S2" s="2">
        <f>COUNTIFS('BA History S2'!$B:$B,$A$2,'BA History S2'!O:O, 1)</f>
        <v>0</v>
      </c>
      <c r="T2" s="2">
        <f>COUNTIFS('BA History S2'!$B:$B,$A$2,'BA History S2'!P:P, 1)</f>
        <v>0</v>
      </c>
      <c r="U2" s="2">
        <f>COUNTIFS('BA History S2'!$B:$B,$A$2,'BA History S2'!Q:Q, 1)</f>
        <v>0</v>
      </c>
      <c r="V2" s="2">
        <f>COUNTIFS('BA History S2'!$B:$B,$A$2,'BA History S2'!R:R, 1)</f>
        <v>0</v>
      </c>
      <c r="W2" s="2">
        <f>COUNTIFS('BA History S2'!$B:$B,$A$2,'BA History S2'!S:S, 1)</f>
        <v>0</v>
      </c>
      <c r="X2" s="2">
        <f>COUNTIFS('BA History S2'!$B:$B,$A$2,'BA History S2'!T:T, 1)</f>
        <v>0</v>
      </c>
      <c r="Y2" s="2">
        <f>COUNTIFS('BA History S2'!$B:$B,$A$2,'BA History S2'!U:U, 1)</f>
        <v>0</v>
      </c>
      <c r="Z2" s="2">
        <f>COUNTIFS('BA History S2'!$B:$B,$A$2,'BA History S2'!V:V, 1)</f>
        <v>0</v>
      </c>
      <c r="AA2" s="2">
        <f>COUNTIFS('BA History S2'!$B:$B,$A$2,'BA History S2'!W:W, 1)</f>
        <v>0</v>
      </c>
      <c r="AB2" s="2">
        <f>COUNTIFS('BA History S2'!$B:$B,$A$2,'BA History S2'!X:X, 1)</f>
        <v>0</v>
      </c>
      <c r="AC2" s="2">
        <f>COUNTIFS('BA History S2'!$B:$B,$A$2,'BA History S2'!Y:Y, 1)</f>
        <v>0</v>
      </c>
      <c r="AD2" s="2">
        <f>COUNTIFS('BA History S2'!$B:$B,$A$2,'BA History S2'!Z:Z, 1)</f>
        <v>0</v>
      </c>
      <c r="AE2" s="2">
        <f>COUNTIFS('BA History S2'!$B:$B,$A$2,'BA History S2'!AA:AA, 1)</f>
        <v>0</v>
      </c>
      <c r="AF2" s="2">
        <f>COUNTIFS('BA History S2'!$B:$B,$A$2,'BA History S2'!AB:AB, 1)</f>
        <v>1</v>
      </c>
      <c r="AG2" s="2">
        <f>COUNTIFS('BA History S2'!$B:$B,$A$2,'BA History S2'!AC:AC, 1)</f>
        <v>0</v>
      </c>
      <c r="AH2" s="2">
        <f>COUNTIFS('BA History S2'!$B:$B,$A$2,'BA History S2'!AD:AD, 1)</f>
        <v>1</v>
      </c>
      <c r="AI2" s="2">
        <f>COUNTIFS('BA History S2'!$B:$B,$A$2,'BA History S2'!AE:AE, 1)</f>
        <v>0</v>
      </c>
      <c r="AJ2" s="2">
        <f>COUNTIFS('BA History S2'!$B:$B,$A$2,'BA History S2'!AF:AF, 1)</f>
        <v>0</v>
      </c>
    </row>
    <row r="3" spans="1:36" x14ac:dyDescent="0.25">
      <c r="A3" s="2" t="s">
        <v>37</v>
      </c>
      <c r="B3" s="2" t="s">
        <v>79</v>
      </c>
      <c r="C3" s="34">
        <f>SUMIFS('BA History S2'!C:C,'BA History S2'!B:B,A3)</f>
        <v>14</v>
      </c>
      <c r="D3" s="66">
        <f>AVERAGEIFS('BA History S2'!C:C,'BA History S2'!B:B,A3)</f>
        <v>14</v>
      </c>
      <c r="E3" s="35">
        <f t="array" ref="E3">MAX(IF('BA History S2'!B:B=A3, 'BA History S2'!C:C))</f>
        <v>14</v>
      </c>
      <c r="F3" s="34">
        <f>COUNTIFS('BA History S2'!B:B,A3,'BA History S2'!D:D, 1)</f>
        <v>1</v>
      </c>
      <c r="G3" s="2">
        <f>COUNTIFS('BA History S2'!B:B,A3,'BA History S2'!D:D, 0)</f>
        <v>0</v>
      </c>
      <c r="H3" s="75">
        <f>LOOKUP(2, 1/('BA History S2'!$B:$B=A3), 'BA History S2'!$AJ:$AJ)</f>
        <v>1</v>
      </c>
      <c r="I3" s="34">
        <f>SUMIFS('BA History S2'!F:F,'BA History S2'!B:B,A3)</f>
        <v>3</v>
      </c>
      <c r="J3" s="2">
        <f>SUMIFS('BA History S2'!E:E,'BA History S2'!B:B,A3)-I3</f>
        <v>1</v>
      </c>
      <c r="K3" s="75">
        <f>LOOKUP(2, 1/('BA History S2'!$B:$B=A3), 'BA History S2'!$AH:$AH)</f>
        <v>0.75</v>
      </c>
      <c r="L3" s="34">
        <f>SUMIFS('BA History S2'!H:H,'BA History S2'!B:B,A3)</f>
        <v>10</v>
      </c>
      <c r="M3" s="2">
        <f>SUMIFS('BA History S2'!G:G,'BA History S2'!B:B,A3)-L3</f>
        <v>8</v>
      </c>
      <c r="N3" s="89">
        <f>LOOKUP(2, 1/('BA History S2'!$B:$B=A3), 'BA History S2'!$AI:$AI)</f>
        <v>0.56000000000000005</v>
      </c>
      <c r="O3" s="2">
        <f>COUNTIFS('BA History S2'!$B:$B,$A$3,'BA History S2'!K:K, 1)</f>
        <v>0</v>
      </c>
      <c r="P3" s="2">
        <f>COUNTIFS('BA History S2'!$B:$B,$A$3,'BA History S2'!L:L, 1)</f>
        <v>0</v>
      </c>
      <c r="Q3" s="2">
        <f>COUNTIFS('BA History S2'!$B:$B,$A$3,'BA History S2'!M:M, 1)</f>
        <v>1</v>
      </c>
      <c r="R3" s="2">
        <f>COUNTIFS('BA History S2'!$B:$B,$A$3,'BA History S2'!N:N, 1)</f>
        <v>0</v>
      </c>
      <c r="S3" s="2">
        <f>COUNTIFS('BA History S2'!$B:$B,$A$3,'BA History S2'!O:O, 1)</f>
        <v>0</v>
      </c>
      <c r="T3" s="2">
        <f>COUNTIFS('BA History S2'!$B:$B,$A$3,'BA History S2'!P:P, 1)</f>
        <v>0</v>
      </c>
      <c r="U3" s="2">
        <f>COUNTIFS('BA History S2'!$B:$B,$A$3,'BA History S2'!Q:Q, 1)</f>
        <v>1</v>
      </c>
      <c r="V3" s="2">
        <f>COUNTIFS('BA History S2'!$B:$B,$A$3,'BA History S2'!R:R, 1)</f>
        <v>0</v>
      </c>
      <c r="W3" s="2">
        <f>COUNTIFS('BA History S2'!$B:$B,$A$3,'BA History S2'!S:S, 1)</f>
        <v>0</v>
      </c>
      <c r="X3" s="2">
        <f>COUNTIFS('BA History S2'!$B:$B,$A$3,'BA History S2'!T:T, 1)</f>
        <v>0</v>
      </c>
      <c r="Y3" s="2">
        <f>COUNTIFS('BA History S2'!$B:$B,$A$3,'BA History S2'!U:U, 1)</f>
        <v>0</v>
      </c>
      <c r="Z3" s="2">
        <f>COUNTIFS('BA History S2'!$B:$B,$A$3,'BA History S2'!V:V, 1)</f>
        <v>0</v>
      </c>
      <c r="AA3" s="2">
        <f>COUNTIFS('BA History S2'!$B:$B,$A$3,'BA History S2'!W:W, 1)</f>
        <v>0</v>
      </c>
      <c r="AB3" s="2">
        <f>COUNTIFS('BA History S2'!$B:$B,$A$3,'BA History S2'!X:X, 1)</f>
        <v>0</v>
      </c>
      <c r="AC3" s="2">
        <f>COUNTIFS('BA History S2'!$B:$B,$A$3,'BA History S2'!Y:Y, 1)</f>
        <v>0</v>
      </c>
      <c r="AD3" s="2">
        <f>COUNTIFS('BA History S2'!$B:$B,$A$3,'BA History S2'!Z:Z, 1)</f>
        <v>1</v>
      </c>
      <c r="AE3" s="2">
        <f>COUNTIFS('BA History S2'!$B:$B,$A$3,'BA History S2'!AA:AA, 1)</f>
        <v>0</v>
      </c>
      <c r="AF3" s="2">
        <f>COUNTIFS('BA History S2'!$B:$B,$A$3,'BA History S2'!AB:AB, 1)</f>
        <v>0</v>
      </c>
      <c r="AG3" s="2">
        <f>COUNTIFS('BA History S2'!$B:$B,$A$3,'BA History S2'!AC:AC, 1)</f>
        <v>0</v>
      </c>
      <c r="AH3" s="2">
        <f>COUNTIFS('BA History S2'!$B:$B,$A$3,'BA History S2'!AD:AD, 1)</f>
        <v>0</v>
      </c>
      <c r="AI3" s="2">
        <f>COUNTIFS('BA History S2'!$B:$B,$A$3,'BA History S2'!AE:AE, 1)</f>
        <v>0</v>
      </c>
      <c r="AJ3" s="2">
        <f>COUNTIFS('BA History S2'!$B:$B,$A$3,'BA History S2'!AF:AF, 1)</f>
        <v>0</v>
      </c>
    </row>
    <row r="4" spans="1:36" x14ac:dyDescent="0.25">
      <c r="A4" s="2" t="s">
        <v>71</v>
      </c>
      <c r="B4" s="2" t="s">
        <v>79</v>
      </c>
      <c r="C4" s="34">
        <f>SUMIFS('BA History S2'!C:C,'BA History S2'!B:B,A4)</f>
        <v>25</v>
      </c>
      <c r="D4" s="66">
        <f>AVERAGEIFS('BA History S2'!C:C,'BA History S2'!B:B,A4)</f>
        <v>8.3333333333333339</v>
      </c>
      <c r="E4" s="35">
        <f t="array" ref="E4">MAX(IF('BA History S2'!B:B=A4, 'BA History S2'!C:C))</f>
        <v>9</v>
      </c>
      <c r="F4" s="34">
        <f>COUNTIFS('BA History S2'!B:B,A4,'BA History S2'!D:D, 1)</f>
        <v>0</v>
      </c>
      <c r="G4" s="2">
        <f>COUNTIFS('BA History S2'!B:B,A4,'BA History S2'!D:D, 0)</f>
        <v>3</v>
      </c>
      <c r="H4" s="75">
        <f>LOOKUP(2, 1/('BA History S2'!$B:$B=A4), 'BA History S2'!$AJ:$AJ)</f>
        <v>0</v>
      </c>
      <c r="I4" s="34">
        <f>SUMIFS('BA History S2'!F:F,'BA History S2'!B:B,A4)</f>
        <v>4</v>
      </c>
      <c r="J4" s="2">
        <f>SUMIFS('BA History S2'!E:E,'BA History S2'!B:B,A4)-I4</f>
        <v>9</v>
      </c>
      <c r="K4" s="75">
        <f>LOOKUP(2, 1/('BA History S2'!$B:$B=A4), 'BA History S2'!$AH:$AH)</f>
        <v>0.3</v>
      </c>
      <c r="L4" s="34">
        <f>SUMIFS('BA History S2'!H:H,'BA History S2'!B:B,A4)</f>
        <v>23</v>
      </c>
      <c r="M4" s="2">
        <f>SUMIFS('BA History S2'!G:G,'BA History S2'!B:B,A4)-L4</f>
        <v>33</v>
      </c>
      <c r="N4" s="89">
        <f>LOOKUP(2, 1/('BA History S2'!$B:$B=A4), 'BA History S2'!$AI:$AI)</f>
        <v>0.41</v>
      </c>
      <c r="O4" s="2">
        <f>COUNTIFS('BA History S2'!$B:$B,$A$4,'BA History S2'!K:K, 1)</f>
        <v>1</v>
      </c>
      <c r="P4" s="2">
        <f>COUNTIFS('BA History S2'!$B:$B,$A$4,'BA History S2'!L:L, 1)</f>
        <v>0</v>
      </c>
      <c r="Q4" s="2">
        <f>COUNTIFS('BA History S2'!$B:$B,$A$4,'BA History S2'!M:M, 1)</f>
        <v>0</v>
      </c>
      <c r="R4" s="2">
        <f>COUNTIFS('BA History S2'!$B:$B,$A$4,'BA History S2'!N:N, 1)</f>
        <v>0</v>
      </c>
      <c r="S4" s="2">
        <f>COUNTIFS('BA History S2'!$B:$B,$A$4,'BA History S2'!O:O, 1)</f>
        <v>0</v>
      </c>
      <c r="T4" s="2">
        <f>COUNTIFS('BA History S2'!$B:$B,$A$4,'BA History S2'!P:P, 1)</f>
        <v>0</v>
      </c>
      <c r="U4" s="2">
        <f>COUNTIFS('BA History S2'!$B:$B,$A$4,'BA History S2'!Q:Q, 1)</f>
        <v>0</v>
      </c>
      <c r="V4" s="2">
        <f>COUNTIFS('BA History S2'!$B:$B,$A$4,'BA History S2'!R:R, 1)</f>
        <v>0</v>
      </c>
      <c r="W4" s="2">
        <f>COUNTIFS('BA History S2'!$B:$B,$A$4,'BA History S2'!S:S, 1)</f>
        <v>0</v>
      </c>
      <c r="X4" s="2">
        <f>COUNTIFS('BA History S2'!$B:$B,$A$4,'BA History S2'!T:T, 1)</f>
        <v>0</v>
      </c>
      <c r="Y4" s="2">
        <f>COUNTIFS('BA History S2'!$B:$B,$A$4,'BA History S2'!U:U, 1)</f>
        <v>0</v>
      </c>
      <c r="Z4" s="2">
        <f>COUNTIFS('BA History S2'!$B:$B,$A$4,'BA History S2'!V:V, 1)</f>
        <v>0</v>
      </c>
      <c r="AA4" s="2">
        <f>COUNTIFS('BA History S2'!$B:$B,$A$4,'BA History S2'!W:W, 1)</f>
        <v>1</v>
      </c>
      <c r="AB4" s="2">
        <f>COUNTIFS('BA History S2'!$B:$B,$A$4,'BA History S2'!X:X, 1)</f>
        <v>0</v>
      </c>
      <c r="AC4" s="2">
        <f>COUNTIFS('BA History S2'!$B:$B,$A$4,'BA History S2'!Y:Y, 1)</f>
        <v>1</v>
      </c>
      <c r="AD4" s="2">
        <f>COUNTIFS('BA History S2'!$B:$B,$A$4,'BA History S2'!Z:Z, 1)</f>
        <v>0</v>
      </c>
      <c r="AE4" s="2">
        <f>COUNTIFS('BA History S2'!$B:$B,$A$4,'BA History S2'!AA:AA, 1)</f>
        <v>0</v>
      </c>
      <c r="AF4" s="2">
        <f>COUNTIFS('BA History S2'!$B:$B,$A$4,'BA History S2'!AB:AB, 1)</f>
        <v>1</v>
      </c>
      <c r="AG4" s="2">
        <f>COUNTIFS('BA History S2'!$B:$B,$A$4,'BA History S2'!AC:AC, 1)</f>
        <v>0</v>
      </c>
      <c r="AH4" s="2">
        <f>COUNTIFS('BA History S2'!$B:$B,$A$4,'BA History S2'!AD:AD, 1)</f>
        <v>0</v>
      </c>
      <c r="AI4" s="2">
        <f>COUNTIFS('BA History S2'!$B:$B,$A$4,'BA History S2'!AE:AE, 1)</f>
        <v>0</v>
      </c>
      <c r="AJ4" s="2">
        <f>COUNTIFS('BA History S2'!$B:$B,$A$4,'BA History S2'!AF:AF, 1)</f>
        <v>0</v>
      </c>
    </row>
    <row r="5" spans="1:36" x14ac:dyDescent="0.25">
      <c r="A5" s="2" t="s">
        <v>35</v>
      </c>
      <c r="B5" s="2" t="s">
        <v>79</v>
      </c>
      <c r="C5" s="34">
        <f>SUMIFS('BA History S2'!C:C,'BA History S2'!B:B,A5)</f>
        <v>3</v>
      </c>
      <c r="D5" s="66">
        <f>AVERAGEIFS('BA History S2'!C:C,'BA History S2'!B:B,A5)</f>
        <v>3</v>
      </c>
      <c r="E5" s="35">
        <f t="array" ref="E5">MAX(IF('BA History S2'!B:B=A5, 'BA History S2'!C:C))</f>
        <v>3</v>
      </c>
      <c r="F5" s="34">
        <f>COUNTIFS('BA History S2'!B:B,A5,'BA History S2'!D:D, 1)</f>
        <v>0</v>
      </c>
      <c r="G5" s="2">
        <f>COUNTIFS('BA History S2'!B:B,A5,'BA History S2'!D:D, 0)</f>
        <v>1</v>
      </c>
      <c r="H5" s="75">
        <f>LOOKUP(2, 1/('BA History S2'!$B:$B=A5), 'BA History S2'!$AJ:$AJ)</f>
        <v>0</v>
      </c>
      <c r="I5" s="34">
        <f>SUMIFS('BA History S2'!F:F,'BA History S2'!B:B,A5)</f>
        <v>1</v>
      </c>
      <c r="J5" s="2">
        <f>SUMIFS('BA History S2'!E:E,'BA History S2'!B:B,A5)-I5</f>
        <v>3</v>
      </c>
      <c r="K5" s="75">
        <f>LOOKUP(2, 1/('BA History S2'!$B:$B=A5), 'BA History S2'!$AH:$AH)</f>
        <v>0.25</v>
      </c>
      <c r="L5" s="34">
        <f>SUMIFS('BA History S2'!H:H,'BA History S2'!B:B,A5)</f>
        <v>7</v>
      </c>
      <c r="M5" s="2">
        <f>SUMIFS('BA History S2'!G:G,'BA History S2'!B:B,A5)-L5</f>
        <v>11</v>
      </c>
      <c r="N5" s="89">
        <f>LOOKUP(2, 1/('BA History S2'!$B:$B=A5), 'BA History S2'!$AI:$AI)</f>
        <v>0.39</v>
      </c>
      <c r="O5" s="2">
        <f>COUNTIFS('BA History S2'!$B:$B,$A$5,'BA History S2'!K:K, 1)</f>
        <v>0</v>
      </c>
      <c r="P5" s="2">
        <f>COUNTIFS('BA History S2'!$B:$B,$A$5,'BA History S2'!L:L, 1)</f>
        <v>0</v>
      </c>
      <c r="Q5" s="2">
        <f>COUNTIFS('BA History S2'!$B:$B,$A$5,'BA History S2'!M:M, 1)</f>
        <v>0</v>
      </c>
      <c r="R5" s="2">
        <f>COUNTIFS('BA History S2'!$B:$B,$A$5,'BA History S2'!N:N, 1)</f>
        <v>0</v>
      </c>
      <c r="S5" s="2">
        <f>COUNTIFS('BA History S2'!$B:$B,$A$5,'BA History S2'!O:O, 1)</f>
        <v>0</v>
      </c>
      <c r="T5" s="2">
        <f>COUNTIFS('BA History S2'!$B:$B,$A$5,'BA History S2'!P:P, 1)</f>
        <v>0</v>
      </c>
      <c r="U5" s="2">
        <f>COUNTIFS('BA History S2'!$B:$B,$A$5,'BA History S2'!Q:Q, 1)</f>
        <v>0</v>
      </c>
      <c r="V5" s="2">
        <f>COUNTIFS('BA History S2'!$B:$B,$A$5,'BA History S2'!R:R, 1)</f>
        <v>0</v>
      </c>
      <c r="W5" s="2">
        <f>COUNTIFS('BA History S2'!$B:$B,$A$5,'BA History S2'!S:S, 1)</f>
        <v>0</v>
      </c>
      <c r="X5" s="2">
        <f>COUNTIFS('BA History S2'!$B:$B,$A$5,'BA History S2'!T:T, 1)</f>
        <v>0</v>
      </c>
      <c r="Y5" s="2">
        <f>COUNTIFS('BA History S2'!$B:$B,$A$5,'BA History S2'!U:U, 1)</f>
        <v>0</v>
      </c>
      <c r="Z5" s="2">
        <f>COUNTIFS('BA History S2'!$B:$B,$A$5,'BA History S2'!V:V, 1)</f>
        <v>0</v>
      </c>
      <c r="AA5" s="2">
        <f>COUNTIFS('BA History S2'!$B:$B,$A$5,'BA History S2'!W:W, 1)</f>
        <v>1</v>
      </c>
      <c r="AB5" s="2">
        <f>COUNTIFS('BA History S2'!$B:$B,$A$5,'BA History S2'!X:X, 1)</f>
        <v>0</v>
      </c>
      <c r="AC5" s="2">
        <f>COUNTIFS('BA History S2'!$B:$B,$A$5,'BA History S2'!Y:Y, 1)</f>
        <v>0</v>
      </c>
      <c r="AD5" s="2">
        <f>COUNTIFS('BA History S2'!$B:$B,$A$5,'BA History S2'!Z:Z, 1)</f>
        <v>0</v>
      </c>
      <c r="AE5" s="2">
        <f>COUNTIFS('BA History S2'!$B:$B,$A$5,'BA History S2'!AA:AA, 1)</f>
        <v>0</v>
      </c>
      <c r="AF5" s="2">
        <f>COUNTIFS('BA History S2'!$B:$B,$A$5,'BA History S2'!AB:AB, 1)</f>
        <v>0</v>
      </c>
      <c r="AG5" s="2">
        <f>COUNTIFS('BA History S2'!$B:$B,$A$5,'BA History S2'!AC:AC, 1)</f>
        <v>0</v>
      </c>
      <c r="AH5" s="2">
        <f>COUNTIFS('BA History S2'!$B:$B,$A$5,'BA History S2'!AD:AD, 1)</f>
        <v>0</v>
      </c>
      <c r="AI5" s="2">
        <f>COUNTIFS('BA History S2'!$B:$B,$A$5,'BA History S2'!AE:AE, 1)</f>
        <v>0</v>
      </c>
      <c r="AJ5" s="2">
        <f>COUNTIFS('BA History S2'!$B:$B,$A$5,'BA History S2'!AF:AF, 1)</f>
        <v>0</v>
      </c>
    </row>
    <row r="6" spans="1:36" x14ac:dyDescent="0.25">
      <c r="A6" s="2" t="s">
        <v>42</v>
      </c>
      <c r="B6" s="2" t="s">
        <v>79</v>
      </c>
      <c r="C6" s="34">
        <f>SUMIFS('BA History S2'!C:C,'BA History S2'!B:B,A6)</f>
        <v>46</v>
      </c>
      <c r="D6" s="66">
        <f>AVERAGEIFS('BA History S2'!C:C,'BA History S2'!B:B,A6)</f>
        <v>23</v>
      </c>
      <c r="E6" s="35">
        <f t="array" ref="E6">MAX(IF('BA History S2'!B:B=A6, 'BA History S2'!C:C))</f>
        <v>25</v>
      </c>
      <c r="F6" s="34">
        <f>COUNTIFS('BA History S2'!B:B,A6,'BA History S2'!D:D, 1)</f>
        <v>0</v>
      </c>
      <c r="G6" s="2">
        <f>COUNTIFS('BA History S2'!B:B,A6,'BA History S2'!D:D, 0)</f>
        <v>2</v>
      </c>
      <c r="H6" s="75">
        <f>LOOKUP(2, 1/('BA History S2'!$B:$B=A6), 'BA History S2'!$AJ:$AJ)</f>
        <v>0</v>
      </c>
      <c r="I6" s="34">
        <f>SUMIFS('BA History S2'!F:F,'BA History S2'!B:B,A6)</f>
        <v>3</v>
      </c>
      <c r="J6" s="2">
        <f>SUMIFS('BA History S2'!E:E,'BA History S2'!B:B,A6)-I6</f>
        <v>6</v>
      </c>
      <c r="K6" s="75">
        <f>LOOKUP(2, 1/('BA History S2'!$B:$B=A6), 'BA History S2'!$AH:$AH)</f>
        <v>0.32500000000000001</v>
      </c>
      <c r="L6" s="34">
        <f>SUMIFS('BA History S2'!H:H,'BA History S2'!B:B,A6)</f>
        <v>16</v>
      </c>
      <c r="M6" s="2">
        <f>SUMIFS('BA History S2'!G:G,'BA History S2'!B:B,A6)-L6</f>
        <v>22</v>
      </c>
      <c r="N6" s="89">
        <f>LOOKUP(2, 1/('BA History S2'!$B:$B=A6), 'BA History S2'!$AI:$AI)</f>
        <v>0.42000000000000004</v>
      </c>
      <c r="O6" s="2">
        <f>COUNTIFS('BA History S2'!$B:$B,$A$6,'BA History S2'!K:K, 1)</f>
        <v>1</v>
      </c>
      <c r="P6" s="2">
        <f>COUNTIFS('BA History S2'!$B:$B,$A$6,'BA History S2'!L:L, 1)</f>
        <v>0</v>
      </c>
      <c r="Q6" s="2">
        <f>COUNTIFS('BA History S2'!$B:$B,$A$6,'BA History S2'!M:M, 1)</f>
        <v>0</v>
      </c>
      <c r="R6" s="2">
        <f>COUNTIFS('BA History S2'!$B:$B,$A$6,'BA History S2'!N:N, 1)</f>
        <v>0</v>
      </c>
      <c r="S6" s="2">
        <f>COUNTIFS('BA History S2'!$B:$B,$A$6,'BA History S2'!O:O, 1)</f>
        <v>0</v>
      </c>
      <c r="T6" s="2">
        <f>COUNTIFS('BA History S2'!$B:$B,$A$6,'BA History S2'!P:P, 1)</f>
        <v>0</v>
      </c>
      <c r="U6" s="2">
        <f>COUNTIFS('BA History S2'!$B:$B,$A$6,'BA History S2'!Q:Q, 1)</f>
        <v>0</v>
      </c>
      <c r="V6" s="2">
        <f>COUNTIFS('BA History S2'!$B:$B,$A$6,'BA History S2'!R:R, 1)</f>
        <v>0</v>
      </c>
      <c r="W6" s="2">
        <f>COUNTIFS('BA History S2'!$B:$B,$A$6,'BA History S2'!S:S, 1)</f>
        <v>0</v>
      </c>
      <c r="X6" s="2">
        <f>COUNTIFS('BA History S2'!$B:$B,$A$6,'BA History S2'!T:T, 1)</f>
        <v>0</v>
      </c>
      <c r="Y6" s="2">
        <f>COUNTIFS('BA History S2'!$B:$B,$A$6,'BA History S2'!U:U, 1)</f>
        <v>0</v>
      </c>
      <c r="Z6" s="2">
        <f>COUNTIFS('BA History S2'!$B:$B,$A$6,'BA History S2'!V:V, 1)</f>
        <v>0</v>
      </c>
      <c r="AA6" s="2">
        <f>COUNTIFS('BA History S2'!$B:$B,$A$6,'BA History S2'!W:W, 1)</f>
        <v>0</v>
      </c>
      <c r="AB6" s="2">
        <f>COUNTIFS('BA History S2'!$B:$B,$A$6,'BA History S2'!X:X, 1)</f>
        <v>0</v>
      </c>
      <c r="AC6" s="2">
        <f>COUNTIFS('BA History S2'!$B:$B,$A$6,'BA History S2'!Y:Y, 1)</f>
        <v>1</v>
      </c>
      <c r="AD6" s="2">
        <f>COUNTIFS('BA History S2'!$B:$B,$A$6,'BA History S2'!Z:Z, 1)</f>
        <v>0</v>
      </c>
      <c r="AE6" s="2">
        <f>COUNTIFS('BA History S2'!$B:$B,$A$6,'BA History S2'!AA:AA, 1)</f>
        <v>0</v>
      </c>
      <c r="AF6" s="2">
        <f>COUNTIFS('BA History S2'!$B:$B,$A$6,'BA History S2'!AB:AB, 1)</f>
        <v>1</v>
      </c>
      <c r="AG6" s="2">
        <f>COUNTIFS('BA History S2'!$B:$B,$A$6,'BA History S2'!AC:AC, 1)</f>
        <v>0</v>
      </c>
      <c r="AH6" s="2">
        <f>COUNTIFS('BA History S2'!$B:$B,$A$6,'BA History S2'!AD:AD, 1)</f>
        <v>0</v>
      </c>
      <c r="AI6" s="2">
        <f>COUNTIFS('BA History S2'!$B:$B,$A$6,'BA History S2'!AE:AE, 1)</f>
        <v>0</v>
      </c>
      <c r="AJ6" s="2">
        <f>COUNTIFS('BA History S2'!$B:$B,$A$6,'BA History S2'!AF:AF, 1)</f>
        <v>0</v>
      </c>
    </row>
    <row r="7" spans="1:36" x14ac:dyDescent="0.25">
      <c r="A7" s="2" t="s">
        <v>50</v>
      </c>
      <c r="B7" s="2" t="s">
        <v>79</v>
      </c>
      <c r="C7" s="34">
        <f>SUMIFS('BA History S2'!C:C,'BA History S2'!B:B,A7)</f>
        <v>14</v>
      </c>
      <c r="D7" s="66">
        <f>AVERAGEIFS('BA History S2'!C:C,'BA History S2'!B:B,A7)</f>
        <v>14</v>
      </c>
      <c r="E7" s="35">
        <f t="array" ref="E7">MAX(IF('BA History S2'!B:B=A7, 'BA History S2'!C:C))</f>
        <v>14</v>
      </c>
      <c r="F7" s="34">
        <f>COUNTIFS('BA History S2'!B:B,A7,'BA History S2'!D:D, 1)</f>
        <v>0</v>
      </c>
      <c r="G7" s="2">
        <f>COUNTIFS('BA History S2'!B:B,A7,'BA History S2'!D:D, 0)</f>
        <v>1</v>
      </c>
      <c r="H7" s="75">
        <f>LOOKUP(2, 1/('BA History S2'!$B:$B=A7), 'BA History S2'!$AJ:$AJ)</f>
        <v>0</v>
      </c>
      <c r="I7" s="34">
        <f>SUMIFS('BA History S2'!F:F,'BA History S2'!B:B,A7)</f>
        <v>1</v>
      </c>
      <c r="J7" s="2">
        <f>SUMIFS('BA History S2'!E:E,'BA History S2'!B:B,A7)-I7</f>
        <v>3</v>
      </c>
      <c r="K7" s="75">
        <f>LOOKUP(2, 1/('BA History S2'!$B:$B=A7), 'BA History S2'!$AH:$AH)</f>
        <v>0.25</v>
      </c>
      <c r="L7" s="34">
        <f>SUMIFS('BA History S2'!H:H,'BA History S2'!B:B,A7)</f>
        <v>7</v>
      </c>
      <c r="M7" s="2">
        <f>SUMIFS('BA History S2'!G:G,'BA History S2'!B:B,A7)-L7</f>
        <v>11</v>
      </c>
      <c r="N7" s="89">
        <f>LOOKUP(2, 1/('BA History S2'!$B:$B=A7), 'BA History S2'!$AI:$AI)</f>
        <v>0.39</v>
      </c>
      <c r="O7" s="2">
        <f>COUNTIFS('BA History S2'!$B:$B,$A$7,'BA History S2'!K:K, 1)</f>
        <v>0</v>
      </c>
      <c r="P7" s="2">
        <f>COUNTIFS('BA History S2'!$B:$B,$A$7,'BA History S2'!L:L, 1)</f>
        <v>0</v>
      </c>
      <c r="Q7" s="2">
        <f>COUNTIFS('BA History S2'!$B:$B,$A$7,'BA History S2'!M:M, 1)</f>
        <v>0</v>
      </c>
      <c r="R7" s="2">
        <f>COUNTIFS('BA History S2'!$B:$B,$A$7,'BA History S2'!N:N, 1)</f>
        <v>0</v>
      </c>
      <c r="S7" s="2">
        <f>COUNTIFS('BA History S2'!$B:$B,$A$7,'BA History S2'!O:O, 1)</f>
        <v>0</v>
      </c>
      <c r="T7" s="2">
        <f>COUNTIFS('BA History S2'!$B:$B,$A$7,'BA History S2'!P:P, 1)</f>
        <v>0</v>
      </c>
      <c r="U7" s="2">
        <f>COUNTIFS('BA History S2'!$B:$B,$A$7,'BA History S2'!Q:Q, 1)</f>
        <v>0</v>
      </c>
      <c r="V7" s="2">
        <f>COUNTIFS('BA History S2'!$B:$B,$A$7,'BA History S2'!R:R, 1)</f>
        <v>0</v>
      </c>
      <c r="W7" s="2">
        <f>COUNTIFS('BA History S2'!$B:$B,$A$7,'BA History S2'!S:S, 1)</f>
        <v>0</v>
      </c>
      <c r="X7" s="2">
        <f>COUNTIFS('BA History S2'!$B:$B,$A$7,'BA History S2'!T:T, 1)</f>
        <v>0</v>
      </c>
      <c r="Y7" s="2">
        <f>COUNTIFS('BA History S2'!$B:$B,$A$7,'BA History S2'!U:U, 1)</f>
        <v>0</v>
      </c>
      <c r="Z7" s="2">
        <f>COUNTIFS('BA History S2'!$B:$B,$A$7,'BA History S2'!V:V, 1)</f>
        <v>0</v>
      </c>
      <c r="AA7" s="2">
        <f>COUNTIFS('BA History S2'!$B:$B,$A$7,'BA History S2'!W:W, 1)</f>
        <v>1</v>
      </c>
      <c r="AB7" s="2">
        <f>COUNTIFS('BA History S2'!$B:$B,$A$7,'BA History S2'!X:X, 1)</f>
        <v>0</v>
      </c>
      <c r="AC7" s="2">
        <f>COUNTIFS('BA History S2'!$B:$B,$A$7,'BA History S2'!Y:Y, 1)</f>
        <v>0</v>
      </c>
      <c r="AD7" s="2">
        <f>COUNTIFS('BA History S2'!$B:$B,$A$7,'BA History S2'!Z:Z, 1)</f>
        <v>0</v>
      </c>
      <c r="AE7" s="2">
        <f>COUNTIFS('BA History S2'!$B:$B,$A$7,'BA History S2'!AA:AA, 1)</f>
        <v>0</v>
      </c>
      <c r="AF7" s="2">
        <f>COUNTIFS('BA History S2'!$B:$B,$A$7,'BA History S2'!AB:AB, 1)</f>
        <v>0</v>
      </c>
      <c r="AG7" s="2">
        <f>COUNTIFS('BA History S2'!$B:$B,$A$7,'BA History S2'!AC:AC, 1)</f>
        <v>0</v>
      </c>
      <c r="AH7" s="2">
        <f>COUNTIFS('BA History S2'!$B:$B,$A$7,'BA History S2'!AD:AD, 1)</f>
        <v>0</v>
      </c>
      <c r="AI7" s="2">
        <f>COUNTIFS('BA History S2'!$B:$B,$A$7,'BA History S2'!AE:AE, 1)</f>
        <v>0</v>
      </c>
      <c r="AJ7" s="2">
        <f>COUNTIFS('BA History S2'!$B:$B,$A$7,'BA History S2'!AF:AF, 1)</f>
        <v>0</v>
      </c>
    </row>
    <row r="8" spans="1:36" x14ac:dyDescent="0.25">
      <c r="A8" s="2" t="s">
        <v>44</v>
      </c>
      <c r="B8" s="2" t="s">
        <v>79</v>
      </c>
      <c r="C8" s="34">
        <f>SUMIFS('BA History S2'!C:C,'BA History S2'!B:B,A8)</f>
        <v>55</v>
      </c>
      <c r="D8" s="66">
        <f>AVERAGEIFS('BA History S2'!C:C,'BA History S2'!B:B,A8)</f>
        <v>18.333333333333332</v>
      </c>
      <c r="E8" s="35">
        <f t="array" ref="E8">MAX(IF('BA History S2'!B:B=A8, 'BA History S2'!C:C))</f>
        <v>20</v>
      </c>
      <c r="F8" s="34">
        <f>COUNTIFS('BA History S2'!B:B,A8,'BA History S2'!D:D, 1)</f>
        <v>2</v>
      </c>
      <c r="G8" s="2">
        <f>COUNTIFS('BA History S2'!B:B,A8,'BA History S2'!D:D, 0)</f>
        <v>1</v>
      </c>
      <c r="H8" s="75">
        <f>LOOKUP(2, 1/('BA History S2'!$B:$B=A8), 'BA History S2'!$AJ:$AJ)</f>
        <v>0.66666666666666663</v>
      </c>
      <c r="I8" s="34">
        <f>SUMIFS('BA History S2'!F:F,'BA History S2'!B:B,A8)</f>
        <v>7</v>
      </c>
      <c r="J8" s="2">
        <f>SUMIFS('BA History S2'!E:E,'BA History S2'!B:B,A8)-I8</f>
        <v>6</v>
      </c>
      <c r="K8" s="75">
        <f>LOOKUP(2, 1/('BA History S2'!$B:$B=A8), 'BA History S2'!$AH:$AH)</f>
        <v>0.53333333333333333</v>
      </c>
      <c r="L8" s="34">
        <f>SUMIFS('BA History S2'!H:H,'BA History S2'!B:B,A8)</f>
        <v>29</v>
      </c>
      <c r="M8" s="2">
        <f>SUMIFS('BA History S2'!G:G,'BA History S2'!B:B,A8)-L8</f>
        <v>27</v>
      </c>
      <c r="N8" s="89">
        <f>LOOKUP(2, 1/('BA History S2'!$B:$B=A8), 'BA History S2'!$AI:$AI)</f>
        <v>0.51666666666666672</v>
      </c>
      <c r="O8" s="2">
        <f>COUNTIFS('BA History S2'!$B:$B,$A$8,'BA History S2'!K:K, 1)</f>
        <v>0</v>
      </c>
      <c r="P8" s="2">
        <f>COUNTIFS('BA History S2'!$B:$B,$A$8,'BA History S2'!L:L, 1)</f>
        <v>1</v>
      </c>
      <c r="Q8" s="2">
        <f>COUNTIFS('BA History S2'!$B:$B,$A$8,'BA History S2'!M:M, 1)</f>
        <v>1</v>
      </c>
      <c r="R8" s="2">
        <f>COUNTIFS('BA History S2'!$B:$B,$A$8,'BA History S2'!N:N, 1)</f>
        <v>1</v>
      </c>
      <c r="S8" s="2">
        <f>COUNTIFS('BA History S2'!$B:$B,$A$8,'BA History S2'!O:O, 1)</f>
        <v>0</v>
      </c>
      <c r="T8" s="2">
        <f>COUNTIFS('BA History S2'!$B:$B,$A$8,'BA History S2'!P:P, 1)</f>
        <v>0</v>
      </c>
      <c r="U8" s="2">
        <f>COUNTIFS('BA History S2'!$B:$B,$A$8,'BA History S2'!Q:Q, 1)</f>
        <v>1</v>
      </c>
      <c r="V8" s="2">
        <f>COUNTIFS('BA History S2'!$B:$B,$A$8,'BA History S2'!R:R, 1)</f>
        <v>0</v>
      </c>
      <c r="W8" s="2">
        <f>COUNTIFS('BA History S2'!$B:$B,$A$8,'BA History S2'!S:S, 1)</f>
        <v>0</v>
      </c>
      <c r="X8" s="2">
        <f>COUNTIFS('BA History S2'!$B:$B,$A$8,'BA History S2'!T:T, 1)</f>
        <v>0</v>
      </c>
      <c r="Y8" s="2">
        <f>COUNTIFS('BA History S2'!$B:$B,$A$8,'BA History S2'!U:U, 1)</f>
        <v>0</v>
      </c>
      <c r="Z8" s="2">
        <f>COUNTIFS('BA History S2'!$B:$B,$A$8,'BA History S2'!V:V, 1)</f>
        <v>0</v>
      </c>
      <c r="AA8" s="2">
        <f>COUNTIFS('BA History S2'!$B:$B,$A$8,'BA History S2'!W:W, 1)</f>
        <v>1</v>
      </c>
      <c r="AB8" s="2">
        <f>COUNTIFS('BA History S2'!$B:$B,$A$8,'BA History S2'!X:X, 1)</f>
        <v>0</v>
      </c>
      <c r="AC8" s="2">
        <f>COUNTIFS('BA History S2'!$B:$B,$A$8,'BA History S2'!Y:Y, 1)</f>
        <v>0</v>
      </c>
      <c r="AD8" s="2">
        <f>COUNTIFS('BA History S2'!$B:$B,$A$8,'BA History S2'!Z:Z, 1)</f>
        <v>1</v>
      </c>
      <c r="AE8" s="2">
        <f>COUNTIFS('BA History S2'!$B:$B,$A$8,'BA History S2'!AA:AA, 1)</f>
        <v>0</v>
      </c>
      <c r="AF8" s="2">
        <f>COUNTIFS('BA History S2'!$B:$B,$A$8,'BA History S2'!AB:AB, 1)</f>
        <v>0</v>
      </c>
      <c r="AG8" s="2">
        <f>COUNTIFS('BA History S2'!$B:$B,$A$8,'BA History S2'!AC:AC, 1)</f>
        <v>1</v>
      </c>
      <c r="AH8" s="2">
        <f>COUNTIFS('BA History S2'!$B:$B,$A$8,'BA History S2'!AD:AD, 1)</f>
        <v>0</v>
      </c>
      <c r="AI8" s="2">
        <f>COUNTIFS('BA History S2'!$B:$B,$A$8,'BA History S2'!AE:AE, 1)</f>
        <v>0</v>
      </c>
      <c r="AJ8" s="2">
        <f>COUNTIFS('BA History S2'!$B:$B,$A$8,'BA History S2'!AF:AF, 1)</f>
        <v>0</v>
      </c>
    </row>
    <row r="9" spans="1:36" ht="15.75" x14ac:dyDescent="0.25">
      <c r="A9" s="2" t="s">
        <v>1</v>
      </c>
      <c r="B9" s="80" t="s">
        <v>60</v>
      </c>
      <c r="C9" s="34">
        <f>SUMIFS('BA History S2'!C:C,'BA History S2'!B:B,A9)</f>
        <v>68</v>
      </c>
      <c r="D9" s="66">
        <f>AVERAGEIFS('BA History S2'!C:C,'BA History S2'!B:B,A9)</f>
        <v>22.666666666666668</v>
      </c>
      <c r="E9" s="35">
        <f t="array" ref="E9">MAX(IF('BA History S2'!B:B=A9, 'BA History S2'!C:C))</f>
        <v>24</v>
      </c>
      <c r="F9" s="34">
        <f>COUNTIFS('BA History S2'!B:B,A9,'BA History S2'!D:D, 1)</f>
        <v>0</v>
      </c>
      <c r="G9" s="2">
        <f>COUNTIFS('BA History S2'!B:B,A9,'BA History S2'!D:D, 0)</f>
        <v>3</v>
      </c>
      <c r="H9" s="75">
        <f>LOOKUP(2, 1/('BA History S2'!$B:$B=A9), 'BA History S2'!$AJ:$AJ)</f>
        <v>0</v>
      </c>
      <c r="I9" s="34">
        <f>SUMIFS('BA History S2'!F:F,'BA History S2'!B:B,A9)</f>
        <v>3</v>
      </c>
      <c r="J9" s="2">
        <f>SUMIFS('BA History S2'!E:E,'BA History S2'!B:B,A9)-I9</f>
        <v>9</v>
      </c>
      <c r="K9" s="75">
        <f>LOOKUP(2, 1/('BA History S2'!$B:$B=A9), 'BA History S2'!$AH:$AH)</f>
        <v>0.21666666666666667</v>
      </c>
      <c r="L9" s="34">
        <f>SUMIFS('BA History S2'!H:H,'BA History S2'!B:B,A9)</f>
        <v>19</v>
      </c>
      <c r="M9" s="2">
        <f>SUMIFS('BA History S2'!G:G,'BA History S2'!B:B,A9)-L9</f>
        <v>32</v>
      </c>
      <c r="N9" s="89">
        <f>LOOKUP(2, 1/('BA History S2'!$B:$B=A9), 'BA History S2'!$AI:$AI)</f>
        <v>0.3666666666666667</v>
      </c>
      <c r="O9" s="2">
        <f>COUNTIFS('BA History S2'!$B:$B,$A$9,'BA History S2'!K:K, 1)</f>
        <v>1</v>
      </c>
      <c r="P9" s="2">
        <f>COUNTIFS('BA History S2'!$B:$B,$A$9,'BA History S2'!L:L, 1)</f>
        <v>0</v>
      </c>
      <c r="Q9" s="2">
        <f>COUNTIFS('BA History S2'!$B:$B,$A$9,'BA History S2'!M:M, 1)</f>
        <v>0</v>
      </c>
      <c r="R9" s="2">
        <f>COUNTIFS('BA History S2'!$B:$B,$A$9,'BA History S2'!N:N, 1)</f>
        <v>0</v>
      </c>
      <c r="S9" s="2">
        <f>COUNTIFS('BA History S2'!$B:$B,$A$9,'BA History S2'!O:O, 1)</f>
        <v>0</v>
      </c>
      <c r="T9" s="2">
        <f>COUNTIFS('BA History S2'!$B:$B,$A$9,'BA History S2'!P:P, 1)</f>
        <v>0</v>
      </c>
      <c r="U9" s="2">
        <f>COUNTIFS('BA History S2'!$B:$B,$A$9,'BA History S2'!Q:Q, 1)</f>
        <v>0</v>
      </c>
      <c r="V9" s="2">
        <f>COUNTIFS('BA History S2'!$B:$B,$A$9,'BA History S2'!R:R, 1)</f>
        <v>0</v>
      </c>
      <c r="W9" s="2">
        <f>COUNTIFS('BA History S2'!$B:$B,$A$9,'BA History S2'!S:S, 1)</f>
        <v>0</v>
      </c>
      <c r="X9" s="2">
        <f>COUNTIFS('BA History S2'!$B:$B,$A$9,'BA History S2'!T:T, 1)</f>
        <v>0</v>
      </c>
      <c r="Y9" s="2">
        <f>COUNTIFS('BA History S2'!$B:$B,$A$9,'BA History S2'!U:U, 1)</f>
        <v>0</v>
      </c>
      <c r="Z9" s="2">
        <f>COUNTIFS('BA History S2'!$B:$B,$A$9,'BA History S2'!V:V, 1)</f>
        <v>0</v>
      </c>
      <c r="AA9" s="2">
        <f>COUNTIFS('BA History S2'!$B:$B,$A$9,'BA History S2'!W:W, 1)</f>
        <v>1</v>
      </c>
      <c r="AB9" s="2">
        <f>COUNTIFS('BA History S2'!$B:$B,$A$9,'BA History S2'!X:X, 1)</f>
        <v>0</v>
      </c>
      <c r="AC9" s="2">
        <f>COUNTIFS('BA History S2'!$B:$B,$A$9,'BA History S2'!Y:Y, 1)</f>
        <v>1</v>
      </c>
      <c r="AD9" s="2">
        <f>COUNTIFS('BA History S2'!$B:$B,$A$9,'BA History S2'!Z:Z, 1)</f>
        <v>0</v>
      </c>
      <c r="AE9" s="2">
        <f>COUNTIFS('BA History S2'!$B:$B,$A$9,'BA History S2'!AA:AA, 1)</f>
        <v>0</v>
      </c>
      <c r="AF9" s="2">
        <f>COUNTIFS('BA History S2'!$B:$B,$A$9,'BA History S2'!AB:AB, 1)</f>
        <v>0</v>
      </c>
      <c r="AG9" s="2">
        <f>COUNTIFS('BA History S2'!$B:$B,$A$9,'BA History S2'!AC:AC, 1)</f>
        <v>0</v>
      </c>
      <c r="AH9" s="2">
        <f>COUNTIFS('BA History S2'!$B:$B,$A$9,'BA History S2'!AD:AD, 1)</f>
        <v>0</v>
      </c>
      <c r="AI9" s="2">
        <f>COUNTIFS('BA History S2'!$B:$B,$A$9,'BA History S2'!AE:AE, 1)</f>
        <v>0</v>
      </c>
      <c r="AJ9" s="2">
        <f>COUNTIFS('BA History S2'!$B:$B,$A$9,'BA History S2'!AF:AF, 1)</f>
        <v>0</v>
      </c>
    </row>
    <row r="10" spans="1:36" ht="15.75" x14ac:dyDescent="0.25">
      <c r="A10" s="2" t="s">
        <v>151</v>
      </c>
      <c r="B10" s="95" t="s">
        <v>79</v>
      </c>
      <c r="C10" s="34">
        <f>SUMIFS('BA History S2'!C:C,'BA History S2'!B:B,A10)</f>
        <v>21</v>
      </c>
      <c r="D10" s="66">
        <f>AVERAGEIFS('BA History S2'!C:C,'BA History S2'!B:B,A10)</f>
        <v>21</v>
      </c>
      <c r="E10" s="35">
        <f t="array" ref="E10">MAX(IF('BA History S2'!B:B=A10, 'BA History S2'!C:C))</f>
        <v>21</v>
      </c>
      <c r="F10" s="34">
        <f>COUNTIFS('BA History S2'!B:B,A10,'BA History S2'!D:D, 1)</f>
        <v>1</v>
      </c>
      <c r="G10" s="2">
        <f>COUNTIFS('BA History S2'!B:B,A10,'BA History S2'!D:D, 0)</f>
        <v>0</v>
      </c>
      <c r="H10" s="75">
        <f>LOOKUP(2, 1/('BA History S2'!$B:$B=A10), 'BA History S2'!$AJ:$AJ)</f>
        <v>1</v>
      </c>
      <c r="I10" s="34">
        <f>SUMIFS('BA History S2'!F:F,'BA History S2'!B:B,A10)</f>
        <v>3</v>
      </c>
      <c r="J10" s="2">
        <f>SUMIFS('BA History S2'!E:E,'BA History S2'!B:B,A10)-I10</f>
        <v>1</v>
      </c>
      <c r="K10" s="75">
        <f>LOOKUP(2, 1/('BA History S2'!$B:$B=A10), 'BA History S2'!$AH:$AH)</f>
        <v>0.75</v>
      </c>
      <c r="L10" s="34">
        <f>SUMIFS('BA History S2'!H:H,'BA History S2'!B:B,A10)</f>
        <v>11</v>
      </c>
      <c r="M10" s="2">
        <f>SUMIFS('BA History S2'!G:G,'BA History S2'!B:B,A10)-L10</f>
        <v>7</v>
      </c>
      <c r="N10" s="89">
        <f>LOOKUP(2, 1/('BA History S2'!$B:$B=A10), 'BA History S2'!$AI:$AI)</f>
        <v>0.61</v>
      </c>
      <c r="O10" s="2">
        <f>COUNTIFS('BA History S2'!$B:$B,$A$10,'BA History S2'!K:K, 1)</f>
        <v>0</v>
      </c>
      <c r="P10" s="2">
        <f>COUNTIFS('BA History S2'!$B:$B,$A$10,'BA History S2'!L:L, 1)</f>
        <v>0</v>
      </c>
      <c r="Q10" s="2">
        <f>COUNTIFS('BA History S2'!$B:$B,$A$10,'BA History S2'!M:M, 1)</f>
        <v>1</v>
      </c>
      <c r="R10" s="2">
        <f>COUNTIFS('BA History S2'!$B:$B,$A$10,'BA History S2'!N:N, 1)</f>
        <v>0</v>
      </c>
      <c r="S10" s="2">
        <f>COUNTIFS('BA History S2'!$B:$B,$A$10,'BA History S2'!O:O, 1)</f>
        <v>0</v>
      </c>
      <c r="T10" s="2">
        <f>COUNTIFS('BA History S2'!$B:$B,$A$10,'BA History S2'!P:P, 1)</f>
        <v>0</v>
      </c>
      <c r="U10" s="2">
        <f>COUNTIFS('BA History S2'!$B:$B,$A$10,'BA History S2'!Q:Q, 1)</f>
        <v>0</v>
      </c>
      <c r="V10" s="2">
        <f>COUNTIFS('BA History S2'!$B:$B,$A$10,'BA History S2'!R:R, 1)</f>
        <v>0</v>
      </c>
      <c r="W10" s="2">
        <f>COUNTIFS('BA History S2'!$B:$B,$A$10,'BA History S2'!S:S, 1)</f>
        <v>0</v>
      </c>
      <c r="X10" s="2">
        <f>COUNTIFS('BA History S2'!$B:$B,$A$10,'BA History S2'!T:T, 1)</f>
        <v>0</v>
      </c>
      <c r="Y10" s="2">
        <f>COUNTIFS('BA History S2'!$B:$B,$A$10,'BA History S2'!U:U, 1)</f>
        <v>0</v>
      </c>
      <c r="Z10" s="2">
        <f>COUNTIFS('BA History S2'!$B:$B,$A$10,'BA History S2'!V:V, 1)</f>
        <v>0</v>
      </c>
      <c r="AA10" s="2">
        <f>COUNTIFS('BA History S2'!$B:$B,$A$10,'BA History S2'!W:W, 1)</f>
        <v>0</v>
      </c>
      <c r="AB10" s="2">
        <f>COUNTIFS('BA History S2'!$B:$B,$A$10,'BA History S2'!X:X, 1)</f>
        <v>0</v>
      </c>
      <c r="AC10" s="2">
        <f>COUNTIFS('BA History S2'!$B:$B,$A$10,'BA History S2'!Y:Y, 1)</f>
        <v>0</v>
      </c>
      <c r="AD10" s="2">
        <f>COUNTIFS('BA History S2'!$B:$B,$A$10,'BA History S2'!Z:Z, 1)</f>
        <v>0</v>
      </c>
      <c r="AE10" s="2">
        <f>COUNTIFS('BA History S2'!$B:$B,$A$10,'BA History S2'!AA:AA, 1)</f>
        <v>0</v>
      </c>
      <c r="AF10" s="2">
        <f>COUNTIFS('BA History S2'!$B:$B,$A$10,'BA History S2'!AB:AB, 1)</f>
        <v>1</v>
      </c>
      <c r="AG10" s="2">
        <f>COUNTIFS('BA History S2'!$B:$B,$A$10,'BA History S2'!AC:AC, 1)</f>
        <v>0</v>
      </c>
      <c r="AH10" s="2">
        <f>COUNTIFS('BA History S2'!$B:$B,$A$10,'BA History S2'!AD:AD, 1)</f>
        <v>1</v>
      </c>
      <c r="AI10" s="2">
        <f>COUNTIFS('BA History S2'!$B:$B,$A$10,'BA History S2'!AE:AE, 1)</f>
        <v>0</v>
      </c>
      <c r="AJ10" s="2">
        <f>COUNTIFS('BA History S2'!$B:$B,$A$10,'BA History S2'!AF:AF, 1)</f>
        <v>0</v>
      </c>
    </row>
    <row r="11" spans="1:36" ht="15.75" x14ac:dyDescent="0.25">
      <c r="A11" s="2" t="s">
        <v>46</v>
      </c>
      <c r="B11" s="80" t="s">
        <v>60</v>
      </c>
      <c r="C11" s="34">
        <f>SUMIFS('BA History S2'!C:C,'BA History S2'!B:B,A11)</f>
        <v>35</v>
      </c>
      <c r="D11" s="66">
        <f>AVERAGEIFS('BA History S2'!C:C,'BA History S2'!B:B,A11)</f>
        <v>11.666666666666666</v>
      </c>
      <c r="E11" s="35">
        <f t="array" ref="E11">MAX(IF('BA History S2'!B:B=A11, 'BA History S2'!C:C))</f>
        <v>23</v>
      </c>
      <c r="F11" s="34">
        <f>COUNTIFS('BA History S2'!B:B,A11,'BA History S2'!D:D, 1)</f>
        <v>0</v>
      </c>
      <c r="G11" s="2">
        <f>COUNTIFS('BA History S2'!B:B,A11,'BA History S2'!D:D, 0)</f>
        <v>3</v>
      </c>
      <c r="H11" s="75">
        <f>LOOKUP(2, 1/('BA History S2'!$B:$B=A11), 'BA History S2'!$AJ:$AJ)</f>
        <v>0</v>
      </c>
      <c r="I11" s="34">
        <f>SUMIFS('BA History S2'!F:F,'BA History S2'!B:B,A11)</f>
        <v>3</v>
      </c>
      <c r="J11" s="2">
        <f>SUMIFS('BA History S2'!E:E,'BA History S2'!B:B,A11)-I11</f>
        <v>9</v>
      </c>
      <c r="K11" s="75">
        <f>LOOKUP(2, 1/('BA History S2'!$B:$B=A11), 'BA History S2'!$AH:$AH)</f>
        <v>0.21666666666666667</v>
      </c>
      <c r="L11" s="34">
        <f>SUMIFS('BA History S2'!H:H,'BA History S2'!B:B,A11)</f>
        <v>19</v>
      </c>
      <c r="M11" s="2">
        <f>SUMIFS('BA History S2'!G:G,'BA History S2'!B:B,A11)-L11</f>
        <v>32</v>
      </c>
      <c r="N11" s="89">
        <f>LOOKUP(2, 1/('BA History S2'!$B:$B=A11), 'BA History S2'!$AI:$AI)</f>
        <v>0.3666666666666667</v>
      </c>
      <c r="O11" s="2">
        <f>COUNTIFS('BA History S2'!$B:$B,$A$11,'BA History S2'!K:K, 1)</f>
        <v>1</v>
      </c>
      <c r="P11" s="2">
        <f>COUNTIFS('BA History S2'!$B:$B,$A$11,'BA History S2'!L:L, 1)</f>
        <v>0</v>
      </c>
      <c r="Q11" s="2">
        <f>COUNTIFS('BA History S2'!$B:$B,$A$11,'BA History S2'!M:M, 1)</f>
        <v>0</v>
      </c>
      <c r="R11" s="2">
        <f>COUNTIFS('BA History S2'!$B:$B,$A$11,'BA History S2'!N:N, 1)</f>
        <v>0</v>
      </c>
      <c r="S11" s="2">
        <f>COUNTIFS('BA History S2'!$B:$B,$A$11,'BA History S2'!O:O, 1)</f>
        <v>0</v>
      </c>
      <c r="T11" s="2">
        <f>COUNTIFS('BA History S2'!$B:$B,$A$11,'BA History S2'!P:P, 1)</f>
        <v>0</v>
      </c>
      <c r="U11" s="2">
        <f>COUNTIFS('BA History S2'!$B:$B,$A$11,'BA History S2'!Q:Q, 1)</f>
        <v>0</v>
      </c>
      <c r="V11" s="2">
        <f>COUNTIFS('BA History S2'!$B:$B,$A$11,'BA History S2'!R:R, 1)</f>
        <v>0</v>
      </c>
      <c r="W11" s="2">
        <f>COUNTIFS('BA History S2'!$B:$B,$A$11,'BA History S2'!S:S, 1)</f>
        <v>0</v>
      </c>
      <c r="X11" s="2">
        <f>COUNTIFS('BA History S2'!$B:$B,$A$11,'BA History S2'!T:T, 1)</f>
        <v>0</v>
      </c>
      <c r="Y11" s="2">
        <f>COUNTIFS('BA History S2'!$B:$B,$A$11,'BA History S2'!U:U, 1)</f>
        <v>0</v>
      </c>
      <c r="Z11" s="2">
        <f>COUNTIFS('BA History S2'!$B:$B,$A$11,'BA History S2'!V:V, 1)</f>
        <v>0</v>
      </c>
      <c r="AA11" s="2">
        <f>COUNTIFS('BA History S2'!$B:$B,$A$11,'BA History S2'!W:W, 1)</f>
        <v>1</v>
      </c>
      <c r="AB11" s="2">
        <f>COUNTIFS('BA History S2'!$B:$B,$A$11,'BA History S2'!X:X, 1)</f>
        <v>0</v>
      </c>
      <c r="AC11" s="2">
        <f>COUNTIFS('BA History S2'!$B:$B,$A$11,'BA History S2'!Y:Y, 1)</f>
        <v>1</v>
      </c>
      <c r="AD11" s="2">
        <f>COUNTIFS('BA History S2'!$B:$B,$A$11,'BA History S2'!Z:Z, 1)</f>
        <v>0</v>
      </c>
      <c r="AE11" s="2">
        <f>COUNTIFS('BA History S2'!$B:$B,$A$11,'BA History S2'!AA:AA, 1)</f>
        <v>0</v>
      </c>
      <c r="AF11" s="2">
        <f>COUNTIFS('BA History S2'!$B:$B,$A$11,'BA History S2'!AB:AB, 1)</f>
        <v>0</v>
      </c>
      <c r="AG11" s="2">
        <f>COUNTIFS('BA History S2'!$B:$B,$A$11,'BA History S2'!AC:AC, 1)</f>
        <v>0</v>
      </c>
      <c r="AH11" s="2">
        <f>COUNTIFS('BA History S2'!$B:$B,$A$11,'BA History S2'!AD:AD, 1)</f>
        <v>0</v>
      </c>
      <c r="AI11" s="2">
        <f>COUNTIFS('BA History S2'!$B:$B,$A$11,'BA History S2'!AE:AE, 1)</f>
        <v>0</v>
      </c>
      <c r="AJ11" s="2">
        <f>COUNTIFS('BA History S2'!$B:$B,$A$11,'BA History S2'!AF:AF, 1)</f>
        <v>0</v>
      </c>
    </row>
    <row r="12" spans="1:36" x14ac:dyDescent="0.25">
      <c r="A12" s="2" t="s">
        <v>53</v>
      </c>
      <c r="B12" s="2" t="s">
        <v>79</v>
      </c>
      <c r="C12" s="34">
        <f>SUMIFS('BA History S2'!C:C,'BA History S2'!B:B,A12)</f>
        <v>22</v>
      </c>
      <c r="D12" s="66">
        <f>AVERAGEIFS('BA History S2'!C:C,'BA History S2'!B:B,A12)</f>
        <v>11</v>
      </c>
      <c r="E12" s="35">
        <f t="array" ref="E12">MAX(IF('BA History S2'!B:B=A12, 'BA History S2'!C:C))</f>
        <v>11</v>
      </c>
      <c r="F12" s="34">
        <f>COUNTIFS('BA History S2'!B:B,A12,'BA History S2'!D:D, 1)</f>
        <v>1</v>
      </c>
      <c r="G12" s="2">
        <f>COUNTIFS('BA History S2'!B:B,A12,'BA History S2'!D:D, 0)</f>
        <v>1</v>
      </c>
      <c r="H12" s="75">
        <f>LOOKUP(2, 1/('BA History S2'!$B:$B=A12), 'BA History S2'!$AJ:$AJ)</f>
        <v>0.5</v>
      </c>
      <c r="I12" s="34">
        <f>SUMIFS('BA History S2'!F:F,'BA History S2'!B:B,A12)</f>
        <v>5</v>
      </c>
      <c r="J12" s="2">
        <f>SUMIFS('BA History S2'!E:E,'BA History S2'!B:B,A12)-I12</f>
        <v>3</v>
      </c>
      <c r="K12" s="75">
        <f>LOOKUP(2, 1/('BA History S2'!$B:$B=A12), 'BA History S2'!$AH:$AH)</f>
        <v>0.7</v>
      </c>
      <c r="L12" s="34">
        <f>SUMIFS('BA History S2'!H:H,'BA History S2'!B:B,A12)</f>
        <v>17</v>
      </c>
      <c r="M12" s="2">
        <f>SUMIFS('BA History S2'!G:G,'BA History S2'!B:B,A12)-L12</f>
        <v>16</v>
      </c>
      <c r="N12" s="89">
        <f>LOOKUP(2, 1/('BA History S2'!$B:$B=A12), 'BA History S2'!$AI:$AI)</f>
        <v>0.54499999999999993</v>
      </c>
      <c r="O12" s="2">
        <f>COUNTIFS('BA History S2'!$B:$B,$A$12,'BA History S2'!K:K, 1)</f>
        <v>1</v>
      </c>
      <c r="P12" s="2">
        <f>COUNTIFS('BA History S2'!$B:$B,$A$12,'BA History S2'!L:L, 1)</f>
        <v>1</v>
      </c>
      <c r="Q12" s="2">
        <f>COUNTIFS('BA History S2'!$B:$B,$A$12,'BA History S2'!M:M, 1)</f>
        <v>0</v>
      </c>
      <c r="R12" s="2">
        <f>COUNTIFS('BA History S2'!$B:$B,$A$12,'BA History S2'!N:N, 1)</f>
        <v>0</v>
      </c>
      <c r="S12" s="2">
        <f>COUNTIFS('BA History S2'!$B:$B,$A$12,'BA History S2'!O:O, 1)</f>
        <v>0</v>
      </c>
      <c r="T12" s="2">
        <f>COUNTIFS('BA History S2'!$B:$B,$A$12,'BA History S2'!P:P, 1)</f>
        <v>0</v>
      </c>
      <c r="U12" s="2">
        <f>COUNTIFS('BA History S2'!$B:$B,$A$12,'BA History S2'!Q:Q, 1)</f>
        <v>0</v>
      </c>
      <c r="V12" s="2">
        <f>COUNTIFS('BA History S2'!$B:$B,$A$12,'BA History S2'!R:R, 1)</f>
        <v>0</v>
      </c>
      <c r="W12" s="2">
        <f>COUNTIFS('BA History S2'!$B:$B,$A$12,'BA History S2'!S:S, 1)</f>
        <v>0</v>
      </c>
      <c r="X12" s="2">
        <f>COUNTIFS('BA History S2'!$B:$B,$A$12,'BA History S2'!T:T, 1)</f>
        <v>0</v>
      </c>
      <c r="Y12" s="2">
        <f>COUNTIFS('BA History S2'!$B:$B,$A$12,'BA History S2'!U:U, 1)</f>
        <v>0</v>
      </c>
      <c r="Z12" s="2">
        <f>COUNTIFS('BA History S2'!$B:$B,$A$12,'BA History S2'!V:V, 1)</f>
        <v>0</v>
      </c>
      <c r="AA12" s="2">
        <f>COUNTIFS('BA History S2'!$B:$B,$A$12,'BA History S2'!W:W, 1)</f>
        <v>0</v>
      </c>
      <c r="AB12" s="2">
        <f>COUNTIFS('BA History S2'!$B:$B,$A$12,'BA History S2'!X:X, 1)</f>
        <v>0</v>
      </c>
      <c r="AC12" s="2">
        <f>COUNTIFS('BA History S2'!$B:$B,$A$12,'BA History S2'!Y:Y, 1)</f>
        <v>1</v>
      </c>
      <c r="AD12" s="2">
        <f>COUNTIFS('BA History S2'!$B:$B,$A$12,'BA History S2'!Z:Z, 1)</f>
        <v>0</v>
      </c>
      <c r="AE12" s="2">
        <f>COUNTIFS('BA History S2'!$B:$B,$A$12,'BA History S2'!AA:AA, 1)</f>
        <v>0</v>
      </c>
      <c r="AF12" s="2">
        <f>COUNTIFS('BA History S2'!$B:$B,$A$12,'BA History S2'!AB:AB, 1)</f>
        <v>0</v>
      </c>
      <c r="AG12" s="2">
        <f>COUNTIFS('BA History S2'!$B:$B,$A$12,'BA History S2'!AC:AC, 1)</f>
        <v>1</v>
      </c>
      <c r="AH12" s="2">
        <f>COUNTIFS('BA History S2'!$B:$B,$A$12,'BA History S2'!AD:AD, 1)</f>
        <v>0</v>
      </c>
      <c r="AI12" s="2">
        <f>COUNTIFS('BA History S2'!$B:$B,$A$12,'BA History S2'!AE:AE, 1)</f>
        <v>0</v>
      </c>
      <c r="AJ12" s="2">
        <f>COUNTIFS('BA History S2'!$B:$B,$A$12,'BA History S2'!AF:AF, 1)</f>
        <v>1</v>
      </c>
    </row>
    <row r="13" spans="1:36" x14ac:dyDescent="0.25">
      <c r="A13" s="2" t="s">
        <v>13</v>
      </c>
      <c r="B13" s="2" t="s">
        <v>79</v>
      </c>
      <c r="C13" s="34">
        <f>SUMIFS('BA History S2'!C:C,'BA History S2'!B:B,A13)</f>
        <v>34</v>
      </c>
      <c r="D13" s="66">
        <f>AVERAGEIFS('BA History S2'!C:C,'BA History S2'!B:B,A13)</f>
        <v>17</v>
      </c>
      <c r="E13" s="35">
        <f t="array" ref="E13">MAX(IF('BA History S2'!B:B=A13, 'BA History S2'!C:C))</f>
        <v>20</v>
      </c>
      <c r="F13" s="34">
        <f>COUNTIFS('BA History S2'!B:B,A13,'BA History S2'!D:D, 1)</f>
        <v>1</v>
      </c>
      <c r="G13" s="2">
        <f>COUNTIFS('BA History S2'!B:B,A13,'BA History S2'!D:D, 0)</f>
        <v>1</v>
      </c>
      <c r="H13" s="75">
        <f>LOOKUP(2, 1/('BA History S2'!$B:$B=A13), 'BA History S2'!$AJ:$AJ)</f>
        <v>0.5</v>
      </c>
      <c r="I13" s="34">
        <f>SUMIFS('BA History S2'!F:F,'BA History S2'!B:B,A13)</f>
        <v>4</v>
      </c>
      <c r="J13" s="2">
        <f>SUMIFS('BA History S2'!E:E,'BA History S2'!B:B,A13)-I13</f>
        <v>3</v>
      </c>
      <c r="K13" s="75">
        <f>LOOKUP(2, 1/('BA History S2'!$B:$B=A13), 'BA History S2'!$AH:$AH)</f>
        <v>0.625</v>
      </c>
      <c r="L13" s="34">
        <f>SUMIFS('BA History S2'!H:H,'BA History S2'!B:B,A13)</f>
        <v>16</v>
      </c>
      <c r="M13" s="2">
        <f>SUMIFS('BA History S2'!G:G,'BA History S2'!B:B,A13)-L13</f>
        <v>15</v>
      </c>
      <c r="N13" s="89">
        <f>LOOKUP(2, 1/('BA History S2'!$B:$B=A13), 'BA History S2'!$AI:$AI)</f>
        <v>0.54</v>
      </c>
      <c r="O13" s="2">
        <f>COUNTIFS('BA History S2'!$B:$B,$A$13,'BA History S2'!K:K, 1)</f>
        <v>0</v>
      </c>
      <c r="P13" s="2">
        <f>COUNTIFS('BA History S2'!$B:$B,$A$13,'BA History S2'!L:L, 1)</f>
        <v>1</v>
      </c>
      <c r="Q13" s="2">
        <f>COUNTIFS('BA History S2'!$B:$B,$A$13,'BA History S2'!M:M, 1)</f>
        <v>0</v>
      </c>
      <c r="R13" s="2">
        <f>COUNTIFS('BA History S2'!$B:$B,$A$13,'BA History S2'!N:N, 1)</f>
        <v>0</v>
      </c>
      <c r="S13" s="2">
        <f>COUNTIFS('BA History S2'!$B:$B,$A$13,'BA History S2'!O:O, 1)</f>
        <v>0</v>
      </c>
      <c r="T13" s="2">
        <f>COUNTIFS('BA History S2'!$B:$B,$A$13,'BA History S2'!P:P, 1)</f>
        <v>0</v>
      </c>
      <c r="U13" s="2">
        <f>COUNTIFS('BA History S2'!$B:$B,$A$13,'BA History S2'!Q:Q, 1)</f>
        <v>0</v>
      </c>
      <c r="V13" s="2">
        <f>COUNTIFS('BA History S2'!$B:$B,$A$13,'BA History S2'!R:R, 1)</f>
        <v>0</v>
      </c>
      <c r="W13" s="2">
        <f>COUNTIFS('BA History S2'!$B:$B,$A$13,'BA History S2'!S:S, 1)</f>
        <v>0</v>
      </c>
      <c r="X13" s="2">
        <f>COUNTIFS('BA History S2'!$B:$B,$A$13,'BA History S2'!T:T, 1)</f>
        <v>0</v>
      </c>
      <c r="Y13" s="2">
        <f>COUNTIFS('BA History S2'!$B:$B,$A$13,'BA History S2'!U:U, 1)</f>
        <v>0</v>
      </c>
      <c r="Z13" s="2">
        <f>COUNTIFS('BA History S2'!$B:$B,$A$13,'BA History S2'!V:V, 1)</f>
        <v>0</v>
      </c>
      <c r="AA13" s="2">
        <f>COUNTIFS('BA History S2'!$B:$B,$A$13,'BA History S2'!W:W, 1)</f>
        <v>1</v>
      </c>
      <c r="AB13" s="2">
        <f>COUNTIFS('BA History S2'!$B:$B,$A$13,'BA History S2'!X:X, 1)</f>
        <v>0</v>
      </c>
      <c r="AC13" s="2">
        <f>COUNTIFS('BA History S2'!$B:$B,$A$13,'BA History S2'!Y:Y, 1)</f>
        <v>0</v>
      </c>
      <c r="AD13" s="2">
        <f>COUNTIFS('BA History S2'!$B:$B,$A$13,'BA History S2'!Z:Z, 1)</f>
        <v>0</v>
      </c>
      <c r="AE13" s="2">
        <f>COUNTIFS('BA History S2'!$B:$B,$A$13,'BA History S2'!AA:AA, 1)</f>
        <v>0</v>
      </c>
      <c r="AF13" s="2">
        <f>COUNTIFS('BA History S2'!$B:$B,$A$13,'BA History S2'!AB:AB, 1)</f>
        <v>0</v>
      </c>
      <c r="AG13" s="2">
        <f>COUNTIFS('BA History S2'!$B:$B,$A$13,'BA History S2'!AC:AC, 1)</f>
        <v>1</v>
      </c>
      <c r="AH13" s="2">
        <f>COUNTIFS('BA History S2'!$B:$B,$A$13,'BA History S2'!AD:AD, 1)</f>
        <v>0</v>
      </c>
      <c r="AI13" s="2">
        <f>COUNTIFS('BA History S2'!$B:$B,$A$13,'BA History S2'!AE:AE, 1)</f>
        <v>0</v>
      </c>
      <c r="AJ13" s="2">
        <f>COUNTIFS('BA History S2'!$B:$B,$A$13,'BA History S2'!AF:AF, 1)</f>
        <v>1</v>
      </c>
    </row>
    <row r="14" spans="1:36" ht="15.75" x14ac:dyDescent="0.25">
      <c r="A14" s="2" t="s">
        <v>2</v>
      </c>
      <c r="B14" s="80" t="s">
        <v>60</v>
      </c>
      <c r="C14" s="34">
        <f>SUMIFS('BA History S2'!C:C,'BA History S2'!B:B,A14)</f>
        <v>33</v>
      </c>
      <c r="D14" s="66">
        <f>AVERAGEIFS('BA History S2'!C:C,'BA History S2'!B:B,A14)</f>
        <v>33</v>
      </c>
      <c r="E14" s="35">
        <f t="array" ref="E14">MAX(IF('BA History S2'!B:B=A14, 'BA History S2'!C:C))</f>
        <v>33</v>
      </c>
      <c r="F14" s="34">
        <f>COUNTIFS('BA History S2'!B:B,A14,'BA History S2'!D:D, 1)</f>
        <v>0</v>
      </c>
      <c r="G14" s="2">
        <f>COUNTIFS('BA History S2'!B:B,A14,'BA History S2'!D:D, 0)</f>
        <v>1</v>
      </c>
      <c r="H14" s="75">
        <f>LOOKUP(2, 1/('BA History S2'!$B:$B=A14), 'BA History S2'!$AJ:$AJ)</f>
        <v>0</v>
      </c>
      <c r="I14" s="34">
        <f>SUMIFS('BA History S2'!F:F,'BA History S2'!B:B,A14)</f>
        <v>1</v>
      </c>
      <c r="J14" s="2">
        <f>SUMIFS('BA History S2'!E:E,'BA History S2'!B:B,A14)-I14</f>
        <v>3</v>
      </c>
      <c r="K14" s="75">
        <f>LOOKUP(2, 1/('BA History S2'!$B:$B=A14), 'BA History S2'!$AH:$AH)</f>
        <v>0.25</v>
      </c>
      <c r="L14" s="34">
        <f>SUMIFS('BA History S2'!H:H,'BA History S2'!B:B,A14)</f>
        <v>8</v>
      </c>
      <c r="M14" s="2">
        <f>SUMIFS('BA History S2'!G:G,'BA History S2'!B:B,A14)-L14</f>
        <v>10</v>
      </c>
      <c r="N14" s="89">
        <f>LOOKUP(2, 1/('BA History S2'!$B:$B=A14), 'BA History S2'!$AI:$AI)</f>
        <v>0.44</v>
      </c>
      <c r="O14" s="2">
        <f>COUNTIFS('BA History S2'!$B:$B,$A$14,'BA History S2'!K:K, 1)</f>
        <v>0</v>
      </c>
      <c r="P14" s="2">
        <f>COUNTIFS('BA History S2'!$B:$B,$A$14,'BA History S2'!L:L, 1)</f>
        <v>0</v>
      </c>
      <c r="Q14" s="2">
        <f>COUNTIFS('BA History S2'!$B:$B,$A$14,'BA History S2'!M:M, 1)</f>
        <v>0</v>
      </c>
      <c r="R14" s="2">
        <f>COUNTIFS('BA History S2'!$B:$B,$A$14,'BA History S2'!N:N, 1)</f>
        <v>0</v>
      </c>
      <c r="S14" s="2">
        <f>COUNTIFS('BA History S2'!$B:$B,$A$14,'BA History S2'!O:O, 1)</f>
        <v>0</v>
      </c>
      <c r="T14" s="2">
        <f>COUNTIFS('BA History S2'!$B:$B,$A$14,'BA History S2'!P:P, 1)</f>
        <v>0</v>
      </c>
      <c r="U14" s="2">
        <f>COUNTIFS('BA History S2'!$B:$B,$A$14,'BA History S2'!Q:Q, 1)</f>
        <v>0</v>
      </c>
      <c r="V14" s="2">
        <f>COUNTIFS('BA History S2'!$B:$B,$A$14,'BA History S2'!R:R, 1)</f>
        <v>0</v>
      </c>
      <c r="W14" s="2">
        <f>COUNTIFS('BA History S2'!$B:$B,$A$14,'BA History S2'!S:S, 1)</f>
        <v>0</v>
      </c>
      <c r="X14" s="2">
        <f>COUNTIFS('BA History S2'!$B:$B,$A$14,'BA History S2'!T:T, 1)</f>
        <v>0</v>
      </c>
      <c r="Y14" s="2">
        <f>COUNTIFS('BA History S2'!$B:$B,$A$14,'BA History S2'!U:U, 1)</f>
        <v>0</v>
      </c>
      <c r="Z14" s="2">
        <f>COUNTIFS('BA History S2'!$B:$B,$A$14,'BA History S2'!V:V, 1)</f>
        <v>0</v>
      </c>
      <c r="AA14" s="2">
        <f>COUNTIFS('BA History S2'!$B:$B,$A$14,'BA History S2'!W:W, 1)</f>
        <v>0</v>
      </c>
      <c r="AB14" s="2">
        <f>COUNTIFS('BA History S2'!$B:$B,$A$14,'BA History S2'!X:X, 1)</f>
        <v>0</v>
      </c>
      <c r="AC14" s="2">
        <f>COUNTIFS('BA History S2'!$B:$B,$A$14,'BA History S2'!Y:Y, 1)</f>
        <v>0</v>
      </c>
      <c r="AD14" s="2">
        <f>COUNTIFS('BA History S2'!$B:$B,$A$14,'BA History S2'!Z:Z, 1)</f>
        <v>0</v>
      </c>
      <c r="AE14" s="2">
        <f>COUNTIFS('BA History S2'!$B:$B,$A$14,'BA History S2'!AA:AA, 1)</f>
        <v>0</v>
      </c>
      <c r="AF14" s="2">
        <f>COUNTIFS('BA History S2'!$B:$B,$A$14,'BA History S2'!AB:AB, 1)</f>
        <v>1</v>
      </c>
      <c r="AG14" s="2">
        <f>COUNTIFS('BA History S2'!$B:$B,$A$14,'BA History S2'!AC:AC, 1)</f>
        <v>0</v>
      </c>
      <c r="AH14" s="2">
        <f>COUNTIFS('BA History S2'!$B:$B,$A$14,'BA History S2'!AD:AD, 1)</f>
        <v>0</v>
      </c>
      <c r="AI14" s="2">
        <f>COUNTIFS('BA History S2'!$B:$B,$A$14,'BA History S2'!AE:AE, 1)</f>
        <v>0</v>
      </c>
      <c r="AJ14" s="2">
        <f>COUNTIFS('BA History S2'!$B:$B,$A$14,'BA History S2'!AF:AF, 1)</f>
        <v>0</v>
      </c>
    </row>
    <row r="15" spans="1:36" x14ac:dyDescent="0.25">
      <c r="A15" s="2" t="s">
        <v>54</v>
      </c>
      <c r="B15" s="2" t="s">
        <v>79</v>
      </c>
      <c r="C15" s="34">
        <f>SUMIFS('BA History S2'!C:C,'BA History S2'!B:B,A15)</f>
        <v>16</v>
      </c>
      <c r="D15" s="66">
        <f>AVERAGEIFS('BA History S2'!C:C,'BA History S2'!B:B,A15)</f>
        <v>16</v>
      </c>
      <c r="E15" s="35">
        <f t="array" ref="E15">MAX(IF('BA History S2'!B:B=A15, 'BA History S2'!C:C))</f>
        <v>16</v>
      </c>
      <c r="F15" s="34">
        <f>COUNTIFS('BA History S2'!B:B,A15,'BA History S2'!D:D, 1)</f>
        <v>1</v>
      </c>
      <c r="G15" s="2">
        <f>COUNTIFS('BA History S2'!B:B,A15,'BA History S2'!D:D, 0)</f>
        <v>0</v>
      </c>
      <c r="H15" s="75">
        <f>LOOKUP(2, 1/('BA History S2'!$B:$B=A15), 'BA History S2'!$AJ:$AJ)</f>
        <v>1</v>
      </c>
      <c r="I15" s="34">
        <f>SUMIFS('BA History S2'!F:F,'BA History S2'!B:B,A15)</f>
        <v>3</v>
      </c>
      <c r="J15" s="2">
        <f>SUMIFS('BA History S2'!E:E,'BA History S2'!B:B,A15)-I15</f>
        <v>0</v>
      </c>
      <c r="K15" s="75">
        <f>LOOKUP(2, 1/('BA History S2'!$B:$B=A15), 'BA History S2'!$AH:$AH)</f>
        <v>1</v>
      </c>
      <c r="L15" s="34">
        <f>SUMIFS('BA History S2'!H:H,'BA History S2'!B:B,A15)</f>
        <v>9</v>
      </c>
      <c r="M15" s="2">
        <f>SUMIFS('BA History S2'!G:G,'BA History S2'!B:B,A15)-L15</f>
        <v>4</v>
      </c>
      <c r="N15" s="89">
        <f>LOOKUP(2, 1/('BA History S2'!$B:$B=A15), 'BA History S2'!$AI:$AI)</f>
        <v>0.69</v>
      </c>
      <c r="O15" s="2">
        <f>COUNTIFS('BA History S2'!$B:$B,$A$15,'BA History S2'!K:K, 1)</f>
        <v>0</v>
      </c>
      <c r="P15" s="2">
        <f>COUNTIFS('BA History S2'!$B:$B,$A$15,'BA History S2'!L:L, 1)</f>
        <v>1</v>
      </c>
      <c r="Q15" s="2">
        <f>COUNTIFS('BA History S2'!$B:$B,$A$15,'BA History S2'!M:M, 1)</f>
        <v>0</v>
      </c>
      <c r="R15" s="2">
        <f>COUNTIFS('BA History S2'!$B:$B,$A$15,'BA History S2'!N:N, 1)</f>
        <v>0</v>
      </c>
      <c r="S15" s="2">
        <f>COUNTIFS('BA History S2'!$B:$B,$A$15,'BA History S2'!O:O, 1)</f>
        <v>0</v>
      </c>
      <c r="T15" s="2">
        <f>COUNTIFS('BA History S2'!$B:$B,$A$15,'BA History S2'!P:P, 1)</f>
        <v>0</v>
      </c>
      <c r="U15" s="2">
        <f>COUNTIFS('BA History S2'!$B:$B,$A$15,'BA History S2'!Q:Q, 1)</f>
        <v>0</v>
      </c>
      <c r="V15" s="2">
        <f>COUNTIFS('BA History S2'!$B:$B,$A$15,'BA History S2'!R:R, 1)</f>
        <v>0</v>
      </c>
      <c r="W15" s="2">
        <f>COUNTIFS('BA History S2'!$B:$B,$A$15,'BA History S2'!S:S, 1)</f>
        <v>0</v>
      </c>
      <c r="X15" s="2">
        <f>COUNTIFS('BA History S2'!$B:$B,$A$15,'BA History S2'!T:T, 1)</f>
        <v>0</v>
      </c>
      <c r="Y15" s="2">
        <f>COUNTIFS('BA History S2'!$B:$B,$A$15,'BA History S2'!U:U, 1)</f>
        <v>0</v>
      </c>
      <c r="Z15" s="2">
        <f>COUNTIFS('BA History S2'!$B:$B,$A$15,'BA History S2'!V:V, 1)</f>
        <v>0</v>
      </c>
      <c r="AA15" s="2">
        <f>COUNTIFS('BA History S2'!$B:$B,$A$15,'BA History S2'!W:W, 1)</f>
        <v>0</v>
      </c>
      <c r="AB15" s="2">
        <f>COUNTIFS('BA History S2'!$B:$B,$A$15,'BA History S2'!X:X, 1)</f>
        <v>0</v>
      </c>
      <c r="AC15" s="2">
        <f>COUNTIFS('BA History S2'!$B:$B,$A$15,'BA History S2'!Y:Y, 1)</f>
        <v>0</v>
      </c>
      <c r="AD15" s="2">
        <f>COUNTIFS('BA History S2'!$B:$B,$A$15,'BA History S2'!Z:Z, 1)</f>
        <v>0</v>
      </c>
      <c r="AE15" s="2">
        <f>COUNTIFS('BA History S2'!$B:$B,$A$15,'BA History S2'!AA:AA, 1)</f>
        <v>0</v>
      </c>
      <c r="AF15" s="2">
        <f>COUNTIFS('BA History S2'!$B:$B,$A$15,'BA History S2'!AB:AB, 1)</f>
        <v>0</v>
      </c>
      <c r="AG15" s="2">
        <f>COUNTIFS('BA History S2'!$B:$B,$A$15,'BA History S2'!AC:AC, 1)</f>
        <v>1</v>
      </c>
      <c r="AH15" s="2">
        <f>COUNTIFS('BA History S2'!$B:$B,$A$15,'BA History S2'!AD:AD, 1)</f>
        <v>0</v>
      </c>
      <c r="AI15" s="2">
        <f>COUNTIFS('BA History S2'!$B:$B,$A$15,'BA History S2'!AE:AE, 1)</f>
        <v>0</v>
      </c>
      <c r="AJ15" s="2">
        <f>COUNTIFS('BA History S2'!$B:$B,$A$15,'BA History S2'!AF:AF, 1)</f>
        <v>1</v>
      </c>
    </row>
    <row r="16" spans="1:36" x14ac:dyDescent="0.25">
      <c r="A16" s="2" t="s">
        <v>142</v>
      </c>
      <c r="B16" s="2" t="s">
        <v>79</v>
      </c>
      <c r="C16" s="34">
        <f>SUMIFS('BA History S2'!C:C,'BA History S2'!B:B,A16)</f>
        <v>15</v>
      </c>
      <c r="D16" s="66">
        <f>AVERAGEIFS('BA History S2'!C:C,'BA History S2'!B:B,A16)</f>
        <v>7.5</v>
      </c>
      <c r="E16" s="35">
        <f t="array" ref="E16">MAX(IF('BA History S2'!B:B=A16, 'BA History S2'!C:C))</f>
        <v>14</v>
      </c>
      <c r="F16" s="34">
        <f>COUNTIFS('BA History S2'!B:B,A16,'BA History S2'!D:D, 1)</f>
        <v>1</v>
      </c>
      <c r="G16" s="2">
        <f>COUNTIFS('BA History S2'!B:B,A16,'BA History S2'!D:D, 0)</f>
        <v>1</v>
      </c>
      <c r="H16" s="75">
        <f>LOOKUP(2, 1/('BA History S2'!$B:$B=A16), 'BA History S2'!$AJ:$AJ)</f>
        <v>0.5</v>
      </c>
      <c r="I16" s="34">
        <f>SUMIFS('BA History S2'!F:F,'BA History S2'!B:B,A16)</f>
        <v>3</v>
      </c>
      <c r="J16" s="2">
        <f>SUMIFS('BA History S2'!E:E,'BA History S2'!B:B,A16)-I16</f>
        <v>5</v>
      </c>
      <c r="K16" s="75">
        <f>LOOKUP(2, 1/('BA History S2'!$B:$B=A16), 'BA History S2'!$AH:$AH)</f>
        <v>0.3</v>
      </c>
      <c r="L16" s="34">
        <f>SUMIFS('BA History S2'!H:H,'BA History S2'!B:B,A16)</f>
        <v>16</v>
      </c>
      <c r="M16" s="2">
        <f>SUMIFS('BA History S2'!G:G,'BA History S2'!B:B,A16)-L16</f>
        <v>17</v>
      </c>
      <c r="N16" s="89">
        <f>LOOKUP(2, 1/('BA History S2'!$B:$B=A16), 'BA History S2'!$AI:$AI)</f>
        <v>0.45499999999999996</v>
      </c>
      <c r="O16" s="2">
        <f>COUNTIFS('BA History S2'!$B:$B,$A$16,'BA History S2'!K:K, 1)</f>
        <v>0</v>
      </c>
      <c r="P16" s="2">
        <f>COUNTIFS('BA History S2'!$B:$B,$A$16,'BA History S2'!L:L, 1)</f>
        <v>1</v>
      </c>
      <c r="Q16" s="2">
        <f>COUNTIFS('BA History S2'!$B:$B,$A$16,'BA History S2'!M:M, 1)</f>
        <v>0</v>
      </c>
      <c r="R16" s="2">
        <f>COUNTIFS('BA History S2'!$B:$B,$A$16,'BA History S2'!N:N, 1)</f>
        <v>1</v>
      </c>
      <c r="S16" s="2">
        <f>COUNTIFS('BA History S2'!$B:$B,$A$16,'BA History S2'!O:O, 1)</f>
        <v>0</v>
      </c>
      <c r="T16" s="2">
        <f>COUNTIFS('BA History S2'!$B:$B,$A$16,'BA History S2'!P:P, 1)</f>
        <v>0</v>
      </c>
      <c r="U16" s="2">
        <f>COUNTIFS('BA History S2'!$B:$B,$A$16,'BA History S2'!Q:Q, 1)</f>
        <v>0</v>
      </c>
      <c r="V16" s="2">
        <f>COUNTIFS('BA History S2'!$B:$B,$A$16,'BA History S2'!R:R, 1)</f>
        <v>0</v>
      </c>
      <c r="W16" s="2">
        <f>COUNTIFS('BA History S2'!$B:$B,$A$16,'BA History S2'!S:S, 1)</f>
        <v>0</v>
      </c>
      <c r="X16" s="2">
        <f>COUNTIFS('BA History S2'!$B:$B,$A$16,'BA History S2'!T:T, 1)</f>
        <v>0</v>
      </c>
      <c r="Y16" s="2">
        <f>COUNTIFS('BA History S2'!$B:$B,$A$16,'BA History S2'!U:U, 1)</f>
        <v>0</v>
      </c>
      <c r="Z16" s="2">
        <f>COUNTIFS('BA History S2'!$B:$B,$A$16,'BA History S2'!V:V, 1)</f>
        <v>0</v>
      </c>
      <c r="AA16" s="2">
        <f>COUNTIFS('BA History S2'!$B:$B,$A$16,'BA History S2'!W:W, 1)</f>
        <v>0</v>
      </c>
      <c r="AB16" s="2">
        <f>COUNTIFS('BA History S2'!$B:$B,$A$16,'BA History S2'!X:X, 1)</f>
        <v>0</v>
      </c>
      <c r="AC16" s="2">
        <f>COUNTIFS('BA History S2'!$B:$B,$A$16,'BA History S2'!Y:Y, 1)</f>
        <v>0</v>
      </c>
      <c r="AD16" s="2">
        <f>COUNTIFS('BA History S2'!$B:$B,$A$16,'BA History S2'!Z:Z, 1)</f>
        <v>0</v>
      </c>
      <c r="AE16" s="2">
        <f>COUNTIFS('BA History S2'!$B:$B,$A$16,'BA History S2'!AA:AA, 1)</f>
        <v>0</v>
      </c>
      <c r="AF16" s="2">
        <f>COUNTIFS('BA History S2'!$B:$B,$A$16,'BA History S2'!AB:AB, 1)</f>
        <v>0</v>
      </c>
      <c r="AG16" s="2">
        <f>COUNTIFS('BA History S2'!$B:$B,$A$16,'BA History S2'!AC:AC, 1)</f>
        <v>1</v>
      </c>
      <c r="AH16" s="2">
        <f>COUNTIFS('BA History S2'!$B:$B,$A$16,'BA History S2'!AD:AD, 1)</f>
        <v>0</v>
      </c>
      <c r="AI16" s="2">
        <f>COUNTIFS('BA History S2'!$B:$B,$A$16,'BA History S2'!AE:AE, 1)</f>
        <v>0</v>
      </c>
      <c r="AJ16" s="2">
        <f>COUNTIFS('BA History S2'!$B:$B,$A$16,'BA History S2'!AF:AF, 1)</f>
        <v>0</v>
      </c>
    </row>
    <row r="17" spans="1:36" x14ac:dyDescent="0.25">
      <c r="A17" s="2" t="s">
        <v>40</v>
      </c>
      <c r="B17" s="2" t="s">
        <v>79</v>
      </c>
      <c r="C17" s="34">
        <f>SUMIFS('BA History S2'!C:C,'BA History S2'!B:B,A17)</f>
        <v>56</v>
      </c>
      <c r="D17" s="66">
        <f>AVERAGEIFS('BA History S2'!C:C,'BA History S2'!B:B,A17)</f>
        <v>18.666666666666668</v>
      </c>
      <c r="E17" s="35">
        <f t="array" ref="E17">MAX(IF('BA History S2'!B:B=A17, 'BA History S2'!C:C))</f>
        <v>25</v>
      </c>
      <c r="F17" s="34">
        <f>COUNTIFS('BA History S2'!B:B,A17,'BA History S2'!D:D, 1)</f>
        <v>3</v>
      </c>
      <c r="G17" s="2">
        <f>COUNTIFS('BA History S2'!B:B,A17,'BA History S2'!D:D, 0)</f>
        <v>0</v>
      </c>
      <c r="H17" s="75">
        <f>LOOKUP(2, 1/('BA History S2'!$B:$B=A17), 'BA History S2'!$AJ:$AJ)</f>
        <v>1</v>
      </c>
      <c r="I17" s="34">
        <f>SUMIFS('BA History S2'!F:F,'BA History S2'!B:B,A17)</f>
        <v>9</v>
      </c>
      <c r="J17" s="2">
        <f>SUMIFS('BA History S2'!E:E,'BA History S2'!B:B,A17)-I17</f>
        <v>4</v>
      </c>
      <c r="K17" s="75">
        <f>LOOKUP(2, 1/('BA History S2'!$B:$B=A17), 'BA History S2'!$AH:$AH)</f>
        <v>0.70000000000000007</v>
      </c>
      <c r="L17" s="34">
        <f>SUMIFS('BA History S2'!H:H,'BA History S2'!B:B,A17)</f>
        <v>33</v>
      </c>
      <c r="M17" s="2">
        <f>SUMIFS('BA History S2'!G:G,'BA History S2'!B:B,A17)-L17</f>
        <v>23</v>
      </c>
      <c r="N17" s="89">
        <f>LOOKUP(2, 1/('BA History S2'!$B:$B=A17), 'BA History S2'!$AI:$AI)</f>
        <v>0.59</v>
      </c>
      <c r="O17" s="2">
        <f>COUNTIFS('BA History S2'!$B:$B,$A$17,'BA History S2'!K:K, 1)</f>
        <v>0</v>
      </c>
      <c r="P17" s="2">
        <f>COUNTIFS('BA History S2'!$B:$B,$A$17,'BA History S2'!L:L, 1)</f>
        <v>1</v>
      </c>
      <c r="Q17" s="2">
        <f>COUNTIFS('BA History S2'!$B:$B,$A$17,'BA History S2'!M:M, 1)</f>
        <v>2</v>
      </c>
      <c r="R17" s="2">
        <f>COUNTIFS('BA History S2'!$B:$B,$A$17,'BA History S2'!N:N, 1)</f>
        <v>1</v>
      </c>
      <c r="S17" s="2">
        <f>COUNTIFS('BA History S2'!$B:$B,$A$17,'BA History S2'!O:O, 1)</f>
        <v>0</v>
      </c>
      <c r="T17" s="2">
        <f>COUNTIFS('BA History S2'!$B:$B,$A$17,'BA History S2'!P:P, 1)</f>
        <v>0</v>
      </c>
      <c r="U17" s="2">
        <f>COUNTIFS('BA History S2'!$B:$B,$A$17,'BA History S2'!Q:Q, 1)</f>
        <v>1</v>
      </c>
      <c r="V17" s="2">
        <f>COUNTIFS('BA History S2'!$B:$B,$A$17,'BA History S2'!R:R, 1)</f>
        <v>0</v>
      </c>
      <c r="W17" s="2">
        <f>COUNTIFS('BA History S2'!$B:$B,$A$17,'BA History S2'!S:S, 1)</f>
        <v>0</v>
      </c>
      <c r="X17" s="2">
        <f>COUNTIFS('BA History S2'!$B:$B,$A$17,'BA History S2'!T:T, 1)</f>
        <v>0</v>
      </c>
      <c r="Y17" s="2">
        <f>COUNTIFS('BA History S2'!$B:$B,$A$17,'BA History S2'!U:U, 1)</f>
        <v>0</v>
      </c>
      <c r="Z17" s="2">
        <f>COUNTIFS('BA History S2'!$B:$B,$A$17,'BA History S2'!V:V, 1)</f>
        <v>0</v>
      </c>
      <c r="AA17" s="2">
        <f>COUNTIFS('BA History S2'!$B:$B,$A$17,'BA History S2'!W:W, 1)</f>
        <v>0</v>
      </c>
      <c r="AB17" s="2">
        <f>COUNTIFS('BA History S2'!$B:$B,$A$17,'BA History S2'!X:X, 1)</f>
        <v>0</v>
      </c>
      <c r="AC17" s="2">
        <f>COUNTIFS('BA History S2'!$B:$B,$A$17,'BA History S2'!Y:Y, 1)</f>
        <v>0</v>
      </c>
      <c r="AD17" s="2">
        <f>COUNTIFS('BA History S2'!$B:$B,$A$17,'BA History S2'!Z:Z, 1)</f>
        <v>1</v>
      </c>
      <c r="AE17" s="2">
        <f>COUNTIFS('BA History S2'!$B:$B,$A$17,'BA History S2'!AA:AA, 1)</f>
        <v>0</v>
      </c>
      <c r="AF17" s="2">
        <f>COUNTIFS('BA History S2'!$B:$B,$A$17,'BA History S2'!AB:AB, 1)</f>
        <v>1</v>
      </c>
      <c r="AG17" s="2">
        <f>COUNTIFS('BA History S2'!$B:$B,$A$17,'BA History S2'!AC:AC, 1)</f>
        <v>1</v>
      </c>
      <c r="AH17" s="2">
        <f>COUNTIFS('BA History S2'!$B:$B,$A$17,'BA History S2'!AD:AD, 1)</f>
        <v>1</v>
      </c>
      <c r="AI17" s="2">
        <f>COUNTIFS('BA History S2'!$B:$B,$A$17,'BA History S2'!AE:AE, 1)</f>
        <v>0</v>
      </c>
      <c r="AJ17" s="2">
        <f>COUNTIFS('BA History S2'!$B:$B,$A$17,'BA History S2'!AF:AF, 1)</f>
        <v>0</v>
      </c>
    </row>
    <row r="18" spans="1:36" x14ac:dyDescent="0.25">
      <c r="A18" s="2" t="s">
        <v>148</v>
      </c>
      <c r="B18" s="2" t="s">
        <v>79</v>
      </c>
      <c r="C18" s="34">
        <f>SUMIFS('BA History S2'!C:C,'BA History S2'!B:B,A18)</f>
        <v>15</v>
      </c>
      <c r="D18" s="66">
        <f>AVERAGEIFS('BA History S2'!C:C,'BA History S2'!B:B,A18)</f>
        <v>15</v>
      </c>
      <c r="E18" s="35">
        <f t="array" ref="E18">MAX(IF('BA History S2'!B:B=A18, 'BA History S2'!C:C))</f>
        <v>15</v>
      </c>
      <c r="F18" s="34">
        <f>COUNTIFS('BA History S2'!B:B,A18,'BA History S2'!D:D, 1)</f>
        <v>0</v>
      </c>
      <c r="G18" s="2">
        <f>COUNTIFS('BA History S2'!B:B,A18,'BA History S2'!D:D, 0)</f>
        <v>1</v>
      </c>
      <c r="H18" s="75">
        <f>LOOKUP(2, 1/('BA History S2'!$B:$B=A18), 'BA History S2'!$AJ:$AJ)</f>
        <v>0</v>
      </c>
      <c r="I18" s="34">
        <f>SUMIFS('BA History S2'!F:F,'BA History S2'!B:B,A18)</f>
        <v>1</v>
      </c>
      <c r="J18" s="2">
        <f>SUMIFS('BA History S2'!E:E,'BA History S2'!B:B,A18)-I18</f>
        <v>3</v>
      </c>
      <c r="K18" s="75">
        <f>LOOKUP(2, 1/('BA History S2'!$B:$B=A18), 'BA History S2'!$AH:$AH)</f>
        <v>0.25</v>
      </c>
      <c r="L18" s="34">
        <f>SUMIFS('BA History S2'!H:H,'BA History S2'!B:B,A18)</f>
        <v>8</v>
      </c>
      <c r="M18" s="2">
        <f>SUMIFS('BA History S2'!G:G,'BA History S2'!B:B,A18)-L18</f>
        <v>10</v>
      </c>
      <c r="N18" s="89">
        <f>LOOKUP(2, 1/('BA History S2'!$B:$B=A18), 'BA History S2'!$AI:$AI)</f>
        <v>0.44</v>
      </c>
      <c r="O18" s="2">
        <f>COUNTIFS('BA History S2'!$B:$B,$A$18,'BA History S2'!K:K, 1)</f>
        <v>0</v>
      </c>
      <c r="P18" s="2">
        <f>COUNTIFS('BA History S2'!$B:$B,$A$18,'BA History S2'!L:L, 1)</f>
        <v>0</v>
      </c>
      <c r="Q18" s="2">
        <f>COUNTIFS('BA History S2'!$B:$B,$A$18,'BA History S2'!M:M, 1)</f>
        <v>0</v>
      </c>
      <c r="R18" s="2">
        <f>COUNTIFS('BA History S2'!$B:$B,$A$18,'BA History S2'!N:N, 1)</f>
        <v>0</v>
      </c>
      <c r="S18" s="2">
        <f>COUNTIFS('BA History S2'!$B:$B,$A$18,'BA History S2'!O:O, 1)</f>
        <v>0</v>
      </c>
      <c r="T18" s="2">
        <f>COUNTIFS('BA History S2'!$B:$B,$A$18,'BA History S2'!P:P, 1)</f>
        <v>0</v>
      </c>
      <c r="U18" s="2">
        <f>COUNTIFS('BA History S2'!$B:$B,$A$18,'BA History S2'!Q:Q, 1)</f>
        <v>0</v>
      </c>
      <c r="V18" s="2">
        <f>COUNTIFS('BA History S2'!$B:$B,$A$18,'BA History S2'!R:R, 1)</f>
        <v>0</v>
      </c>
      <c r="W18" s="2">
        <f>COUNTIFS('BA History S2'!$B:$B,$A$18,'BA History S2'!S:S, 1)</f>
        <v>0</v>
      </c>
      <c r="X18" s="2">
        <f>COUNTIFS('BA History S2'!$B:$B,$A$18,'BA History S2'!T:T, 1)</f>
        <v>0</v>
      </c>
      <c r="Y18" s="2">
        <f>COUNTIFS('BA History S2'!$B:$B,$A$18,'BA History S2'!U:U, 1)</f>
        <v>0</v>
      </c>
      <c r="Z18" s="2">
        <f>COUNTIFS('BA History S2'!$B:$B,$A$18,'BA History S2'!V:V, 1)</f>
        <v>0</v>
      </c>
      <c r="AA18" s="2">
        <f>COUNTIFS('BA History S2'!$B:$B,$A$18,'BA History S2'!W:W, 1)</f>
        <v>0</v>
      </c>
      <c r="AB18" s="2">
        <f>COUNTIFS('BA History S2'!$B:$B,$A$18,'BA History S2'!X:X, 1)</f>
        <v>0</v>
      </c>
      <c r="AC18" s="2">
        <f>COUNTIFS('BA History S2'!$B:$B,$A$18,'BA History S2'!Y:Y, 1)</f>
        <v>0</v>
      </c>
      <c r="AD18" s="2">
        <f>COUNTIFS('BA History S2'!$B:$B,$A$18,'BA History S2'!Z:Z, 1)</f>
        <v>0</v>
      </c>
      <c r="AE18" s="2">
        <f>COUNTIFS('BA History S2'!$B:$B,$A$18,'BA History S2'!AA:AA, 1)</f>
        <v>0</v>
      </c>
      <c r="AF18" s="2">
        <f>COUNTIFS('BA History S2'!$B:$B,$A$18,'BA History S2'!AB:AB, 1)</f>
        <v>1</v>
      </c>
      <c r="AG18" s="2">
        <f>COUNTIFS('BA History S2'!$B:$B,$A$18,'BA History S2'!AC:AC, 1)</f>
        <v>0</v>
      </c>
      <c r="AH18" s="2">
        <f>COUNTIFS('BA History S2'!$B:$B,$A$18,'BA History S2'!AD:AD, 1)</f>
        <v>0</v>
      </c>
      <c r="AI18" s="2">
        <f>COUNTIFS('BA History S2'!$B:$B,$A$18,'BA History S2'!AE:AE, 1)</f>
        <v>0</v>
      </c>
      <c r="AJ18" s="2">
        <f>COUNTIFS('BA History S2'!$B:$B,$A$18,'BA History S2'!AF:AF, 1)</f>
        <v>0</v>
      </c>
    </row>
    <row r="19" spans="1:36" x14ac:dyDescent="0.25">
      <c r="A19" s="2" t="s">
        <v>17</v>
      </c>
      <c r="B19" s="2" t="s">
        <v>79</v>
      </c>
      <c r="C19" s="34">
        <f>SUMIFS('BA History S2'!C:C,'BA History S2'!B:B,A19)</f>
        <v>38</v>
      </c>
      <c r="D19" s="66">
        <f>AVERAGEIFS('BA History S2'!C:C,'BA History S2'!B:B,A19)</f>
        <v>19</v>
      </c>
      <c r="E19" s="35">
        <f t="array" ref="E19">MAX(IF('BA History S2'!B:B=A19, 'BA History S2'!C:C))</f>
        <v>19</v>
      </c>
      <c r="F19" s="34">
        <f>COUNTIFS('BA History S2'!B:B,A19,'BA History S2'!D:D, 1)</f>
        <v>2</v>
      </c>
      <c r="G19" s="2">
        <f>COUNTIFS('BA History S2'!B:B,A19,'BA History S2'!D:D, 0)</f>
        <v>0</v>
      </c>
      <c r="H19" s="75">
        <f>LOOKUP(2, 1/('BA History S2'!$B:$B=A19), 'BA History S2'!$AJ:$AJ)</f>
        <v>1</v>
      </c>
      <c r="I19" s="34">
        <f>SUMIFS('BA History S2'!F:F,'BA History S2'!B:B,A19)</f>
        <v>6</v>
      </c>
      <c r="J19" s="2">
        <f>SUMIFS('BA History S2'!E:E,'BA History S2'!B:B,A19)-I19</f>
        <v>2</v>
      </c>
      <c r="K19" s="75">
        <f>LOOKUP(2, 1/('BA History S2'!$B:$B=A19), 'BA History S2'!$AH:$AH)</f>
        <v>0.75</v>
      </c>
      <c r="L19" s="34">
        <f>SUMIFS('BA History S2'!H:H,'BA History S2'!B:B,A19)</f>
        <v>21</v>
      </c>
      <c r="M19" s="2">
        <f>SUMIFS('BA History S2'!G:G,'BA History S2'!B:B,A19)-L19</f>
        <v>15</v>
      </c>
      <c r="N19" s="89">
        <f>LOOKUP(2, 1/('BA History S2'!$B:$B=A19), 'BA History S2'!$AI:$AI)</f>
        <v>0.58499999999999996</v>
      </c>
      <c r="O19" s="2">
        <f>COUNTIFS('BA History S2'!$B:$B,$A$19,'BA History S2'!K:K, 1)</f>
        <v>0</v>
      </c>
      <c r="P19" s="2">
        <f>COUNTIFS('BA History S2'!$B:$B,$A$19,'BA History S2'!L:L, 1)</f>
        <v>0</v>
      </c>
      <c r="Q19" s="2">
        <f>COUNTIFS('BA History S2'!$B:$B,$A$19,'BA History S2'!M:M, 1)</f>
        <v>2</v>
      </c>
      <c r="R19" s="2">
        <f>COUNTIFS('BA History S2'!$B:$B,$A$19,'BA History S2'!N:N, 1)</f>
        <v>0</v>
      </c>
      <c r="S19" s="2">
        <f>COUNTIFS('BA History S2'!$B:$B,$A$19,'BA History S2'!O:O, 1)</f>
        <v>0</v>
      </c>
      <c r="T19" s="2">
        <f>COUNTIFS('BA History S2'!$B:$B,$A$19,'BA History S2'!P:P, 1)</f>
        <v>0</v>
      </c>
      <c r="U19" s="2">
        <f>COUNTIFS('BA History S2'!$B:$B,$A$19,'BA History S2'!Q:Q, 1)</f>
        <v>1</v>
      </c>
      <c r="V19" s="2">
        <f>COUNTIFS('BA History S2'!$B:$B,$A$19,'BA History S2'!R:R, 1)</f>
        <v>0</v>
      </c>
      <c r="W19" s="2">
        <f>COUNTIFS('BA History S2'!$B:$B,$A$19,'BA History S2'!S:S, 1)</f>
        <v>0</v>
      </c>
      <c r="X19" s="2">
        <f>COUNTIFS('BA History S2'!$B:$B,$A$19,'BA History S2'!T:T, 1)</f>
        <v>0</v>
      </c>
      <c r="Y19" s="2">
        <f>COUNTIFS('BA History S2'!$B:$B,$A$19,'BA History S2'!U:U, 1)</f>
        <v>0</v>
      </c>
      <c r="Z19" s="2">
        <f>COUNTIFS('BA History S2'!$B:$B,$A$19,'BA History S2'!V:V, 1)</f>
        <v>0</v>
      </c>
      <c r="AA19" s="2">
        <f>COUNTIFS('BA History S2'!$B:$B,$A$19,'BA History S2'!W:W, 1)</f>
        <v>0</v>
      </c>
      <c r="AB19" s="2">
        <f>COUNTIFS('BA History S2'!$B:$B,$A$19,'BA History S2'!X:X, 1)</f>
        <v>0</v>
      </c>
      <c r="AC19" s="2">
        <f>COUNTIFS('BA History S2'!$B:$B,$A$19,'BA History S2'!Y:Y, 1)</f>
        <v>0</v>
      </c>
      <c r="AD19" s="2">
        <f>COUNTIFS('BA History S2'!$B:$B,$A$19,'BA History S2'!Z:Z, 1)</f>
        <v>1</v>
      </c>
      <c r="AE19" s="2">
        <f>COUNTIFS('BA History S2'!$B:$B,$A$19,'BA History S2'!AA:AA, 1)</f>
        <v>0</v>
      </c>
      <c r="AF19" s="2">
        <f>COUNTIFS('BA History S2'!$B:$B,$A$19,'BA History S2'!AB:AB, 1)</f>
        <v>1</v>
      </c>
      <c r="AG19" s="2">
        <f>COUNTIFS('BA History S2'!$B:$B,$A$19,'BA History S2'!AC:AC, 1)</f>
        <v>0</v>
      </c>
      <c r="AH19" s="2">
        <f>COUNTIFS('BA History S2'!$B:$B,$A$19,'BA History S2'!AD:AD, 1)</f>
        <v>1</v>
      </c>
      <c r="AI19" s="2">
        <f>COUNTIFS('BA History S2'!$B:$B,$A$19,'BA History S2'!AE:AE, 1)</f>
        <v>0</v>
      </c>
      <c r="AJ19" s="2">
        <f>COUNTIFS('BA History S2'!$B:$B,$A$19,'BA History S2'!AF:AF, 1)</f>
        <v>0</v>
      </c>
    </row>
    <row r="20" spans="1:36" ht="15.75" x14ac:dyDescent="0.25">
      <c r="A20" s="2" t="s">
        <v>6</v>
      </c>
      <c r="B20" s="80" t="s">
        <v>60</v>
      </c>
      <c r="C20" s="34">
        <f>SUMIFS('BA History S2'!C:C,'BA History S2'!B:B,A20)</f>
        <v>66</v>
      </c>
      <c r="D20" s="66">
        <f>AVERAGEIFS('BA History S2'!C:C,'BA History S2'!B:B,A20)</f>
        <v>22</v>
      </c>
      <c r="E20" s="35">
        <f t="array" ref="E20">MAX(IF('BA History S2'!B:B=A20, 'BA History S2'!C:C))</f>
        <v>27</v>
      </c>
      <c r="F20" s="34">
        <f>COUNTIFS('BA History S2'!B:B,A20,'BA History S2'!D:D, 1)</f>
        <v>3</v>
      </c>
      <c r="G20" s="2">
        <f>COUNTIFS('BA History S2'!B:B,A20,'BA History S2'!D:D, 0)</f>
        <v>0</v>
      </c>
      <c r="H20" s="75">
        <f>LOOKUP(2, 1/('BA History S2'!$B:$B=A20), 'BA History S2'!$AJ:$AJ)</f>
        <v>1</v>
      </c>
      <c r="I20" s="34">
        <f>SUMIFS('BA History S2'!F:F,'BA History S2'!B:B,A20)</f>
        <v>9</v>
      </c>
      <c r="J20" s="2">
        <f>SUMIFS('BA History S2'!E:E,'BA History S2'!B:B,A20)-I20</f>
        <v>4</v>
      </c>
      <c r="K20" s="75">
        <f>LOOKUP(2, 1/('BA History S2'!$B:$B=A20), 'BA History S2'!$AH:$AH)</f>
        <v>0.70000000000000007</v>
      </c>
      <c r="L20" s="34">
        <f>SUMIFS('BA History S2'!H:H,'BA History S2'!B:B,A20)</f>
        <v>33</v>
      </c>
      <c r="M20" s="2">
        <f>SUMIFS('BA History S2'!G:G,'BA History S2'!B:B,A20)-L20</f>
        <v>23</v>
      </c>
      <c r="N20" s="89">
        <f>LOOKUP(2, 1/('BA History S2'!$B:$B=A20), 'BA History S2'!$AI:$AI)</f>
        <v>0.59</v>
      </c>
      <c r="O20" s="2">
        <f>COUNTIFS('BA History S2'!$B:$B,$A$20,'BA History S2'!K:K, 1)</f>
        <v>0</v>
      </c>
      <c r="P20" s="2">
        <f>COUNTIFS('BA History S2'!$B:$B,$A$20,'BA History S2'!L:L, 1)</f>
        <v>1</v>
      </c>
      <c r="Q20" s="2">
        <f>COUNTIFS('BA History S2'!$B:$B,$A$20,'BA History S2'!M:M, 1)</f>
        <v>2</v>
      </c>
      <c r="R20" s="2">
        <f>COUNTIFS('BA History S2'!$B:$B,$A$20,'BA History S2'!N:N, 1)</f>
        <v>1</v>
      </c>
      <c r="S20" s="2">
        <f>COUNTIFS('BA History S2'!$B:$B,$A$20,'BA History S2'!O:O, 1)</f>
        <v>0</v>
      </c>
      <c r="T20" s="2">
        <f>COUNTIFS('BA History S2'!$B:$B,$A$20,'BA History S2'!P:P, 1)</f>
        <v>0</v>
      </c>
      <c r="U20" s="2">
        <f>COUNTIFS('BA History S2'!$B:$B,$A$20,'BA History S2'!Q:Q, 1)</f>
        <v>1</v>
      </c>
      <c r="V20" s="2">
        <f>COUNTIFS('BA History S2'!$B:$B,$A$20,'BA History S2'!R:R, 1)</f>
        <v>0</v>
      </c>
      <c r="W20" s="2">
        <f>COUNTIFS('BA History S2'!$B:$B,$A$20,'BA History S2'!S:S, 1)</f>
        <v>0</v>
      </c>
      <c r="X20" s="2">
        <f>COUNTIFS('BA History S2'!$B:$B,$A$20,'BA History S2'!T:T, 1)</f>
        <v>0</v>
      </c>
      <c r="Y20" s="2">
        <f>COUNTIFS('BA History S2'!$B:$B,$A$20,'BA History S2'!U:U, 1)</f>
        <v>0</v>
      </c>
      <c r="Z20" s="2">
        <f>COUNTIFS('BA History S2'!$B:$B,$A$20,'BA History S2'!V:V, 1)</f>
        <v>0</v>
      </c>
      <c r="AA20" s="2">
        <f>COUNTIFS('BA History S2'!$B:$B,$A$20,'BA History S2'!W:W, 1)</f>
        <v>0</v>
      </c>
      <c r="AB20" s="2">
        <f>COUNTIFS('BA History S2'!$B:$B,$A$20,'BA History S2'!X:X, 1)</f>
        <v>0</v>
      </c>
      <c r="AC20" s="2">
        <f>COUNTIFS('BA History S2'!$B:$B,$A$20,'BA History S2'!Y:Y, 1)</f>
        <v>0</v>
      </c>
      <c r="AD20" s="2">
        <f>COUNTIFS('BA History S2'!$B:$B,$A$20,'BA History S2'!Z:Z, 1)</f>
        <v>1</v>
      </c>
      <c r="AE20" s="2">
        <f>COUNTIFS('BA History S2'!$B:$B,$A$20,'BA History S2'!AA:AA, 1)</f>
        <v>0</v>
      </c>
      <c r="AF20" s="2">
        <f>COUNTIFS('BA History S2'!$B:$B,$A$20,'BA History S2'!AB:AB, 1)</f>
        <v>1</v>
      </c>
      <c r="AG20" s="2">
        <f>COUNTIFS('BA History S2'!$B:$B,$A$20,'BA History S2'!AC:AC, 1)</f>
        <v>1</v>
      </c>
      <c r="AH20" s="2">
        <f>COUNTIFS('BA History S2'!$B:$B,$A$20,'BA History S2'!AD:AD, 1)</f>
        <v>1</v>
      </c>
      <c r="AI20" s="2">
        <f>COUNTIFS('BA History S2'!$B:$B,$A$20,'BA History S2'!AE:AE, 1)</f>
        <v>0</v>
      </c>
      <c r="AJ20" s="2">
        <f>COUNTIFS('BA History S2'!$B:$B,$A$20,'BA History S2'!AF:AF, 1)</f>
        <v>0</v>
      </c>
    </row>
    <row r="21" spans="1:36" x14ac:dyDescent="0.25">
      <c r="A21" s="2" t="s">
        <v>113</v>
      </c>
      <c r="B21" s="2" t="s">
        <v>79</v>
      </c>
      <c r="C21" s="34">
        <f>SUMIFS('BA History S2'!C:C,'BA History S2'!B:B,A21)</f>
        <v>32</v>
      </c>
      <c r="D21" s="66">
        <f>AVERAGEIFS('BA History S2'!C:C,'BA History S2'!B:B,A21)</f>
        <v>16</v>
      </c>
      <c r="E21" s="35">
        <f t="array" ref="E21">MAX(IF('BA History S2'!B:B=A21, 'BA History S2'!C:C))</f>
        <v>21</v>
      </c>
      <c r="F21" s="34">
        <f>COUNTIFS('BA History S2'!B:B,A21,'BA History S2'!D:D, 1)</f>
        <v>2</v>
      </c>
      <c r="G21" s="2">
        <f>COUNTIFS('BA History S2'!B:B,A21,'BA History S2'!D:D, 0)</f>
        <v>0</v>
      </c>
      <c r="H21" s="75">
        <f>LOOKUP(2, 1/('BA History S2'!$B:$B=A21), 'BA History S2'!$AJ:$AJ)</f>
        <v>1</v>
      </c>
      <c r="I21" s="34">
        <f>SUMIFS('BA History S2'!F:F,'BA History S2'!B:B,A21)</f>
        <v>6</v>
      </c>
      <c r="J21" s="2">
        <f>SUMIFS('BA History S2'!E:E,'BA History S2'!B:B,A21)-I21</f>
        <v>2</v>
      </c>
      <c r="K21" s="75">
        <f>LOOKUP(2, 1/('BA History S2'!$B:$B=A21), 'BA History S2'!$AH:$AH)</f>
        <v>0.8</v>
      </c>
      <c r="L21" s="34">
        <f>SUMIFS('BA History S2'!H:H,'BA History S2'!B:B,A21)</f>
        <v>21</v>
      </c>
      <c r="M21" s="2">
        <f>SUMIFS('BA History S2'!G:G,'BA History S2'!B:B,A21)-L21</f>
        <v>12</v>
      </c>
      <c r="N21" s="89">
        <f>LOOKUP(2, 1/('BA History S2'!$B:$B=A21), 'BA History S2'!$AI:$AI)</f>
        <v>0.64500000000000002</v>
      </c>
      <c r="O21" s="2">
        <f>COUNTIFS('BA History S2'!$B:$B,$A$21,'BA History S2'!K:K, 1)</f>
        <v>0</v>
      </c>
      <c r="P21" s="2">
        <f>COUNTIFS('BA History S2'!$B:$B,$A$21,'BA History S2'!L:L, 1)</f>
        <v>2</v>
      </c>
      <c r="Q21" s="2">
        <f>COUNTIFS('BA History S2'!$B:$B,$A$21,'BA History S2'!M:M, 1)</f>
        <v>0</v>
      </c>
      <c r="R21" s="2">
        <f>COUNTIFS('BA History S2'!$B:$B,$A$21,'BA History S2'!N:N, 1)</f>
        <v>1</v>
      </c>
      <c r="S21" s="2">
        <f>COUNTIFS('BA History S2'!$B:$B,$A$21,'BA History S2'!O:O, 1)</f>
        <v>0</v>
      </c>
      <c r="T21" s="2">
        <f>COUNTIFS('BA History S2'!$B:$B,$A$21,'BA History S2'!P:P, 1)</f>
        <v>0</v>
      </c>
      <c r="U21" s="2">
        <f>COUNTIFS('BA History S2'!$B:$B,$A$21,'BA History S2'!Q:Q, 1)</f>
        <v>0</v>
      </c>
      <c r="V21" s="2">
        <f>COUNTIFS('BA History S2'!$B:$B,$A$21,'BA History S2'!R:R, 1)</f>
        <v>0</v>
      </c>
      <c r="W21" s="2">
        <f>COUNTIFS('BA History S2'!$B:$B,$A$21,'BA History S2'!S:S, 1)</f>
        <v>0</v>
      </c>
      <c r="X21" s="2">
        <f>COUNTIFS('BA History S2'!$B:$B,$A$21,'BA History S2'!T:T, 1)</f>
        <v>0</v>
      </c>
      <c r="Y21" s="2">
        <f>COUNTIFS('BA History S2'!$B:$B,$A$21,'BA History S2'!U:U, 1)</f>
        <v>0</v>
      </c>
      <c r="Z21" s="2">
        <f>COUNTIFS('BA History S2'!$B:$B,$A$21,'BA History S2'!V:V, 1)</f>
        <v>0</v>
      </c>
      <c r="AA21" s="2">
        <f>COUNTIFS('BA History S2'!$B:$B,$A$21,'BA History S2'!W:W, 1)</f>
        <v>0</v>
      </c>
      <c r="AB21" s="2">
        <f>COUNTIFS('BA History S2'!$B:$B,$A$21,'BA History S2'!X:X, 1)</f>
        <v>0</v>
      </c>
      <c r="AC21" s="2">
        <f>COUNTIFS('BA History S2'!$B:$B,$A$21,'BA History S2'!Y:Y, 1)</f>
        <v>0</v>
      </c>
      <c r="AD21" s="2">
        <f>COUNTIFS('BA History S2'!$B:$B,$A$21,'BA History S2'!Z:Z, 1)</f>
        <v>0</v>
      </c>
      <c r="AE21" s="2">
        <f>COUNTIFS('BA History S2'!$B:$B,$A$21,'BA History S2'!AA:AA, 1)</f>
        <v>0</v>
      </c>
      <c r="AF21" s="2">
        <f>COUNTIFS('BA History S2'!$B:$B,$A$21,'BA History S2'!AB:AB, 1)</f>
        <v>0</v>
      </c>
      <c r="AG21" s="2">
        <f>COUNTIFS('BA History S2'!$B:$B,$A$21,'BA History S2'!AC:AC, 1)</f>
        <v>2</v>
      </c>
      <c r="AH21" s="2">
        <f>COUNTIFS('BA History S2'!$B:$B,$A$21,'BA History S2'!AD:AD, 1)</f>
        <v>0</v>
      </c>
      <c r="AI21" s="2">
        <f>COUNTIFS('BA History S2'!$B:$B,$A$21,'BA History S2'!AE:AE, 1)</f>
        <v>0</v>
      </c>
      <c r="AJ21" s="2">
        <f>COUNTIFS('BA History S2'!$B:$B,$A$21,'BA History S2'!AF:AF, 1)</f>
        <v>1</v>
      </c>
    </row>
    <row r="22" spans="1:36" x14ac:dyDescent="0.25">
      <c r="A22" s="2" t="s">
        <v>14</v>
      </c>
      <c r="B22" s="2" t="s">
        <v>79</v>
      </c>
      <c r="C22" s="34">
        <f>SUMIFS('BA History S2'!C:C,'BA History S2'!B:B,A22)</f>
        <v>10</v>
      </c>
      <c r="D22" s="66">
        <f>AVERAGEIFS('BA History S2'!C:C,'BA History S2'!B:B,A22)</f>
        <v>10</v>
      </c>
      <c r="E22" s="35">
        <f t="array" ref="E22">MAX(IF('BA History S2'!B:B=A22, 'BA History S2'!C:C))</f>
        <v>10</v>
      </c>
      <c r="F22" s="34">
        <f>COUNTIFS('BA History S2'!B:B,A22,'BA History S2'!D:D, 1)</f>
        <v>0</v>
      </c>
      <c r="G22" s="2">
        <f>COUNTIFS('BA History S2'!B:B,A22,'BA History S2'!D:D, 0)</f>
        <v>1</v>
      </c>
      <c r="H22" s="75">
        <f>LOOKUP(2, 1/('BA History S2'!$B:$B=A22), 'BA History S2'!$AJ:$AJ)</f>
        <v>0</v>
      </c>
      <c r="I22" s="34">
        <f>SUMIFS('BA History S2'!F:F,'BA History S2'!B:B,A22)</f>
        <v>1</v>
      </c>
      <c r="J22" s="2">
        <f>SUMIFS('BA History S2'!E:E,'BA History S2'!B:B,A22)-I22</f>
        <v>3</v>
      </c>
      <c r="K22" s="75">
        <f>LOOKUP(2, 1/('BA History S2'!$B:$B=A22), 'BA History S2'!$AH:$AH)</f>
        <v>0.25</v>
      </c>
      <c r="L22" s="34">
        <f>SUMIFS('BA History S2'!H:H,'BA History S2'!B:B,A22)</f>
        <v>8</v>
      </c>
      <c r="M22" s="2">
        <f>SUMIFS('BA History S2'!G:G,'BA History S2'!B:B,A22)-L22</f>
        <v>10</v>
      </c>
      <c r="N22" s="89">
        <f>LOOKUP(2, 1/('BA History S2'!$B:$B=A22), 'BA History S2'!$AI:$AI)</f>
        <v>0.44</v>
      </c>
      <c r="O22" s="2">
        <f>COUNTIFS('BA History S2'!$B:$B,$A$22,'BA History S2'!K:K, 1)</f>
        <v>0</v>
      </c>
      <c r="P22" s="2">
        <f>COUNTIFS('BA History S2'!$B:$B,$A$22,'BA History S2'!L:L, 1)</f>
        <v>0</v>
      </c>
      <c r="Q22" s="2">
        <f>COUNTIFS('BA History S2'!$B:$B,$A$22,'BA History S2'!M:M, 1)</f>
        <v>0</v>
      </c>
      <c r="R22" s="2">
        <f>COUNTIFS('BA History S2'!$B:$B,$A$22,'BA History S2'!N:N, 1)</f>
        <v>0</v>
      </c>
      <c r="S22" s="2">
        <f>COUNTIFS('BA History S2'!$B:$B,$A$22,'BA History S2'!O:O, 1)</f>
        <v>0</v>
      </c>
      <c r="T22" s="2">
        <f>COUNTIFS('BA History S2'!$B:$B,$A$22,'BA History S2'!P:P, 1)</f>
        <v>0</v>
      </c>
      <c r="U22" s="2">
        <f>COUNTIFS('BA History S2'!$B:$B,$A$22,'BA History S2'!Q:Q, 1)</f>
        <v>0</v>
      </c>
      <c r="V22" s="2">
        <f>COUNTIFS('BA History S2'!$B:$B,$A$22,'BA History S2'!R:R, 1)</f>
        <v>0</v>
      </c>
      <c r="W22" s="2">
        <f>COUNTIFS('BA History S2'!$B:$B,$A$22,'BA History S2'!S:S, 1)</f>
        <v>0</v>
      </c>
      <c r="X22" s="2">
        <f>COUNTIFS('BA History S2'!$B:$B,$A$22,'BA History S2'!T:T, 1)</f>
        <v>0</v>
      </c>
      <c r="Y22" s="2">
        <f>COUNTIFS('BA History S2'!$B:$B,$A$22,'BA History S2'!U:U, 1)</f>
        <v>0</v>
      </c>
      <c r="Z22" s="2">
        <f>COUNTIFS('BA History S2'!$B:$B,$A$22,'BA History S2'!V:V, 1)</f>
        <v>0</v>
      </c>
      <c r="AA22" s="2">
        <f>COUNTIFS('BA History S2'!$B:$B,$A$22,'BA History S2'!W:W, 1)</f>
        <v>0</v>
      </c>
      <c r="AB22" s="2">
        <f>COUNTIFS('BA History S2'!$B:$B,$A$22,'BA History S2'!X:X, 1)</f>
        <v>0</v>
      </c>
      <c r="AC22" s="2">
        <f>COUNTIFS('BA History S2'!$B:$B,$A$22,'BA History S2'!Y:Y, 1)</f>
        <v>0</v>
      </c>
      <c r="AD22" s="2">
        <f>COUNTIFS('BA History S2'!$B:$B,$A$22,'BA History S2'!Z:Z, 1)</f>
        <v>0</v>
      </c>
      <c r="AE22" s="2">
        <f>COUNTIFS('BA History S2'!$B:$B,$A$22,'BA History S2'!AA:AA, 1)</f>
        <v>0</v>
      </c>
      <c r="AF22" s="2">
        <f>COUNTIFS('BA History S2'!$B:$B,$A$22,'BA History S2'!AB:AB, 1)</f>
        <v>1</v>
      </c>
      <c r="AG22" s="2">
        <f>COUNTIFS('BA History S2'!$B:$B,$A$22,'BA History S2'!AC:AC, 1)</f>
        <v>0</v>
      </c>
      <c r="AH22" s="2">
        <f>COUNTIFS('BA History S2'!$B:$B,$A$22,'BA History S2'!AD:AD, 1)</f>
        <v>0</v>
      </c>
      <c r="AI22" s="2">
        <f>COUNTIFS('BA History S2'!$B:$B,$A$22,'BA History S2'!AE:AE, 1)</f>
        <v>0</v>
      </c>
      <c r="AJ22" s="2">
        <f>COUNTIFS('BA History S2'!$B:$B,$A$22,'BA History S2'!AF:AF, 1)</f>
        <v>0</v>
      </c>
    </row>
    <row r="23" spans="1:36" ht="15.75" x14ac:dyDescent="0.25">
      <c r="A23" s="2" t="s">
        <v>4</v>
      </c>
      <c r="B23" s="80" t="s">
        <v>60</v>
      </c>
      <c r="C23" s="34">
        <f>SUMIFS('BA History S2'!C:C,'BA History S2'!B:B,A23)</f>
        <v>41</v>
      </c>
      <c r="D23" s="66">
        <f>AVERAGEIFS('BA History S2'!C:C,'BA History S2'!B:B,A23)</f>
        <v>20.5</v>
      </c>
      <c r="E23" s="35">
        <f t="array" ref="E23">MAX(IF('BA History S2'!B:B=A23, 'BA History S2'!C:C))</f>
        <v>25</v>
      </c>
      <c r="F23" s="34">
        <f>COUNTIFS('BA History S2'!B:B,A23,'BA History S2'!D:D, 1)</f>
        <v>2</v>
      </c>
      <c r="G23" s="2">
        <f>COUNTIFS('BA History S2'!B:B,A23,'BA History S2'!D:D, 0)</f>
        <v>0</v>
      </c>
      <c r="H23" s="75">
        <f>LOOKUP(2, 1/('BA History S2'!$B:$B=A23), 'BA History S2'!$AJ:$AJ)</f>
        <v>1</v>
      </c>
      <c r="I23" s="34">
        <f>SUMIFS('BA History S2'!F:F,'BA History S2'!B:B,A23)</f>
        <v>6</v>
      </c>
      <c r="J23" s="2">
        <f>SUMIFS('BA History S2'!E:E,'BA History S2'!B:B,A23)-I23</f>
        <v>2</v>
      </c>
      <c r="K23" s="75">
        <f>LOOKUP(2, 1/('BA History S2'!$B:$B=A23), 'BA History S2'!$AH:$AH)</f>
        <v>0.8</v>
      </c>
      <c r="L23" s="34">
        <f>SUMIFS('BA History S2'!H:H,'BA History S2'!B:B,A23)</f>
        <v>21</v>
      </c>
      <c r="M23" s="2">
        <f>SUMIFS('BA History S2'!G:G,'BA History S2'!B:B,A23)-L23</f>
        <v>12</v>
      </c>
      <c r="N23" s="89">
        <f>LOOKUP(2, 1/('BA History S2'!$B:$B=A23), 'BA History S2'!$AI:$AI)</f>
        <v>0.64500000000000002</v>
      </c>
      <c r="O23" s="2">
        <f>COUNTIFS('BA History S2'!$B:$B,$A$23,'BA History S2'!K:K, 1)</f>
        <v>0</v>
      </c>
      <c r="P23" s="2">
        <f>COUNTIFS('BA History S2'!$B:$B,$A$23,'BA History S2'!L:L, 1)</f>
        <v>2</v>
      </c>
      <c r="Q23" s="2">
        <f>COUNTIFS('BA History S2'!$B:$B,$A$23,'BA History S2'!M:M, 1)</f>
        <v>0</v>
      </c>
      <c r="R23" s="2">
        <f>COUNTIFS('BA History S2'!$B:$B,$A$23,'BA History S2'!N:N, 1)</f>
        <v>1</v>
      </c>
      <c r="S23" s="2">
        <f>COUNTIFS('BA History S2'!$B:$B,$A$23,'BA History S2'!O:O, 1)</f>
        <v>0</v>
      </c>
      <c r="T23" s="2">
        <f>COUNTIFS('BA History S2'!$B:$B,$A$23,'BA History S2'!P:P, 1)</f>
        <v>0</v>
      </c>
      <c r="U23" s="2">
        <f>COUNTIFS('BA History S2'!$B:$B,$A$23,'BA History S2'!Q:Q, 1)</f>
        <v>0</v>
      </c>
      <c r="V23" s="2">
        <f>COUNTIFS('BA History S2'!$B:$B,$A$23,'BA History S2'!R:R, 1)</f>
        <v>0</v>
      </c>
      <c r="W23" s="2">
        <f>COUNTIFS('BA History S2'!$B:$B,$A$23,'BA History S2'!S:S, 1)</f>
        <v>0</v>
      </c>
      <c r="X23" s="2">
        <f>COUNTIFS('BA History S2'!$B:$B,$A$23,'BA History S2'!T:T, 1)</f>
        <v>0</v>
      </c>
      <c r="Y23" s="2">
        <f>COUNTIFS('BA History S2'!$B:$B,$A$23,'BA History S2'!U:U, 1)</f>
        <v>0</v>
      </c>
      <c r="Z23" s="2">
        <f>COUNTIFS('BA History S2'!$B:$B,$A$23,'BA History S2'!V:V, 1)</f>
        <v>0</v>
      </c>
      <c r="AA23" s="2">
        <f>COUNTIFS('BA History S2'!$B:$B,$A$23,'BA History S2'!W:W, 1)</f>
        <v>0</v>
      </c>
      <c r="AB23" s="2">
        <f>COUNTIFS('BA History S2'!$B:$B,$A$23,'BA History S2'!X:X, 1)</f>
        <v>0</v>
      </c>
      <c r="AC23" s="2">
        <f>COUNTIFS('BA History S2'!$B:$B,$A$23,'BA History S2'!Y:Y, 1)</f>
        <v>0</v>
      </c>
      <c r="AD23" s="2">
        <f>COUNTIFS('BA History S2'!$B:$B,$A$23,'BA History S2'!Z:Z, 1)</f>
        <v>0</v>
      </c>
      <c r="AE23" s="2">
        <f>COUNTIFS('BA History S2'!$B:$B,$A$23,'BA History S2'!AA:AA, 1)</f>
        <v>0</v>
      </c>
      <c r="AF23" s="2">
        <f>COUNTIFS('BA History S2'!$B:$B,$A$23,'BA History S2'!AB:AB, 1)</f>
        <v>0</v>
      </c>
      <c r="AG23" s="2">
        <f>COUNTIFS('BA History S2'!$B:$B,$A$23,'BA History S2'!AC:AC, 1)</f>
        <v>2</v>
      </c>
      <c r="AH23" s="2">
        <f>COUNTIFS('BA History S2'!$B:$B,$A$23,'BA History S2'!AD:AD, 1)</f>
        <v>0</v>
      </c>
      <c r="AI23" s="2">
        <f>COUNTIFS('BA History S2'!$B:$B,$A$23,'BA History S2'!AE:AE, 1)</f>
        <v>0</v>
      </c>
      <c r="AJ23" s="2">
        <f>COUNTIFS('BA History S2'!$B:$B,$A$23,'BA History S2'!AF:AF, 1)</f>
        <v>1</v>
      </c>
    </row>
    <row r="24" spans="1:36" x14ac:dyDescent="0.25">
      <c r="A24" s="1" t="s">
        <v>107</v>
      </c>
      <c r="B24" s="2" t="s">
        <v>79</v>
      </c>
      <c r="C24" s="34">
        <f>SUMIFS('BA History S2'!C:C,'BA History S2'!B:B,A24)</f>
        <v>48</v>
      </c>
      <c r="D24" s="66">
        <f>AVERAGEIFS('BA History S2'!C:C,'BA History S2'!B:B,A24)</f>
        <v>16</v>
      </c>
      <c r="E24" s="35">
        <f t="array" ref="E24">MAX(IF('BA History S2'!B:B=A24, 'BA History S2'!C:C))</f>
        <v>22</v>
      </c>
      <c r="F24" s="34">
        <f>COUNTIFS('BA History S2'!B:B,A24,'BA History S2'!D:D, 1)</f>
        <v>1</v>
      </c>
      <c r="G24" s="2">
        <f>COUNTIFS('BA History S2'!B:B,A24,'BA History S2'!D:D, 0)</f>
        <v>2</v>
      </c>
      <c r="H24" s="75">
        <f>LOOKUP(2, 1/('BA History S2'!$B:$B=A24), 'BA History S2'!$AJ:$AJ)</f>
        <v>0.33333333333333331</v>
      </c>
      <c r="I24" s="34">
        <f>SUMIFS('BA History S2'!F:F,'BA History S2'!B:B,A24)</f>
        <v>5</v>
      </c>
      <c r="J24" s="2">
        <f>SUMIFS('BA History S2'!E:E,'BA History S2'!B:B,A24)-I24</f>
        <v>7</v>
      </c>
      <c r="K24" s="75">
        <f>LOOKUP(2, 1/('BA History S2'!$B:$B=A24), 'BA History S2'!$AH:$AH)</f>
        <v>0.3833333333333333</v>
      </c>
      <c r="L24" s="34">
        <f>SUMIFS('BA History S2'!H:H,'BA History S2'!B:B,A24)</f>
        <v>23</v>
      </c>
      <c r="M24" s="2">
        <f>SUMIFS('BA History S2'!G:G,'BA History S2'!B:B,A24)-L24</f>
        <v>28</v>
      </c>
      <c r="N24" s="89">
        <f>LOOKUP(2, 1/('BA History S2'!$B:$B=A24), 'BA History S2'!$AI:$AI)</f>
        <v>0.43999999999999995</v>
      </c>
      <c r="O24" s="2">
        <f>COUNTIFS('BA History S2'!$B:$B,$A$24,'BA History S2'!K:K, 1)</f>
        <v>1</v>
      </c>
      <c r="P24" s="2">
        <f>COUNTIFS('BA History S2'!$B:$B,$A$24,'BA History S2'!L:L, 1)</f>
        <v>0</v>
      </c>
      <c r="Q24" s="2">
        <f>COUNTIFS('BA History S2'!$B:$B,$A$24,'BA History S2'!M:M, 1)</f>
        <v>1</v>
      </c>
      <c r="R24" s="2">
        <f>COUNTIFS('BA History S2'!$B:$B,$A$24,'BA History S2'!N:N, 1)</f>
        <v>0</v>
      </c>
      <c r="S24" s="2">
        <f>COUNTIFS('BA History S2'!$B:$B,$A$24,'BA History S2'!O:O, 1)</f>
        <v>0</v>
      </c>
      <c r="T24" s="2">
        <f>COUNTIFS('BA History S2'!$B:$B,$A$24,'BA History S2'!P:P, 1)</f>
        <v>0</v>
      </c>
      <c r="U24" s="2">
        <f>COUNTIFS('BA History S2'!$B:$B,$A$24,'BA History S2'!Q:Q, 1)</f>
        <v>0</v>
      </c>
      <c r="V24" s="2">
        <f>COUNTIFS('BA History S2'!$B:$B,$A$24,'BA History S2'!R:R, 1)</f>
        <v>0</v>
      </c>
      <c r="W24" s="2">
        <f>COUNTIFS('BA History S2'!$B:$B,$A$24,'BA History S2'!S:S, 1)</f>
        <v>0</v>
      </c>
      <c r="X24" s="2">
        <f>COUNTIFS('BA History S2'!$B:$B,$A$24,'BA History S2'!T:T, 1)</f>
        <v>0</v>
      </c>
      <c r="Y24" s="2">
        <f>COUNTIFS('BA History S2'!$B:$B,$A$24,'BA History S2'!U:U, 1)</f>
        <v>0</v>
      </c>
      <c r="Z24" s="2">
        <f>COUNTIFS('BA History S2'!$B:$B,$A$24,'BA History S2'!V:V, 1)</f>
        <v>0</v>
      </c>
      <c r="AA24" s="2">
        <f>COUNTIFS('BA History S2'!$B:$B,$A$24,'BA History S2'!W:W, 1)</f>
        <v>0</v>
      </c>
      <c r="AB24" s="2">
        <f>COUNTIFS('BA History S2'!$B:$B,$A$24,'BA History S2'!X:X, 1)</f>
        <v>0</v>
      </c>
      <c r="AC24" s="2">
        <f>COUNTIFS('BA History S2'!$B:$B,$A$24,'BA History S2'!Y:Y, 1)</f>
        <v>1</v>
      </c>
      <c r="AD24" s="2">
        <f>COUNTIFS('BA History S2'!$B:$B,$A$24,'BA History S2'!Z:Z, 1)</f>
        <v>0</v>
      </c>
      <c r="AE24" s="2">
        <f>COUNTIFS('BA History S2'!$B:$B,$A$24,'BA History S2'!AA:AA, 1)</f>
        <v>0</v>
      </c>
      <c r="AF24" s="2">
        <f>COUNTIFS('BA History S2'!$B:$B,$A$24,'BA History S2'!AB:AB, 1)</f>
        <v>1</v>
      </c>
      <c r="AG24" s="2">
        <f>COUNTIFS('BA History S2'!$B:$B,$A$24,'BA History S2'!AC:AC, 1)</f>
        <v>0</v>
      </c>
      <c r="AH24" s="2">
        <f>COUNTIFS('BA History S2'!$B:$B,$A$24,'BA History S2'!AD:AD, 1)</f>
        <v>1</v>
      </c>
      <c r="AI24" s="2">
        <f>COUNTIFS('BA History S2'!$B:$B,$A$24,'BA History S2'!AE:AE, 1)</f>
        <v>0</v>
      </c>
      <c r="AJ24" s="2">
        <f>COUNTIFS('BA History S2'!$B:$B,$A$24,'BA History S2'!AF:AF, 1)</f>
        <v>0</v>
      </c>
    </row>
  </sheetData>
  <autoFilter ref="A1:AJ24" xr:uid="{DA548192-1F03-46EA-8AB8-115EB9A7CE5D}">
    <sortState xmlns:xlrd2="http://schemas.microsoft.com/office/spreadsheetml/2017/richdata2" ref="A2:AJ24">
      <sortCondition ref="A1:A2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46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AF46" sqref="K46:AF46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22</v>
      </c>
      <c r="AH2" s="86">
        <f>AVERAGEIFS($I$2:I2, $B$2:B2, B2)</f>
        <v>0</v>
      </c>
      <c r="AI2" s="86">
        <f>AVERAGEIFS($J$2:J2, $B$2:B2, B2)</f>
        <v>0.31</v>
      </c>
      <c r="AJ2" s="86">
        <f>AVERAGEIFS($D$2:D2, $B$2:B2,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ht="14.25" customHeight="1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</sheetData>
  <autoFilter ref="A1:AJ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99" t="s">
        <v>7</v>
      </c>
      <c r="D1" s="100"/>
      <c r="E1" s="101"/>
      <c r="F1" s="99" t="s">
        <v>22</v>
      </c>
      <c r="G1" s="100"/>
      <c r="H1" s="101"/>
      <c r="I1" s="99" t="s">
        <v>16</v>
      </c>
      <c r="J1" s="100"/>
      <c r="K1" s="101"/>
      <c r="L1" s="99" t="s">
        <v>23</v>
      </c>
      <c r="M1" s="100"/>
      <c r="N1" s="101"/>
      <c r="O1" s="99" t="s">
        <v>64</v>
      </c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2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2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2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2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2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2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2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2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99" t="s">
        <v>7</v>
      </c>
      <c r="D15" s="100"/>
      <c r="E15" s="101"/>
      <c r="F15" s="99" t="s">
        <v>22</v>
      </c>
      <c r="G15" s="100"/>
      <c r="H15" s="101"/>
      <c r="I15" s="99" t="s">
        <v>16</v>
      </c>
      <c r="J15" s="100"/>
      <c r="K15" s="101"/>
      <c r="L15" s="99" t="s">
        <v>23</v>
      </c>
      <c r="M15" s="100"/>
      <c r="N15" s="101"/>
      <c r="O15" s="99" t="s">
        <v>64</v>
      </c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8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8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8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8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8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8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8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8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2026-04-06T21:37:52Z</dcterms:modified>
</cp:coreProperties>
</file>