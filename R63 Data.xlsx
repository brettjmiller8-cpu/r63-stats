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4367DA4-CD42-4FBE-A172-628AA2071F58}" xr6:coauthVersionLast="47" xr6:coauthVersionMax="47" xr10:uidLastSave="{00000000-0000-0000-0000-000000000000}"/>
  <bookViews>
    <workbookView xWindow="-28920" yWindow="-120" windowWidth="29040" windowHeight="157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S2'!$A$1:$AJ$111</definedName>
    <definedName name="_xlnm._FilterDatabase" localSheetId="10" hidden="1">'BA S2'!$A$1:$AJ$30</definedName>
    <definedName name="_xlnm._FilterDatabase" localSheetId="7" hidden="1">'BA v2'!$A$1:$AJ$57</definedName>
    <definedName name="_xlnm._FilterDatabase" localSheetId="1" hidden="1">'OB History'!$A$1:$AD$636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" i="16" l="1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O9" i="16"/>
  <c r="C9" i="16"/>
  <c r="D9" i="16"/>
  <c r="E9" i="16" a="1"/>
  <c r="E9" i="16" s="1"/>
  <c r="F9" i="16"/>
  <c r="G9" i="16"/>
  <c r="H9" i="16"/>
  <c r="I9" i="16"/>
  <c r="J9" i="16" s="1"/>
  <c r="K9" i="16"/>
  <c r="L9" i="16"/>
  <c r="M9" i="16" s="1"/>
  <c r="N9" i="16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C31" i="12"/>
  <c r="D31" i="12"/>
  <c r="E31" i="12" a="1"/>
  <c r="E31" i="12" s="1"/>
  <c r="F31" i="12"/>
  <c r="G31" i="12"/>
  <c r="H31" i="12"/>
  <c r="I31" i="12"/>
  <c r="J31" i="12" s="1"/>
  <c r="K31" i="12"/>
  <c r="L31" i="12"/>
  <c r="M31" i="12" s="1"/>
  <c r="N31" i="12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O16" i="16"/>
  <c r="N15" i="16"/>
  <c r="C16" i="16"/>
  <c r="D16" i="16"/>
  <c r="E16" i="16" a="1"/>
  <c r="E16" i="16" s="1"/>
  <c r="F16" i="16"/>
  <c r="G16" i="16"/>
  <c r="H16" i="16"/>
  <c r="I16" i="16"/>
  <c r="J16" i="16" s="1"/>
  <c r="K16" i="16"/>
  <c r="L16" i="16"/>
  <c r="M16" i="16" s="1"/>
  <c r="N16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H2" i="16" s="1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O17" i="16"/>
  <c r="C17" i="16"/>
  <c r="D17" i="16"/>
  <c r="E17" i="16" a="1"/>
  <c r="E17" i="16" s="1"/>
  <c r="F17" i="16"/>
  <c r="G17" i="16"/>
  <c r="H17" i="16"/>
  <c r="I17" i="16"/>
  <c r="J17" i="16" s="1"/>
  <c r="K17" i="16"/>
  <c r="L17" i="16"/>
  <c r="M17" i="16" s="1"/>
  <c r="N17" i="16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L32" i="12"/>
  <c r="M32" i="12" s="1"/>
  <c r="N32" i="12"/>
  <c r="L30" i="12"/>
  <c r="C32" i="12"/>
  <c r="D32" i="12"/>
  <c r="E32" i="12" a="1"/>
  <c r="E32" i="12" s="1"/>
  <c r="F32" i="12"/>
  <c r="G32" i="12"/>
  <c r="H32" i="12"/>
  <c r="I32" i="12"/>
  <c r="J32" i="12" s="1"/>
  <c r="K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O21" i="16"/>
  <c r="C21" i="16"/>
  <c r="D21" i="16"/>
  <c r="E21" i="16" a="1"/>
  <c r="E21" i="16" s="1"/>
  <c r="F21" i="16"/>
  <c r="G21" i="16"/>
  <c r="H21" i="16"/>
  <c r="I21" i="16"/>
  <c r="J21" i="16" s="1"/>
  <c r="K21" i="16"/>
  <c r="L21" i="16"/>
  <c r="M21" i="16"/>
  <c r="N21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O14" i="16"/>
  <c r="C14" i="16"/>
  <c r="D14" i="16"/>
  <c r="E14" i="16" a="1"/>
  <c r="E14" i="16" s="1"/>
  <c r="F14" i="16"/>
  <c r="G14" i="16"/>
  <c r="I14" i="16"/>
  <c r="J14" i="16" s="1"/>
  <c r="L14" i="16"/>
  <c r="M14" i="16" s="1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K14" i="16" s="1"/>
  <c r="AI56" i="17"/>
  <c r="N14" i="16" s="1"/>
  <c r="AJ56" i="17"/>
  <c r="H14" i="16" s="1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O30" i="16"/>
  <c r="O29" i="16"/>
  <c r="O28" i="16"/>
  <c r="O27" i="16"/>
  <c r="O26" i="16"/>
  <c r="O25" i="16"/>
  <c r="O24" i="16"/>
  <c r="O23" i="16"/>
  <c r="O22" i="16"/>
  <c r="O20" i="16"/>
  <c r="O19" i="16"/>
  <c r="O18" i="16"/>
  <c r="O15" i="16"/>
  <c r="O13" i="16"/>
  <c r="O12" i="16"/>
  <c r="O11" i="16"/>
  <c r="O10" i="16"/>
  <c r="O8" i="16"/>
  <c r="O6" i="16"/>
  <c r="O5" i="16"/>
  <c r="O4" i="16"/>
  <c r="O3" i="16"/>
  <c r="O2" i="16"/>
  <c r="N3" i="16"/>
  <c r="N4" i="16"/>
  <c r="N5" i="16"/>
  <c r="N6" i="16"/>
  <c r="N10" i="16"/>
  <c r="N11" i="16"/>
  <c r="N12" i="16"/>
  <c r="N13" i="16"/>
  <c r="N18" i="16"/>
  <c r="N19" i="16"/>
  <c r="N20" i="16"/>
  <c r="N22" i="16"/>
  <c r="N23" i="16"/>
  <c r="N24" i="16"/>
  <c r="N25" i="16"/>
  <c r="N26" i="16"/>
  <c r="N27" i="16"/>
  <c r="N28" i="16"/>
  <c r="N29" i="16"/>
  <c r="N30" i="16"/>
  <c r="N2" i="16"/>
  <c r="L3" i="16"/>
  <c r="M3" i="16" s="1"/>
  <c r="L4" i="16"/>
  <c r="M4" i="16" s="1"/>
  <c r="L5" i="16"/>
  <c r="M5" i="16" s="1"/>
  <c r="L6" i="16"/>
  <c r="M6" i="16" s="1"/>
  <c r="L8" i="16"/>
  <c r="M8" i="16" s="1"/>
  <c r="L10" i="16"/>
  <c r="M10" i="16" s="1"/>
  <c r="L11" i="16"/>
  <c r="M11" i="16" s="1"/>
  <c r="L12" i="16"/>
  <c r="M12" i="16" s="1"/>
  <c r="L13" i="16"/>
  <c r="M13" i="16" s="1"/>
  <c r="L15" i="16"/>
  <c r="M15" i="16" s="1"/>
  <c r="L18" i="16"/>
  <c r="M18" i="16" s="1"/>
  <c r="L19" i="16"/>
  <c r="M19" i="16" s="1"/>
  <c r="L20" i="16"/>
  <c r="M20" i="16" s="1"/>
  <c r="L22" i="16"/>
  <c r="M22" i="16" s="1"/>
  <c r="L23" i="16"/>
  <c r="M23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L30" i="16"/>
  <c r="M30" i="16" s="1"/>
  <c r="L2" i="16"/>
  <c r="M2" i="16" s="1"/>
  <c r="K3" i="16"/>
  <c r="K4" i="16"/>
  <c r="K5" i="16"/>
  <c r="K6" i="16"/>
  <c r="K10" i="16"/>
  <c r="K11" i="16"/>
  <c r="K12" i="16"/>
  <c r="K13" i="16"/>
  <c r="K15" i="16"/>
  <c r="K18" i="16"/>
  <c r="K19" i="16"/>
  <c r="K20" i="16"/>
  <c r="K22" i="16"/>
  <c r="K23" i="16"/>
  <c r="K24" i="16"/>
  <c r="K25" i="16"/>
  <c r="K26" i="16"/>
  <c r="K27" i="16"/>
  <c r="K28" i="16"/>
  <c r="K29" i="16"/>
  <c r="K30" i="16"/>
  <c r="K2" i="16"/>
  <c r="I3" i="16"/>
  <c r="J3" i="16" s="1"/>
  <c r="I4" i="16"/>
  <c r="J4" i="16" s="1"/>
  <c r="I5" i="16"/>
  <c r="J5" i="16" s="1"/>
  <c r="I6" i="16"/>
  <c r="J6" i="16" s="1"/>
  <c r="I8" i="16"/>
  <c r="J8" i="16" s="1"/>
  <c r="I10" i="16"/>
  <c r="J10" i="16" s="1"/>
  <c r="I11" i="16"/>
  <c r="J11" i="16" s="1"/>
  <c r="I12" i="16"/>
  <c r="J12" i="16" s="1"/>
  <c r="I13" i="16"/>
  <c r="J13" i="16" s="1"/>
  <c r="I15" i="16"/>
  <c r="J15" i="16" s="1"/>
  <c r="I18" i="16"/>
  <c r="J18" i="16" s="1"/>
  <c r="I19" i="16"/>
  <c r="J19" i="16" s="1"/>
  <c r="I20" i="16"/>
  <c r="J20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8" i="16"/>
  <c r="J28" i="16" s="1"/>
  <c r="I29" i="16"/>
  <c r="J29" i="16" s="1"/>
  <c r="I30" i="16"/>
  <c r="J30" i="16" s="1"/>
  <c r="I2" i="16"/>
  <c r="J2" i="16" s="1"/>
  <c r="H3" i="16"/>
  <c r="H4" i="16"/>
  <c r="H5" i="16"/>
  <c r="H6" i="16"/>
  <c r="H10" i="16"/>
  <c r="H11" i="16"/>
  <c r="H12" i="16"/>
  <c r="H13" i="16"/>
  <c r="H15" i="16"/>
  <c r="H18" i="16"/>
  <c r="H19" i="16"/>
  <c r="H20" i="16"/>
  <c r="H22" i="16"/>
  <c r="H23" i="16"/>
  <c r="H24" i="16"/>
  <c r="H25" i="16"/>
  <c r="H26" i="16"/>
  <c r="H27" i="16"/>
  <c r="H28" i="16"/>
  <c r="H29" i="16"/>
  <c r="H30" i="16"/>
  <c r="G3" i="16"/>
  <c r="G4" i="16"/>
  <c r="G5" i="16"/>
  <c r="G6" i="16"/>
  <c r="G8" i="16"/>
  <c r="G10" i="16"/>
  <c r="G11" i="16"/>
  <c r="G12" i="16"/>
  <c r="G13" i="16"/>
  <c r="G15" i="16"/>
  <c r="G18" i="16"/>
  <c r="G19" i="16"/>
  <c r="G20" i="16"/>
  <c r="G22" i="16"/>
  <c r="G23" i="16"/>
  <c r="G24" i="16"/>
  <c r="G25" i="16"/>
  <c r="G26" i="16"/>
  <c r="G27" i="16"/>
  <c r="G28" i="16"/>
  <c r="G29" i="16"/>
  <c r="G30" i="16"/>
  <c r="G2" i="16"/>
  <c r="F3" i="16"/>
  <c r="F4" i="16"/>
  <c r="F5" i="16"/>
  <c r="F6" i="16"/>
  <c r="F8" i="16"/>
  <c r="F10" i="16"/>
  <c r="F11" i="16"/>
  <c r="F12" i="16"/>
  <c r="F13" i="16"/>
  <c r="F15" i="16"/>
  <c r="F18" i="16"/>
  <c r="F19" i="16"/>
  <c r="F20" i="16"/>
  <c r="F22" i="16"/>
  <c r="F23" i="16"/>
  <c r="F24" i="16"/>
  <c r="F25" i="16"/>
  <c r="F26" i="16"/>
  <c r="F27" i="16"/>
  <c r="F28" i="16"/>
  <c r="F29" i="16"/>
  <c r="F30" i="16"/>
  <c r="F2" i="16"/>
  <c r="E3" i="16" a="1"/>
  <c r="E3" i="16" s="1"/>
  <c r="E4" i="16" a="1"/>
  <c r="E4" i="16" s="1"/>
  <c r="E5" i="16" a="1"/>
  <c r="E5" i="16" s="1"/>
  <c r="E6" i="16" a="1"/>
  <c r="E6" i="16" s="1"/>
  <c r="E8" i="16" a="1"/>
  <c r="E8" i="16" s="1"/>
  <c r="E10" i="16" a="1"/>
  <c r="E10" i="16" s="1"/>
  <c r="E11" i="16" a="1"/>
  <c r="E11" i="16" s="1"/>
  <c r="E12" i="16" a="1"/>
  <c r="E12" i="16" s="1"/>
  <c r="E13" i="16" a="1"/>
  <c r="E13" i="16" s="1"/>
  <c r="E15" i="16" a="1"/>
  <c r="E15" i="16" s="1"/>
  <c r="E18" i="16" a="1"/>
  <c r="E18" i="16" s="1"/>
  <c r="E19" i="16" a="1"/>
  <c r="E19" i="16" s="1"/>
  <c r="E20" i="16" a="1"/>
  <c r="E20" i="16" s="1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9" i="16" a="1"/>
  <c r="E29" i="16" s="1"/>
  <c r="E30" i="16" a="1"/>
  <c r="E30" i="16" s="1"/>
  <c r="E2" i="16" a="1"/>
  <c r="E2" i="16" s="1"/>
  <c r="D3" i="16"/>
  <c r="D4" i="16"/>
  <c r="D5" i="16"/>
  <c r="D6" i="16"/>
  <c r="D8" i="16"/>
  <c r="D10" i="16"/>
  <c r="D11" i="16"/>
  <c r="D12" i="16"/>
  <c r="D13" i="16"/>
  <c r="D15" i="16"/>
  <c r="D18" i="16"/>
  <c r="D19" i="16"/>
  <c r="D20" i="16"/>
  <c r="D22" i="16"/>
  <c r="D23" i="16"/>
  <c r="D24" i="16"/>
  <c r="D25" i="16"/>
  <c r="D26" i="16"/>
  <c r="D27" i="16"/>
  <c r="D28" i="16"/>
  <c r="D29" i="16"/>
  <c r="D30" i="16"/>
  <c r="D2" i="16"/>
  <c r="C3" i="16"/>
  <c r="C4" i="16"/>
  <c r="C5" i="16"/>
  <c r="C6" i="16"/>
  <c r="C8" i="16"/>
  <c r="C10" i="16"/>
  <c r="C11" i="16"/>
  <c r="C12" i="16"/>
  <c r="C13" i="16"/>
  <c r="C15" i="16"/>
  <c r="C18" i="16"/>
  <c r="C19" i="16"/>
  <c r="C20" i="16"/>
  <c r="C22" i="16"/>
  <c r="C23" i="16"/>
  <c r="C24" i="16"/>
  <c r="C25" i="16"/>
  <c r="C26" i="16"/>
  <c r="C27" i="16"/>
  <c r="C28" i="16"/>
  <c r="C29" i="16"/>
  <c r="C30" i="16"/>
  <c r="C2" i="16"/>
  <c r="H8" i="16"/>
  <c r="N8" i="16"/>
  <c r="K8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H7" i="12"/>
  <c r="H9" i="12"/>
  <c r="H18" i="12"/>
  <c r="H20" i="12"/>
  <c r="H22" i="12"/>
  <c r="H37" i="12"/>
  <c r="H38" i="12"/>
  <c r="H42" i="12"/>
  <c r="H43" i="12"/>
  <c r="H44" i="12"/>
  <c r="H45" i="12"/>
  <c r="H49" i="12"/>
  <c r="H51" i="12"/>
  <c r="H52" i="12"/>
  <c r="H54" i="12"/>
  <c r="H55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7" i="12" s="1"/>
  <c r="AI52" i="9"/>
  <c r="N57" i="12" s="1"/>
  <c r="AJ52" i="9"/>
  <c r="H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5" i="12" s="1"/>
  <c r="AI58" i="9"/>
  <c r="N35" i="12" s="1"/>
  <c r="AJ58" i="9"/>
  <c r="H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6" i="12" s="1"/>
  <c r="AI102" i="9"/>
  <c r="N56" i="12" s="1"/>
  <c r="AJ102" i="9"/>
  <c r="H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6" i="12" s="1"/>
  <c r="AI183" i="9"/>
  <c r="N46" i="12" s="1"/>
  <c r="AJ183" i="9"/>
  <c r="H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3" i="12" s="1"/>
  <c r="AI325" i="9"/>
  <c r="N33" i="12" s="1"/>
  <c r="AJ325" i="9"/>
  <c r="H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8" i="12" s="1"/>
  <c r="AI436" i="9"/>
  <c r="N48" i="12" s="1"/>
  <c r="AJ436" i="9"/>
  <c r="H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4" i="12" s="1"/>
  <c r="AI467" i="9"/>
  <c r="N34" i="12" s="1"/>
  <c r="AJ467" i="9"/>
  <c r="H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7" i="12" s="1"/>
  <c r="AI476" i="9"/>
  <c r="N47" i="12" s="1"/>
  <c r="AJ476" i="9"/>
  <c r="H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40" i="12" s="1"/>
  <c r="AI527" i="9"/>
  <c r="N40" i="12" s="1"/>
  <c r="AJ527" i="9"/>
  <c r="H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3" i="12" s="1"/>
  <c r="AI564" i="9"/>
  <c r="N53" i="12" s="1"/>
  <c r="AJ564" i="9"/>
  <c r="H53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9" i="12" s="1"/>
  <c r="AI594" i="9"/>
  <c r="N39" i="12" s="1"/>
  <c r="AJ594" i="9"/>
  <c r="H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50" i="12" s="1"/>
  <c r="AI678" i="9"/>
  <c r="N50" i="12" s="1"/>
  <c r="AJ678" i="9"/>
  <c r="H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41" i="12" s="1"/>
  <c r="AI688" i="9"/>
  <c r="N41" i="12" s="1"/>
  <c r="AJ688" i="9"/>
  <c r="H41" i="12" s="1"/>
  <c r="AG689" i="9"/>
  <c r="AH689" i="9"/>
  <c r="K36" i="12" s="1"/>
  <c r="AI689" i="9"/>
  <c r="N36" i="12" s="1"/>
  <c r="AJ689" i="9"/>
  <c r="H36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C42" i="12"/>
  <c r="D42" i="12"/>
  <c r="E42" i="12" a="1"/>
  <c r="E42" i="12" s="1"/>
  <c r="F42" i="12"/>
  <c r="G42" i="12"/>
  <c r="I42" i="12"/>
  <c r="J42" i="12" s="1"/>
  <c r="L42" i="12"/>
  <c r="M42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O57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O5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7" i="12"/>
  <c r="J47" i="12" s="1"/>
  <c r="L47" i="12"/>
  <c r="M47" i="12" s="1"/>
  <c r="F47" i="12"/>
  <c r="G47" i="12"/>
  <c r="C47" i="12"/>
  <c r="D47" i="12"/>
  <c r="E47" i="12" a="1"/>
  <c r="E47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4" i="12"/>
  <c r="D34" i="12"/>
  <c r="E34" i="12" a="1"/>
  <c r="E34" i="12" s="1"/>
  <c r="F34" i="12"/>
  <c r="G34" i="12"/>
  <c r="I34" i="12"/>
  <c r="L34" i="12"/>
  <c r="M34" i="12" s="1"/>
  <c r="C35" i="12"/>
  <c r="D35" i="12"/>
  <c r="E35" i="12" a="1"/>
  <c r="E35" i="12" s="1"/>
  <c r="F35" i="12"/>
  <c r="G35" i="12"/>
  <c r="I35" i="12"/>
  <c r="J35" i="12" s="1"/>
  <c r="L35" i="12"/>
  <c r="M35" i="12" s="1"/>
  <c r="I40" i="11" l="1"/>
  <c r="L40" i="11"/>
  <c r="O40" i="11"/>
  <c r="O29" i="11"/>
  <c r="O30" i="11"/>
  <c r="O26" i="11"/>
  <c r="M2" i="12"/>
  <c r="J34" i="12"/>
  <c r="I21" i="12"/>
  <c r="J21" i="12" s="1"/>
  <c r="L21" i="12"/>
  <c r="M21" i="12" s="1"/>
  <c r="F21" i="12"/>
  <c r="G21" i="12"/>
  <c r="C21" i="12"/>
  <c r="D21" i="12"/>
  <c r="E21" i="12" a="1"/>
  <c r="E21" i="12" s="1"/>
  <c r="F41" i="12"/>
  <c r="G41" i="12"/>
  <c r="I41" i="12"/>
  <c r="J41" i="12" s="1"/>
  <c r="L41" i="12"/>
  <c r="M41" i="12" s="1"/>
  <c r="C41" i="12"/>
  <c r="D41" i="12"/>
  <c r="E41" i="12" a="1"/>
  <c r="E41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M44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M30" i="12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4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3" i="12"/>
  <c r="J33" i="12" s="1"/>
  <c r="I36" i="12"/>
  <c r="J36" i="12" s="1"/>
  <c r="I37" i="12"/>
  <c r="J37" i="12" s="1"/>
  <c r="I38" i="12"/>
  <c r="J38" i="12" s="1"/>
  <c r="I39" i="12"/>
  <c r="J39" i="12" s="1"/>
  <c r="I40" i="12"/>
  <c r="J40" i="12" s="1"/>
  <c r="I43" i="12"/>
  <c r="J43" i="12" s="1"/>
  <c r="I45" i="12"/>
  <c r="J45" i="12" s="1"/>
  <c r="I46" i="12"/>
  <c r="J46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56" i="12"/>
  <c r="J56" i="12" s="1"/>
  <c r="I57" i="12"/>
  <c r="J57" i="12" s="1"/>
  <c r="I3" i="12"/>
  <c r="J3" i="12" s="1"/>
  <c r="G4" i="12"/>
  <c r="G5" i="12"/>
  <c r="G6" i="12"/>
  <c r="G7" i="12"/>
  <c r="G8" i="12"/>
  <c r="G9" i="12"/>
  <c r="G10" i="12"/>
  <c r="G11" i="12"/>
  <c r="G13" i="12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4" i="12" a="1"/>
  <c r="E44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3" i="12" a="1"/>
  <c r="E33" i="12" s="1"/>
  <c r="E36" i="12" a="1"/>
  <c r="E36" i="12" s="1"/>
  <c r="E37" i="12" a="1"/>
  <c r="E37" i="12" s="1"/>
  <c r="E38" i="12" a="1"/>
  <c r="E38" i="12" s="1"/>
  <c r="E39" i="12" a="1"/>
  <c r="E39" i="12" s="1"/>
  <c r="E40" i="12" a="1"/>
  <c r="E40" i="12" s="1"/>
  <c r="E43" i="12" a="1"/>
  <c r="E43" i="12" s="1"/>
  <c r="E45" i="12" a="1"/>
  <c r="E45" i="12" s="1"/>
  <c r="E46" i="12" a="1"/>
  <c r="E46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56" i="12" a="1"/>
  <c r="E56" i="12" s="1"/>
  <c r="E57" i="12" a="1"/>
  <c r="E57" i="12" s="1"/>
  <c r="E3" i="12" a="1"/>
  <c r="E3" i="12" s="1"/>
  <c r="D44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3" i="12"/>
  <c r="D36" i="12"/>
  <c r="D37" i="12"/>
  <c r="D38" i="12"/>
  <c r="D39" i="12"/>
  <c r="D40" i="12"/>
  <c r="D43" i="12"/>
  <c r="D45" i="12"/>
  <c r="D46" i="12"/>
  <c r="D48" i="12"/>
  <c r="D49" i="12"/>
  <c r="D50" i="12"/>
  <c r="D51" i="12"/>
  <c r="D52" i="12"/>
  <c r="D53" i="12"/>
  <c r="D54" i="12"/>
  <c r="D55" i="12"/>
  <c r="D56" i="12"/>
  <c r="D57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4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3" i="12"/>
  <c r="C36" i="12"/>
  <c r="C37" i="12"/>
  <c r="C38" i="12"/>
  <c r="C39" i="12"/>
  <c r="C40" i="12"/>
  <c r="C43" i="12"/>
  <c r="C45" i="12"/>
  <c r="C46" i="12"/>
  <c r="C48" i="12"/>
  <c r="C49" i="12"/>
  <c r="C50" i="12"/>
  <c r="C51" i="12"/>
  <c r="C52" i="12"/>
  <c r="C53" i="12"/>
  <c r="C54" i="12"/>
  <c r="C55" i="12"/>
  <c r="C56" i="12"/>
  <c r="C57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4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<sst xmlns="http://schemas.openxmlformats.org/spreadsheetml/2006/main" count="3174" uniqueCount="166">
  <si>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</si>
  <si>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</si>
  <si>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</si>
  <si>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</si>
  <si>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</si>
  <si>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</si>
  <si>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</si>
  <si>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</si>
  <si>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</si>
  <si>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</si>
  <si>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</si>
  <si>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</si>
  <si>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</si>
  <si>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</si>
  <si>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</si>
  <si>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</si>
  <si>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</si>
  <si>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</si>
  <si>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</si>
  <si>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</si>
  <si>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</si>
  <si>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</si>
  <si>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</si>
  <si>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</si>
  <si>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</si>
  <si>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</si>
  <si>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</si>
  <si>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</si>
  <si>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</si>
  <si>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</si>
  <si>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</si>
  <si>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</si>
  <si>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</si>
  <si>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</si>
  <si>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</si>
  <si>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</si>
  <si>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</si>
  <si>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</si>
  <si>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</si>
  <si>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</si>
  <si>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</si>
  <si>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</si>
  <si>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</si>
  <si>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</si>
  <si>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</si>
  <si>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</si>
  <si>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</si>
  <si>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</si>
  <si>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</si>
  <si>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</si>
  <si>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</si>
  <si>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</si>
  <si>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</si>
  <si>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</si>
  <si>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</si>
  <si>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</si>
  <si>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</si>
  <si>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</si>
  <si>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</si>
  <si>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</si>
  <si>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</si>
  <si>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</si>
  <si>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</si>
  <si>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</si>
  <si>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</si>
  <si>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</si>
  <si>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</si>
  <si>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</si>
  <si>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</si>
  <si>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</si>
  <si>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</si>
  <si>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</si>
  <si>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</si>
  <si>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</si>
  <si>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</si>
  <si>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</si>
  <si>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</si>
  <si>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</si>
  <si>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</si>
  <si>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</si>
  <si>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</si>
  <si>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</si>
  <si>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</si>
  <si>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</si>
  <si>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</si>
  <si>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</si>
  <si>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</si>
  <si>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</si>
  <si>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</si>
  <si>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</si>
  <si>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</si>
  <si>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</si>
  <si>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</si>
  <si>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</si>
  <si>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</si>
  <si>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</si>
  <si>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</si>
  <si>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</si>
  <si>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</si>
  <si>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</si>
  <si>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</si>
  <si>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</si>
  <si>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</si>
  <si>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</si>
  <si>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</si>
  <si>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</si>
  <si>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</si>
  <si>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</si>
  <si>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</si>
  <si>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</si>
  <si>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</si>
  <si>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</si>
  <si>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</si>
  <si>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</si>
  <si>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</si>
  <si>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</si>
  <si>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</si>
  <si>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</si>
  <si>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</si>
  <si>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</si>
  <si>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</si>
  <si>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</si>
  <si>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</si>
  <si>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</si>
  <si>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</si>
  <si>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</si>
  <si>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</si>
  <si>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</si>
  <si>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</si>
  <si>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</si>
  <si>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</si>
  <si>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</si>
  <si>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</si>
  <si>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</si>
  <si>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</si>
  <si>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</si>
  <si>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</si>
  <si>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</si>
  <si>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</si>
  <si>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</si>
  <si>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</si>
  <si>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</si>
  <si>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</si>
  <si>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</si>
  <si>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</si>
  <si>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</si>
  <si>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</si>
  <si>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</si>
  <si>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</si>
  <si>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</si>
  <si>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</si>
  <si>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</si>
  <si>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</si>
  <si>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</si>
  <si>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</si>
  <si>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</si>
  <si>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</si>
  <si>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</si>
  <si>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</si>
  <si>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HOpes</t>
  </si>
  <si>
    <t>🏆🏆🏅</t>
  </si>
  <si>
    <t>🏆🏅</t>
  </si>
  <si>
    <t>🏅</t>
  </si>
  <si>
    <t>👑</t>
  </si>
  <si>
    <t>👑👑</t>
  </si>
  <si>
    <t>Murkin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</si>
</sst>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2" sqref="E3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66</v>
      </c>
      <c r="E2" s="4">
        <f>AVERAGEIFS('OB History'!C:C,'OB History'!B:B,A2)</f>
        <v>11</v>
      </c>
      <c r="F2" s="35">
        <f t="array" ref="F2">MAX(IF('OB History'!B:B=A2, 'OB History'!C:C))</f>
        <v>22</v>
      </c>
      <c r="G2" s="34">
        <f>COUNTIFS('OB History'!B:B,A2,'OB History'!D:D, 1)</f>
        <v>5</v>
      </c>
      <c r="H2" s="2">
        <f>COUNTIFS('OB History'!B:B,A2,'OB History'!D:D, 0)</f>
        <v>1</v>
      </c>
      <c r="I2" s="88">
        <f>LOOKUP(2, 1/('OB History'!$B:$B=A2), 'OB History'!$AD:$AD)</f>
        <v>0.83333333333333337</v>
      </c>
      <c r="J2" s="34">
        <f>SUMIFS('OB History'!F:F,'OB History'!B:B,A2)</f>
        <v>16</v>
      </c>
      <c r="K2" s="2">
        <f>SUMIFS('OB History'!E:E,'OB History'!B:B,A2)-J2</f>
        <v>9</v>
      </c>
      <c r="L2" s="88">
        <f>LOOKUP(2, 1/('OB History'!$B:$B=A2), 'OB History'!$AB:$AB)</f>
        <v>0.65833333333333333</v>
      </c>
      <c r="M2" s="34">
        <f>SUMIFS('OB History'!H:H,'OB History'!B:B,A2)</f>
        <v>56</v>
      </c>
      <c r="N2" s="2">
        <f>SUMIFS('OB History'!G:G,'OB History'!B:B,A2)-M2</f>
        <v>45</v>
      </c>
      <c r="O2" s="88">
        <f>LOOKUP(2, 1/('OB History'!$B:$B=A2), 'OB History'!$AC:$AC)</f>
        <v>0.57500000000000007</v>
      </c>
      <c r="P2" s="2">
        <f>COUNTIFS('OB History'!$B:$B,$A$2,'OB History'!K:K, 1)</f>
        <v>1</v>
      </c>
      <c r="Q2" s="2">
        <f>COUNTIFS('OB History'!$B:$B,$A$2,'OB History'!L:L, 1)</f>
        <v>1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1</v>
      </c>
      <c r="X2" s="2">
        <f>COUNTIFS('OB History'!$B:$B,$A$2,'OB History'!S:S, 1)</f>
        <v>1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3</v>
      </c>
      <c r="AE2" s="2">
        <f>COUNTIFS('OB History'!$B:$B,$A$2,'OB History'!Z:Z, 1)</f>
        <v>1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402</v>
      </c>
      <c r="E4" s="4">
        <f>AVERAGEIFS('OB History'!C:C,'OB History'!B:B,A4)</f>
        <v>20.100000000000001</v>
      </c>
      <c r="F4" s="35">
        <f t="array" ref="F4">MAX(IF('OB History'!B:B=A4, 'OB History'!C:C))</f>
        <v>36</v>
      </c>
      <c r="G4" s="34">
        <f>COUNTIFS('OB History'!B:B,A4,'OB History'!D:D, 1)</f>
        <v>9</v>
      </c>
      <c r="H4" s="2">
        <f>COUNTIFS('OB History'!B:B,A4,'OB History'!D:D, 0)</f>
        <v>11</v>
      </c>
      <c r="I4" s="88">
        <f>LOOKUP(2, 1/('OB History'!$B:$B=A4), 'OB History'!$AD:$AD)</f>
        <v>0.45</v>
      </c>
      <c r="J4" s="34">
        <f>SUMIFS('OB History'!F:F,'OB History'!B:B,A4)</f>
        <v>37</v>
      </c>
      <c r="K4" s="2">
        <f>SUMIFS('OB History'!E:E,'OB History'!B:B,A4)-J4</f>
        <v>45</v>
      </c>
      <c r="L4" s="88">
        <f>LOOKUP(2, 1/('OB History'!$B:$B=A4), 'OB History'!$AB:$AB)</f>
        <v>0.43499999999999994</v>
      </c>
      <c r="M4" s="34">
        <f>SUMIFS('OB History'!H:H,'OB History'!B:B,A4)</f>
        <v>158</v>
      </c>
      <c r="N4" s="2">
        <f>SUMIFS('OB History'!G:G,'OB History'!B:B,A4)-M4</f>
        <v>173</v>
      </c>
      <c r="O4" s="88">
        <f>LOOKUP(2, 1/('OB History'!$B:$B=A4), 'OB History'!$AC:$AC)</f>
        <v>0.46449999999999997</v>
      </c>
      <c r="P4" s="2">
        <f>COUNTIFS('OB History'!$B:$B,$A$4,'OB History'!K:K, 1)</f>
        <v>3</v>
      </c>
      <c r="Q4" s="2">
        <f>COUNTIFS('OB History'!$B:$B,$A$4,'OB History'!L:L, 1)</f>
        <v>2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1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3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245</v>
      </c>
      <c r="E6" s="4">
        <f>AVERAGEIFS('OB History'!C:C,'OB History'!B:B,A6)</f>
        <v>11.666666666666666</v>
      </c>
      <c r="F6" s="35">
        <f t="array" ref="F6">MAX(IF('OB History'!B:B=A6, 'OB History'!C:C))</f>
        <v>21</v>
      </c>
      <c r="G6" s="34">
        <f>COUNTIFS('OB History'!B:B,A6,'OB History'!D:D, 1)</f>
        <v>11</v>
      </c>
      <c r="H6" s="2">
        <f>COUNTIFS('OB History'!B:B,A6,'OB History'!D:D, 0)</f>
        <v>10</v>
      </c>
      <c r="I6" s="88">
        <f>LOOKUP(2, 1/('OB History'!$B:$B=A6), 'OB History'!$AD:$AD)</f>
        <v>0.52380952380952384</v>
      </c>
      <c r="J6" s="34">
        <f>SUMIFS('OB History'!F:F,'OB History'!B:B,A6)</f>
        <v>40</v>
      </c>
      <c r="K6" s="2">
        <f>SUMIFS('OB History'!E:E,'OB History'!B:B,A6)-J6</f>
        <v>45</v>
      </c>
      <c r="L6" s="88">
        <f>LOOKUP(2, 1/('OB History'!$B:$B=A6), 'OB History'!$AB:$AB)</f>
        <v>0.44761904761904764</v>
      </c>
      <c r="M6" s="34">
        <f>SUMIFS('OB History'!H:H,'OB History'!B:B,'Old Bow v2'!A6)</f>
        <v>167</v>
      </c>
      <c r="N6" s="2">
        <f>SUMIFS('OB History'!G:G,'OB History'!B:B,'Old Bow v2'!A6)-M6</f>
        <v>178</v>
      </c>
      <c r="O6" s="88">
        <f>LOOKUP(2, 1/('OB History'!$B:$B=A6), 'OB History'!$AC:$AC)</f>
        <v>0.47571428571428581</v>
      </c>
      <c r="P6" s="2">
        <f>COUNTIFS('OB History'!$B:$B,$A$6,'OB History'!K:K, 1)</f>
        <v>3</v>
      </c>
      <c r="Q6" s="2">
        <f>COUNTIFS('OB History'!$B:$B,$A$6,'OB History'!L:L, 1)</f>
        <v>4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2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3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47</v>
      </c>
      <c r="E13" s="4">
        <f>AVERAGEIFS('OB History'!C:C,'OB History'!B:B,A13)</f>
        <v>15.666666666666666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3</v>
      </c>
      <c r="I13" s="88">
        <f>LOOKUP(2, 1/('OB History'!$B:$B=A13), 'OB History'!$AD:$AD)</f>
        <v>0</v>
      </c>
      <c r="J13" s="34">
        <f>SUMIFS('OB History'!F:F,'OB History'!B:B,A13)</f>
        <v>4</v>
      </c>
      <c r="K13" s="2">
        <f>SUMIFS('OB History'!E:E,'OB History'!B:B,A13)-J13</f>
        <v>9</v>
      </c>
      <c r="L13" s="88">
        <f>LOOKUP(2, 1/('OB History'!$B:$B=A13), 'OB History'!$AB:$AB)</f>
        <v>0.26666666666666666</v>
      </c>
      <c r="M13" s="34">
        <f>SUMIFS('OB History'!H:H,'OB History'!B:B,'Old Bow v2'!A13)</f>
        <v>22</v>
      </c>
      <c r="N13" s="2">
        <f>SUMIFS('OB History'!G:G,'OB History'!B:B,'Old Bow v2'!A13)-M13</f>
        <v>33</v>
      </c>
      <c r="O13" s="88">
        <f>LOOKUP(2, 1/('OB History'!$B:$B=A13), 'OB History'!$AC:$AC)</f>
        <v>0.37666666666666665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1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1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163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205</v>
      </c>
      <c r="E29" s="4">
        <f>AVERAGEIFS('OB History'!C:C,'OB History'!B:B,A29)</f>
        <v>12.8125</v>
      </c>
      <c r="F29" s="35">
        <f t="array" ref="F29">MAX(IF('OB History'!B:B=A29, 'OB History'!C:C))</f>
        <v>23</v>
      </c>
      <c r="G29" s="34">
        <f>COUNTIFS('OB History'!B:B,A29,'OB History'!D:D, 1)</f>
        <v>9</v>
      </c>
      <c r="H29" s="2">
        <f>COUNTIFS('OB History'!B:B,A29,'OB History'!D:D, 0)</f>
        <v>7</v>
      </c>
      <c r="I29" s="88">
        <f>LOOKUP(2, 1/('OB History'!$B:$B=A29), 'OB History'!$AD:$AD)</f>
        <v>0.5625</v>
      </c>
      <c r="J29" s="34">
        <f>SUMIFS('OB History'!F:F,'OB History'!B:B,A29)</f>
        <v>37</v>
      </c>
      <c r="K29" s="2">
        <f>SUMIFS('OB History'!E:E,'OB History'!B:B,A29)-J29</f>
        <v>31</v>
      </c>
      <c r="L29" s="88">
        <f>LOOKUP(2, 1/('OB History'!$B:$B=A29), 'OB History'!$AB:$AB)</f>
        <v>0.56874999999999998</v>
      </c>
      <c r="M29" s="34">
        <f>SUMIFS('OB History'!H:H,'OB History'!B:B,'Old Bow v2'!A29)</f>
        <v>140</v>
      </c>
      <c r="N29" s="2">
        <f>SUMIFS('OB History'!G:G,'OB History'!B:B,'Old Bow v2'!A29)-M29</f>
        <v>131</v>
      </c>
      <c r="O29" s="88">
        <f>LOOKUP(2, 1/('OB History'!$B:$B=A29), 'OB History'!$AC:$AC)</f>
        <v>0.52875000000000005</v>
      </c>
      <c r="P29" s="2">
        <f>COUNTIFS('OB History'!$B:$B,$A$29,'OB History'!K:K, 1)</f>
        <v>2</v>
      </c>
      <c r="Q29" s="2">
        <f>COUNTIFS('OB History'!$B:$B,$A$29,'OB History'!L:L, 1)</f>
        <v>4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1</v>
      </c>
      <c r="X29" s="2">
        <f>COUNTIFS('OB History'!$B:$B,$A$29,'OB History'!S:S, 1)</f>
        <v>1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8</v>
      </c>
      <c r="AE29" s="2">
        <f>COUNTIFS('OB History'!$B:$B,$A$29,'OB History'!Z:Z, 1)</f>
        <v>2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163</v>
      </c>
      <c r="D32" s="34">
        <f>SUMIFS('OB History'!C:C,'OB History'!B:B,A32)</f>
        <v>1189</v>
      </c>
      <c r="E32" s="4">
        <f>AVERAGEIFS('OB History'!C:C,'OB History'!B:B,A32)</f>
        <v>26.422222222222221</v>
      </c>
      <c r="F32" s="35">
        <f t="array" ref="F32">MAX(IF('OB History'!B:B=A32, 'OB History'!C:C))</f>
        <v>57</v>
      </c>
      <c r="G32" s="34">
        <f>COUNTIFS('OB History'!B:B,A32,'OB History'!D:D, 1)</f>
        <v>30</v>
      </c>
      <c r="H32" s="2">
        <f>COUNTIFS('OB History'!B:B,A32,'OB History'!D:D, 0)</f>
        <v>15</v>
      </c>
      <c r="I32" s="88">
        <f>LOOKUP(2, 1/('OB History'!$B:$B=A32), 'OB History'!$AD:$AD)</f>
        <v>0.66666666666666663</v>
      </c>
      <c r="J32" s="34">
        <f>SUMIFS('OB History'!F:F,'OB History'!B:B,A32)</f>
        <v>107</v>
      </c>
      <c r="K32" s="2">
        <f>SUMIFS('OB History'!E:E,'OB History'!B:B,A32)-J32</f>
        <v>79</v>
      </c>
      <c r="L32" s="88">
        <f>LOOKUP(2, 1/('OB History'!$B:$B=A32), 'OB History'!$AB:$AB)</f>
        <v>0.5788888888888889</v>
      </c>
      <c r="M32" s="34">
        <f>SUMIFS('OB History'!H:H,'OB History'!B:B,'Old Bow v2'!A32)</f>
        <v>413</v>
      </c>
      <c r="N32" s="2">
        <f>SUMIFS('OB History'!G:G,'OB History'!B:B,'Old Bow v2'!A32)-M32</f>
        <v>341</v>
      </c>
      <c r="O32" s="88">
        <f>LOOKUP(2, 1/('OB History'!$B:$B=A32), 'OB History'!$AC:$AC)</f>
        <v>0.55155555555555547</v>
      </c>
      <c r="P32" s="2">
        <f>COUNTIFS('OB History'!$B:$B,$A$32,'OB History'!K:K, 1)</f>
        <v>6</v>
      </c>
      <c r="Q32" s="2">
        <f>COUNTIFS('OB History'!$B:$B,$A$32,'OB History'!L:L, 1)</f>
        <v>11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3</v>
      </c>
      <c r="X32" s="2">
        <f>COUNTIFS('OB History'!$B:$B,$A$32,'OB History'!S:S, 1)</f>
        <v>2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9</v>
      </c>
      <c r="AE32" s="2">
        <f>COUNTIFS('OB History'!$B:$B,$A$32,'OB History'!Z:Z, 1)</f>
        <v>12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195</v>
      </c>
      <c r="E39" s="4">
        <f>AVERAGEIFS('OB History'!C:C,'OB History'!B:B,A39)</f>
        <v>16.25</v>
      </c>
      <c r="F39" s="35">
        <f t="array" ref="F39">MAX(IF('OB History'!B:B=A39, 'OB History'!C:C))</f>
        <v>28</v>
      </c>
      <c r="G39" s="34">
        <f>COUNTIFS('OB History'!B:B,A39,'OB History'!D:D, 1)</f>
        <v>3</v>
      </c>
      <c r="H39" s="2">
        <f>COUNTIFS('OB History'!B:B,A39,'OB History'!D:D, 0)</f>
        <v>9</v>
      </c>
      <c r="I39" s="88">
        <f>LOOKUP(2, 1/('OB History'!$B:$B=A39), 'OB History'!$AD:$AD)</f>
        <v>0.25</v>
      </c>
      <c r="J39" s="34">
        <f>SUMIFS('OB History'!F:F,'OB History'!B:B,A39)</f>
        <v>20</v>
      </c>
      <c r="K39" s="2">
        <f>SUMIFS('OB History'!E:E,'OB History'!B:B,A39)-J39</f>
        <v>29</v>
      </c>
      <c r="L39" s="88">
        <f>LOOKUP(2, 1/('OB History'!$B:$B=A39), 'OB History'!$AB:$AB)</f>
        <v>0.41249999999999992</v>
      </c>
      <c r="M39" s="34">
        <f>SUMIFS('OB History'!H:H,'OB History'!B:B,'Old Bow v2'!A39)</f>
        <v>84</v>
      </c>
      <c r="N39" s="2">
        <f>SUMIFS('OB History'!G:G,'OB History'!B:B,'Old Bow v2'!A39)-M39</f>
        <v>112</v>
      </c>
      <c r="O39" s="88">
        <f>LOOKUP(2, 1/('OB History'!$B:$B=A39), 'OB History'!$AC:$AC)</f>
        <v>0.42166666666666669</v>
      </c>
      <c r="P39" s="2">
        <f>COUNTIFS('OB History'!$B:$B,$A$39,'OB History'!K:K, 1)</f>
        <v>2</v>
      </c>
      <c r="Q39" s="2">
        <f>COUNTIFS('OB History'!$B:$B,$A$39,'OB History'!L:L, 1)</f>
        <v>2</v>
      </c>
      <c r="R39" s="2">
        <f>COUNTIFS('OB History'!$B:$B,$A$39,'OB History'!M:M, 1)</f>
        <v>1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1</v>
      </c>
      <c r="W39" s="2">
        <f>COUNTIFS('OB History'!$B:$B,$A$39,'OB History'!R:R, 1)</f>
        <v>0</v>
      </c>
      <c r="X39" s="2">
        <f>COUNTIFS('OB History'!$B:$B,$A$39,'OB History'!S:S, 1)</f>
        <v>1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3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98</v>
      </c>
      <c r="E40" s="4">
        <f>AVERAGEIFS('OB History'!C:C,'OB History'!B:B,A40)</f>
        <v>16.333333333333332</v>
      </c>
      <c r="F40" s="35">
        <f t="array" ref="F40">MAX(IF('OB History'!B:B=A40, 'OB History'!C:C))</f>
        <v>24</v>
      </c>
      <c r="G40" s="34">
        <f>COUNTIFS('OB History'!B:B,A40,'OB History'!D:D, 1)</f>
        <v>1</v>
      </c>
      <c r="H40" s="2">
        <f>COUNTIFS('OB History'!B:B,A40,'OB History'!D:D, 0)</f>
        <v>5</v>
      </c>
      <c r="I40" s="88">
        <f>LOOKUP(2, 1/('OB History'!$B:$B=A40), 'OB History'!$AD:$AD)</f>
        <v>0.16666666666666666</v>
      </c>
      <c r="J40" s="34">
        <f>SUMIFS('OB History'!F:F,'OB History'!B:B,A40)</f>
        <v>9</v>
      </c>
      <c r="K40" s="2">
        <f>SUMIFS('OB History'!E:E,'OB History'!B:B,A40)-J40</f>
        <v>15</v>
      </c>
      <c r="L40" s="88">
        <f>LOOKUP(2, 1/('OB History'!$B:$B=A40), 'OB History'!$AB:$AB)</f>
        <v>0.3666666666666667</v>
      </c>
      <c r="M40" s="34">
        <f>SUMIFS('OB History'!H:H,'OB History'!B:B,'Old Bow v2'!A40)</f>
        <v>42</v>
      </c>
      <c r="N40" s="2">
        <f>SUMIFS('OB History'!G:G,'OB History'!B:B,'Old Bow v2'!A40)-M40</f>
        <v>53</v>
      </c>
      <c r="O40" s="88">
        <f>LOOKUP(2, 1/('OB History'!$B:$B=A40), 'OB History'!$AC:$AC)</f>
        <v>0.43333333333333335</v>
      </c>
      <c r="P40" s="2">
        <f>COUNTIFS('OB History'!$B:$B,$A$40,'OB History'!K:K, 1)</f>
        <v>3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1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1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141</v>
      </c>
      <c r="E42" s="4">
        <f>AVERAGEIFS('OB History'!C:C,'OB History'!B:B,A42)</f>
        <v>14.1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8</v>
      </c>
      <c r="I42" s="88">
        <f>LOOKUP(2, 1/('OB History'!$B:$B=A42), 'OB History'!$AD:$AD)</f>
        <v>0.2</v>
      </c>
      <c r="J42" s="34">
        <f>SUMIFS('OB History'!F:F,'OB History'!B:B,A42)</f>
        <v>17</v>
      </c>
      <c r="K42" s="2">
        <f>SUMIFS('OB History'!E:E,'OB History'!B:B,A42)-J42</f>
        <v>27</v>
      </c>
      <c r="L42" s="88">
        <f>LOOKUP(2, 1/('OB History'!$B:$B=A42), 'OB History'!$AB:$AB)</f>
        <v>0.38</v>
      </c>
      <c r="M42" s="34">
        <f>SUMIFS('OB History'!H:H,'OB History'!B:B,'Old Bow v2'!A42)</f>
        <v>77</v>
      </c>
      <c r="N42" s="2">
        <f>SUMIFS('OB History'!G:G,'OB History'!B:B,'Old Bow v2'!A42)-M42</f>
        <v>95</v>
      </c>
      <c r="O42" s="88">
        <f>LOOKUP(2, 1/('OB History'!$B:$B=A42), 'OB History'!$AC:$AC)</f>
        <v>0.434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2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1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501</v>
      </c>
      <c r="E43" s="4">
        <f>AVERAGEIFS('OB History'!C:C,'OB History'!B:B,A43)</f>
        <v>22.772727272727273</v>
      </c>
      <c r="F43" s="35">
        <f t="array" ref="F43">MAX(IF('OB History'!B:B=A43, 'OB History'!C:C))</f>
        <v>43</v>
      </c>
      <c r="G43" s="34">
        <f>COUNTIFS('OB History'!B:B,A43,'OB History'!D:D, 1)</f>
        <v>16</v>
      </c>
      <c r="H43" s="2">
        <f>COUNTIFS('OB History'!B:B,A43,'OB History'!D:D, 0)</f>
        <v>6</v>
      </c>
      <c r="I43" s="88">
        <f>LOOKUP(2, 1/('OB History'!$B:$B=A43), 'OB History'!$AD:$AD)</f>
        <v>0.72727272727272729</v>
      </c>
      <c r="J43" s="34">
        <f>SUMIFS('OB History'!F:F,'OB History'!B:B,A43)</f>
        <v>54</v>
      </c>
      <c r="K43" s="2">
        <f>SUMIFS('OB History'!E:E,'OB History'!B:B,A43)-J43</f>
        <v>35</v>
      </c>
      <c r="L43" s="88">
        <f>LOOKUP(2, 1/('OB History'!$B:$B=A43), 'OB History'!$AB:$AB)</f>
        <v>0.62045454545454537</v>
      </c>
      <c r="M43" s="34">
        <f>SUMIFS('OB History'!H:H,'OB History'!B:B,'Old Bow v2'!A43)</f>
        <v>207</v>
      </c>
      <c r="N43" s="2">
        <f>SUMIFS('OB History'!G:G,'OB History'!B:B,'Old Bow v2'!A43)-M43</f>
        <v>170</v>
      </c>
      <c r="O43" s="88">
        <f>LOOKUP(2, 1/('OB History'!$B:$B=A43), 'OB History'!$AC:$AC)</f>
        <v>0.55636363636363639</v>
      </c>
      <c r="P43" s="2">
        <f>COUNTIFS('OB History'!$B:$B,$A$43,'OB History'!K:K, 1)</f>
        <v>2</v>
      </c>
      <c r="Q43" s="2">
        <f>COUNTIFS('OB History'!$B:$B,$A$43,'OB History'!L:L, 1)</f>
        <v>5</v>
      </c>
      <c r="R43" s="2">
        <f>COUNTIFS('OB History'!$B:$B,$A$43,'OB History'!M:M, 1)</f>
        <v>5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1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8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92</v>
      </c>
      <c r="E45" s="4">
        <f>AVERAGEIFS('OB History'!C:C,'OB History'!B:B,A45)</f>
        <v>15.333333333333334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2</v>
      </c>
      <c r="I45" s="88">
        <f>LOOKUP(2, 1/('OB History'!$B:$B=A45), 'OB History'!$AD:$AD)</f>
        <v>0.66666666666666663</v>
      </c>
      <c r="J45" s="34">
        <f>SUMIFS('OB History'!F:F,'OB History'!B:B,A45)</f>
        <v>12</v>
      </c>
      <c r="K45" s="2">
        <f>SUMIFS('OB History'!E:E,'OB History'!B:B,A45)-J45</f>
        <v>11</v>
      </c>
      <c r="L45" s="88">
        <f>LOOKUP(2, 1/('OB History'!$B:$B=A45), 'OB History'!$AB:$AB)</f>
        <v>0.4916666666666667</v>
      </c>
      <c r="M45" s="34">
        <f>SUMIFS('OB History'!H:H,'OB History'!B:B,'Old Bow v2'!A45)</f>
        <v>46</v>
      </c>
      <c r="N45" s="2">
        <f>SUMIFS('OB History'!G:G,'OB History'!B:B,'Old Bow v2'!A45)-M45</f>
        <v>46</v>
      </c>
      <c r="O45" s="88">
        <f>LOOKUP(2, 1/('OB History'!$B:$B=A45), 'OB History'!$AC:$AC)</f>
        <v>0.47499999999999992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164</v>
      </c>
      <c r="D46" s="34">
        <f>SUMIFS('OB History'!C:C,'OB History'!B:B,A46)</f>
        <v>862</v>
      </c>
      <c r="E46" s="4">
        <f>AVERAGEIFS('OB History'!C:C,'OB History'!B:B,A46)</f>
        <v>24.62857142857143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17</v>
      </c>
      <c r="I46" s="88">
        <f>LOOKUP(2, 1/('OB History'!$B:$B=A46), 'OB History'!$AD:$AD)</f>
        <v>0.51428571428571423</v>
      </c>
      <c r="J46" s="34">
        <f>SUMIFS('OB History'!F:F,'OB History'!B:B,A46)</f>
        <v>72</v>
      </c>
      <c r="K46" s="2">
        <f>SUMIFS('OB History'!E:E,'OB History'!B:B,A46)-J46</f>
        <v>71</v>
      </c>
      <c r="L46" s="88">
        <f>LOOKUP(2, 1/('OB History'!$B:$B=A46), 'OB History'!$AB:$AB)</f>
        <v>0.51142857142857134</v>
      </c>
      <c r="M46" s="34">
        <f>SUMIFS('OB History'!H:H,'OB History'!B:B,'Old Bow v2'!A46)</f>
        <v>290</v>
      </c>
      <c r="N46" s="2">
        <f>SUMIFS('OB History'!G:G,'OB History'!B:B,'Old Bow v2'!A46)-M46</f>
        <v>298</v>
      </c>
      <c r="O46" s="88">
        <f>LOOKUP(2, 1/('OB History'!$B:$B=A46), 'OB History'!$AC:$AC)</f>
        <v>0.50057142857142867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153</v>
      </c>
      <c r="E48" s="4">
        <f>AVERAGEIFS('OB History'!C:C,'OB History'!B:B,A48)</f>
        <v>19.125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4</v>
      </c>
      <c r="I48" s="88">
        <f>LOOKUP(2, 1/('OB History'!$B:$B=A48), 'OB History'!$AD:$AD)</f>
        <v>0.5</v>
      </c>
      <c r="J48" s="34">
        <f>SUMIFS('OB History'!F:F,'OB History'!B:B,A48)</f>
        <v>14</v>
      </c>
      <c r="K48" s="2">
        <f>SUMIFS('OB History'!E:E,'OB History'!B:B,A48)-J48</f>
        <v>17</v>
      </c>
      <c r="L48" s="88">
        <f>LOOKUP(2, 1/('OB History'!$B:$B=A48), 'OB History'!$AB:$AB)</f>
        <v>0.41875000000000001</v>
      </c>
      <c r="M48" s="34">
        <f>SUMIFS('OB History'!H:H,'OB History'!B:B,'Old Bow v2'!A48)</f>
        <v>60</v>
      </c>
      <c r="N48" s="2">
        <f>SUMIFS('OB History'!G:G,'OB History'!B:B,'Old Bow v2'!A48)-M48</f>
        <v>66</v>
      </c>
      <c r="O48" s="88">
        <f>LOOKUP(2, 1/('OB History'!$B:$B=A48), 'OB History'!$AC:$AC)</f>
        <v>0.45125000000000004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3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48"/>
  <sheetViews>
    <sheetView workbookViewId="0">
      <pane ySplit="1" topLeftCell="A623" activePane="bottomLeft" state="frozen"/>
      <selection pane="bottomLeft" activeCell="A637" sqref="A637:Z64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</sheetData>
  <autoFilter ref="A1:AD636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D26" sqref="D2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37</v>
      </c>
      <c r="E2" s="4">
        <f>AVERAGEIFS('OB History S2'!C:C,'OB History S2'!B:B,A2)</f>
        <v>9.25</v>
      </c>
      <c r="F2" s="35">
        <f t="array" ref="F2">MAX(IF('OB History S2'!B:B=A2, 'OB History S2'!C:C))</f>
        <v>11</v>
      </c>
      <c r="G2" s="34">
        <f>COUNTIFS('OB History S2'!B:B,A2,'OB History S2'!D:D, 1)</f>
        <v>4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12</v>
      </c>
      <c r="K2" s="2">
        <f>SUMIFS('OB History S2'!E:E,'OB History S2'!B:B,A2)-J2</f>
        <v>4</v>
      </c>
      <c r="L2" s="88">
        <f>LOOKUP(2, 1/('OB History S2'!$B:$B=A2), 'OB History S2'!$AB:$AB)</f>
        <v>0.77500000000000002</v>
      </c>
      <c r="M2" s="34">
        <f>SUMIFS('OB History S2'!H:H,'OB History S2'!B:B,A2)</f>
        <v>40</v>
      </c>
      <c r="N2" s="2">
        <f>SUMIFS('OB History S2'!G:G,'OB History S2'!B:B,A2)-M2</f>
        <v>23</v>
      </c>
      <c r="O2" s="88">
        <f>LOOKUP(2, 1/('OB History S2'!$B:$B=A2), 'OB History S2'!$AC:$AC)</f>
        <v>0.65500000000000003</v>
      </c>
      <c r="P2" s="2">
        <f>COUNTIFS('OB History S2'!$B:$B,$A$2,'OB History S2'!K:K, 1)</f>
        <v>1</v>
      </c>
      <c r="Q2" s="2">
        <f>COUNTIFS('OB History S2'!$B:$B,$A$2,'OB History S2'!L:L, 1)</f>
        <v>1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1</v>
      </c>
      <c r="X2" s="2">
        <f>COUNTIFS('OB History S2'!$B:$B,$A$2,'OB History S2'!S:S, 1)</f>
        <v>1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2</v>
      </c>
      <c r="AE2" s="2">
        <f>COUNTIFS('OB History S2'!$B:$B,$A$2,'OB History S2'!Z:Z, 1)</f>
        <v>1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96</v>
      </c>
      <c r="E4" s="4">
        <f>AVERAGEIFS('OB History S2'!C:C,'OB History S2'!B:B,A4)</f>
        <v>24</v>
      </c>
      <c r="F4" s="35">
        <f t="array" ref="F4">MAX(IF('OB History S2'!B:B=A4, 'OB History S2'!C:C))</f>
        <v>36</v>
      </c>
      <c r="G4" s="34">
        <f>COUNTIFS('OB History S2'!B:B,A4,'OB History S2'!D:D, 1)</f>
        <v>3</v>
      </c>
      <c r="H4" s="2">
        <f>COUNTIFS('OB History S2'!B:B,A4,'OB History S2'!D:D, 0)</f>
        <v>1</v>
      </c>
      <c r="I4" s="88">
        <f>LOOKUP(2, 1/('OB History S2'!$B:$B=A4), 'OB History S2'!$AD:$AD)</f>
        <v>0.75</v>
      </c>
      <c r="J4" s="34">
        <f>SUMIFS('OB History S2'!F:F,'OB History S2'!B:B,A4)</f>
        <v>9</v>
      </c>
      <c r="K4" s="2">
        <f>SUMIFS('OB History S2'!E:E,'OB History S2'!B:B,A4)-J4</f>
        <v>8</v>
      </c>
      <c r="L4" s="88">
        <f>LOOKUP(2, 1/('OB History S2'!$B:$B=A4), 'OB History S2'!$AB:$AB)</f>
        <v>0.48750000000000004</v>
      </c>
      <c r="M4" s="34">
        <f>SUMIFS('OB History S2'!H:H,'OB History S2'!B:B,A4)</f>
        <v>37</v>
      </c>
      <c r="N4" s="2">
        <f>SUMIFS('OB History S2'!G:G,'OB History S2'!B:B,A4)-M4</f>
        <v>33</v>
      </c>
      <c r="O4" s="88">
        <f>LOOKUP(2, 1/('OB History S2'!$B:$B=A4), 'OB History S2'!$AC:$AC)</f>
        <v>0.51</v>
      </c>
      <c r="P4" s="2">
        <f>COUNTIFS('OB History S2'!$B:$B,$A$4,'OB History S2'!K:K, 1)</f>
        <v>0</v>
      </c>
      <c r="Q4" s="2">
        <f>COUNTIFS('OB History S2'!$B:$B,$A$4,'OB History S2'!L:L, 1)</f>
        <v>2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1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2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100</v>
      </c>
      <c r="E6" s="4">
        <f>AVERAGEIFS('OB History S2'!C:C,'OB History S2'!B:B,A6)</f>
        <v>12.5</v>
      </c>
      <c r="F6" s="35">
        <f t="array" ref="F6">MAX(IF('OB History S2'!B:B=A6, 'OB History S2'!C:C))</f>
        <v>20</v>
      </c>
      <c r="G6" s="34">
        <f>COUNTIFS('OB History S2'!B:B,A6,'OB History S2'!D:D, 1)</f>
        <v>2</v>
      </c>
      <c r="H6" s="2">
        <f>COUNTIFS('OB History S2'!B:B,A6,'OB History S2'!D:D, 0)</f>
        <v>6</v>
      </c>
      <c r="I6" s="88">
        <f>LOOKUP(2, 1/('OB History S2'!$B:$B=A6), 'OB History S2'!$AD:$AD)</f>
        <v>0.25</v>
      </c>
      <c r="J6" s="34">
        <f>SUMIFS('OB History S2'!F:F,'OB History S2'!B:B,A6)</f>
        <v>11</v>
      </c>
      <c r="K6" s="2">
        <f>SUMIFS('OB History S2'!E:E,'OB History S2'!B:B,A6)-J6</f>
        <v>21</v>
      </c>
      <c r="L6" s="88">
        <f>LOOKUP(2, 1/('OB History S2'!$B:$B=A6), 'OB History S2'!$AB:$AB)</f>
        <v>0.3125</v>
      </c>
      <c r="M6" s="34">
        <f>SUMIFS('OB History S2'!H:H,'OB History S2'!B:B,A6)</f>
        <v>50</v>
      </c>
      <c r="N6" s="2">
        <f>SUMIFS('OB History S2'!G:G,'OB History S2'!B:B,A6)-M6</f>
        <v>76</v>
      </c>
      <c r="O6" s="88">
        <f>LOOKUP(2, 1/('OB History S2'!$B:$B=A6), 'OB History S2'!$AC:$AC)</f>
        <v>0.37874999999999998</v>
      </c>
      <c r="P6" s="2">
        <f>COUNTIFS('OB History S2'!$B:$B,$A$6,'OB History S2'!K:K, 1)</f>
        <v>1</v>
      </c>
      <c r="Q6" s="2">
        <f>COUNTIFS('OB History S2'!$B:$B,$A$6,'OB History S2'!L:L, 1)</f>
        <v>1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1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2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47</v>
      </c>
      <c r="E13" s="4">
        <f>AVERAGEIFS('OB History S2'!C:C,'OB History S2'!B:B,A13)</f>
        <v>15.666666666666666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3</v>
      </c>
      <c r="I13" s="88">
        <f>LOOKUP(2, 1/('OB History S2'!$B:$B=A13), 'OB History S2'!$AD:$AD)</f>
        <v>0</v>
      </c>
      <c r="J13" s="34">
        <f>SUMIFS('OB History S2'!F:F,'OB History S2'!B:B,A13)</f>
        <v>4</v>
      </c>
      <c r="K13" s="2">
        <f>SUMIFS('OB History S2'!E:E,'OB History S2'!B:B,A13)-J13</f>
        <v>9</v>
      </c>
      <c r="L13" s="88">
        <f>LOOKUP(2, 1/('OB History S2'!$B:$B=A13), 'OB History S2'!$AB:$AB)</f>
        <v>0.26666666666666666</v>
      </c>
      <c r="M13" s="34">
        <f>SUMIFS('OB History S2'!H:H,'OB History S2'!B:B,A13)</f>
        <v>22</v>
      </c>
      <c r="N13" s="2">
        <f>SUMIFS('OB History S2'!G:G,'OB History S2'!B:B,A13)-M13</f>
        <v>33</v>
      </c>
      <c r="O13" s="88">
        <f>LOOKUP(2, 1/('OB History S2'!$B:$B=A13), 'OB History S2'!$AC:$AC)</f>
        <v>0.37666666666666665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1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1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155</v>
      </c>
      <c r="E24" s="4">
        <f>AVERAGEIFS('OB History S2'!C:C,'OB History S2'!B:B,A24)</f>
        <v>12.916666666666666</v>
      </c>
      <c r="F24" s="35">
        <f t="array" ref="F24">MAX(IF('OB History S2'!B:B=A24, 'OB History S2'!C:C))</f>
        <v>23</v>
      </c>
      <c r="G24" s="34">
        <f>COUNTIFS('OB History S2'!B:B,A24,'OB History S2'!D:D, 1)</f>
        <v>8</v>
      </c>
      <c r="H24" s="2">
        <f>COUNTIFS('OB History S2'!B:B,A24,'OB History S2'!D:D, 0)</f>
        <v>4</v>
      </c>
      <c r="I24" s="88">
        <f>LOOKUP(2, 1/('OB History S2'!$B:$B=A24), 'OB History S2'!$AD:$AD)</f>
        <v>0.66666666666666663</v>
      </c>
      <c r="J24" s="34">
        <f>SUMIFS('OB History S2'!F:F,'OB History S2'!B:B,A24)</f>
        <v>29</v>
      </c>
      <c r="K24" s="2">
        <f>SUMIFS('OB History S2'!E:E,'OB History S2'!B:B,A24)-J24</f>
        <v>20</v>
      </c>
      <c r="L24" s="88">
        <f>LOOKUP(2, 1/('OB History S2'!$B:$B=A24), 'OB History S2'!$AB:$AB)</f>
        <v>0.62083333333333335</v>
      </c>
      <c r="M24" s="34">
        <f>SUMIFS('OB History S2'!H:H,'OB History S2'!B:B,A24)</f>
        <v>104</v>
      </c>
      <c r="N24" s="2">
        <f>SUMIFS('OB History S2'!G:G,'OB History S2'!B:B,A24)-M24</f>
        <v>87</v>
      </c>
      <c r="O24" s="88">
        <f>LOOKUP(2, 1/('OB History S2'!$B:$B=A24), 'OB History S2'!$AC:$AC)</f>
        <v>0.5575</v>
      </c>
      <c r="P24" s="2">
        <f>COUNTIFS('OB History S2'!$B:$B,$A$24,'OB History S2'!K:K, 1)</f>
        <v>1</v>
      </c>
      <c r="Q24" s="2">
        <f>COUNTIFS('OB History S2'!$B:$B,$A$24,'OB History S2'!L:L, 1)</f>
        <v>4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1</v>
      </c>
      <c r="X24" s="2">
        <f>COUNTIFS('OB History S2'!$B:$B,$A$24,'OB History S2'!S:S, 1)</f>
        <v>1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6</v>
      </c>
      <c r="AE24" s="2">
        <f>COUNTIFS('OB History S2'!$B:$B,$A$24,'OB History S2'!Z:Z, 1)</f>
        <v>2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271</v>
      </c>
      <c r="E26" s="4">
        <f>AVERAGEIFS('OB History S2'!C:C,'OB History S2'!B:B,A26)</f>
        <v>22.583333333333332</v>
      </c>
      <c r="F26" s="35">
        <f t="array" ref="F26">MAX(IF('OB History S2'!B:B=A26, 'OB History S2'!C:C))</f>
        <v>35</v>
      </c>
      <c r="G26" s="34">
        <f>COUNTIFS('OB History S2'!B:B,A26,'OB History S2'!D:D, 1)</f>
        <v>10</v>
      </c>
      <c r="H26" s="2">
        <f>COUNTIFS('OB History S2'!B:B,A26,'OB History S2'!D:D, 0)</f>
        <v>2</v>
      </c>
      <c r="I26" s="88">
        <f>LOOKUP(2, 1/('OB History S2'!$B:$B=A26), 'OB History S2'!$AD:$AD)</f>
        <v>0.83333333333333337</v>
      </c>
      <c r="J26" s="34">
        <f>SUMIFS('OB History S2'!F:F,'OB History S2'!B:B,A26)</f>
        <v>33</v>
      </c>
      <c r="K26" s="2">
        <f>SUMIFS('OB History S2'!E:E,'OB History S2'!B:B,A26)-J26</f>
        <v>16</v>
      </c>
      <c r="L26" s="88">
        <f>LOOKUP(2, 1/('OB History S2'!$B:$B=A26), 'OB History S2'!$AB:$AB)</f>
        <v>0.70416666666666661</v>
      </c>
      <c r="M26" s="34">
        <f>SUMIFS('OB History S2'!H:H,'OB History S2'!B:B,A26)</f>
        <v>117</v>
      </c>
      <c r="N26" s="2">
        <f>SUMIFS('OB History S2'!G:G,'OB History S2'!B:B,A26)-M26</f>
        <v>74</v>
      </c>
      <c r="O26" s="88">
        <f>LOOKUP(2, 1/('OB History S2'!$B:$B=A26), 'OB History S2'!$AC:$AC)</f>
        <v>0.62833333333333341</v>
      </c>
      <c r="P26" s="2">
        <f>COUNTIFS('OB History S2'!$B:$B,$A$26,'OB History S2'!K:K, 1)</f>
        <v>3</v>
      </c>
      <c r="Q26" s="2">
        <f>COUNTIFS('OB History S2'!$B:$B,$A$26,'OB History S2'!L:L, 1)</f>
        <v>4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2</v>
      </c>
      <c r="X26" s="2">
        <f>COUNTIFS('OB History S2'!$B:$B,$A$26,'OB History S2'!S:S, 1)</f>
        <v>1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7</v>
      </c>
      <c r="AE26" s="2">
        <f>COUNTIFS('OB History S2'!$B:$B,$A$26,'OB History S2'!Z:Z, 1)</f>
        <v>3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130</v>
      </c>
      <c r="E29" s="4">
        <f>AVERAGEIFS('OB History S2'!C:C,'OB History S2'!B:B,A29)</f>
        <v>16.25</v>
      </c>
      <c r="F29" s="35">
        <f t="array" ref="F29">MAX(IF('OB History S2'!B:B=A29, 'OB History S2'!C:C))</f>
        <v>25</v>
      </c>
      <c r="G29" s="34">
        <f>COUNTIFS('OB History S2'!B:B,A29,'OB History S2'!D:D, 1)</f>
        <v>3</v>
      </c>
      <c r="H29" s="2">
        <f>COUNTIFS('OB History S2'!B:B,A29,'OB History S2'!D:D, 0)</f>
        <v>5</v>
      </c>
      <c r="I29" s="88">
        <f>LOOKUP(2, 1/('OB History S2'!$B:$B=A29), 'OB History S2'!$AD:$AD)</f>
        <v>0.375</v>
      </c>
      <c r="J29" s="34">
        <f>SUMIFS('OB History S2'!F:F,'OB History S2'!B:B,A29)</f>
        <v>16</v>
      </c>
      <c r="K29" s="2">
        <f>SUMIFS('OB History S2'!E:E,'OB History S2'!B:B,A29)-J29</f>
        <v>17</v>
      </c>
      <c r="L29" s="88">
        <f>LOOKUP(2, 1/('OB History S2'!$B:$B=A29), 'OB History S2'!$AB:$AB)</f>
        <v>0.50624999999999998</v>
      </c>
      <c r="M29" s="34">
        <f>SUMIFS('OB History S2'!H:H,'OB History S2'!B:B,A29)</f>
        <v>61</v>
      </c>
      <c r="N29" s="2">
        <f>SUMIFS('OB History S2'!G:G,'OB History S2'!B:B,A29)-M29</f>
        <v>70</v>
      </c>
      <c r="O29" s="88">
        <f>LOOKUP(2, 1/('OB History S2'!$B:$B=A29), 'OB History S2'!$AC:$AC)</f>
        <v>0.46625</v>
      </c>
      <c r="P29" s="2">
        <f>COUNTIFS('OB History S2'!$B:$B,$A$29,'OB History S2'!K:K, 1)</f>
        <v>1</v>
      </c>
      <c r="Q29" s="2">
        <f>COUNTIFS('OB History S2'!$B:$B,$A$29,'OB History S2'!L:L, 1)</f>
        <v>2</v>
      </c>
      <c r="R29" s="2">
        <f>COUNTIFS('OB History S2'!$B:$B,$A$29,'OB History S2'!M:M, 1)</f>
        <v>1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2</v>
      </c>
      <c r="W29" s="2">
        <f>COUNTIFS('OB History S2'!$B:$B,$A$29,'OB History S2'!R:R, 1)</f>
        <v>0</v>
      </c>
      <c r="X29" s="2">
        <f>COUNTIFS('OB History S2'!$B:$B,$A$29,'OB History S2'!S:S, 1)</f>
        <v>1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2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37</v>
      </c>
      <c r="E30" s="4">
        <f>AVERAGEIFS('OB History S2'!C:C,'OB History S2'!B:B,A30)</f>
        <v>12.333333333333334</v>
      </c>
      <c r="F30" s="35">
        <f t="array" ref="F30">MAX(IF('OB History S2'!B:B=A30, 'OB History S2'!C:C))</f>
        <v>17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3</v>
      </c>
      <c r="K30" s="2">
        <f>SUMIFS('OB History S2'!E:E,'OB History S2'!B:B,A30)-J30</f>
        <v>6</v>
      </c>
      <c r="L30" s="88">
        <f>LOOKUP(2, 1/('OB History S2'!$B:$B=A30), 'OB History S2'!$AB:$AB)</f>
        <v>0.33333333333333331</v>
      </c>
      <c r="M30" s="34">
        <f>SUMIFS('OB History S2'!H:H,'OB History S2'!B:B,A30)</f>
        <v>15</v>
      </c>
      <c r="N30" s="2">
        <f>SUMIFS('OB History S2'!G:G,'OB History S2'!B:B,A30)-M30</f>
        <v>21</v>
      </c>
      <c r="O30" s="88">
        <f>LOOKUP(2, 1/('OB History S2'!$B:$B=A30), 'OB History S2'!$AC:$AC)</f>
        <v>0.41333333333333333</v>
      </c>
      <c r="P30" s="2">
        <f>COUNTIFS('OB History S2'!$B:$B,$A$30,'OB History S2'!K:K, 1)</f>
        <v>1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1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1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126</v>
      </c>
      <c r="E32" s="4">
        <f>AVERAGEIFS('OB History S2'!C:C,'OB History S2'!B:B,A32)</f>
        <v>15.75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7</v>
      </c>
      <c r="I32" s="88">
        <f>LOOKUP(2, 1/('OB History S2'!$B:$B=A32), 'OB History S2'!$AD:$AD)</f>
        <v>0.125</v>
      </c>
      <c r="J32" s="34">
        <f>SUMIFS('OB History S2'!F:F,'OB History S2'!B:B,A32)</f>
        <v>12</v>
      </c>
      <c r="K32" s="2">
        <f>SUMIFS('OB History S2'!E:E,'OB History S2'!B:B,A32)-J32</f>
        <v>23</v>
      </c>
      <c r="L32" s="88">
        <f>LOOKUP(2, 1/('OB History S2'!$B:$B=A32), 'OB History S2'!$AB:$AB)</f>
        <v>0.33124999999999999</v>
      </c>
      <c r="M32" s="34">
        <f>SUMIFS('OB History S2'!H:H,'OB History S2'!B:B,A32)</f>
        <v>55</v>
      </c>
      <c r="N32" s="2">
        <f>SUMIFS('OB History S2'!G:G,'OB History S2'!B:B,A32)-M32</f>
        <v>79</v>
      </c>
      <c r="O32" s="88">
        <f>LOOKUP(2, 1/('OB History S2'!$B:$B=A32), 'OB History S2'!$AC:$AC)</f>
        <v>0.39624999999999999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2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89</v>
      </c>
      <c r="E33" s="4">
        <f>AVERAGEIFS('OB History S2'!C:C,'OB History S2'!B:B,A33)</f>
        <v>22.25</v>
      </c>
      <c r="F33" s="35">
        <f t="array" ref="F33">MAX(IF('OB History S2'!B:B=A33, 'OB History S2'!C:C))</f>
        <v>42</v>
      </c>
      <c r="G33" s="34">
        <f>COUNTIFS('OB History S2'!B:B,A33,'OB History S2'!D:D, 1)</f>
        <v>2</v>
      </c>
      <c r="H33" s="2">
        <f>COUNTIFS('OB History S2'!B:B,A33,'OB History S2'!D:D, 0)</f>
        <v>2</v>
      </c>
      <c r="I33" s="88">
        <f>LOOKUP(2, 1/('OB History S2'!$B:$B=A33), 'OB History S2'!$AD:$AD)</f>
        <v>0.5</v>
      </c>
      <c r="J33" s="34">
        <f>SUMIFS('OB History S2'!F:F,'OB History S2'!B:B,A33)</f>
        <v>8</v>
      </c>
      <c r="K33" s="2">
        <f>SUMIFS('OB History S2'!E:E,'OB History S2'!B:B,A33)-J33</f>
        <v>8</v>
      </c>
      <c r="L33" s="88">
        <f>LOOKUP(2, 1/('OB History S2'!$B:$B=A33), 'OB History S2'!$AB:$AB)</f>
        <v>0.5</v>
      </c>
      <c r="M33" s="34">
        <f>SUMIFS('OB History S2'!H:H,'OB History S2'!B:B,A33)</f>
        <v>37</v>
      </c>
      <c r="N33" s="2">
        <f>SUMIFS('OB History S2'!G:G,'OB History S2'!B:B,A33)-M33</f>
        <v>31</v>
      </c>
      <c r="O33" s="88">
        <f>LOOKUP(2, 1/('OB History S2'!$B:$B=A33), 'OB History S2'!$AC:$AC)</f>
        <v>0.54499999999999993</v>
      </c>
      <c r="P33" s="2">
        <f>COUNTIFS('OB History S2'!$B:$B,$A$33,'OB History S2'!K:K, 1)</f>
        <v>1</v>
      </c>
      <c r="Q33" s="2">
        <f>COUNTIFS('OB History S2'!$B:$B,$A$33,'OB History S2'!L:L, 1)</f>
        <v>0</v>
      </c>
      <c r="R33" s="2">
        <f>COUNTIFS('OB History S2'!$B:$B,$A$33,'OB History S2'!M:M, 1)</f>
        <v>2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1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84</v>
      </c>
      <c r="E35" s="4">
        <f>AVERAGEIFS('OB History S2'!C:C,'OB History S2'!B:B,A35)</f>
        <v>16.8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2</v>
      </c>
      <c r="I35" s="88">
        <f>LOOKUP(2, 1/('OB History S2'!$B:$B=A35), 'OB History S2'!$AD:$AD)</f>
        <v>0.6</v>
      </c>
      <c r="J35" s="34">
        <f>SUMIFS('OB History S2'!F:F,'OB History S2'!B:B,A35)</f>
        <v>9</v>
      </c>
      <c r="K35" s="2">
        <f>SUMIFS('OB History S2'!E:E,'OB History S2'!B:B,A35)-J35</f>
        <v>9</v>
      </c>
      <c r="L35" s="88">
        <f>LOOKUP(2, 1/('OB History S2'!$B:$B=A35), 'OB History S2'!$AB:$AB)</f>
        <v>0.47000000000000003</v>
      </c>
      <c r="M35" s="34">
        <f>SUMIFS('OB History S2'!H:H,'OB History S2'!B:B,A35)</f>
        <v>34</v>
      </c>
      <c r="N35" s="2">
        <f>SUMIFS('OB History S2'!G:G,'OB History S2'!B:B,A35)-M35</f>
        <v>37</v>
      </c>
      <c r="O35" s="88">
        <f>LOOKUP(2, 1/('OB History S2'!$B:$B=A35), 'OB History S2'!$AC:$AC)</f>
        <v>0.45599999999999996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165</v>
      </c>
      <c r="E36" s="4">
        <f>AVERAGEIFS('OB History S2'!C:C,'OB History S2'!B:B,A36)</f>
        <v>20.625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6</v>
      </c>
      <c r="I36" s="88">
        <f>LOOKUP(2, 1/('OB History S2'!$B:$B=A36), 'OB History S2'!$AD:$AD)</f>
        <v>0.25</v>
      </c>
      <c r="J36" s="34">
        <f>SUMIFS('OB History S2'!F:F,'OB History S2'!B:B,A36)</f>
        <v>12</v>
      </c>
      <c r="K36" s="2">
        <f>SUMIFS('OB History S2'!E:E,'OB History S2'!B:B,A36)-J36</f>
        <v>19</v>
      </c>
      <c r="L36" s="88">
        <f>LOOKUP(2, 1/('OB History S2'!$B:$B=A36), 'OB History S2'!$AB:$AB)</f>
        <v>0.38124999999999998</v>
      </c>
      <c r="M36" s="34">
        <f>SUMIFS('OB History S2'!H:H,'OB History S2'!B:B,A36)</f>
        <v>50</v>
      </c>
      <c r="N36" s="2">
        <f>SUMIFS('OB History S2'!G:G,'OB History S2'!B:B,A36)-M36</f>
        <v>69</v>
      </c>
      <c r="O36" s="88">
        <f>LOOKUP(2, 1/('OB History S2'!$B:$B=A36), 'OB History S2'!$AC:$AC)</f>
        <v>0.4325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83</v>
      </c>
      <c r="E37" s="4">
        <f>AVERAGEIFS('OB History S2'!C:C,'OB History S2'!B:B,A37)</f>
        <v>20.75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3</v>
      </c>
      <c r="I37" s="88">
        <f>LOOKUP(2, 1/('OB History S2'!$B:$B=A37), 'OB History S2'!$AD:$AD)</f>
        <v>0.25</v>
      </c>
      <c r="J37" s="34">
        <f>SUMIFS('OB History S2'!F:F,'OB History S2'!B:B,A37)</f>
        <v>5</v>
      </c>
      <c r="K37" s="2">
        <f>SUMIFS('OB History S2'!E:E,'OB History S2'!B:B,A37)-J37</f>
        <v>11</v>
      </c>
      <c r="L37" s="88">
        <f>LOOKUP(2, 1/('OB History S2'!$B:$B=A37), 'OB History S2'!$AB:$AB)</f>
        <v>0.25</v>
      </c>
      <c r="M37" s="34">
        <f>SUMIFS('OB History S2'!H:H,'OB History S2'!B:B,A37)</f>
        <v>27</v>
      </c>
      <c r="N37" s="2">
        <f>SUMIFS('OB History S2'!G:G,'OB History S2'!B:B,A37)-M37</f>
        <v>39</v>
      </c>
      <c r="O37" s="88">
        <f>LOOKUP(2, 1/('OB History S2'!$B:$B=A37), 'OB History S2'!$AC:$AC)</f>
        <v>0.36249999999999999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1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1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148" activePane="bottomLeft" state="frozen"/>
      <selection pane="bottomLeft" activeCell="L155" sqref="L15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7"/>
  <sheetViews>
    <sheetView workbookViewId="0">
      <pane xSplit="1" ySplit="1" topLeftCell="N20" activePane="bottomRight" state="frozen"/>
      <selection pane="topRight" activeCell="B1" sqref="B1"/>
      <selection pane="bottomLeft" activeCell="A2" sqref="A2"/>
      <selection pane="bottomRight" activeCell="O31" sqref="O31:AJ3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174</v>
      </c>
      <c r="D2" s="66">
        <f>AVERAGEIFS('BA History'!C:C,'BA History'!B:B,A2)</f>
        <v>12.428571428571429</v>
      </c>
      <c r="E2" s="35">
        <f t="array" ref="E2">MAX(IF('BA History'!B:B=A2, 'BA History'!C:C))</f>
        <v>23</v>
      </c>
      <c r="F2" s="34">
        <f>COUNTIFS('BA History'!B:B,A2,'BA History'!D:D, 1)</f>
        <v>7</v>
      </c>
      <c r="G2" s="2">
        <f>COUNTIFS('BA History'!B:B,A2,'BA History'!D:D, 0)</f>
        <v>7</v>
      </c>
      <c r="H2" s="75">
        <f>LOOKUP(2, 1/('BA History'!$B:$B=A2), 'BA History'!$AJ:$AJ)</f>
        <v>0.5</v>
      </c>
      <c r="I2" s="34">
        <f>SUMIFS('BA History'!F:F,'BA History'!B:B,A2)</f>
        <v>28</v>
      </c>
      <c r="J2" s="2">
        <f>SUMIFS('BA History'!E:E,'BA History'!B:B,A2)-I2</f>
        <v>28</v>
      </c>
      <c r="K2" s="75">
        <f>LOOKUP(2, 1/('BA History'!$B:$B=A2), 'BA History'!$AH:$AH)</f>
        <v>0.49285714285714288</v>
      </c>
      <c r="L2" s="34">
        <f>SUMIFS('BA History'!H:H,'BA History'!B:B,A2)</f>
        <v>116</v>
      </c>
      <c r="M2" s="2">
        <f>SUMIFS('BA History'!G:G,'BA History'!B:B,A2)-L2</f>
        <v>112</v>
      </c>
      <c r="N2" s="89">
        <f>LOOKUP(2, 1/('BA History'!$B:$B=A2), 'BA History'!$AI:$AI)</f>
        <v>0.49571428571428572</v>
      </c>
      <c r="O2" s="2">
        <f>COUNTIFS('BA History'!$B:$B,$A$2,'BA History'!K:K, 1)</f>
        <v>1</v>
      </c>
      <c r="P2" s="2">
        <f>COUNTIFS('BA History'!$B:$B,$A$2,'BA History'!L:L, 1)</f>
        <v>2</v>
      </c>
      <c r="Q2" s="2">
        <f>COUNTIFS('BA History'!$B:$B,$A$2,'BA History'!M:M, 1)</f>
        <v>5</v>
      </c>
      <c r="R2" s="2">
        <f>COUNTIFS('BA History'!$B:$B,$A$2,'BA History'!N:N, 1)</f>
        <v>4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3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292</v>
      </c>
      <c r="D5" s="66">
        <f>AVERAGEIFS('BA History'!C:C,'BA History'!B:B,A5)</f>
        <v>12.166666666666666</v>
      </c>
      <c r="E5" s="35">
        <f t="array" ref="E5">MAX(IF('BA History'!B:B=A5, 'BA History'!C:C))</f>
        <v>19</v>
      </c>
      <c r="F5" s="34">
        <f>COUNTIFS('BA History'!B:B,A5,'BA History'!D:D, 1)</f>
        <v>12</v>
      </c>
      <c r="G5" s="2">
        <f>COUNTIFS('BA History'!B:B,A5,'BA History'!D:D, 0)</f>
        <v>12</v>
      </c>
      <c r="H5" s="75">
        <f>LOOKUP(2, 1/('BA History'!$B:$B=A5), 'BA History'!$AJ:$AJ)</f>
        <v>0.5</v>
      </c>
      <c r="I5" s="34">
        <f>SUMIFS('BA History'!F:F,'BA History'!B:B,A5)</f>
        <v>47</v>
      </c>
      <c r="J5" s="2">
        <f>SUMIFS('BA History'!E:E,'BA History'!B:B,A5)-I5</f>
        <v>52</v>
      </c>
      <c r="K5" s="75">
        <f>LOOKUP(2, 1/('BA History'!$B:$B=A5), 'BA History'!$AH:$AH)</f>
        <v>0.44791666666666669</v>
      </c>
      <c r="L5" s="34">
        <f>SUMIFS('BA History'!H:H,'BA History'!B:B,A5)</f>
        <v>194</v>
      </c>
      <c r="M5" s="2">
        <f>SUMIFS('BA History'!G:G,'BA History'!B:B,A5)-L5</f>
        <v>209</v>
      </c>
      <c r="N5" s="89">
        <f>LOOKUP(2, 1/('BA History'!$B:$B=A5), 'BA History'!$AI:$AI)</f>
        <v>0.46625</v>
      </c>
      <c r="O5" s="2">
        <f>COUNTIFS('BA History'!$B:$B,$A$5,'BA History'!K:K, 1)</f>
        <v>3</v>
      </c>
      <c r="P5" s="2">
        <f>COUNTIFS('BA History'!$B:$B,$A$5,'BA History'!L:L, 1)</f>
        <v>5</v>
      </c>
      <c r="Q5" s="2">
        <f>COUNTIFS('BA History'!$B:$B,$A$5,'BA History'!M:M, 1)</f>
        <v>3</v>
      </c>
      <c r="R5" s="2">
        <f>COUNTIFS('BA History'!$B:$B,$A$5,'BA History'!N:N, 1)</f>
        <v>3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5</v>
      </c>
      <c r="AG5" s="2">
        <f>COUNTIFS('BA History'!$B:$B,$A$5,'BA History'!AC:AC, 1)</f>
        <v>3</v>
      </c>
      <c r="AH5" s="2">
        <f>COUNTIFS('BA History'!$B:$B,$A$5,'BA History'!AD:AD, 1)</f>
        <v>5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635</v>
      </c>
      <c r="D9" s="66">
        <f>AVERAGEIFS('BA History'!C:C,'BA History'!B:B,A9)</f>
        <v>19.242424242424242</v>
      </c>
      <c r="E9" s="35">
        <f t="array" ref="E9">MAX(IF('BA History'!B:B=A9, 'BA History'!C:C))</f>
        <v>40</v>
      </c>
      <c r="F9" s="34">
        <f>COUNTIFS('BA History'!B:B,A9,'BA History'!D:D, 1)</f>
        <v>14</v>
      </c>
      <c r="G9" s="2">
        <f>COUNTIFS('BA History'!B:B,A9,'BA History'!D:D, 0)</f>
        <v>19</v>
      </c>
      <c r="H9" s="75">
        <f>LOOKUP(2, 1/('BA History'!$B:$B=A9), 'BA History'!$AJ:$AJ)</f>
        <v>0.42424242424242425</v>
      </c>
      <c r="I9" s="34">
        <f>SUMIFS('BA History'!F:F,'BA History'!B:B,A9)</f>
        <v>60</v>
      </c>
      <c r="J9" s="2">
        <f>SUMIFS('BA History'!E:E,'BA History'!B:B,A9)-I9</f>
        <v>77</v>
      </c>
      <c r="K9" s="75">
        <f>LOOKUP(2, 1/('BA History'!$B:$B=A9), 'BA History'!$AH:$AH)</f>
        <v>0.4242424242424242</v>
      </c>
      <c r="L9" s="34">
        <f>SUMIFS('BA History'!H:H,'BA History'!B:B,A9)</f>
        <v>258</v>
      </c>
      <c r="M9" s="2">
        <f>SUMIFS('BA History'!G:G,'BA History'!B:B,A9)-L9</f>
        <v>310</v>
      </c>
      <c r="N9" s="89">
        <f>LOOKUP(2, 1/('BA History'!$B:$B=A9), 'BA History'!$AI:$AI)</f>
        <v>0.443030303030303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6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47</v>
      </c>
      <c r="D12" s="66">
        <f>AVERAGEIFS('BA History'!C:C,'BA History'!B:B,A12)</f>
        <v>7.833333333333333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5</v>
      </c>
      <c r="H12" s="75">
        <f>LOOKUP(2, 1/('BA History'!$B:$B=A12), 'BA History'!$AJ:$AJ)</f>
        <v>0.16666666666666666</v>
      </c>
      <c r="I12" s="34">
        <f>SUMIFS('BA History'!F:F,'BA History'!B:B,A12)</f>
        <v>5</v>
      </c>
      <c r="J12" s="2">
        <f>SUMIFS('BA History'!E:E,'BA History'!B:B,A12)-I12</f>
        <v>15</v>
      </c>
      <c r="K12" s="75">
        <f>LOOKUP(2, 1/('BA History'!$B:$B=A12), 'BA History'!$AH:$AH)</f>
        <v>0.25</v>
      </c>
      <c r="L12" s="34">
        <f>SUMIFS('BA History'!H:H,'BA History'!B:B,A12)</f>
        <v>27</v>
      </c>
      <c r="M12" s="2">
        <f>SUMIFS('BA History'!G:G,'BA History'!B:B,A12)-L12</f>
        <v>52</v>
      </c>
      <c r="N12" s="89">
        <f>LOOKUP(2, 1/('BA History'!$B:$B=A12), 'BA History'!$AI:$AI)</f>
        <v>0.3183333333333333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225</v>
      </c>
      <c r="D19" s="66">
        <f>AVERAGEIFS('BA History'!C:C,'BA History'!B:B,A19)</f>
        <v>16.071428571428573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9</v>
      </c>
      <c r="H19" s="75">
        <f>LOOKUP(2, 1/('BA History'!$B:$B=A19), 'BA History'!$AJ:$AJ)</f>
        <v>0.35714285714285715</v>
      </c>
      <c r="I19" s="34">
        <f>SUMIFS('BA History'!F:F,'BA History'!B:B,A19)</f>
        <v>28</v>
      </c>
      <c r="J19" s="2">
        <f>SUMIFS('BA History'!E:E,'BA History'!B:B,A19)-I19</f>
        <v>32</v>
      </c>
      <c r="K19" s="75">
        <f>LOOKUP(2, 1/('BA History'!$B:$B=A19), 'BA History'!$AH:$AH)</f>
        <v>0.48571428571428577</v>
      </c>
      <c r="L19" s="34">
        <f>SUMIFS('BA History'!H:H,'BA History'!B:B,A19)</f>
        <v>113</v>
      </c>
      <c r="M19" s="2">
        <f>SUMIFS('BA History'!G:G,'BA History'!B:B,A19)-L19</f>
        <v>123</v>
      </c>
      <c r="N19" s="89">
        <f>LOOKUP(2, 1/('BA History'!$B:$B=A19), 'BA History'!$AI:$AI)</f>
        <v>0.49071428571428577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4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3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548</v>
      </c>
      <c r="D20" s="66">
        <f>AVERAGEIFS('BA History'!C:C,'BA History'!B:B,A20)</f>
        <v>16.606060606060606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13</v>
      </c>
      <c r="H20" s="75">
        <f>LOOKUP(2, 1/('BA History'!$B:$B=A20), 'BA History'!$AJ:$AJ)</f>
        <v>0.60606060606060608</v>
      </c>
      <c r="I20" s="34">
        <f>SUMIFS('BA History'!F:F,'BA History'!B:B,A20)</f>
        <v>69</v>
      </c>
      <c r="J20" s="2">
        <f>SUMIFS('BA History'!E:E,'BA History'!B:B,A20)-I20</f>
        <v>65</v>
      </c>
      <c r="K20" s="75">
        <f>LOOKUP(2, 1/('BA History'!$B:$B=A20), 'BA History'!$AH:$AH)</f>
        <v>0.49545454545454537</v>
      </c>
      <c r="L20" s="34">
        <f>SUMIFS('BA History'!H:H,'BA History'!B:B,A20)</f>
        <v>289</v>
      </c>
      <c r="M20" s="2">
        <f>SUMIFS('BA History'!G:G,'BA History'!B:B,A20)-L20</f>
        <v>272</v>
      </c>
      <c r="N20" s="89">
        <f>LOOKUP(2, 1/('BA History'!$B:$B=A20), 'BA History'!$AI:$AI)</f>
        <v>0.51333333333333331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7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162</v>
      </c>
      <c r="C22" s="34">
        <f>SUMIFS('BA History'!C:C,'BA History'!B:B,A22)</f>
        <v>737</v>
      </c>
      <c r="D22" s="66">
        <f>AVERAGEIFS('BA History'!C:C,'BA History'!B:B,A22)</f>
        <v>26.321428571428573</v>
      </c>
      <c r="E22" s="35">
        <f t="array" ref="E22">MAX(IF('BA History'!B:B=A22, 'BA History'!C:C))</f>
        <v>50</v>
      </c>
      <c r="F22" s="34">
        <f>COUNTIFS('BA History'!B:B,A22,'BA History'!D:D, 1)</f>
        <v>13</v>
      </c>
      <c r="G22" s="2">
        <f>COUNTIFS('BA History'!B:B,A22,'BA History'!D:D, 0)</f>
        <v>15</v>
      </c>
      <c r="H22" s="75">
        <f>LOOKUP(2, 1/('BA History'!$B:$B=A22), 'BA History'!$AJ:$AJ)</f>
        <v>0.4642857142857143</v>
      </c>
      <c r="I22" s="34">
        <f>SUMIFS('BA History'!F:F,'BA History'!B:B,A22)</f>
        <v>52</v>
      </c>
      <c r="J22" s="2">
        <f>SUMIFS('BA History'!E:E,'BA History'!B:B,A22)-I22</f>
        <v>60</v>
      </c>
      <c r="K22" s="75">
        <f>LOOKUP(2, 1/('BA History'!$B:$B=A22), 'BA History'!$AH:$AH)</f>
        <v>0.45000000000000007</v>
      </c>
      <c r="L22" s="34">
        <f>SUMIFS('BA History'!H:H,'BA History'!B:B,A22)</f>
        <v>219</v>
      </c>
      <c r="M22" s="2">
        <f>SUMIFS('BA History'!G:G,'BA History'!B:B,A22)-L22</f>
        <v>243</v>
      </c>
      <c r="N22" s="89">
        <f>LOOKUP(2, 1/('BA History'!$B:$B=A22), 'BA History'!$AI:$AI)</f>
        <v>0.46857142857142858</v>
      </c>
      <c r="O22" s="2">
        <f>COUNTIFS('BA History'!$B:$B,$A$22,'BA History'!K:K, 1)</f>
        <v>4</v>
      </c>
      <c r="P22" s="2">
        <f>COUNTIFS('BA History'!$B:$B,$A$22,'BA History'!L:L, 1)</f>
        <v>6</v>
      </c>
      <c r="Q22" s="2">
        <f>COUNTIFS('BA History'!$B:$B,$A$22,'BA History'!M:M, 1)</f>
        <v>4</v>
      </c>
      <c r="R22" s="2">
        <f>COUNTIFS('BA History'!$B:$B,$A$22,'BA History'!N:N, 1)</f>
        <v>3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4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4</v>
      </c>
      <c r="AH22" s="2">
        <f>COUNTIFS('BA History'!$B:$B,$A$22,'BA History'!AD:AD, 1)</f>
        <v>6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141</v>
      </c>
      <c r="D24" s="66">
        <f>AVERAGEIFS('BA History'!C:C,'BA History'!B:B,A24)</f>
        <v>14.1</v>
      </c>
      <c r="E24" s="35">
        <f t="array" ref="E24">MAX(IF('BA History'!B:B=A24, 'BA History'!C:C))</f>
        <v>21</v>
      </c>
      <c r="F24" s="34">
        <f>COUNTIFS('BA History'!B:B,A24,'BA History'!D:D, 1)</f>
        <v>5</v>
      </c>
      <c r="G24" s="2">
        <f>COUNTIFS('BA History'!B:B,A24,'BA History'!D:D, 0)</f>
        <v>5</v>
      </c>
      <c r="H24" s="75">
        <f>LOOKUP(2, 1/('BA History'!$B:$B=A24), 'BA History'!$AJ:$AJ)</f>
        <v>0.5</v>
      </c>
      <c r="I24" s="34">
        <f>SUMIFS('BA History'!F:F,'BA History'!B:B,A24)</f>
        <v>24</v>
      </c>
      <c r="J24" s="2">
        <f>SUMIFS('BA History'!E:E,'BA History'!B:B,A24)-I24</f>
        <v>19</v>
      </c>
      <c r="K24" s="75">
        <f>LOOKUP(2, 1/('BA History'!$B:$B=A24), 'BA History'!$AH:$AH)</f>
        <v>0.59499999999999997</v>
      </c>
      <c r="L24" s="34">
        <f>SUMIFS('BA History'!H:H,'BA History'!B:B,A24)</f>
        <v>96</v>
      </c>
      <c r="M24" s="2">
        <f>SUMIFS('BA History'!G:G,'BA History'!B:B,A24)-L24</f>
        <v>77</v>
      </c>
      <c r="N24" s="89">
        <f>LOOKUP(2, 1/('BA History'!$B:$B=A24), 'BA History'!$AI:$AI)</f>
        <v>0.58299999999999996</v>
      </c>
      <c r="O24" s="2">
        <f>COUNTIFS('BA History'!$B:$B,$A$24,'BA History'!K:K, 1)</f>
        <v>0</v>
      </c>
      <c r="P24" s="2">
        <f>COUNTIFS('BA History'!$B:$B,$A$24,'BA History'!L:L, 1)</f>
        <v>2</v>
      </c>
      <c r="Q24" s="2">
        <f>COUNTIFS('BA History'!$B:$B,$A$24,'BA History'!M:M, 1)</f>
        <v>3</v>
      </c>
      <c r="R24" s="2">
        <f>COUNTIFS('BA History'!$B:$B,$A$24,'BA History'!N:N, 1)</f>
        <v>2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4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1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162</v>
      </c>
      <c r="C25" s="34">
        <f>SUMIFS('BA History'!C:C,'BA History'!B:B,A25)</f>
        <v>511</v>
      </c>
      <c r="D25" s="66">
        <f>AVERAGEIFS('BA History'!C:C,'BA History'!B:B,A25)</f>
        <v>18.25</v>
      </c>
      <c r="E25" s="35">
        <f t="array" ref="E25">MAX(IF('BA History'!B:B=A25, 'BA History'!C:C))</f>
        <v>34</v>
      </c>
      <c r="F25" s="34">
        <f>COUNTIFS('BA History'!B:B,A25,'BA History'!D:D, 1)</f>
        <v>10</v>
      </c>
      <c r="G25" s="2">
        <f>COUNTIFS('BA History'!B:B,A25,'BA History'!D:D, 0)</f>
        <v>18</v>
      </c>
      <c r="H25" s="75">
        <f>LOOKUP(2, 1/('BA History'!$B:$B=A25), 'BA History'!$AJ:$AJ)</f>
        <v>0.35714285714285715</v>
      </c>
      <c r="I25" s="34">
        <f>SUMIFS('BA History'!F:F,'BA History'!B:B,A25)</f>
        <v>51</v>
      </c>
      <c r="J25" s="2">
        <f>SUMIFS('BA History'!E:E,'BA History'!B:B,A25)-I25</f>
        <v>69</v>
      </c>
      <c r="K25" s="75">
        <f>LOOKUP(2, 1/('BA History'!$B:$B=A25), 'BA History'!$AH:$AH)</f>
        <v>0.40714285714285708</v>
      </c>
      <c r="L25" s="34">
        <f>SUMIFS('BA History'!H:H,'BA History'!B:B,A25)</f>
        <v>231</v>
      </c>
      <c r="M25" s="2">
        <f>SUMIFS('BA History'!G:G,'BA History'!B:B,A25)-L25</f>
        <v>271</v>
      </c>
      <c r="N25" s="89">
        <f>LOOKUP(2, 1/('BA History'!$B:$B=A25), 'BA History'!$AI:$AI)</f>
        <v>0.45107142857142862</v>
      </c>
      <c r="O25" s="2">
        <f>COUNTIFS('BA History'!$B:$B,$A$25,'BA History'!K:K, 1)</f>
        <v>6</v>
      </c>
      <c r="P25" s="2">
        <f>COUNTIFS('BA History'!$B:$B,$A$25,'BA History'!L:L, 1)</f>
        <v>4</v>
      </c>
      <c r="Q25" s="2">
        <f>COUNTIFS('BA History'!$B:$B,$A$25,'BA History'!M:M, 1)</f>
        <v>3</v>
      </c>
      <c r="R25" s="2">
        <f>COUNTIFS('BA History'!$B:$B,$A$25,'BA History'!N:N, 1)</f>
        <v>4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6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323</v>
      </c>
      <c r="D27" s="66">
        <f>AVERAGEIFS('BA History'!C:C,'BA History'!B:B,A27)</f>
        <v>15.380952380952381</v>
      </c>
      <c r="E27" s="35">
        <f t="array" ref="E27">MAX(IF('BA History'!B:B=A27, 'BA History'!C:C))</f>
        <v>36</v>
      </c>
      <c r="F27" s="34">
        <f>COUNTIFS('BA History'!B:B,A27,'BA History'!D:D, 1)</f>
        <v>10</v>
      </c>
      <c r="G27" s="2">
        <f>COUNTIFS('BA History'!B:B,A27,'BA History'!D:D, 0)</f>
        <v>11</v>
      </c>
      <c r="H27" s="75">
        <f>LOOKUP(2, 1/('BA History'!$B:$B=A27), 'BA History'!$AJ:$AJ)</f>
        <v>0.47619047619047616</v>
      </c>
      <c r="I27" s="34">
        <f>SUMIFS('BA History'!F:F,'BA History'!B:B,A27)</f>
        <v>43</v>
      </c>
      <c r="J27" s="2">
        <f>SUMIFS('BA History'!E:E,'BA History'!B:B,A27)-I27</f>
        <v>38</v>
      </c>
      <c r="K27" s="75">
        <f>LOOKUP(2, 1/('BA History'!$B:$B=A27), 'BA History'!$AH:$AH)</f>
        <v>0.55238095238095242</v>
      </c>
      <c r="L27" s="34">
        <f>SUMIFS('BA History'!H:H,'BA History'!B:B,A27)</f>
        <v>168</v>
      </c>
      <c r="M27" s="2">
        <f>SUMIFS('BA History'!G:G,'BA History'!B:B,A27)-L27</f>
        <v>159</v>
      </c>
      <c r="N27" s="89">
        <f>LOOKUP(2, 1/('BA History'!$B:$B=A27), 'BA History'!$AI:$AI)</f>
        <v>0.52666666666666673</v>
      </c>
      <c r="O27" s="2">
        <f>COUNTIFS('BA History'!$B:$B,$A$27,'BA History'!K:K, 1)</f>
        <v>2</v>
      </c>
      <c r="P27" s="2">
        <f>COUNTIFS('BA History'!$B:$B,$A$27,'BA History'!L:L, 1)</f>
        <v>5</v>
      </c>
      <c r="Q27" s="2">
        <f>COUNTIFS('BA History'!$B:$B,$A$27,'BA History'!M:M, 1)</f>
        <v>0</v>
      </c>
      <c r="R27" s="2">
        <f>COUNTIFS('BA History'!$B:$B,$A$27,'BA History'!N:N, 1)</f>
        <v>5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8</v>
      </c>
      <c r="AE27" s="2">
        <f>COUNTIFS('BA History'!$B:$B,$A$27,'BA History'!AA:AA, 1)</f>
        <v>0</v>
      </c>
      <c r="AF27" s="2">
        <f>COUNTIFS('BA History'!$B:$B,$A$27,'BA History'!AB:AB, 1)</f>
        <v>6</v>
      </c>
      <c r="AG27" s="2">
        <f>COUNTIFS('BA History'!$B:$B,$A$27,'BA History'!AC:AC, 1)</f>
        <v>3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162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149</v>
      </c>
      <c r="B31" s="1" t="s">
        <v>79</v>
      </c>
      <c r="C31" s="34">
        <f>SUMIFS('BA History'!C:C,'BA History'!B:B,A31)</f>
        <v>2</v>
      </c>
      <c r="D31" s="66">
        <f>AVERAGEIFS('BA History'!C:C,'BA History'!B:B,A31)</f>
        <v>2</v>
      </c>
      <c r="E31" s="35">
        <f t="array" ref="E31">MAX(IF('BA History'!B:B=A31, 'BA History'!C:C))</f>
        <v>2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>LOOKUP(2, 1/('BA History'!$B:$B=A31), 'BA History'!$AJ:$AJ)</f>
        <v>1</v>
      </c>
      <c r="I31" s="34">
        <f>SUMIFS('BA History'!F:F,'BA History'!B:B,A31)</f>
        <v>3</v>
      </c>
      <c r="J31" s="2">
        <f>SUMIFS('BA History'!E:E,'BA History'!B:B,A31)-I31</f>
        <v>2</v>
      </c>
      <c r="K31" s="75">
        <f>LOOKUP(2, 1/('BA History'!$B:$B=A31), 'BA History'!$AH:$AH)</f>
        <v>0.6</v>
      </c>
      <c r="L31" s="34">
        <f>SUMIFS('BA History'!H:H,'BA History'!B:B,A31)</f>
        <v>10</v>
      </c>
      <c r="M31" s="2">
        <f>SUMIFS('BA History'!G:G,'BA History'!B:B,A31)-L31</f>
        <v>9</v>
      </c>
      <c r="N31" s="89">
        <f>LOOKUP(2, 1/('BA History'!$B:$B=A31), 'BA History'!$AI:$AI)</f>
        <v>0.53</v>
      </c>
      <c r="O31" s="2">
        <f>COUNTIFS('BA History'!$B:$B,$A$31,'BA History'!K:K, 1)</f>
        <v>0</v>
      </c>
      <c r="P31" s="2">
        <f>COUNTIFS('BA History'!$B:$B,$A$31,'BA History'!L:L, 1)</f>
        <v>1</v>
      </c>
      <c r="Q31" s="2">
        <f>COUNTIFS('BA History'!$B:$B,$A$31,'BA History'!M:M, 1)</f>
        <v>0</v>
      </c>
      <c r="R31" s="2">
        <f>COUNTIFS('BA History'!$B:$B,$A$31,'BA History'!N:N, 1)</f>
        <v>1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1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165</v>
      </c>
      <c r="B32" s="1" t="s">
        <v>79</v>
      </c>
      <c r="C32" s="34">
        <f>SUMIFS('BA History'!C:C,'BA History'!B:B,A32)</f>
        <v>4</v>
      </c>
      <c r="D32" s="66">
        <f>AVERAGEIFS('BA History'!C:C,'BA History'!B:B,A32)</f>
        <v>4</v>
      </c>
      <c r="E32" s="35">
        <f t="array" ref="E32">MAX(IF('BA History'!B:B=A32, 'BA History'!C:C))</f>
        <v>4</v>
      </c>
      <c r="F32" s="34">
        <f>COUNTIFS('BA History'!B:B,A32,'BA History'!D:D, 1)</f>
        <v>1</v>
      </c>
      <c r="G32" s="2">
        <f>COUNTIFS('BA History'!B:B,A32,'BA History'!D:D, 0)</f>
        <v>0</v>
      </c>
      <c r="H32" s="75">
        <f>LOOKUP(2, 1/('BA History'!$B:$B=A32), 'BA History'!$AJ:$AJ)</f>
        <v>1</v>
      </c>
      <c r="I32" s="34">
        <f>SUMIFS('BA History'!F:F,'BA History'!B:B,A32)</f>
        <v>3</v>
      </c>
      <c r="J32" s="2">
        <f>SUMIFS('BA History'!E:E,'BA History'!B:B,A32)-I32</f>
        <v>1</v>
      </c>
      <c r="K32" s="75">
        <f>LOOKUP(2, 1/('BA History'!$B:$B=A32), 'BA History'!$AH:$AH)</f>
        <v>0.75</v>
      </c>
      <c r="L32" s="34">
        <f>SUMIFS('BA History'!H:H,'BA History'!B:B,A32)</f>
        <v>11</v>
      </c>
      <c r="M32" s="2">
        <f>SUMIFS('BA History'!G:G,'BA History'!B:B,A32)-L32</f>
        <v>7</v>
      </c>
      <c r="N32" s="89">
        <f>LOOKUP(2, 1/('BA History'!$B:$B=A32), 'BA History'!$AI:$AI)</f>
        <v>0.61</v>
      </c>
      <c r="O32" s="2">
        <f>COUNTIFS('BA History'!$B:$B,$A$32,'BA History'!K:K, 1)</f>
        <v>1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1</v>
      </c>
      <c r="AH32" s="2">
        <f>COUNTIFS('BA History'!$B:$B,$A$32,'BA History'!AD:AD, 1)</f>
        <v>1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15</v>
      </c>
      <c r="B33" s="2" t="s">
        <v>79</v>
      </c>
      <c r="C33" s="34">
        <f>SUMIFS('BA History'!C:C,'BA History'!B:B,A33)</f>
        <v>4</v>
      </c>
      <c r="D33" s="66">
        <f>AVERAGEIFS('BA History'!C:C,'BA History'!B:B,A33)</f>
        <v>4</v>
      </c>
      <c r="E33" s="35">
        <f t="array" ref="E33">MAX(IF('BA History'!B:B=A33, 'BA History'!C:C))</f>
        <v>4</v>
      </c>
      <c r="F33" s="34">
        <f>COUNTIFS('BA History'!B:B,A33,'BA History'!D:D, 1)</f>
        <v>0</v>
      </c>
      <c r="G33" s="2">
        <f>COUNTIFS('BA History'!B:B,A33,'BA History'!D:D, 0)</f>
        <v>1</v>
      </c>
      <c r="H33" s="75">
        <f>LOOKUP(2, 1/('BA History'!$B:$B=A33), 'BA History'!$AJ:$AJ)</f>
        <v>0</v>
      </c>
      <c r="I33" s="34">
        <f>SUMIFS('BA History'!F:F,'BA History'!B:B,A33)</f>
        <v>0</v>
      </c>
      <c r="J33" s="2">
        <f>SUMIFS('BA History'!E:E,'BA History'!B:B,A33)-I33</f>
        <v>3</v>
      </c>
      <c r="K33" s="75">
        <f>LOOKUP(2, 1/('BA History'!$B:$B=A33), 'BA History'!$AH:$AH)</f>
        <v>0</v>
      </c>
      <c r="L33" s="34">
        <f>SUMIFS('BA History'!H:H,'BA History'!B:B,A33)</f>
        <v>1</v>
      </c>
      <c r="M33" s="2">
        <f>SUMIFS('BA History'!G:G,'BA History'!B:B,A33)-L33</f>
        <v>9</v>
      </c>
      <c r="N33" s="89">
        <f>LOOKUP(2, 1/('BA History'!$B:$B=A33), 'BA History'!$AI:$AI)</f>
        <v>0.1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143</v>
      </c>
      <c r="B34" s="2" t="s">
        <v>79</v>
      </c>
      <c r="C34" s="34">
        <f>SUMIFS('BA History'!C:C,'BA History'!B:B,A34)</f>
        <v>25</v>
      </c>
      <c r="D34" s="66">
        <f>AVERAGEIFS('BA History'!C:C,'BA History'!B:B,A34)</f>
        <v>8.3333333333333339</v>
      </c>
      <c r="E34" s="35">
        <f t="array" ref="E34">MAX(IF('BA History'!B:B=A34, 'BA History'!C:C))</f>
        <v>9</v>
      </c>
      <c r="F34" s="34">
        <f>COUNTIFS('BA History'!B:B,A34,'BA History'!D:D, 1)</f>
        <v>0</v>
      </c>
      <c r="G34" s="2">
        <f>COUNTIFS('BA History'!B:B,A34,'BA History'!D:D, 0)</f>
        <v>3</v>
      </c>
      <c r="H34" s="75">
        <f>LOOKUP(2, 1/('BA History'!$B:$B=A34), 'BA History'!$AJ:$AJ)</f>
        <v>0</v>
      </c>
      <c r="I34" s="34">
        <f>SUMIFS('BA History'!F:F,'BA History'!B:B,A34)</f>
        <v>2</v>
      </c>
      <c r="J34" s="2">
        <f>SUMIFS('BA History'!E:E,'BA History'!B:B,A34)-I34</f>
        <v>9</v>
      </c>
      <c r="K34" s="75">
        <f>LOOKUP(2, 1/('BA History'!$B:$B=A34), 'BA History'!$AH:$AH)</f>
        <v>0.16666666666666666</v>
      </c>
      <c r="L34" s="34">
        <f>SUMIFS('BA History'!H:H,'BA History'!B:B,A34)</f>
        <v>14</v>
      </c>
      <c r="M34" s="2">
        <f>SUMIFS('BA History'!G:G,'BA History'!B:B,A34)-L34</f>
        <v>29</v>
      </c>
      <c r="N34" s="89">
        <f>LOOKUP(2, 1/('BA History'!$B:$B=A34), 'BA History'!$AI:$AI)</f>
        <v>0.32666666666666666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0</v>
      </c>
      <c r="AG34" s="2">
        <f>COUNTIFS('BA History'!$B:$B,$A$34,'BA History'!AC:AC, 1)</f>
        <v>0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90</v>
      </c>
      <c r="B35" s="2" t="s">
        <v>79</v>
      </c>
      <c r="C35" s="34">
        <f>SUMIFS('BA History'!C:C,'BA History'!B:B,A35)</f>
        <v>3</v>
      </c>
      <c r="D35" s="66">
        <f>AVERAGEIFS('BA History'!C:C,'BA History'!B:B,A35)</f>
        <v>3</v>
      </c>
      <c r="E35" s="35">
        <f t="array" ref="E35">MAX(IF('BA History'!B:B=A35, 'BA History'!C:C))</f>
        <v>3</v>
      </c>
      <c r="F35" s="34">
        <f>COUNTIFS('BA History'!B:B,A35,'BA History'!D:D, 1)</f>
        <v>1</v>
      </c>
      <c r="G35" s="2">
        <f>COUNTIFS('BA History'!B:B,A35,'BA History'!D:D, 0)</f>
        <v>0</v>
      </c>
      <c r="H35" s="75">
        <f>LOOKUP(2, 1/('BA History'!$B:$B=A35), 'BA History'!$AJ:$AJ)</f>
        <v>1</v>
      </c>
      <c r="I35" s="34">
        <f>SUMIFS('BA History'!F:F,'BA History'!B:B,A35)</f>
        <v>3</v>
      </c>
      <c r="J35" s="2">
        <f>SUMIFS('BA History'!E:E,'BA History'!B:B,A35)-I35</f>
        <v>0</v>
      </c>
      <c r="K35" s="75">
        <f>LOOKUP(2, 1/('BA History'!$B:$B=A35), 'BA History'!$AH:$AH)</f>
        <v>1</v>
      </c>
      <c r="L35" s="34">
        <f>SUMIFS('BA History'!H:H,'BA History'!B:B,A35)</f>
        <v>9</v>
      </c>
      <c r="M35" s="2">
        <f>SUMIFS('BA History'!G:G,'BA History'!B:B,A35)-L35</f>
        <v>5</v>
      </c>
      <c r="N35" s="89">
        <f>LOOKUP(2, 1/('BA History'!$B:$B=A35), 'BA History'!$AI:$AI)</f>
        <v>0.64</v>
      </c>
      <c r="O35" s="2">
        <f>COUNTIFS('BA History'!$B:$B,$A$35,'BA History'!K:K, 1)</f>
        <v>0</v>
      </c>
      <c r="P35" s="2">
        <f>COUNTIFS('BA History'!$B:$B,$A$35,'BA History'!L:L, 1)</f>
        <v>0</v>
      </c>
      <c r="Q35" s="2">
        <f>COUNTIFS('BA History'!$B:$B,$A$35,'BA History'!M:M, 1)</f>
        <v>0</v>
      </c>
      <c r="R35" s="2">
        <f>COUNTIFS('BA History'!$B:$B,$A$35,'BA History'!N:N, 1)</f>
        <v>0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1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0</v>
      </c>
      <c r="AD35" s="2">
        <f>COUNTIFS('BA History'!$B:$B,$A$35,'BA History'!Z:Z, 1)</f>
        <v>0</v>
      </c>
      <c r="AE35" s="2">
        <f>COUNTIFS('BA History'!$B:$B,$A$35,'BA History'!AA:AA, 1)</f>
        <v>0</v>
      </c>
      <c r="AF35" s="2">
        <f>COUNTIFS('BA History'!$B:$B,$A$35,'BA History'!AB:AB, 1)</f>
        <v>1</v>
      </c>
      <c r="AG35" s="2">
        <f>COUNTIFS('BA History'!$B:$B,$A$35,'BA History'!AC:AC, 1)</f>
        <v>1</v>
      </c>
      <c r="AH35" s="2">
        <f>COUNTIFS('BA History'!$B:$B,$A$35,'BA History'!AD:AD, 1)</f>
        <v>0</v>
      </c>
      <c r="AI35" s="2">
        <f>COUNTIFS('BA History'!$B:$B,$A$35,'BA History'!AE:AE, 1)</f>
        <v>0</v>
      </c>
      <c r="AJ35" s="2">
        <f>COUNTIFS('BA History'!$B:$B,$A$35,'BA History'!AF:AF, 1)</f>
        <v>0</v>
      </c>
    </row>
    <row r="36" spans="1:36" x14ac:dyDescent="0.25">
      <c r="A36" s="2" t="s">
        <v>13</v>
      </c>
      <c r="B36" s="2" t="s">
        <v>79</v>
      </c>
      <c r="C36" s="34">
        <f>SUMIFS('BA History'!C:C,'BA History'!B:B,A36)</f>
        <v>202</v>
      </c>
      <c r="D36" s="66">
        <f>AVERAGEIFS('BA History'!C:C,'BA History'!B:B,A36)</f>
        <v>13.466666666666667</v>
      </c>
      <c r="E36" s="35">
        <f t="array" ref="E36">MAX(IF('BA History'!B:B=A36, 'BA History'!C:C))</f>
        <v>21</v>
      </c>
      <c r="F36" s="34">
        <f>COUNTIFS('BA History'!B:B,A36,'BA History'!D:D, 1)</f>
        <v>6</v>
      </c>
      <c r="G36" s="2">
        <f>COUNTIFS('BA History'!B:B,A36,'BA History'!D:D, 0)</f>
        <v>9</v>
      </c>
      <c r="H36" s="75">
        <f>LOOKUP(2, 1/('BA History'!$B:$B=A36), 'BA History'!$AJ:$AJ)</f>
        <v>0.4</v>
      </c>
      <c r="I36" s="34">
        <f>SUMIFS('BA History'!F:F,'BA History'!B:B,A36)</f>
        <v>28</v>
      </c>
      <c r="J36" s="2">
        <f>SUMIFS('BA History'!E:E,'BA History'!B:B,A36)-I36</f>
        <v>30</v>
      </c>
      <c r="K36" s="75">
        <f>LOOKUP(2, 1/('BA History'!$B:$B=A36), 'BA History'!$AH:$AH)</f>
        <v>0.4966666666666667</v>
      </c>
      <c r="L36" s="34">
        <f>SUMIFS('BA History'!H:H,'BA History'!B:B,A36)</f>
        <v>118</v>
      </c>
      <c r="M36" s="2">
        <f>SUMIFS('BA History'!G:G,'BA History'!B:B,A36)-L36</f>
        <v>127</v>
      </c>
      <c r="N36" s="89">
        <f>LOOKUP(2, 1/('BA History'!$B:$B=A36), 'BA History'!$AI:$AI)</f>
        <v>0.5026666666666666</v>
      </c>
      <c r="O36" s="2">
        <f>COUNTIFS('BA History'!$B:$B,$A$36,'BA History'!K:K, 1)</f>
        <v>5</v>
      </c>
      <c r="P36" s="2">
        <f>COUNTIFS('BA History'!$B:$B,$A$36,'BA History'!L:L, 1)</f>
        <v>1</v>
      </c>
      <c r="Q36" s="2">
        <f>COUNTIFS('BA History'!$B:$B,$A$36,'BA History'!M:M, 1)</f>
        <v>2</v>
      </c>
      <c r="R36" s="2">
        <f>COUNTIFS('BA History'!$B:$B,$A$36,'BA History'!N:N, 1)</f>
        <v>1</v>
      </c>
      <c r="S36" s="2">
        <f>COUNTIFS('BA History'!$B:$B,$A$36,'BA History'!O:O, 1)</f>
        <v>0</v>
      </c>
      <c r="T36" s="2">
        <f>COUNTIFS('BA History'!$B:$B,$A$36,'BA History'!P:P, 1)</f>
        <v>0</v>
      </c>
      <c r="U36" s="2">
        <f>COUNTIFS('BA History'!$B:$B,$A$36,'BA History'!Q:Q, 1)</f>
        <v>1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0</v>
      </c>
      <c r="Z36" s="2">
        <f>COUNTIFS('BA History'!$B:$B,$A$36,'BA History'!V:V, 1)</f>
        <v>0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3</v>
      </c>
      <c r="AD36" s="2">
        <f>COUNTIFS('BA History'!$B:$B,$A$36,'BA History'!Z:Z, 1)</f>
        <v>3</v>
      </c>
      <c r="AE36" s="2">
        <f>COUNTIFS('BA History'!$B:$B,$A$36,'BA History'!AA:AA, 1)</f>
        <v>0</v>
      </c>
      <c r="AF36" s="2">
        <f>COUNTIFS('BA History'!$B:$B,$A$36,'BA History'!AB:AB, 1)</f>
        <v>2</v>
      </c>
      <c r="AG36" s="2">
        <f>COUNTIFS('BA History'!$B:$B,$A$36,'BA History'!AC:AC, 1)</f>
        <v>3</v>
      </c>
      <c r="AH36" s="2">
        <f>COUNTIFS('BA History'!$B:$B,$A$36,'BA History'!AD:AD, 1)</f>
        <v>3</v>
      </c>
      <c r="AI36" s="2">
        <f>COUNTIFS('BA History'!$B:$B,$A$36,'BA History'!AE:AE, 1)</f>
        <v>0</v>
      </c>
      <c r="AJ36" s="2">
        <f>COUNTIFS('BA History'!$B:$B,$A$36,'BA History'!AF:AF, 1)</f>
        <v>3</v>
      </c>
    </row>
    <row r="37" spans="1:36" x14ac:dyDescent="0.25">
      <c r="A37" s="2" t="s">
        <v>2</v>
      </c>
      <c r="B37" s="1" t="s">
        <v>162</v>
      </c>
      <c r="C37" s="34">
        <f>SUMIFS('BA History'!C:C,'BA History'!B:B,A37)</f>
        <v>812</v>
      </c>
      <c r="D37" s="66">
        <f>AVERAGEIFS('BA History'!C:C,'BA History'!B:B,A37)</f>
        <v>23.882352941176471</v>
      </c>
      <c r="E37" s="35">
        <f t="array" ref="E37">MAX(IF('BA History'!B:B=A37, 'BA History'!C:C))</f>
        <v>43</v>
      </c>
      <c r="F37" s="34">
        <f>COUNTIFS('BA History'!B:B,A37,'BA History'!D:D, 1)</f>
        <v>19</v>
      </c>
      <c r="G37" s="2">
        <f>COUNTIFS('BA History'!B:B,A37,'BA History'!D:D, 0)</f>
        <v>15</v>
      </c>
      <c r="H37" s="75">
        <f>LOOKUP(2, 1/('BA History'!$B:$B=A37), 'BA History'!$AJ:$AJ)</f>
        <v>0.55882352941176472</v>
      </c>
      <c r="I37" s="34">
        <f>SUMIFS('BA History'!F:F,'BA History'!B:B,A37)</f>
        <v>73</v>
      </c>
      <c r="J37" s="2">
        <f>SUMIFS('BA History'!E:E,'BA History'!B:B,A37)-I37</f>
        <v>59</v>
      </c>
      <c r="K37" s="75">
        <f>LOOKUP(2, 1/('BA History'!$B:$B=A37), 'BA History'!$AH:$AH)</f>
        <v>0.5655882352941175</v>
      </c>
      <c r="L37" s="34">
        <f>SUMIFS('BA History'!H:H,'BA History'!B:B,A37)</f>
        <v>297</v>
      </c>
      <c r="M37" s="2">
        <f>SUMIFS('BA History'!G:G,'BA History'!B:B,A37)-L37</f>
        <v>251</v>
      </c>
      <c r="N37" s="89">
        <f>LOOKUP(2, 1/('BA History'!$B:$B=A37), 'BA History'!$AI:$AI)</f>
        <v>0.55970588235294116</v>
      </c>
      <c r="O37" s="2">
        <f>COUNTIFS('BA History'!$B:$B,$A$37,'BA History'!K:K, 1)</f>
        <v>5</v>
      </c>
      <c r="P37" s="2">
        <f>COUNTIFS('BA History'!$B:$B,$A$37,'BA History'!L:L, 1)</f>
        <v>2</v>
      </c>
      <c r="Q37" s="2">
        <f>COUNTIFS('BA History'!$B:$B,$A$37,'BA History'!M:M, 1)</f>
        <v>5</v>
      </c>
      <c r="R37" s="2">
        <f>COUNTIFS('BA History'!$B:$B,$A$37,'BA History'!N:N, 1)</f>
        <v>8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2</v>
      </c>
      <c r="V37" s="2">
        <f>COUNTIFS('BA History'!$B:$B,$A$37,'BA History'!R:R, 1)</f>
        <v>1</v>
      </c>
      <c r="W37" s="2">
        <f>COUNTIFS('BA History'!$B:$B,$A$37,'BA History'!S:S, 1)</f>
        <v>1</v>
      </c>
      <c r="X37" s="2">
        <f>COUNTIFS('BA History'!$B:$B,$A$37,'BA History'!T:T, 1)</f>
        <v>0</v>
      </c>
      <c r="Y37" s="2">
        <f>COUNTIFS('BA History'!$B:$B,$A$37,'BA History'!U:U, 1)</f>
        <v>2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6</v>
      </c>
      <c r="AD37" s="2">
        <f>COUNTIFS('BA History'!$B:$B,$A$37,'BA History'!Z:Z, 1)</f>
        <v>9</v>
      </c>
      <c r="AE37" s="2">
        <f>COUNTIFS('BA History'!$B:$B,$A$37,'BA History'!AA:AA, 1)</f>
        <v>0</v>
      </c>
      <c r="AF37" s="2">
        <f>COUNTIFS('BA History'!$B:$B,$A$37,'BA History'!AB:AB, 1)</f>
        <v>12</v>
      </c>
      <c r="AG37" s="2">
        <f>COUNTIFS('BA History'!$B:$B,$A$37,'BA History'!AC:AC, 1)</f>
        <v>4</v>
      </c>
      <c r="AH37" s="2">
        <f>COUNTIFS('BA History'!$B:$B,$A$37,'BA History'!AD:AD, 1)</f>
        <v>5</v>
      </c>
      <c r="AI37" s="2">
        <f>COUNTIFS('BA History'!$B:$B,$A$37,'BA History'!AE:AE, 1)</f>
        <v>0</v>
      </c>
      <c r="AJ37" s="2">
        <f>COUNTIFS('BA History'!$B:$B,$A$37,'BA History'!AF:AF, 1)</f>
        <v>4</v>
      </c>
    </row>
    <row r="38" spans="1:36" x14ac:dyDescent="0.25">
      <c r="A38" s="2" t="s">
        <v>54</v>
      </c>
      <c r="B38" s="2" t="s">
        <v>79</v>
      </c>
      <c r="C38" s="34">
        <f>SUMIFS('BA History'!C:C,'BA History'!B:B,A38)</f>
        <v>1165</v>
      </c>
      <c r="D38" s="66">
        <f>AVERAGEIFS('BA History'!C:C,'BA History'!B:B,A38)</f>
        <v>23.775510204081634</v>
      </c>
      <c r="E38" s="35">
        <f t="array" ref="E38">MAX(IF('BA History'!B:B=A38, 'BA History'!C:C))</f>
        <v>37</v>
      </c>
      <c r="F38" s="34">
        <f>COUNTIFS('BA History'!B:B,A38,'BA History'!D:D, 1)</f>
        <v>28</v>
      </c>
      <c r="G38" s="2">
        <f>COUNTIFS('BA History'!B:B,A38,'BA History'!D:D, 0)</f>
        <v>21</v>
      </c>
      <c r="H38" s="75">
        <f>LOOKUP(2, 1/('BA History'!$B:$B=A38), 'BA History'!$AJ:$AJ)</f>
        <v>0.5714285714285714</v>
      </c>
      <c r="I38" s="34">
        <f>SUMIFS('BA History'!F:F,'BA History'!B:B,A38)</f>
        <v>108</v>
      </c>
      <c r="J38" s="2">
        <f>SUMIFS('BA History'!E:E,'BA History'!B:B,A38)-I38</f>
        <v>90</v>
      </c>
      <c r="K38" s="75">
        <f>LOOKUP(2, 1/('BA History'!$B:$B=A38), 'BA History'!$AH:$AH)</f>
        <v>0.55142857142857149</v>
      </c>
      <c r="L38" s="34">
        <f>SUMIFS('BA History'!H:H,'BA History'!B:B,A38)</f>
        <v>425</v>
      </c>
      <c r="M38" s="2">
        <f>SUMIFS('BA History'!G:G,'BA History'!B:B,A38)-L38</f>
        <v>396</v>
      </c>
      <c r="N38" s="89">
        <f>LOOKUP(2, 1/('BA History'!$B:$B=A38), 'BA History'!$AI:$AI)</f>
        <v>0.52244897959183667</v>
      </c>
      <c r="O38" s="2">
        <f>COUNTIFS('BA History'!$B:$B,$A$38,'BA History'!K:K, 1)</f>
        <v>5</v>
      </c>
      <c r="P38" s="2">
        <f>COUNTIFS('BA History'!$B:$B,$A$38,'BA History'!L:L, 1)</f>
        <v>8</v>
      </c>
      <c r="Q38" s="2">
        <f>COUNTIFS('BA History'!$B:$B,$A$38,'BA History'!M:M, 1)</f>
        <v>7</v>
      </c>
      <c r="R38" s="2">
        <f>COUNTIFS('BA History'!$B:$B,$A$38,'BA History'!N:N, 1)</f>
        <v>9</v>
      </c>
      <c r="S38" s="2">
        <f>COUNTIFS('BA History'!$B:$B,$A$38,'BA History'!O:O, 1)</f>
        <v>1</v>
      </c>
      <c r="T38" s="2">
        <f>COUNTIFS('BA History'!$B:$B,$A$38,'BA History'!P:P, 1)</f>
        <v>1</v>
      </c>
      <c r="U38" s="2">
        <f>COUNTIFS('BA History'!$B:$B,$A$38,'BA History'!Q:Q, 1)</f>
        <v>4</v>
      </c>
      <c r="V38" s="2">
        <f>COUNTIFS('BA History'!$B:$B,$A$38,'BA History'!R:R, 1)</f>
        <v>2</v>
      </c>
      <c r="W38" s="2">
        <f>COUNTIFS('BA History'!$B:$B,$A$38,'BA History'!S:S, 1)</f>
        <v>0</v>
      </c>
      <c r="X38" s="2">
        <f>COUNTIFS('BA History'!$B:$B,$A$38,'BA History'!T:T, 1)</f>
        <v>1</v>
      </c>
      <c r="Y38" s="2">
        <f>COUNTIFS('BA History'!$B:$B,$A$38,'BA History'!U:U, 1)</f>
        <v>3</v>
      </c>
      <c r="Z38" s="2">
        <f>COUNTIFS('BA History'!$B:$B,$A$38,'BA History'!V:V, 1)</f>
        <v>7</v>
      </c>
      <c r="AA38" s="2">
        <f>COUNTIFS('BA History'!$B:$B,$A$38,'BA History'!W:W, 1)</f>
        <v>1</v>
      </c>
      <c r="AB38" s="2">
        <f>COUNTIFS('BA History'!$B:$B,$A$38,'BA History'!X:X, 1)</f>
        <v>0</v>
      </c>
      <c r="AC38" s="2">
        <f>COUNTIFS('BA History'!$B:$B,$A$38,'BA History'!Y:Y, 1)</f>
        <v>9</v>
      </c>
      <c r="AD38" s="2">
        <f>COUNTIFS('BA History'!$B:$B,$A$38,'BA History'!Z:Z, 1)</f>
        <v>10</v>
      </c>
      <c r="AE38" s="2">
        <f>COUNTIFS('BA History'!$B:$B,$A$38,'BA History'!AA:AA, 1)</f>
        <v>3</v>
      </c>
      <c r="AF38" s="2">
        <f>COUNTIFS('BA History'!$B:$B,$A$38,'BA History'!AB:AB, 1)</f>
        <v>13</v>
      </c>
      <c r="AG38" s="2">
        <f>COUNTIFS('BA History'!$B:$B,$A$38,'BA History'!AC:AC, 1)</f>
        <v>9</v>
      </c>
      <c r="AH38" s="2">
        <f>COUNTIFS('BA History'!$B:$B,$A$38,'BA History'!AD:AD, 1)</f>
        <v>8</v>
      </c>
      <c r="AI38" s="2">
        <f>COUNTIFS('BA History'!$B:$B,$A$38,'BA History'!AE:AE, 1)</f>
        <v>2</v>
      </c>
      <c r="AJ38" s="2">
        <f>COUNTIFS('BA History'!$B:$B,$A$38,'BA History'!AF:AF, 1)</f>
        <v>5</v>
      </c>
    </row>
    <row r="39" spans="1:36" x14ac:dyDescent="0.25">
      <c r="A39" s="2" t="s">
        <v>5</v>
      </c>
      <c r="B39" s="1" t="s">
        <v>162</v>
      </c>
      <c r="C39" s="34">
        <f>SUMIFS('BA History'!C:C,'BA History'!B:B,A39)</f>
        <v>404</v>
      </c>
      <c r="D39" s="66">
        <f>AVERAGEIFS('BA History'!C:C,'BA History'!B:B,A39)</f>
        <v>20.2</v>
      </c>
      <c r="E39" s="35">
        <f t="array" ref="E39">MAX(IF('BA History'!B:B=A39, 'BA History'!C:C))</f>
        <v>36</v>
      </c>
      <c r="F39" s="34">
        <f>COUNTIFS('BA History'!B:B,A39,'BA History'!D:D, 1)</f>
        <v>16</v>
      </c>
      <c r="G39" s="2">
        <f>COUNTIFS('BA History'!B:B,A39,'BA History'!D:D, 0)</f>
        <v>4</v>
      </c>
      <c r="H39" s="75">
        <f>LOOKUP(2, 1/('BA History'!$B:$B=A39), 'BA History'!$AJ:$AJ)</f>
        <v>0.8</v>
      </c>
      <c r="I39" s="34">
        <f>SUMIFS('BA History'!F:F,'BA History'!B:B,A39)</f>
        <v>50</v>
      </c>
      <c r="J39" s="2">
        <f>SUMIFS('BA History'!E:E,'BA History'!B:B,A39)-I39</f>
        <v>28</v>
      </c>
      <c r="K39" s="75">
        <f>LOOKUP(2, 1/('BA History'!$B:$B=A39), 'BA History'!$AH:$AH)</f>
        <v>0.65349999999999997</v>
      </c>
      <c r="L39" s="34">
        <f>SUMIFS('BA History'!H:H,'BA History'!B:B,A39)</f>
        <v>187</v>
      </c>
      <c r="M39" s="2">
        <f>SUMIFS('BA History'!G:G,'BA History'!B:B,A39)-L39</f>
        <v>147</v>
      </c>
      <c r="N39" s="89">
        <f>LOOKUP(2, 1/('BA History'!$B:$B=A39), 'BA History'!$AI:$AI)</f>
        <v>0.57550000000000001</v>
      </c>
      <c r="O39" s="2">
        <f>COUNTIFS('BA History'!$B:$B,$A$39,'BA History'!K:K, 1)</f>
        <v>1</v>
      </c>
      <c r="P39" s="2">
        <f>COUNTIFS('BA History'!$B:$B,$A$39,'BA History'!L:L, 1)</f>
        <v>5</v>
      </c>
      <c r="Q39" s="2">
        <f>COUNTIFS('BA History'!$B:$B,$A$39,'BA History'!M:M, 1)</f>
        <v>2</v>
      </c>
      <c r="R39" s="2">
        <f>COUNTIFS('BA History'!$B:$B,$A$39,'BA History'!N:N, 1)</f>
        <v>8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2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3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3</v>
      </c>
      <c r="AD39" s="2">
        <f>COUNTIFS('BA History'!$B:$B,$A$39,'BA History'!Z:Z, 1)</f>
        <v>3</v>
      </c>
      <c r="AE39" s="2">
        <f>COUNTIFS('BA History'!$B:$B,$A$39,'BA History'!AA:AA, 1)</f>
        <v>3</v>
      </c>
      <c r="AF39" s="2">
        <f>COUNTIFS('BA History'!$B:$B,$A$39,'BA History'!AB:AB, 1)</f>
        <v>6</v>
      </c>
      <c r="AG39" s="2">
        <f>COUNTIFS('BA History'!$B:$B,$A$39,'BA History'!AC:AC, 1)</f>
        <v>5</v>
      </c>
      <c r="AH39" s="2">
        <f>COUNTIFS('BA History'!$B:$B,$A$39,'BA History'!AD:AD, 1)</f>
        <v>4</v>
      </c>
      <c r="AI39" s="2">
        <f>COUNTIFS('BA History'!$B:$B,$A$39,'BA History'!AE:AE, 1)</f>
        <v>0</v>
      </c>
      <c r="AJ39" s="2">
        <f>COUNTIFS('BA History'!$B:$B,$A$39,'BA History'!AF:AF, 1)</f>
        <v>1</v>
      </c>
    </row>
    <row r="40" spans="1:36" x14ac:dyDescent="0.25">
      <c r="A40" s="2" t="s">
        <v>38</v>
      </c>
      <c r="B40" s="2" t="s">
        <v>79</v>
      </c>
      <c r="C40" s="34">
        <f>SUMIFS('BA History'!C:C,'BA History'!B:B,A40)</f>
        <v>23</v>
      </c>
      <c r="D40" s="66">
        <f>AVERAGEIFS('BA History'!C:C,'BA History'!B:B,A40)</f>
        <v>4.5999999999999996</v>
      </c>
      <c r="E40" s="35">
        <f t="array" ref="E40">MAX(IF('BA History'!B:B=A40, 'BA History'!C:C))</f>
        <v>11</v>
      </c>
      <c r="F40" s="34">
        <f>COUNTIFS('BA History'!B:B,A40,'BA History'!D:D, 1)</f>
        <v>2</v>
      </c>
      <c r="G40" s="2">
        <f>COUNTIFS('BA History'!B:B,A40,'BA History'!D:D, 0)</f>
        <v>3</v>
      </c>
      <c r="H40" s="75">
        <f>LOOKUP(2, 1/('BA History'!$B:$B=A40), 'BA History'!$AJ:$AJ)</f>
        <v>0.4</v>
      </c>
      <c r="I40" s="34">
        <f>SUMIFS('BA History'!F:F,'BA History'!B:B,A40)</f>
        <v>10</v>
      </c>
      <c r="J40" s="2">
        <f>SUMIFS('BA History'!E:E,'BA History'!B:B,A40)-I40</f>
        <v>12</v>
      </c>
      <c r="K40" s="75">
        <f>LOOKUP(2, 1/('BA History'!$B:$B=A40), 'BA History'!$AH:$AH)</f>
        <v>0.43</v>
      </c>
      <c r="L40" s="34">
        <f>SUMIFS('BA History'!H:H,'BA History'!B:B,A40)</f>
        <v>41</v>
      </c>
      <c r="M40" s="2">
        <f>SUMIFS('BA History'!G:G,'BA History'!B:B,A40)-L40</f>
        <v>49</v>
      </c>
      <c r="N40" s="89">
        <f>LOOKUP(2, 1/('BA History'!$B:$B=A40), 'BA History'!$AI:$AI)</f>
        <v>0.43600000000000005</v>
      </c>
      <c r="O40" s="2">
        <f>COUNTIFS('BA History'!$B:$B,$A$40,'BA History'!K:K, 1)</f>
        <v>1</v>
      </c>
      <c r="P40" s="2">
        <f>COUNTIFS('BA History'!$B:$B,$A$40,'BA History'!L:L, 1)</f>
        <v>1</v>
      </c>
      <c r="Q40" s="2">
        <f>COUNTIFS('BA History'!$B:$B,$A$40,'BA History'!M:M, 1)</f>
        <v>1</v>
      </c>
      <c r="R40" s="2">
        <f>COUNTIFS('BA History'!$B:$B,$A$40,'BA History'!N:N, 1)</f>
        <v>0</v>
      </c>
      <c r="S40" s="2">
        <f>COUNTIFS('BA History'!$B:$B,$A$40,'BA History'!O:O, 1)</f>
        <v>1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1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142</v>
      </c>
      <c r="B41" s="2" t="s">
        <v>79</v>
      </c>
      <c r="C41" s="34">
        <f>SUMIFS('BA History'!C:C,'BA History'!B:B,A41)</f>
        <v>97</v>
      </c>
      <c r="D41" s="66">
        <f>AVERAGEIFS('BA History'!C:C,'BA History'!B:B,A41)</f>
        <v>12.125</v>
      </c>
      <c r="E41" s="35">
        <f t="array" ref="E41">MAX(IF('BA History'!B:B=A41, 'BA History'!C:C))</f>
        <v>22</v>
      </c>
      <c r="F41" s="34">
        <f>COUNTIFS('BA History'!B:B,A41,'BA History'!D:D, 1)</f>
        <v>4</v>
      </c>
      <c r="G41" s="2">
        <f>COUNTIFS('BA History'!B:B,A41,'BA History'!D:D, 0)</f>
        <v>4</v>
      </c>
      <c r="H41" s="75">
        <f>LOOKUP(2, 1/('BA History'!$B:$B=A41), 'BA History'!$AJ:$AJ)</f>
        <v>0.5</v>
      </c>
      <c r="I41" s="34">
        <f>SUMIFS('BA History'!F:F,'BA History'!B:B,A41)</f>
        <v>13</v>
      </c>
      <c r="J41" s="2">
        <f>SUMIFS('BA History'!E:E,'BA History'!B:B,A41)-I41</f>
        <v>17</v>
      </c>
      <c r="K41" s="75">
        <f>LOOKUP(2, 1/('BA History'!$B:$B=A41), 'BA History'!$AH:$AH)</f>
        <v>0.4</v>
      </c>
      <c r="L41" s="34">
        <f>SUMIFS('BA History'!H:H,'BA History'!B:B,A41)</f>
        <v>61</v>
      </c>
      <c r="M41" s="2">
        <f>SUMIFS('BA History'!G:G,'BA History'!B:B,A41)-L41</f>
        <v>63</v>
      </c>
      <c r="N41" s="89">
        <f>LOOKUP(2, 1/('BA History'!$B:$B=A41), 'BA History'!$AI:$AI)</f>
        <v>0.49000000000000005</v>
      </c>
      <c r="O41" s="2">
        <f>COUNTIFS('BA History'!$B:$B,$A$41,'BA History'!K:K, 1)</f>
        <v>2</v>
      </c>
      <c r="P41" s="2">
        <f>COUNTIFS('BA History'!$B:$B,$A$41,'BA History'!L:L, 1)</f>
        <v>2</v>
      </c>
      <c r="Q41" s="2">
        <f>COUNTIFS('BA History'!$B:$B,$A$41,'BA History'!M:M, 1)</f>
        <v>1</v>
      </c>
      <c r="R41" s="2">
        <f>COUNTIFS('BA History'!$B:$B,$A$41,'BA History'!N:N, 1)</f>
        <v>2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2</v>
      </c>
      <c r="AG41" s="2">
        <f>COUNTIFS('BA History'!$B:$B,$A$41,'BA History'!AC:AC, 1)</f>
        <v>1</v>
      </c>
      <c r="AH41" s="2">
        <f>COUNTIFS('BA History'!$B:$B,$A$41,'BA History'!AD:AD, 1)</f>
        <v>1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x14ac:dyDescent="0.25">
      <c r="A42" s="2" t="s">
        <v>154</v>
      </c>
      <c r="B42" s="2" t="s">
        <v>79</v>
      </c>
      <c r="C42" s="34">
        <f>SUMIFS('BA History'!C:C,'BA History'!B:B,A42)</f>
        <v>57</v>
      </c>
      <c r="D42" s="66">
        <f>AVERAGEIFS('BA History'!C:C,'BA History'!B:B,A42)</f>
        <v>11.4</v>
      </c>
      <c r="E42" s="35">
        <f t="array" ref="E42">MAX(IF('BA History'!B:B=A42, 'BA History'!C:C))</f>
        <v>14</v>
      </c>
      <c r="F42" s="34">
        <f>COUNTIFS('BA History'!B:B,A42,'BA History'!D:D, 1)</f>
        <v>3</v>
      </c>
      <c r="G42" s="2">
        <f>COUNTIFS('BA History'!B:B,A42,'BA History'!D:D, 0)</f>
        <v>2</v>
      </c>
      <c r="H42" s="75">
        <f>LOOKUP(2, 1/('BA History'!$B:$B=A42), 'BA History'!$AJ:$AJ)</f>
        <v>0.6</v>
      </c>
      <c r="I42" s="34">
        <f>SUMIFS('BA History'!F:F,'BA History'!B:B,A42)</f>
        <v>10</v>
      </c>
      <c r="J42" s="2">
        <f>SUMIFS('BA History'!E:E,'BA History'!B:B,A42)-I42</f>
        <v>11</v>
      </c>
      <c r="K42" s="75">
        <f>LOOKUP(2, 1/('BA History'!$B:$B=A42), 'BA History'!$AH:$AH)</f>
        <v>0.44000000000000006</v>
      </c>
      <c r="L42" s="34">
        <f>SUMIFS('BA History'!H:H,'BA History'!B:B,A42)</f>
        <v>44</v>
      </c>
      <c r="M42" s="2">
        <f>SUMIFS('BA History'!G:G,'BA History'!B:B,A42)-L42</f>
        <v>46</v>
      </c>
      <c r="N42" s="89">
        <f>LOOKUP(2, 1/('BA History'!$B:$B=A42), 'BA History'!$AI:$AI)</f>
        <v>0.44799999999999995</v>
      </c>
      <c r="O42" s="2">
        <f>COUNTIFS('BA History'!$B:$B,$A$42,'BA History'!K:K, 1)</f>
        <v>0</v>
      </c>
      <c r="P42" s="2">
        <f>COUNTIFS('BA History'!$B:$B,$A$42,'BA History'!L:L, 1)</f>
        <v>1</v>
      </c>
      <c r="Q42" s="2">
        <f>COUNTIFS('BA History'!$B:$B,$A$42,'BA History'!M:M, 1)</f>
        <v>0</v>
      </c>
      <c r="R42" s="2">
        <f>COUNTIFS('BA History'!$B:$B,$A$42,'BA History'!N:N, 1)</f>
        <v>1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1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1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2</v>
      </c>
      <c r="AE42" s="2">
        <f>COUNTIFS('BA History'!$B:$B,$A$42,'BA History'!AA:AA, 1)</f>
        <v>0</v>
      </c>
      <c r="AF42" s="2">
        <f>COUNTIFS('BA History'!$B:$B,$A$42,'BA History'!AB:AB, 1)</f>
        <v>3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x14ac:dyDescent="0.25">
      <c r="A43" s="2" t="s">
        <v>40</v>
      </c>
      <c r="B43" s="2" t="s">
        <v>79</v>
      </c>
      <c r="C43" s="34">
        <f>SUMIFS('BA History'!C:C,'BA History'!B:B,A43)</f>
        <v>964</v>
      </c>
      <c r="D43" s="66">
        <f>AVERAGEIFS('BA History'!C:C,'BA History'!B:B,A43)</f>
        <v>18.188679245283019</v>
      </c>
      <c r="E43" s="35">
        <f t="array" ref="E43">MAX(IF('BA History'!B:B=A43, 'BA History'!C:C))</f>
        <v>37</v>
      </c>
      <c r="F43" s="34">
        <f>COUNTIFS('BA History'!B:B,A43,'BA History'!D:D, 1)</f>
        <v>23</v>
      </c>
      <c r="G43" s="2">
        <f>COUNTIFS('BA History'!B:B,A43,'BA History'!D:D, 0)</f>
        <v>30</v>
      </c>
      <c r="H43" s="75">
        <f>LOOKUP(2, 1/('BA History'!$B:$B=A43), 'BA History'!$AJ:$AJ)</f>
        <v>0.43396226415094341</v>
      </c>
      <c r="I43" s="34">
        <f>SUMIFS('BA History'!F:F,'BA History'!B:B,A43)</f>
        <v>106</v>
      </c>
      <c r="J43" s="2">
        <f>SUMIFS('BA History'!E:E,'BA History'!B:B,A43)-I43</f>
        <v>112</v>
      </c>
      <c r="K43" s="75">
        <f>LOOKUP(2, 1/('BA History'!$B:$B=A43), 'BA History'!$AH:$AH)</f>
        <v>0.49339622641509417</v>
      </c>
      <c r="L43" s="34">
        <f>SUMIFS('BA History'!H:H,'BA History'!B:B,A43)</f>
        <v>438</v>
      </c>
      <c r="M43" s="2">
        <f>SUMIFS('BA History'!G:G,'BA History'!B:B,A43)-L43</f>
        <v>458</v>
      </c>
      <c r="N43" s="89">
        <f>LOOKUP(2, 1/('BA History'!$B:$B=A43), 'BA History'!$AI:$AI)</f>
        <v>0.48603773584905668</v>
      </c>
      <c r="O43" s="2">
        <f>COUNTIFS('BA History'!$B:$B,$A$43,'BA History'!K:K, 1)</f>
        <v>4</v>
      </c>
      <c r="P43" s="2">
        <f>COUNTIFS('BA History'!$B:$B,$A$43,'BA History'!L:L, 1)</f>
        <v>9</v>
      </c>
      <c r="Q43" s="2">
        <f>COUNTIFS('BA History'!$B:$B,$A$43,'BA History'!M:M, 1)</f>
        <v>12</v>
      </c>
      <c r="R43" s="2">
        <f>COUNTIFS('BA History'!$B:$B,$A$43,'BA History'!N:N, 1)</f>
        <v>13</v>
      </c>
      <c r="S43" s="2">
        <f>COUNTIFS('BA History'!$B:$B,$A$43,'BA History'!O:O, 1)</f>
        <v>3</v>
      </c>
      <c r="T43" s="2">
        <f>COUNTIFS('BA History'!$B:$B,$A$43,'BA History'!P:P, 1)</f>
        <v>1</v>
      </c>
      <c r="U43" s="2">
        <f>COUNTIFS('BA History'!$B:$B,$A$43,'BA History'!Q:Q, 1)</f>
        <v>4</v>
      </c>
      <c r="V43" s="2">
        <f>COUNTIFS('BA History'!$B:$B,$A$43,'BA History'!R:R, 1)</f>
        <v>3</v>
      </c>
      <c r="W43" s="2">
        <f>COUNTIFS('BA History'!$B:$B,$A$43,'BA History'!S:S, 1)</f>
        <v>1</v>
      </c>
      <c r="X43" s="2">
        <f>COUNTIFS('BA History'!$B:$B,$A$43,'BA History'!T:T, 1)</f>
        <v>0</v>
      </c>
      <c r="Y43" s="2">
        <f>COUNTIFS('BA History'!$B:$B,$A$43,'BA History'!U:U, 1)</f>
        <v>3</v>
      </c>
      <c r="Z43" s="2">
        <f>COUNTIFS('BA History'!$B:$B,$A$43,'BA History'!V:V, 1)</f>
        <v>5</v>
      </c>
      <c r="AA43" s="2">
        <f>COUNTIFS('BA History'!$B:$B,$A$43,'BA History'!W:W, 1)</f>
        <v>2</v>
      </c>
      <c r="AB43" s="2">
        <f>COUNTIFS('BA History'!$B:$B,$A$43,'BA History'!X:X, 1)</f>
        <v>1</v>
      </c>
      <c r="AC43" s="2">
        <f>COUNTIFS('BA History'!$B:$B,$A$43,'BA History'!Y:Y, 1)</f>
        <v>5</v>
      </c>
      <c r="AD43" s="2">
        <f>COUNTIFS('BA History'!$B:$B,$A$43,'BA History'!Z:Z, 1)</f>
        <v>9</v>
      </c>
      <c r="AE43" s="2">
        <f>COUNTIFS('BA History'!$B:$B,$A$43,'BA History'!AA:AA, 1)</f>
        <v>1</v>
      </c>
      <c r="AF43" s="2">
        <f>COUNTIFS('BA History'!$B:$B,$A$43,'BA History'!AB:AB, 1)</f>
        <v>5</v>
      </c>
      <c r="AG43" s="2">
        <f>COUNTIFS('BA History'!$B:$B,$A$43,'BA History'!AC:AC, 1)</f>
        <v>6</v>
      </c>
      <c r="AH43" s="2">
        <f>COUNTIFS('BA History'!$B:$B,$A$43,'BA History'!AD:AD, 1)</f>
        <v>13</v>
      </c>
      <c r="AI43" s="2">
        <f>COUNTIFS('BA History'!$B:$B,$A$43,'BA History'!AE:AE, 1)</f>
        <v>0</v>
      </c>
      <c r="AJ43" s="2">
        <f>COUNTIFS('BA History'!$B:$B,$A$43,'BA History'!AF:AF, 1)</f>
        <v>6</v>
      </c>
    </row>
    <row r="44" spans="1:36" x14ac:dyDescent="0.25">
      <c r="A44" s="2" t="s">
        <v>148</v>
      </c>
      <c r="B44" s="2" t="s">
        <v>79</v>
      </c>
      <c r="C44" s="34">
        <f>SUMIFS('BA History'!C:C,'BA History'!B:B,A44)</f>
        <v>234</v>
      </c>
      <c r="D44" s="66">
        <f>AVERAGEIFS('BA History'!C:C,'BA History'!B:B,A44)</f>
        <v>11.7</v>
      </c>
      <c r="E44" s="35">
        <f t="array" ref="E44">MAX(IF('BA History'!B:B=A44, 'BA History'!C:C))</f>
        <v>33</v>
      </c>
      <c r="F44" s="34">
        <f>COUNTIFS('BA History'!B:B,A44,'BA History'!D:D, 1)</f>
        <v>11</v>
      </c>
      <c r="G44" s="2">
        <f>COUNTIFS('BA History'!B:B,A44,'BA History'!D:D, 0)</f>
        <v>9</v>
      </c>
      <c r="H44" s="75">
        <f>LOOKUP(2, 1/('BA History'!$B:$B=A44), 'BA History'!$AJ:$AJ)</f>
        <v>0.55000000000000004</v>
      </c>
      <c r="I44" s="34">
        <f>SUMIFS('BA History'!F:F,'BA History'!B:B,A44)</f>
        <v>43</v>
      </c>
      <c r="J44" s="2">
        <f>SUMIFS('BA History'!E:E,'BA History'!B:B,A44)-I44</f>
        <v>35</v>
      </c>
      <c r="K44" s="75">
        <f>LOOKUP(2, 1/('BA History'!$B:$B=A44), 'BA History'!$AH:$AH)</f>
        <v>0.57999999999999996</v>
      </c>
      <c r="L44" s="34">
        <f>SUMIFS('BA History'!H:H,'BA History'!B:B,A44)</f>
        <v>167</v>
      </c>
      <c r="M44" s="2">
        <f>SUMIFS('BA History'!G:G,'BA History'!B:B,A44)-L44</f>
        <v>152</v>
      </c>
      <c r="N44" s="89">
        <f>LOOKUP(2, 1/('BA History'!$B:$B=A44), 'BA History'!$AI:$AI)</f>
        <v>0.54599999999999993</v>
      </c>
      <c r="O44" s="2">
        <f>COUNTIFS('BA History'!$B:$B,$A$44,'BA History'!K:K, 1)</f>
        <v>3</v>
      </c>
      <c r="P44" s="2">
        <f>COUNTIFS('BA History'!$B:$B,$A$44,'BA History'!L:L, 1)</f>
        <v>3</v>
      </c>
      <c r="Q44" s="2">
        <f>COUNTIFS('BA History'!$B:$B,$A$44,'BA History'!M:M, 1)</f>
        <v>3</v>
      </c>
      <c r="R44" s="2">
        <f>COUNTIFS('BA History'!$B:$B,$A$44,'BA History'!N:N, 1)</f>
        <v>5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1</v>
      </c>
      <c r="V44" s="2">
        <f>COUNTIFS('BA History'!$B:$B,$A$44,'BA History'!R:R, 1)</f>
        <v>1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2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5</v>
      </c>
      <c r="AD44" s="2">
        <f>COUNTIFS('BA History'!$B:$B,$A$44,'BA History'!Z:Z, 1)</f>
        <v>7</v>
      </c>
      <c r="AE44" s="2">
        <f>COUNTIFS('BA History'!$B:$B,$A$44,'BA History'!AA:AA, 1)</f>
        <v>0</v>
      </c>
      <c r="AF44" s="2">
        <f>COUNTIFS('BA History'!$B:$B,$A$44,'BA History'!AB:AB, 1)</f>
        <v>7</v>
      </c>
      <c r="AG44" s="2">
        <f>COUNTIFS('BA History'!$B:$B,$A$44,'BA History'!AC:AC, 1)</f>
        <v>0</v>
      </c>
      <c r="AH44" s="2">
        <f>COUNTIFS('BA History'!$B:$B,$A$44,'BA History'!AD:AD, 1)</f>
        <v>2</v>
      </c>
      <c r="AI44" s="2">
        <f>COUNTIFS('BA History'!$B:$B,$A$44,'BA History'!AE:AE, 1)</f>
        <v>0</v>
      </c>
      <c r="AJ44" s="2">
        <f>COUNTIFS('BA History'!$B:$B,$A$44,'BA History'!AF:AF, 1)</f>
        <v>4</v>
      </c>
    </row>
    <row r="45" spans="1:36" x14ac:dyDescent="0.25">
      <c r="A45" s="2" t="s">
        <v>17</v>
      </c>
      <c r="B45" s="2" t="s">
        <v>79</v>
      </c>
      <c r="C45" s="34">
        <f>SUMIFS('BA History'!C:C,'BA History'!B:B,A45)</f>
        <v>630</v>
      </c>
      <c r="D45" s="66">
        <f>AVERAGEIFS('BA History'!C:C,'BA History'!B:B,A45)</f>
        <v>20.322580645161292</v>
      </c>
      <c r="E45" s="35">
        <f t="array" ref="E45">MAX(IF('BA History'!B:B=A45, 'BA History'!C:C))</f>
        <v>32</v>
      </c>
      <c r="F45" s="34">
        <f>COUNTIFS('BA History'!B:B,A45,'BA History'!D:D, 1)</f>
        <v>17</v>
      </c>
      <c r="G45" s="2">
        <f>COUNTIFS('BA History'!B:B,A45,'BA History'!D:D, 0)</f>
        <v>14</v>
      </c>
      <c r="H45" s="75">
        <f>LOOKUP(2, 1/('BA History'!$B:$B=A45), 'BA History'!$AJ:$AJ)</f>
        <v>0.54838709677419351</v>
      </c>
      <c r="I45" s="34">
        <f>SUMIFS('BA History'!F:F,'BA History'!B:B,A45)</f>
        <v>66</v>
      </c>
      <c r="J45" s="2">
        <f>SUMIFS('BA History'!E:E,'BA History'!B:B,A45)-I45</f>
        <v>58</v>
      </c>
      <c r="K45" s="75">
        <f>LOOKUP(2, 1/('BA History'!$B:$B=A45), 'BA History'!$AH:$AH)</f>
        <v>0.53935483870967738</v>
      </c>
      <c r="L45" s="34">
        <f>SUMIFS('BA History'!H:H,'BA History'!B:B,A45)</f>
        <v>261</v>
      </c>
      <c r="M45" s="2">
        <f>SUMIFS('BA History'!G:G,'BA History'!B:B,A45)-L45</f>
        <v>253</v>
      </c>
      <c r="N45" s="89">
        <f>LOOKUP(2, 1/('BA History'!$B:$B=A45), 'BA History'!$AI:$AI)</f>
        <v>0.5074193548387097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9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3</v>
      </c>
      <c r="V45" s="2">
        <f>COUNTIFS('BA History'!$B:$B,$A$45,'BA History'!R:R, 1)</f>
        <v>1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3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2</v>
      </c>
      <c r="AD45" s="2">
        <f>COUNTIFS('BA History'!$B:$B,$A$45,'BA History'!Z:Z, 1)</f>
        <v>8</v>
      </c>
      <c r="AE45" s="2">
        <f>COUNTIFS('BA History'!$B:$B,$A$45,'BA History'!AA:AA, 1)</f>
        <v>1</v>
      </c>
      <c r="AF45" s="2">
        <f>COUNTIFS('BA History'!$B:$B,$A$45,'BA History'!AB:AB, 1)</f>
        <v>8</v>
      </c>
      <c r="AG45" s="2">
        <f>COUNTIFS('BA History'!$B:$B,$A$45,'BA History'!AC:AC, 1)</f>
        <v>6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2</v>
      </c>
    </row>
    <row r="46" spans="1:36" ht="14.25" customHeight="1" x14ac:dyDescent="0.25">
      <c r="A46" s="1" t="s">
        <v>105</v>
      </c>
      <c r="B46" s="2" t="s">
        <v>79</v>
      </c>
      <c r="C46" s="34">
        <f>SUMIFS('BA History'!C:C,'BA History'!B:B,A46)</f>
        <v>12</v>
      </c>
      <c r="D46" s="66">
        <f>AVERAGEIFS('BA History'!C:C,'BA History'!B:B,A46)</f>
        <v>12</v>
      </c>
      <c r="E46" s="35">
        <f t="array" ref="E46">MAX(IF('BA History'!B:B=A46, 'BA History'!C:C))</f>
        <v>12</v>
      </c>
      <c r="F46" s="34">
        <f>COUNTIFS('BA History'!B:B,A46,'BA History'!D:D, 1)</f>
        <v>1</v>
      </c>
      <c r="G46" s="2">
        <f>COUNTIFS('BA History'!B:B,A46,'BA History'!D:D, 0)</f>
        <v>0</v>
      </c>
      <c r="H46" s="75">
        <f>LOOKUP(2, 1/('BA History'!$B:$B=A46), 'BA History'!$AJ:$AJ)</f>
        <v>1</v>
      </c>
      <c r="I46" s="34">
        <f>SUMIFS('BA History'!F:F,'BA History'!B:B,A46)</f>
        <v>3</v>
      </c>
      <c r="J46" s="2">
        <f>SUMIFS('BA History'!E:E,'BA History'!B:B,A46)-I46</f>
        <v>2</v>
      </c>
      <c r="K46" s="75">
        <f>LOOKUP(2, 1/('BA History'!$B:$B=A46), 'BA History'!$AH:$AH)</f>
        <v>0.6</v>
      </c>
      <c r="L46" s="34">
        <f>SUMIFS('BA History'!H:H,'BA History'!B:B,A46)</f>
        <v>9</v>
      </c>
      <c r="M46" s="2">
        <f>SUMIFS('BA History'!G:G,'BA History'!B:B,A46)-L46</f>
        <v>10</v>
      </c>
      <c r="N46" s="89">
        <f>LOOKUP(2, 1/('BA History'!$B:$B=A46), 'BA History'!$AI:$AI)</f>
        <v>0.47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1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1</v>
      </c>
      <c r="AG46" s="2">
        <f>COUNTIFS('BA History'!$B:$B,$A$46,'BA History'!AC:AC, 1)</f>
        <v>1</v>
      </c>
      <c r="AH46" s="2">
        <f>COUNTIFS('BA History'!$B:$B,$A$46,'BA History'!AD:AD, 1)</f>
        <v>0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4.25" customHeight="1" x14ac:dyDescent="0.25">
      <c r="A47" s="1" t="s">
        <v>144</v>
      </c>
      <c r="B47" s="2" t="s">
        <v>79</v>
      </c>
      <c r="C47" s="34">
        <f>SUMIFS('BA History'!C:C,'BA History'!B:B,A47)</f>
        <v>4</v>
      </c>
      <c r="D47" s="66">
        <f>AVERAGEIFS('BA History'!C:C,'BA History'!B:B,A47)</f>
        <v>4</v>
      </c>
      <c r="E47" s="35">
        <f t="array" ref="E47">MAX(IF('BA History'!B:B=A47, 'BA History'!C:C))</f>
        <v>4</v>
      </c>
      <c r="F47" s="34">
        <f>COUNTIFS('BA History'!B:B,A47,'BA History'!D:D, 1)</f>
        <v>0</v>
      </c>
      <c r="G47" s="2">
        <f>COUNTIFS('BA History'!B:B,A47,'BA History'!D:D, 0)</f>
        <v>1</v>
      </c>
      <c r="H47" s="75">
        <f>LOOKUP(2, 1/('BA History'!$B:$B=A47), 'BA History'!$AJ:$AJ)</f>
        <v>0</v>
      </c>
      <c r="I47" s="34">
        <f>SUMIFS('BA History'!F:F,'BA History'!B:B,A47)</f>
        <v>1</v>
      </c>
      <c r="J47" s="2">
        <f>SUMIFS('BA History'!E:E,'BA History'!B:B,A47)-I47</f>
        <v>3</v>
      </c>
      <c r="K47" s="75">
        <f>LOOKUP(2, 1/('BA History'!$B:$B=A47), 'BA History'!$AH:$AH)</f>
        <v>0.25</v>
      </c>
      <c r="L47" s="34">
        <f>SUMIFS('BA History'!H:H,'BA History'!B:B,A47)</f>
        <v>7</v>
      </c>
      <c r="M47" s="2">
        <f>SUMIFS('BA History'!G:G,'BA History'!B:B,A47)-L47</f>
        <v>9</v>
      </c>
      <c r="N47" s="89">
        <f>LOOKUP(2, 1/('BA History'!$B:$B=A47), 'BA History'!$AI:$AI)</f>
        <v>0.44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0</v>
      </c>
      <c r="R47" s="2">
        <f>COUNTIFS('BA History'!$B:$B,$A$47,'BA History'!N:N, 1)</f>
        <v>0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1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0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1" t="s">
        <v>118</v>
      </c>
      <c r="B48" s="2" t="s">
        <v>79</v>
      </c>
      <c r="C48" s="34">
        <f>SUMIFS('BA History'!C:C,'BA History'!B:B,A48)</f>
        <v>30</v>
      </c>
      <c r="D48" s="66">
        <f>AVERAGEIFS('BA History'!C:C,'BA History'!B:B,A48)</f>
        <v>15</v>
      </c>
      <c r="E48" s="35">
        <f t="array" ref="E48">MAX(IF('BA History'!B:B=A48, 'BA History'!C:C))</f>
        <v>20</v>
      </c>
      <c r="F48" s="34">
        <f>COUNTIFS('BA History'!B:B,A48,'BA History'!D:D, 1)</f>
        <v>1</v>
      </c>
      <c r="G48" s="2">
        <f>COUNTIFS('BA History'!B:B,A48,'BA History'!D:D, 0)</f>
        <v>1</v>
      </c>
      <c r="H48" s="75">
        <f>LOOKUP(2, 1/('BA History'!$B:$B=A48), 'BA History'!$AJ:$AJ)</f>
        <v>0.5</v>
      </c>
      <c r="I48" s="34">
        <f>SUMIFS('BA History'!F:F,'BA History'!B:B,A48)</f>
        <v>4</v>
      </c>
      <c r="J48" s="2">
        <f>SUMIFS('BA History'!E:E,'BA History'!B:B,A48)-I48</f>
        <v>4</v>
      </c>
      <c r="K48" s="75">
        <f>LOOKUP(2, 1/('BA History'!$B:$B=A48), 'BA History'!$AH:$AH)</f>
        <v>0.5</v>
      </c>
      <c r="L48" s="34">
        <f>SUMIFS('BA History'!H:H,'BA History'!B:B,A48)</f>
        <v>15</v>
      </c>
      <c r="M48" s="2">
        <f>SUMIFS('BA History'!G:G,'BA History'!B:B,A48)-L48</f>
        <v>15</v>
      </c>
      <c r="N48" s="89">
        <f>LOOKUP(2, 1/('BA History'!$B:$B=A48), 'BA History'!$AI:$AI)</f>
        <v>0.51</v>
      </c>
      <c r="O48" s="2">
        <f>COUNTIFS('BA History'!$B:$B,$A$48,'BA History'!K:K, 1)</f>
        <v>0</v>
      </c>
      <c r="P48" s="2">
        <f>COUNTIFS('BA History'!$B:$B,$A$48,'BA History'!L:L, 1)</f>
        <v>0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0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0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0</v>
      </c>
      <c r="AG48" s="2">
        <f>COUNTIFS('BA History'!$B:$B,$A$48,'BA History'!AC:AC, 1)</f>
        <v>1</v>
      </c>
      <c r="AH48" s="2">
        <f>COUNTIFS('BA History'!$B:$B,$A$48,'BA History'!AD:AD, 1)</f>
        <v>1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6</v>
      </c>
      <c r="B49" s="1" t="s">
        <v>162</v>
      </c>
      <c r="C49" s="34">
        <f>SUMIFS('BA History'!C:C,'BA History'!B:B,A49)</f>
        <v>1198</v>
      </c>
      <c r="D49" s="66">
        <f>AVERAGEIFS('BA History'!C:C,'BA History'!B:B,A49)</f>
        <v>22.185185185185187</v>
      </c>
      <c r="E49" s="35">
        <f t="array" ref="E49">MAX(IF('BA History'!B:B=A49, 'BA History'!C:C))</f>
        <v>37</v>
      </c>
      <c r="F49" s="34">
        <f>COUNTIFS('BA History'!B:B,A49,'BA History'!D:D, 1)</f>
        <v>32</v>
      </c>
      <c r="G49" s="2">
        <f>COUNTIFS('BA History'!B:B,A49,'BA History'!D:D, 0)</f>
        <v>22</v>
      </c>
      <c r="H49" s="75">
        <f>LOOKUP(2, 1/('BA History'!$B:$B=A49), 'BA History'!$AJ:$AJ)</f>
        <v>0.59259259259259256</v>
      </c>
      <c r="I49" s="34">
        <f>SUMIFS('BA History'!F:F,'BA History'!B:B,A49)</f>
        <v>116</v>
      </c>
      <c r="J49" s="2">
        <f>SUMIFS('BA History'!E:E,'BA History'!B:B,A49)-I49</f>
        <v>102</v>
      </c>
      <c r="K49" s="75">
        <f>LOOKUP(2, 1/('BA History'!$B:$B=A49), 'BA History'!$AH:$AH)</f>
        <v>0.52462962962962967</v>
      </c>
      <c r="L49" s="34">
        <f>SUMIFS('BA History'!H:H,'BA History'!B:B,A49)</f>
        <v>473</v>
      </c>
      <c r="M49" s="2">
        <f>SUMIFS('BA History'!G:G,'BA History'!B:B,A49)-L49</f>
        <v>434</v>
      </c>
      <c r="N49" s="89">
        <f>LOOKUP(2, 1/('BA History'!$B:$B=A49), 'BA History'!$AI:$AI)</f>
        <v>0.5159259259259259</v>
      </c>
      <c r="O49" s="2">
        <f>COUNTIFS('BA History'!$B:$B,$A$49,'BA History'!K:K, 1)</f>
        <v>5</v>
      </c>
      <c r="P49" s="2">
        <f>COUNTIFS('BA History'!$B:$B,$A$49,'BA History'!L:L, 1)</f>
        <v>6</v>
      </c>
      <c r="Q49" s="2">
        <f>COUNTIFS('BA History'!$B:$B,$A$49,'BA History'!M:M, 1)</f>
        <v>10</v>
      </c>
      <c r="R49" s="2">
        <f>COUNTIFS('BA History'!$B:$B,$A$49,'BA History'!N:N, 1)</f>
        <v>9</v>
      </c>
      <c r="S49" s="2">
        <f>COUNTIFS('BA History'!$B:$B,$A$49,'BA History'!O:O, 1)</f>
        <v>2</v>
      </c>
      <c r="T49" s="2">
        <f>COUNTIFS('BA History'!$B:$B,$A$49,'BA History'!P:P, 1)</f>
        <v>0</v>
      </c>
      <c r="U49" s="2">
        <f>COUNTIFS('BA History'!$B:$B,$A$49,'BA History'!Q:Q, 1)</f>
        <v>5</v>
      </c>
      <c r="V49" s="2">
        <f>COUNTIFS('BA History'!$B:$B,$A$49,'BA History'!R:R, 1)</f>
        <v>3</v>
      </c>
      <c r="W49" s="2">
        <f>COUNTIFS('BA History'!$B:$B,$A$49,'BA History'!S:S, 1)</f>
        <v>1</v>
      </c>
      <c r="X49" s="2">
        <f>COUNTIFS('BA History'!$B:$B,$A$49,'BA History'!T:T, 1)</f>
        <v>0</v>
      </c>
      <c r="Y49" s="2">
        <f>COUNTIFS('BA History'!$B:$B,$A$49,'BA History'!U:U, 1)</f>
        <v>2</v>
      </c>
      <c r="Z49" s="2">
        <f>COUNTIFS('BA History'!$B:$B,$A$49,'BA History'!V:V, 1)</f>
        <v>9</v>
      </c>
      <c r="AA49" s="2">
        <f>COUNTIFS('BA History'!$B:$B,$A$49,'BA History'!W:W, 1)</f>
        <v>4</v>
      </c>
      <c r="AB49" s="2">
        <f>COUNTIFS('BA History'!$B:$B,$A$49,'BA History'!X:X, 1)</f>
        <v>2</v>
      </c>
      <c r="AC49" s="2">
        <f>COUNTIFS('BA History'!$B:$B,$A$49,'BA History'!Y:Y, 1)</f>
        <v>5</v>
      </c>
      <c r="AD49" s="2">
        <f>COUNTIFS('BA History'!$B:$B,$A$49,'BA History'!Z:Z, 1)</f>
        <v>16</v>
      </c>
      <c r="AE49" s="2">
        <f>COUNTIFS('BA History'!$B:$B,$A$49,'BA History'!AA:AA, 1)</f>
        <v>1</v>
      </c>
      <c r="AF49" s="2">
        <f>COUNTIFS('BA History'!$B:$B,$A$49,'BA History'!AB:AB, 1)</f>
        <v>13</v>
      </c>
      <c r="AG49" s="2">
        <f>COUNTIFS('BA History'!$B:$B,$A$49,'BA History'!AC:AC, 1)</f>
        <v>6</v>
      </c>
      <c r="AH49" s="2">
        <f>COUNTIFS('BA History'!$B:$B,$A$49,'BA History'!AD:AD, 1)</f>
        <v>9</v>
      </c>
      <c r="AI49" s="2">
        <f>COUNTIFS('BA History'!$B:$B,$A$49,'BA History'!AE:AE, 1)</f>
        <v>1</v>
      </c>
      <c r="AJ49" s="2">
        <f>COUNTIFS('BA History'!$B:$B,$A$49,'BA History'!AF:AF, 1)</f>
        <v>7</v>
      </c>
    </row>
    <row r="50" spans="1:36" x14ac:dyDescent="0.25">
      <c r="A50" s="2" t="s">
        <v>18</v>
      </c>
      <c r="B50" s="2" t="s">
        <v>79</v>
      </c>
      <c r="C50" s="34">
        <f>SUMIFS('BA History'!C:C,'BA History'!B:B,A50)</f>
        <v>129</v>
      </c>
      <c r="D50" s="66">
        <f>AVERAGEIFS('BA History'!C:C,'BA History'!B:B,A50)</f>
        <v>18.428571428571427</v>
      </c>
      <c r="E50" s="35">
        <f t="array" ref="E50">MAX(IF('BA History'!B:B=A50, 'BA History'!C:C))</f>
        <v>26</v>
      </c>
      <c r="F50" s="34">
        <f>COUNTIFS('BA History'!B:B,A50,'BA History'!D:D, 1)</f>
        <v>6</v>
      </c>
      <c r="G50" s="2">
        <f>COUNTIFS('BA History'!B:B,A50,'BA History'!D:D, 0)</f>
        <v>1</v>
      </c>
      <c r="H50" s="75">
        <f>LOOKUP(2, 1/('BA History'!$B:$B=A50), 'BA History'!$AJ:$AJ)</f>
        <v>0.8571428571428571</v>
      </c>
      <c r="I50" s="34">
        <f>SUMIFS('BA History'!F:F,'BA History'!B:B,A50)</f>
        <v>19</v>
      </c>
      <c r="J50" s="2">
        <f>SUMIFS('BA History'!E:E,'BA History'!B:B,A50)-I50</f>
        <v>7</v>
      </c>
      <c r="K50" s="75">
        <f>LOOKUP(2, 1/('BA History'!$B:$B=A50), 'BA History'!$AH:$AH)</f>
        <v>0.76428571428571423</v>
      </c>
      <c r="L50" s="34">
        <f>SUMIFS('BA History'!H:H,'BA History'!B:B,A50)</f>
        <v>66</v>
      </c>
      <c r="M50" s="2">
        <f>SUMIFS('BA History'!G:G,'BA History'!B:B,A50)-L50</f>
        <v>44</v>
      </c>
      <c r="N50" s="89">
        <f>LOOKUP(2, 1/('BA History'!$B:$B=A50), 'BA History'!$AI:$AI)</f>
        <v>0.62</v>
      </c>
      <c r="O50" s="2">
        <f>COUNTIFS('BA History'!$B:$B,$A$50,'BA History'!K:K, 1)</f>
        <v>0</v>
      </c>
      <c r="P50" s="2">
        <f>COUNTIFS('BA History'!$B:$B,$A$50,'BA History'!L:L, 1)</f>
        <v>3</v>
      </c>
      <c r="Q50" s="2">
        <f>COUNTIFS('BA History'!$B:$B,$A$50,'BA History'!M:M, 1)</f>
        <v>1</v>
      </c>
      <c r="R50" s="2">
        <f>COUNTIFS('BA History'!$B:$B,$A$50,'BA History'!N:N, 1)</f>
        <v>3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1</v>
      </c>
      <c r="AC50" s="2">
        <f>COUNTIFS('BA History'!$B:$B,$A$50,'BA History'!Y:Y, 1)</f>
        <v>1</v>
      </c>
      <c r="AD50" s="2">
        <f>COUNTIFS('BA History'!$B:$B,$A$50,'BA History'!Z:Z, 1)</f>
        <v>2</v>
      </c>
      <c r="AE50" s="2">
        <f>COUNTIFS('BA History'!$B:$B,$A$50,'BA History'!AA:AA, 1)</f>
        <v>1</v>
      </c>
      <c r="AF50" s="2">
        <f>COUNTIFS('BA History'!$B:$B,$A$50,'BA History'!AB:AB, 1)</f>
        <v>1</v>
      </c>
      <c r="AG50" s="2">
        <f>COUNTIFS('BA History'!$B:$B,$A$50,'BA History'!AC:AC, 1)</f>
        <v>0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113</v>
      </c>
      <c r="B51" s="2" t="s">
        <v>79</v>
      </c>
      <c r="C51" s="34">
        <f>SUMIFS('BA History'!C:C,'BA History'!B:B,A51)</f>
        <v>474</v>
      </c>
      <c r="D51" s="66">
        <f>AVERAGEIFS('BA History'!C:C,'BA History'!B:B,A51)</f>
        <v>16.928571428571427</v>
      </c>
      <c r="E51" s="35">
        <f t="array" ref="E51">MAX(IF('BA History'!B:B=A51, 'BA History'!C:C))</f>
        <v>28</v>
      </c>
      <c r="F51" s="34">
        <f>COUNTIFS('BA History'!B:B,A51,'BA History'!D:D, 1)</f>
        <v>15</v>
      </c>
      <c r="G51" s="2">
        <f>COUNTIFS('BA History'!B:B,A51,'BA History'!D:D, 0)</f>
        <v>13</v>
      </c>
      <c r="H51" s="75">
        <f>LOOKUP(2, 1/('BA History'!$B:$B=A51), 'BA History'!$AJ:$AJ)</f>
        <v>0.5357142857142857</v>
      </c>
      <c r="I51" s="34">
        <f>SUMIFS('BA History'!F:F,'BA History'!B:B,A51)</f>
        <v>60</v>
      </c>
      <c r="J51" s="2">
        <f>SUMIFS('BA History'!E:E,'BA History'!B:B,A51)-I51</f>
        <v>51</v>
      </c>
      <c r="K51" s="75">
        <f>LOOKUP(2, 1/('BA History'!$B:$B=A51), 'BA History'!$AH:$AH)</f>
        <v>0.55535714285714288</v>
      </c>
      <c r="L51" s="34">
        <f>SUMIFS('BA History'!H:H,'BA History'!B:B,A51)</f>
        <v>231</v>
      </c>
      <c r="M51" s="2">
        <f>SUMIFS('BA History'!G:G,'BA History'!B:B,A51)-L51</f>
        <v>216</v>
      </c>
      <c r="N51" s="89">
        <f>LOOKUP(2, 1/('BA History'!$B:$B=A51), 'BA History'!$AI:$AI)</f>
        <v>0.51857142857142868</v>
      </c>
      <c r="O51" s="2">
        <f>COUNTIFS('BA History'!$B:$B,$A$51,'BA History'!K:K, 1)</f>
        <v>2</v>
      </c>
      <c r="P51" s="2">
        <f>COUNTIFS('BA History'!$B:$B,$A$51,'BA History'!L:L, 1)</f>
        <v>3</v>
      </c>
      <c r="Q51" s="2">
        <f>COUNTIFS('BA History'!$B:$B,$A$51,'BA History'!M:M, 1)</f>
        <v>10</v>
      </c>
      <c r="R51" s="2">
        <f>COUNTIFS('BA History'!$B:$B,$A$51,'BA History'!N:N, 1)</f>
        <v>8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3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1</v>
      </c>
      <c r="Z51" s="2">
        <f>COUNTIFS('BA History'!$B:$B,$A$51,'BA History'!V:V, 1)</f>
        <v>3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6</v>
      </c>
      <c r="AD51" s="2">
        <f>COUNTIFS('BA History'!$B:$B,$A$51,'BA History'!Z:Z, 1)</f>
        <v>5</v>
      </c>
      <c r="AE51" s="2">
        <f>COUNTIFS('BA History'!$B:$B,$A$51,'BA History'!AA:AA, 1)</f>
        <v>0</v>
      </c>
      <c r="AF51" s="2">
        <f>COUNTIFS('BA History'!$B:$B,$A$51,'BA History'!AB:AB, 1)</f>
        <v>7</v>
      </c>
      <c r="AG51" s="2">
        <f>COUNTIFS('BA History'!$B:$B,$A$51,'BA History'!AC:AC, 1)</f>
        <v>7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1</v>
      </c>
    </row>
    <row r="52" spans="1:36" x14ac:dyDescent="0.25">
      <c r="A52" s="2" t="s">
        <v>14</v>
      </c>
      <c r="B52" s="2" t="s">
        <v>79</v>
      </c>
      <c r="C52" s="34">
        <f>SUMIFS('BA History'!C:C,'BA History'!B:B,A52)</f>
        <v>328</v>
      </c>
      <c r="D52" s="66">
        <f>AVERAGEIFS('BA History'!C:C,'BA History'!B:B,A52)</f>
        <v>17.263157894736842</v>
      </c>
      <c r="E52" s="35">
        <f t="array" ref="E52">MAX(IF('BA History'!B:B=A52, 'BA History'!C:C))</f>
        <v>30</v>
      </c>
      <c r="F52" s="34">
        <f>COUNTIFS('BA History'!B:B,A52,'BA History'!D:D, 1)</f>
        <v>9</v>
      </c>
      <c r="G52" s="2">
        <f>COUNTIFS('BA History'!B:B,A52,'BA History'!D:D, 0)</f>
        <v>10</v>
      </c>
      <c r="H52" s="75">
        <f>LOOKUP(2, 1/('BA History'!$B:$B=A52), 'BA History'!$AJ:$AJ)</f>
        <v>0.47368421052631576</v>
      </c>
      <c r="I52" s="34">
        <f>SUMIFS('BA History'!F:F,'BA History'!B:B,A52)</f>
        <v>38</v>
      </c>
      <c r="J52" s="2">
        <f>SUMIFS('BA History'!E:E,'BA History'!B:B,A52)-I52</f>
        <v>42</v>
      </c>
      <c r="K52" s="75">
        <f>LOOKUP(2, 1/('BA History'!$B:$B=A52), 'BA History'!$AH:$AH)</f>
        <v>0.48</v>
      </c>
      <c r="L52" s="34">
        <f>SUMIFS('BA History'!H:H,'BA History'!B:B,A52)</f>
        <v>167</v>
      </c>
      <c r="M52" s="2">
        <f>SUMIFS('BA History'!G:G,'BA History'!B:B,A52)-L52</f>
        <v>164</v>
      </c>
      <c r="N52" s="89">
        <f>LOOKUP(2, 1/('BA History'!$B:$B=A52), 'BA History'!$AI:$AI)</f>
        <v>0.51263157894736844</v>
      </c>
      <c r="O52" s="2">
        <f>COUNTIFS('BA History'!$B:$B,$A$52,'BA History'!K:K, 1)</f>
        <v>1</v>
      </c>
      <c r="P52" s="2">
        <f>COUNTIFS('BA History'!$B:$B,$A$52,'BA History'!L:L, 1)</f>
        <v>3</v>
      </c>
      <c r="Q52" s="2">
        <f>COUNTIFS('BA History'!$B:$B,$A$52,'BA History'!M:M, 1)</f>
        <v>0</v>
      </c>
      <c r="R52" s="2">
        <f>COUNTIFS('BA History'!$B:$B,$A$52,'BA History'!N:N, 1)</f>
        <v>2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3</v>
      </c>
      <c r="V52" s="2">
        <f>COUNTIFS('BA History'!$B:$B,$A$52,'BA History'!R:R, 1)</f>
        <v>1</v>
      </c>
      <c r="W52" s="2">
        <f>COUNTIFS('BA History'!$B:$B,$A$52,'BA History'!S:S, 1)</f>
        <v>0</v>
      </c>
      <c r="X52" s="2">
        <f>COUNTIFS('BA History'!$B:$B,$A$52,'BA History'!T:T, 1)</f>
        <v>1</v>
      </c>
      <c r="Y52" s="2">
        <f>COUNTIFS('BA History'!$B:$B,$A$52,'BA History'!U:U, 1)</f>
        <v>1</v>
      </c>
      <c r="Z52" s="2">
        <f>COUNTIFS('BA History'!$B:$B,$A$52,'BA History'!V:V, 1)</f>
        <v>1</v>
      </c>
      <c r="AA52" s="2">
        <f>COUNTIFS('BA History'!$B:$B,$A$52,'BA History'!W:W, 1)</f>
        <v>2</v>
      </c>
      <c r="AB52" s="2">
        <f>COUNTIFS('BA History'!$B:$B,$A$52,'BA History'!X:X, 1)</f>
        <v>1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8</v>
      </c>
      <c r="AG52" s="2">
        <f>COUNTIFS('BA History'!$B:$B,$A$52,'BA History'!AC:AC, 1)</f>
        <v>3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2" t="s">
        <v>70</v>
      </c>
      <c r="B53" s="2" t="s">
        <v>79</v>
      </c>
      <c r="C53" s="34">
        <f>SUMIFS('BA History'!C:C,'BA History'!B:B,A53)</f>
        <v>73</v>
      </c>
      <c r="D53" s="66">
        <f>AVERAGEIFS('BA History'!C:C,'BA History'!B:B,A53)</f>
        <v>12.166666666666666</v>
      </c>
      <c r="E53" s="35">
        <f t="array" ref="E53">MAX(IF('BA History'!B:B=A53, 'BA History'!C:C))</f>
        <v>19</v>
      </c>
      <c r="F53" s="34">
        <f>COUNTIFS('BA History'!B:B,A53,'BA History'!D:D, 1)</f>
        <v>5</v>
      </c>
      <c r="G53" s="2">
        <f>COUNTIFS('BA History'!B:B,A53,'BA History'!D:D, 0)</f>
        <v>1</v>
      </c>
      <c r="H53" s="75">
        <f>LOOKUP(2, 1/('BA History'!$B:$B=A53), 'BA History'!$AJ:$AJ)</f>
        <v>0.83333333333333337</v>
      </c>
      <c r="I53" s="34">
        <f>SUMIFS('BA History'!F:F,'BA History'!B:B,A53)</f>
        <v>15</v>
      </c>
      <c r="J53" s="2">
        <f>SUMIFS('BA History'!E:E,'BA History'!B:B,A53)-I53</f>
        <v>10</v>
      </c>
      <c r="K53" s="75">
        <f>LOOKUP(2, 1/('BA History'!$B:$B=A53), 'BA History'!$AH:$AH)</f>
        <v>0.59166666666666667</v>
      </c>
      <c r="L53" s="34">
        <f>SUMIFS('BA History'!H:H,'BA History'!B:B,A53)</f>
        <v>56</v>
      </c>
      <c r="M53" s="2">
        <f>SUMIFS('BA History'!G:G,'BA History'!B:B,A53)-L53</f>
        <v>49</v>
      </c>
      <c r="N53" s="89">
        <f>LOOKUP(2, 1/('BA History'!$B:$B=A53), 'BA History'!$AI:$AI)</f>
        <v>0.53500000000000003</v>
      </c>
      <c r="O53" s="2">
        <f>COUNTIFS('BA History'!$B:$B,$A$53,'BA History'!K:K, 1)</f>
        <v>1</v>
      </c>
      <c r="P53" s="2">
        <f>COUNTIFS('BA History'!$B:$B,$A$53,'BA History'!L:L, 1)</f>
        <v>1</v>
      </c>
      <c r="Q53" s="2">
        <f>COUNTIFS('BA History'!$B:$B,$A$53,'BA History'!M:M, 1)</f>
        <v>2</v>
      </c>
      <c r="R53" s="2">
        <f>COUNTIFS('BA History'!$B:$B,$A$53,'BA History'!N:N, 1)</f>
        <v>2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1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1</v>
      </c>
      <c r="AA53" s="2">
        <f>COUNTIFS('BA History'!$B:$B,$A$53,'BA History'!W:W, 1)</f>
        <v>1</v>
      </c>
      <c r="AB53" s="2">
        <f>COUNTIFS('BA History'!$B:$B,$A$53,'BA History'!X:X, 1)</f>
        <v>0</v>
      </c>
      <c r="AC53" s="2">
        <f>COUNTIFS('BA History'!$B:$B,$A$53,'BA History'!Y:Y, 1)</f>
        <v>1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3</v>
      </c>
      <c r="AI53" s="2">
        <f>COUNTIFS('BA History'!$B:$B,$A$53,'BA History'!AE:AE, 1)</f>
        <v>0</v>
      </c>
      <c r="AJ53" s="2">
        <f>COUNTIFS('BA History'!$B:$B,$A$53,'BA History'!AF:AF, 1)</f>
        <v>2</v>
      </c>
    </row>
    <row r="54" spans="1:36" x14ac:dyDescent="0.25">
      <c r="A54" s="2" t="s">
        <v>4</v>
      </c>
      <c r="B54" s="1" t="s">
        <v>162</v>
      </c>
      <c r="C54" s="34">
        <f>SUMIFS('BA History'!C:C,'BA History'!B:B,A54)</f>
        <v>652</v>
      </c>
      <c r="D54" s="66">
        <f>AVERAGEIFS('BA History'!C:C,'BA History'!B:B,A54)</f>
        <v>24.148148148148149</v>
      </c>
      <c r="E54" s="35">
        <f t="array" ref="E54">MAX(IF('BA History'!B:B=A54, 'BA History'!C:C))</f>
        <v>41</v>
      </c>
      <c r="F54" s="34">
        <f>COUNTIFS('BA History'!B:B,A54,'BA History'!D:D, 1)</f>
        <v>9</v>
      </c>
      <c r="G54" s="2">
        <f>COUNTIFS('BA History'!B:B,A54,'BA History'!D:D, 0)</f>
        <v>18</v>
      </c>
      <c r="H54" s="75">
        <f>LOOKUP(2, 1/('BA History'!$B:$B=A54), 'BA History'!$AJ:$AJ)</f>
        <v>0.33333333333333331</v>
      </c>
      <c r="I54" s="34">
        <f>SUMIFS('BA History'!F:F,'BA History'!B:B,A54)</f>
        <v>48</v>
      </c>
      <c r="J54" s="2">
        <f>SUMIFS('BA History'!E:E,'BA History'!B:B,A54)-I54</f>
        <v>63</v>
      </c>
      <c r="K54" s="75">
        <f>LOOKUP(2, 1/('BA History'!$B:$B=A54), 'BA History'!$AH:$AH)</f>
        <v>0.43333333333333329</v>
      </c>
      <c r="L54" s="34">
        <f>SUMIFS('BA History'!H:H,'BA History'!B:B,A54)</f>
        <v>212</v>
      </c>
      <c r="M54" s="2">
        <f>SUMIFS('BA History'!G:G,'BA History'!B:B,A54)-L54</f>
        <v>245</v>
      </c>
      <c r="N54" s="89">
        <f>LOOKUP(2, 1/('BA History'!$B:$B=A54), 'BA History'!$AI:$AI)</f>
        <v>0.45814814814814814</v>
      </c>
      <c r="O54" s="2">
        <f>COUNTIFS('BA History'!$B:$B,$A$54,'BA History'!K:K, 1)</f>
        <v>2</v>
      </c>
      <c r="P54" s="2">
        <f>COUNTIFS('BA History'!$B:$B,$A$54,'BA History'!L:L, 1)</f>
        <v>6</v>
      </c>
      <c r="Q54" s="2">
        <f>COUNTIFS('BA History'!$B:$B,$A$54,'BA History'!M:M, 1)</f>
        <v>4</v>
      </c>
      <c r="R54" s="2">
        <f>COUNTIFS('BA History'!$B:$B,$A$54,'BA History'!N:N, 1)</f>
        <v>7</v>
      </c>
      <c r="S54" s="2">
        <f>COUNTIFS('BA History'!$B:$B,$A$54,'BA History'!O:O, 1)</f>
        <v>1</v>
      </c>
      <c r="T54" s="2">
        <f>COUNTIFS('BA History'!$B:$B,$A$54,'BA History'!P:P, 1)</f>
        <v>0</v>
      </c>
      <c r="U54" s="2">
        <f>COUNTIFS('BA History'!$B:$B,$A$54,'BA History'!Q:Q, 1)</f>
        <v>1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2</v>
      </c>
      <c r="Z54" s="2">
        <f>COUNTIFS('BA History'!$B:$B,$A$54,'BA History'!V:V, 1)</f>
        <v>1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7</v>
      </c>
      <c r="AD54" s="2">
        <f>COUNTIFS('BA History'!$B:$B,$A$54,'BA History'!Z:Z, 1)</f>
        <v>2</v>
      </c>
      <c r="AE54" s="2">
        <f>COUNTIFS('BA History'!$B:$B,$A$54,'BA History'!AA:AA, 1)</f>
        <v>0</v>
      </c>
      <c r="AF54" s="2">
        <f>COUNTIFS('BA History'!$B:$B,$A$54,'BA History'!AB:AB, 1)</f>
        <v>4</v>
      </c>
      <c r="AG54" s="2">
        <f>COUNTIFS('BA History'!$B:$B,$A$54,'BA History'!AC:AC, 1)</f>
        <v>6</v>
      </c>
      <c r="AH54" s="2">
        <f>COUNTIFS('BA History'!$B:$B,$A$54,'BA History'!AD:AD, 1)</f>
        <v>4</v>
      </c>
      <c r="AI54" s="2">
        <f>COUNTIFS('BA History'!$B:$B,$A$54,'BA History'!AE:AE, 1)</f>
        <v>0</v>
      </c>
      <c r="AJ54" s="2">
        <f>COUNTIFS('BA History'!$B:$B,$A$54,'BA History'!AF:AF, 1)</f>
        <v>1</v>
      </c>
    </row>
    <row r="55" spans="1:36" x14ac:dyDescent="0.25">
      <c r="A55" s="1" t="s">
        <v>107</v>
      </c>
      <c r="B55" s="2" t="s">
        <v>79</v>
      </c>
      <c r="C55" s="34">
        <f>SUMIFS('BA History'!C:C,'BA History'!B:B,A55)</f>
        <v>537</v>
      </c>
      <c r="D55" s="66">
        <f>AVERAGEIFS('BA History'!C:C,'BA History'!B:B,A55)</f>
        <v>16.272727272727273</v>
      </c>
      <c r="E55" s="35">
        <f t="array" ref="E55">MAX(IF('BA History'!B:B=A55, 'BA History'!C:C))</f>
        <v>35</v>
      </c>
      <c r="F55" s="34">
        <f>COUNTIFS('BA History'!B:B,A55,'BA History'!D:D, 1)</f>
        <v>18</v>
      </c>
      <c r="G55" s="2">
        <f>COUNTIFS('BA History'!B:B,A55,'BA History'!D:D, 0)</f>
        <v>15</v>
      </c>
      <c r="H55" s="75">
        <f>LOOKUP(2, 1/('BA History'!$B:$B=A55), 'BA History'!$AJ:$AJ)</f>
        <v>0.54545454545454541</v>
      </c>
      <c r="I55" s="34">
        <f>SUMIFS('BA History'!F:F,'BA History'!B:B,A55)</f>
        <v>69</v>
      </c>
      <c r="J55" s="2">
        <f>SUMIFS('BA History'!E:E,'BA History'!B:B,A55)-I55</f>
        <v>64</v>
      </c>
      <c r="K55" s="75">
        <f>LOOKUP(2, 1/('BA History'!$B:$B=A55), 'BA History'!$AH:$AH)</f>
        <v>0.51212121212121209</v>
      </c>
      <c r="L55" s="34">
        <f>SUMIFS('BA History'!H:H,'BA History'!B:B,A55)</f>
        <v>285</v>
      </c>
      <c r="M55" s="2">
        <f>SUMIFS('BA History'!G:G,'BA History'!B:B,A55)-L55</f>
        <v>266</v>
      </c>
      <c r="N55" s="89">
        <f>LOOKUP(2, 1/('BA History'!$B:$B=A55), 'BA History'!$AI:$AI)</f>
        <v>0.50939393939393951</v>
      </c>
      <c r="O55" s="2">
        <f>COUNTIFS('BA History'!$B:$B,$A$55,'BA History'!K:K, 1)</f>
        <v>4</v>
      </c>
      <c r="P55" s="2">
        <f>COUNTIFS('BA History'!$B:$B,$A$55,'BA History'!L:L, 1)</f>
        <v>2</v>
      </c>
      <c r="Q55" s="2">
        <f>COUNTIFS('BA History'!$B:$B,$A$55,'BA History'!M:M, 1)</f>
        <v>8</v>
      </c>
      <c r="R55" s="2">
        <f>COUNTIFS('BA History'!$B:$B,$A$55,'BA History'!N:N, 1)</f>
        <v>10</v>
      </c>
      <c r="S55" s="2">
        <f>COUNTIFS('BA History'!$B:$B,$A$55,'BA History'!O:O, 1)</f>
        <v>2</v>
      </c>
      <c r="T55" s="2">
        <f>COUNTIFS('BA History'!$B:$B,$A$55,'BA History'!P:P, 1)</f>
        <v>1</v>
      </c>
      <c r="U55" s="2">
        <f>COUNTIFS('BA History'!$B:$B,$A$55,'BA History'!Q:Q, 1)</f>
        <v>2</v>
      </c>
      <c r="V55" s="2">
        <f>COUNTIFS('BA History'!$B:$B,$A$55,'BA History'!R:R, 1)</f>
        <v>1</v>
      </c>
      <c r="W55" s="2">
        <f>COUNTIFS('BA History'!$B:$B,$A$55,'BA History'!S:S, 1)</f>
        <v>1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2</v>
      </c>
      <c r="AA55" s="2">
        <f>COUNTIFS('BA History'!$B:$B,$A$55,'BA History'!W:W, 1)</f>
        <v>2</v>
      </c>
      <c r="AB55" s="2">
        <f>COUNTIFS('BA History'!$B:$B,$A$55,'BA History'!X:X, 1)</f>
        <v>0</v>
      </c>
      <c r="AC55" s="2">
        <f>COUNTIFS('BA History'!$B:$B,$A$55,'BA History'!Y:Y, 1)</f>
        <v>6</v>
      </c>
      <c r="AD55" s="2">
        <f>COUNTIFS('BA History'!$B:$B,$A$55,'BA History'!Z:Z, 1)</f>
        <v>7</v>
      </c>
      <c r="AE55" s="2">
        <f>COUNTIFS('BA History'!$B:$B,$A$55,'BA History'!AA:AA, 1)</f>
        <v>1</v>
      </c>
      <c r="AF55" s="2">
        <f>COUNTIFS('BA History'!$B:$B,$A$55,'BA History'!AB:AB, 1)</f>
        <v>5</v>
      </c>
      <c r="AG55" s="2">
        <f>COUNTIFS('BA History'!$B:$B,$A$55,'BA History'!AC:AC, 1)</f>
        <v>4</v>
      </c>
      <c r="AH55" s="2">
        <f>COUNTIFS('BA History'!$B:$B,$A$55,'BA History'!AD:AD, 1)</f>
        <v>7</v>
      </c>
      <c r="AI55" s="2">
        <f>COUNTIFS('BA History'!$B:$B,$A$55,'BA History'!AE:AE, 1)</f>
        <v>0</v>
      </c>
      <c r="AJ55" s="2">
        <f>COUNTIFS('BA History'!$B:$B,$A$55,'BA History'!AF:AF, 1)</f>
        <v>4</v>
      </c>
    </row>
    <row r="56" spans="1:36" x14ac:dyDescent="0.25">
      <c r="A56" s="2" t="s">
        <v>94</v>
      </c>
      <c r="B56" s="2" t="s">
        <v>79</v>
      </c>
      <c r="C56" s="34">
        <f>SUMIFS('BA History'!C:C,'BA History'!B:B,A56)</f>
        <v>18</v>
      </c>
      <c r="D56" s="66">
        <f>AVERAGEIFS('BA History'!C:C,'BA History'!B:B,A56)</f>
        <v>18</v>
      </c>
      <c r="E56" s="35">
        <f t="array" ref="E56">MAX(IF('BA History'!B:B=A56, 'BA History'!C:C))</f>
        <v>18</v>
      </c>
      <c r="F56" s="34">
        <f>COUNTIFS('BA History'!B:B,A56,'BA History'!D:D, 1)</f>
        <v>1</v>
      </c>
      <c r="G56" s="2">
        <f>COUNTIFS('BA History'!B:B,A56,'BA History'!D:D, 0)</f>
        <v>0</v>
      </c>
      <c r="H56" s="75">
        <f>LOOKUP(2, 1/('BA History'!$B:$B=A56), 'BA History'!$AJ:$AJ)</f>
        <v>1</v>
      </c>
      <c r="I56" s="34">
        <f>SUMIFS('BA History'!F:F,'BA History'!B:B,A56)</f>
        <v>3</v>
      </c>
      <c r="J56" s="2">
        <f>SUMIFS('BA History'!E:E,'BA History'!B:B,A56)-I56</f>
        <v>2</v>
      </c>
      <c r="K56" s="75">
        <f>LOOKUP(2, 1/('BA History'!$B:$B=A56), 'BA History'!$AH:$AH)</f>
        <v>0.6</v>
      </c>
      <c r="L56" s="34">
        <f>SUMIFS('BA History'!H:H,'BA History'!B:B,A56)</f>
        <v>11</v>
      </c>
      <c r="M56" s="2">
        <f>SUMIFS('BA History'!G:G,'BA History'!B:B,A56)-L56</f>
        <v>10</v>
      </c>
      <c r="N56" s="89">
        <f>LOOKUP(2, 1/('BA History'!$B:$B=A56), 'BA History'!$AI:$AI)</f>
        <v>0.52</v>
      </c>
      <c r="O56" s="2">
        <f>COUNTIFS('BA History'!$B:$B,$A$56,'BA History'!K:K, 1)</f>
        <v>0</v>
      </c>
      <c r="P56" s="2">
        <f>COUNTIFS('BA History'!$B:$B,$A$56,'BA History'!L:L, 1)</f>
        <v>0</v>
      </c>
      <c r="Q56" s="2">
        <f>COUNTIFS('BA History'!$B:$B,$A$56,'BA History'!M:M, 1)</f>
        <v>0</v>
      </c>
      <c r="R56" s="2">
        <f>COUNTIFS('BA History'!$B:$B,$A$56,'BA History'!N:N, 1)</f>
        <v>0</v>
      </c>
      <c r="S56" s="2">
        <f>COUNTIFS('BA History'!$B:$B,$A$56,'BA History'!O:O, 1)</f>
        <v>0</v>
      </c>
      <c r="T56" s="2">
        <f>COUNTIFS('BA History'!$B:$B,$A$56,'BA History'!P:P, 1)</f>
        <v>0</v>
      </c>
      <c r="U56" s="2">
        <f>COUNTIFS('BA History'!$B:$B,$A$56,'BA History'!Q:Q, 1)</f>
        <v>0</v>
      </c>
      <c r="V56" s="2">
        <f>COUNTIFS('BA History'!$B:$B,$A$56,'BA History'!R:R, 1)</f>
        <v>0</v>
      </c>
      <c r="W56" s="2">
        <f>COUNTIFS('BA History'!$B:$B,$A$56,'BA History'!S:S, 1)</f>
        <v>0</v>
      </c>
      <c r="X56" s="2">
        <f>COUNTIFS('BA History'!$B:$B,$A$56,'BA History'!T:T, 1)</f>
        <v>0</v>
      </c>
      <c r="Y56" s="2">
        <f>COUNTIFS('BA History'!$B:$B,$A$56,'BA History'!U:U, 1)</f>
        <v>0</v>
      </c>
      <c r="Z56" s="2">
        <f>COUNTIFS('BA History'!$B:$B,$A$56,'BA History'!V:V, 1)</f>
        <v>0</v>
      </c>
      <c r="AA56" s="2">
        <f>COUNTIFS('BA History'!$B:$B,$A$56,'BA History'!W:W, 1)</f>
        <v>1</v>
      </c>
      <c r="AB56" s="2">
        <f>COUNTIFS('BA History'!$B:$B,$A$56,'BA History'!X:X, 1)</f>
        <v>1</v>
      </c>
      <c r="AC56" s="2">
        <f>COUNTIFS('BA History'!$B:$B,$A$56,'BA History'!Y:Y, 1)</f>
        <v>0</v>
      </c>
      <c r="AD56" s="2">
        <f>COUNTIFS('BA History'!$B:$B,$A$56,'BA History'!Z:Z, 1)</f>
        <v>1</v>
      </c>
      <c r="AE56" s="2">
        <f>COUNTIFS('BA History'!$B:$B,$A$56,'BA History'!AA:AA, 1)</f>
        <v>0</v>
      </c>
      <c r="AF56" s="2">
        <f>COUNTIFS('BA History'!$B:$B,$A$56,'BA History'!AB:AB, 1)</f>
        <v>0</v>
      </c>
      <c r="AG56" s="2">
        <f>COUNTIFS('BA History'!$B:$B,$A$56,'BA History'!AC:AC, 1)</f>
        <v>0</v>
      </c>
      <c r="AH56" s="2">
        <f>COUNTIFS('BA History'!$B:$B,$A$56,'BA History'!AD:AD, 1)</f>
        <v>0</v>
      </c>
      <c r="AI56" s="2">
        <f>COUNTIFS('BA History'!$B:$B,$A$56,'BA History'!AE:AE, 1)</f>
        <v>0</v>
      </c>
      <c r="AJ56" s="2">
        <f>COUNTIFS('BA History'!$B:$B,$A$56,'BA History'!AF:AF, 1)</f>
        <v>0</v>
      </c>
    </row>
    <row r="57" spans="1:36" ht="15.75" thickBot="1" x14ac:dyDescent="0.3">
      <c r="A57" s="2" t="s">
        <v>55</v>
      </c>
      <c r="B57" s="2" t="s">
        <v>79</v>
      </c>
      <c r="C57" s="34">
        <f>SUMIFS('BA History'!C:C,'BA History'!B:B,A57)</f>
        <v>2</v>
      </c>
      <c r="D57" s="66">
        <f>AVERAGEIFS('BA History'!C:C,'BA History'!B:B,A57)</f>
        <v>2</v>
      </c>
      <c r="E57" s="35">
        <f t="array" ref="E57">MAX(IF('BA History'!B:B=A57, 'BA History'!C:C))</f>
        <v>2</v>
      </c>
      <c r="F57" s="34">
        <f>COUNTIFS('BA History'!B:B,A57,'BA History'!D:D, 1)</f>
        <v>0</v>
      </c>
      <c r="G57" s="2">
        <f>COUNTIFS('BA History'!B:B,A57,'BA History'!D:D, 0)</f>
        <v>1</v>
      </c>
      <c r="H57" s="75">
        <f>LOOKUP(2, 1/('BA History'!$B:$B=A57), 'BA History'!$AJ:$AJ)</f>
        <v>0</v>
      </c>
      <c r="I57" s="34">
        <f>SUMIFS('BA History'!F:F,'BA History'!B:B,A57)</f>
        <v>0</v>
      </c>
      <c r="J57" s="2">
        <f>SUMIFS('BA History'!E:E,'BA History'!B:B,A57)-I57</f>
        <v>3</v>
      </c>
      <c r="K57" s="75">
        <f>LOOKUP(2, 1/('BA History'!$B:$B=A57), 'BA History'!$AH:$AH)</f>
        <v>0</v>
      </c>
      <c r="L57" s="34">
        <f>SUMIFS('BA History'!H:H,'BA History'!B:B,A57)</f>
        <v>4</v>
      </c>
      <c r="M57" s="48">
        <v>9</v>
      </c>
      <c r="N57" s="89">
        <f>LOOKUP(2, 1/('BA History'!$B:$B=A57), 'BA History'!$AI:$AI)</f>
        <v>0.31</v>
      </c>
      <c r="O57" s="2">
        <f>COUNTIFS('BA History'!$B:$B,$A$57,'BA History'!K:K, 1)</f>
        <v>0</v>
      </c>
      <c r="P57" s="2">
        <f>COUNTIFS('BA History'!$B:$B,$A$57,'BA History'!L:L, 1)</f>
        <v>0</v>
      </c>
      <c r="Q57" s="2">
        <f>COUNTIFS('BA History'!$B:$B,$A$57,'BA History'!M:M, 1)</f>
        <v>0</v>
      </c>
      <c r="R57" s="2">
        <f>COUNTIFS('BA History'!$B:$B,$A$57,'BA History'!N:N, 1)</f>
        <v>0</v>
      </c>
      <c r="S57" s="2">
        <f>COUNTIFS('BA History'!$B:$B,$A$57,'BA History'!O:O, 1)</f>
        <v>0</v>
      </c>
      <c r="T57" s="2">
        <f>COUNTIFS('BA History'!$B:$B,$A$57,'BA History'!P:P, 1)</f>
        <v>0</v>
      </c>
      <c r="U57" s="2">
        <f>COUNTIFS('BA History'!$B:$B,$A$57,'BA History'!Q:Q, 1)</f>
        <v>0</v>
      </c>
      <c r="V57" s="2">
        <f>COUNTIFS('BA History'!$B:$B,$A$57,'BA History'!R:R, 1)</f>
        <v>0</v>
      </c>
      <c r="W57" s="2">
        <f>COUNTIFS('BA History'!$B:$B,$A$57,'BA History'!S:S, 1)</f>
        <v>0</v>
      </c>
      <c r="X57" s="2">
        <f>COUNTIFS('BA History'!$B:$B,$A$57,'BA History'!T:T, 1)</f>
        <v>0</v>
      </c>
      <c r="Y57" s="2">
        <f>COUNTIFS('BA History'!$B:$B,$A$57,'BA History'!U:U, 1)</f>
        <v>0</v>
      </c>
      <c r="Z57" s="2">
        <f>COUNTIFS('BA History'!$B:$B,$A$57,'BA History'!V:V, 1)</f>
        <v>0</v>
      </c>
      <c r="AA57" s="2">
        <f>COUNTIFS('BA History'!$B:$B,$A$57,'BA History'!W:W, 1)</f>
        <v>0</v>
      </c>
      <c r="AB57" s="2">
        <f>COUNTIFS('BA History'!$B:$B,$A$57,'BA History'!X:X, 1)</f>
        <v>0</v>
      </c>
      <c r="AC57" s="2">
        <f>COUNTIFS('BA History'!$B:$B,$A$57,'BA History'!Y:Y, 1)</f>
        <v>0</v>
      </c>
      <c r="AD57" s="2">
        <f>COUNTIFS('BA History'!$B:$B,$A$57,'BA History'!Z:Z, 1)</f>
        <v>0</v>
      </c>
      <c r="AE57" s="2">
        <f>COUNTIFS('BA History'!$B:$B,$A$57,'BA History'!AA:AA, 1)</f>
        <v>0</v>
      </c>
      <c r="AF57" s="2">
        <f>COUNTIFS('BA History'!$B:$B,$A$57,'BA History'!AB:AB, 1)</f>
        <v>0</v>
      </c>
      <c r="AG57" s="2">
        <f>COUNTIFS('BA History'!$B:$B,$A$57,'BA History'!AC:AC, 1)</f>
        <v>0</v>
      </c>
      <c r="AH57" s="2">
        <f>COUNTIFS('BA History'!$B:$B,$A$57,'BA History'!AD:AD, 1)</f>
        <v>0</v>
      </c>
      <c r="AI57" s="2">
        <f>COUNTIFS('BA History'!$B:$B,$A$57,'BA History'!AE:AE, 1)</f>
        <v>0</v>
      </c>
      <c r="AJ57" s="2">
        <f>COUNTIFS('BA History'!$B:$B,$A$57,'BA History'!AF:AF, 1)</f>
        <v>0</v>
      </c>
    </row>
  </sheetData>
  <autoFilter ref="A1:AJ57" xr:uid="{DA548192-1F03-46EA-8AB8-115EB9A7CE5D}">
    <sortState xmlns:xlrd2="http://schemas.microsoft.com/office/spreadsheetml/2017/richdata2" ref="A2:AJ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15"/>
  <sheetViews>
    <sheetView workbookViewId="0">
      <pane xSplit="2" ySplit="1" topLeftCell="H782" activePane="bottomRight" state="frozen"/>
      <selection pane="topRight" activeCell="C1" sqref="C1"/>
      <selection pane="bottomLeft" activeCell="A2" sqref="A2"/>
      <selection pane="bottomRight" activeCell="A804" sqref="A804:AF8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159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165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9" sqref="O9:AJ9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28</v>
      </c>
      <c r="D2" s="66">
        <f>AVERAGEIFS('BA History S2'!C:C,'BA History S2'!B:B,A2)</f>
        <v>9.3333333333333339</v>
      </c>
      <c r="E2" s="35">
        <f t="array" ref="E2">MAX(IF('BA History S2'!B:B=A2, 'BA History S2'!C:C))</f>
        <v>15</v>
      </c>
      <c r="F2" s="34">
        <f>COUNTIFS('BA History S2'!B:B,A2,'BA History S2'!D:D, 1)</f>
        <v>2</v>
      </c>
      <c r="G2" s="2">
        <f>COUNTIFS('BA History S2'!B:B,A2,'BA History S2'!D:D, 0)</f>
        <v>1</v>
      </c>
      <c r="H2" s="75">
        <f>LOOKUP(2, 1/('BA History S2'!$B:$B=A2), 'BA History S2'!$AJ:$AJ)</f>
        <v>0.66666666666666663</v>
      </c>
      <c r="I2" s="34">
        <f>SUMIFS('BA History S2'!F:F,'BA History S2'!B:B,A2)</f>
        <v>6</v>
      </c>
      <c r="J2" s="2">
        <f>SUMIFS('BA History S2'!E:E,'BA History S2'!B:B,A2)-I2</f>
        <v>4</v>
      </c>
      <c r="K2" s="75">
        <f>LOOKUP(2, 1/('BA History S2'!$B:$B=A2), 'BA History S2'!$AH:$AH)</f>
        <v>0.58333333333333337</v>
      </c>
      <c r="L2" s="34">
        <f>SUMIFS('BA History S2'!H:H,'BA History S2'!B:B,A2)</f>
        <v>24</v>
      </c>
      <c r="M2" s="2">
        <f>SUMIFS('BA History S2'!G:G,'BA History S2'!B:B,A2)-L2</f>
        <v>18</v>
      </c>
      <c r="N2" s="89">
        <f>LOOKUP(2, 1/('BA History S2'!$B:$B=A2), 'BA History S2'!$AI:$AI)</f>
        <v>0.57999999999999996</v>
      </c>
      <c r="O2" s="2">
        <f>COUNTIFS('BA History S2'!$B:$B,$A$2,'BA History S2'!K:K, 1)</f>
        <v>0</v>
      </c>
      <c r="P2" s="2">
        <f>COUNTIFS('BA History S2'!$B:$B,$A$2,'BA History S2'!L:L, 1)</f>
        <v>1</v>
      </c>
      <c r="Q2" s="2">
        <f>COUNTIFS('BA History S2'!$B:$B,$A$2,'BA History S2'!M:M, 1)</f>
        <v>1</v>
      </c>
      <c r="R2" s="2">
        <f>COUNTIFS('BA History S2'!$B:$B,$A$2,'BA History S2'!N:N, 1)</f>
        <v>1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1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74</v>
      </c>
      <c r="D4" s="66">
        <f>AVERAGEIFS('BA History S2'!C:C,'BA History S2'!B:B,A4)</f>
        <v>10.571428571428571</v>
      </c>
      <c r="E4" s="35">
        <f t="array" ref="E4">MAX(IF('BA History S2'!B:B=A4, 'BA History S2'!C:C))</f>
        <v>17</v>
      </c>
      <c r="F4" s="34">
        <f>COUNTIFS('BA History S2'!B:B,A4,'BA History S2'!D:D, 1)</f>
        <v>2</v>
      </c>
      <c r="G4" s="2">
        <f>COUNTIFS('BA History S2'!B:B,A4,'BA History S2'!D:D, 0)</f>
        <v>5</v>
      </c>
      <c r="H4" s="75">
        <f>LOOKUP(2, 1/('BA History S2'!$B:$B=A4), 'BA History S2'!$AJ:$AJ)</f>
        <v>0.2857142857142857</v>
      </c>
      <c r="I4" s="34">
        <f>SUMIFS('BA History S2'!F:F,'BA History S2'!B:B,A4)</f>
        <v>12</v>
      </c>
      <c r="J4" s="2">
        <f>SUMIFS('BA History S2'!E:E,'BA History S2'!B:B,A4)-I4</f>
        <v>18</v>
      </c>
      <c r="K4" s="75">
        <f>LOOKUP(2, 1/('BA History S2'!$B:$B=A4), 'BA History S2'!$AH:$AH)</f>
        <v>0.37857142857142856</v>
      </c>
      <c r="L4" s="34">
        <f>SUMIFS('BA History S2'!H:H,'BA History S2'!B:B,A4)</f>
        <v>58</v>
      </c>
      <c r="M4" s="2">
        <f>SUMIFS('BA History S2'!G:G,'BA History S2'!B:B,A4)-L4</f>
        <v>70</v>
      </c>
      <c r="N4" s="89">
        <f>LOOKUP(2, 1/('BA History S2'!$B:$B=A4), 'BA History S2'!$AI:$AI)</f>
        <v>0.43571428571428567</v>
      </c>
      <c r="O4" s="2">
        <f>COUNTIFS('BA History S2'!$B:$B,$A$4,'BA History S2'!K:K, 1)</f>
        <v>2</v>
      </c>
      <c r="P4" s="2">
        <f>COUNTIFS('BA History S2'!$B:$B,$A$4,'BA History S2'!L:L, 1)</f>
        <v>2</v>
      </c>
      <c r="Q4" s="2">
        <f>COUNTIFS('BA History S2'!$B:$B,$A$4,'BA History S2'!M:M, 1)</f>
        <v>0</v>
      </c>
      <c r="R4" s="2">
        <f>COUNTIFS('BA History S2'!$B:$B,$A$4,'BA History S2'!N:N, 1)</f>
        <v>1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2</v>
      </c>
      <c r="AG4" s="2">
        <f>COUNTIFS('BA History S2'!$B:$B,$A$4,'BA History S2'!AC:AC, 1)</f>
        <v>1</v>
      </c>
      <c r="AH4" s="2">
        <f>COUNTIFS('BA History S2'!$B:$B,$A$4,'BA History S2'!AD:AD, 1)</f>
        <v>1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105</v>
      </c>
      <c r="D6" s="66">
        <f>AVERAGEIFS('BA History S2'!C:C,'BA History S2'!B:B,A6)</f>
        <v>21</v>
      </c>
      <c r="E6" s="35">
        <f t="array" ref="E6">MAX(IF('BA History S2'!B:B=A6, 'BA History S2'!C:C))</f>
        <v>40</v>
      </c>
      <c r="F6" s="34">
        <f>COUNTIFS('BA History S2'!B:B,A6,'BA History S2'!D:D, 1)</f>
        <v>1</v>
      </c>
      <c r="G6" s="2">
        <f>COUNTIFS('BA History S2'!B:B,A6,'BA History S2'!D:D, 0)</f>
        <v>4</v>
      </c>
      <c r="H6" s="75">
        <f>LOOKUP(2, 1/('BA History S2'!$B:$B=A6), 'BA History S2'!$AJ:$AJ)</f>
        <v>0.2</v>
      </c>
      <c r="I6" s="34">
        <f>SUMIFS('BA History S2'!F:F,'BA History S2'!B:B,A6)</f>
        <v>7</v>
      </c>
      <c r="J6" s="2">
        <f>SUMIFS('BA History S2'!E:E,'BA History S2'!B:B,A6)-I6</f>
        <v>14</v>
      </c>
      <c r="K6" s="75">
        <f>LOOKUP(2, 1/('BA History S2'!$B:$B=A6), 'BA History S2'!$AH:$AH)</f>
        <v>0.3</v>
      </c>
      <c r="L6" s="34">
        <f>SUMIFS('BA History S2'!H:H,'BA History S2'!B:B,A6)</f>
        <v>37</v>
      </c>
      <c r="M6" s="2">
        <f>SUMIFS('BA History S2'!G:G,'BA History S2'!B:B,A6)-L6</f>
        <v>54</v>
      </c>
      <c r="N6" s="89">
        <f>LOOKUP(2, 1/('BA History S2'!$B:$B=A6), 'BA History S2'!$AI:$AI)</f>
        <v>0.38200000000000001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3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4</v>
      </c>
      <c r="D7" s="66">
        <f>AVERAGEIFS('BA History S2'!C:C,'BA History S2'!B:B,A7)</f>
        <v>4</v>
      </c>
      <c r="E7" s="35">
        <f t="array" ref="E7">MAX(IF('BA History S2'!B:B=A7, 'BA History S2'!C:C))</f>
        <v>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0</v>
      </c>
      <c r="J7" s="2">
        <f>SUMIFS('BA History S2'!E:E,'BA History S2'!B:B,A7)-I7</f>
        <v>3</v>
      </c>
      <c r="K7" s="75">
        <f>LOOKUP(2, 1/('BA History S2'!$B:$B=A7), 'BA History S2'!$AH:$AH)</f>
        <v>0</v>
      </c>
      <c r="L7" s="34">
        <f>SUMIFS('BA History S2'!H:H,'BA History S2'!B:B,A7)</f>
        <v>1</v>
      </c>
      <c r="M7" s="2">
        <f>SUMIFS('BA History S2'!G:G,'BA History S2'!B:B,A7)-L7</f>
        <v>9</v>
      </c>
      <c r="N7" s="89">
        <f>LOOKUP(2, 1/('BA History S2'!$B:$B=A7), 'BA History S2'!$AI:$AI)</f>
        <v>0.1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50</v>
      </c>
      <c r="B8" s="2" t="s">
        <v>79</v>
      </c>
      <c r="C8" s="34">
        <f>SUMIFS('BA History S2'!C:C,'BA History S2'!B:B,A8)</f>
        <v>40</v>
      </c>
      <c r="D8" s="66">
        <f>AVERAGEIFS('BA History S2'!C:C,'BA History S2'!B:B,A8)</f>
        <v>13.333333333333334</v>
      </c>
      <c r="E8" s="35">
        <f t="array" ref="E8">MAX(IF('BA History S2'!B:B=A8, 'BA History S2'!C:C))</f>
        <v>14</v>
      </c>
      <c r="F8" s="34">
        <f>COUNTIFS('BA History S2'!B:B,A8,'BA History S2'!D:D, 1)</f>
        <v>1</v>
      </c>
      <c r="G8" s="2">
        <f>COUNTIFS('BA History S2'!B:B,A8,'BA History S2'!D:D, 0)</f>
        <v>2</v>
      </c>
      <c r="H8" s="75">
        <f>LOOKUP(2, 1/('BA History S2'!$B:$B=A8), 'BA History S2'!$AJ:$AJ)</f>
        <v>0.33333333333333331</v>
      </c>
      <c r="I8" s="34">
        <f>SUMIFS('BA History S2'!F:F,'BA History S2'!B:B,A8)</f>
        <v>4</v>
      </c>
      <c r="J8" s="2">
        <f>SUMIFS('BA History S2'!E:E,'BA History S2'!B:B,A8)-I8</f>
        <v>8</v>
      </c>
      <c r="K8" s="75">
        <f>LOOKUP(2, 1/('BA History S2'!$B:$B=A8), 'BA History S2'!$AH:$AH)</f>
        <v>0.28333333333333333</v>
      </c>
      <c r="L8" s="34">
        <f>SUMIFS('BA History S2'!H:H,'BA History S2'!B:B,A8)</f>
        <v>20</v>
      </c>
      <c r="M8" s="2">
        <f>SUMIFS('BA History S2'!G:G,'BA History S2'!B:B,A8)-L8</f>
        <v>32</v>
      </c>
      <c r="N8" s="89">
        <f>LOOKUP(2, 1/('BA History S2'!$B:$B=A8), 'BA History S2'!$AI:$AI)</f>
        <v>0.33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1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52</v>
      </c>
      <c r="B9" s="2" t="s">
        <v>79</v>
      </c>
      <c r="C9" s="34">
        <f>SUMIFS('BA History S2'!C:C,'BA History S2'!B:B,A9)</f>
        <v>17</v>
      </c>
      <c r="D9" s="66">
        <f>AVERAGEIFS('BA History S2'!C:C,'BA History S2'!B:B,A9)</f>
        <v>17</v>
      </c>
      <c r="E9" s="35">
        <f t="array" ref="E9">MAX(IF('BA History S2'!B:B=A9, 'BA History S2'!C:C))</f>
        <v>17</v>
      </c>
      <c r="F9" s="34">
        <f>COUNTIFS('BA History S2'!B:B,A9,'BA History S2'!D:D, 1)</f>
        <v>0</v>
      </c>
      <c r="G9" s="2">
        <f>COUNTIFS('BA History S2'!B:B,A9,'BA History S2'!D:D, 0)</f>
        <v>1</v>
      </c>
      <c r="H9" s="75">
        <f>LOOKUP(2, 1/('BA History S2'!$B:$B=A9), 'BA History S2'!$AJ:$AJ)</f>
        <v>0</v>
      </c>
      <c r="I9" s="34">
        <f>SUMIFS('BA History S2'!F:F,'BA History S2'!B:B,A9)</f>
        <v>2</v>
      </c>
      <c r="J9" s="2">
        <f>SUMIFS('BA History S2'!E:E,'BA History S2'!B:B,A9)-I9</f>
        <v>3</v>
      </c>
      <c r="K9" s="75">
        <f>LOOKUP(2, 1/('BA History S2'!$B:$B=A9), 'BA History S2'!$AH:$AH)</f>
        <v>0.4</v>
      </c>
      <c r="L9" s="34">
        <f>SUMIFS('BA History S2'!H:H,'BA History S2'!B:B,A9)</f>
        <v>9</v>
      </c>
      <c r="M9" s="2">
        <f>SUMIFS('BA History S2'!G:G,'BA History S2'!B:B,A9)-L9</f>
        <v>10</v>
      </c>
      <c r="N9" s="89">
        <f>LOOKUP(2, 1/('BA History S2'!$B:$B=A9), 'BA History S2'!$AI:$AI)</f>
        <v>0.47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0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1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1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44</v>
      </c>
      <c r="B10" s="2" t="s">
        <v>79</v>
      </c>
      <c r="C10" s="34">
        <f>SUMIFS('BA History S2'!C:C,'BA History S2'!B:B,A10)</f>
        <v>101</v>
      </c>
      <c r="D10" s="66">
        <f>AVERAGEIFS('BA History S2'!C:C,'BA History S2'!B:B,A10)</f>
        <v>16.833333333333332</v>
      </c>
      <c r="E10" s="35">
        <f t="array" ref="E10">MAX(IF('BA History S2'!B:B=A10, 'BA History S2'!C:C))</f>
        <v>24</v>
      </c>
      <c r="F10" s="34">
        <f>COUNTIFS('BA History S2'!B:B,A10,'BA History S2'!D:D, 1)</f>
        <v>3</v>
      </c>
      <c r="G10" s="2">
        <f>COUNTIFS('BA History S2'!B:B,A10,'BA History S2'!D:D, 0)</f>
        <v>3</v>
      </c>
      <c r="H10" s="75">
        <f>LOOKUP(2, 1/('BA History S2'!$B:$B=A10), 'BA History S2'!$AJ:$AJ)</f>
        <v>0.5</v>
      </c>
      <c r="I10" s="34">
        <f>SUMIFS('BA History S2'!F:F,'BA History S2'!B:B,A10)</f>
        <v>11</v>
      </c>
      <c r="J10" s="2">
        <f>SUMIFS('BA History S2'!E:E,'BA History S2'!B:B,A10)-I10</f>
        <v>14</v>
      </c>
      <c r="K10" s="75">
        <f>LOOKUP(2, 1/('BA History S2'!$B:$B=A10), 'BA History S2'!$AH:$AH)</f>
        <v>0.40833333333333338</v>
      </c>
      <c r="L10" s="34">
        <f>SUMIFS('BA History S2'!H:H,'BA History S2'!B:B,A10)</f>
        <v>50</v>
      </c>
      <c r="M10" s="2">
        <f>SUMIFS('BA History S2'!G:G,'BA History S2'!B:B,A10)-L10</f>
        <v>59</v>
      </c>
      <c r="N10" s="89">
        <f>LOOKUP(2, 1/('BA History S2'!$B:$B=A10), 'BA History S2'!$AI:$AI)</f>
        <v>0.4366666666666667</v>
      </c>
      <c r="O10" s="2">
        <f>COUNTIFS('BA History S2'!$B:$B,$A$10,'BA History S2'!K:K, 1)</f>
        <v>0</v>
      </c>
      <c r="P10" s="2">
        <f>COUNTIFS('BA History S2'!$B:$B,$A$10,'BA History S2'!L:L, 1)</f>
        <v>1</v>
      </c>
      <c r="Q10" s="2">
        <f>COUNTIFS('BA History S2'!$B:$B,$A$10,'BA History S2'!M:M, 1)</f>
        <v>2</v>
      </c>
      <c r="R10" s="2">
        <f>COUNTIFS('BA History S2'!$B:$B,$A$10,'BA History S2'!N:N, 1)</f>
        <v>2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1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1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1</v>
      </c>
      <c r="AE10" s="2">
        <f>COUNTIFS('BA History S2'!$B:$B,$A$10,'BA History S2'!AA:AA, 1)</f>
        <v>0</v>
      </c>
      <c r="AF10" s="2">
        <f>COUNTIFS('BA History S2'!$B:$B,$A$10,'BA History S2'!AB:AB, 1)</f>
        <v>2</v>
      </c>
      <c r="AG10" s="2">
        <f>COUNTIFS('BA History S2'!$B:$B,$A$10,'BA History S2'!AC:AC, 1)</f>
        <v>1</v>
      </c>
      <c r="AH10" s="2">
        <f>COUNTIFS('BA History S2'!$B:$B,$A$10,'BA History S2'!AD:AD, 1)</f>
        <v>0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x14ac:dyDescent="0.25">
      <c r="A11" s="2" t="s">
        <v>1</v>
      </c>
      <c r="B11" s="1" t="s">
        <v>162</v>
      </c>
      <c r="C11" s="34">
        <f>SUMIFS('BA History S2'!C:C,'BA History S2'!B:B,A11)</f>
        <v>109</v>
      </c>
      <c r="D11" s="66">
        <f>AVERAGEIFS('BA History S2'!C:C,'BA History S2'!B:B,A11)</f>
        <v>21.8</v>
      </c>
      <c r="E11" s="35">
        <f t="array" ref="E11">MAX(IF('BA History S2'!B:B=A11, 'BA History S2'!C:C))</f>
        <v>28</v>
      </c>
      <c r="F11" s="34">
        <f>COUNTIFS('BA History S2'!B:B,A11,'BA History S2'!D:D, 1)</f>
        <v>2</v>
      </c>
      <c r="G11" s="2">
        <f>COUNTIFS('BA History S2'!B:B,A11,'BA History S2'!D:D, 0)</f>
        <v>3</v>
      </c>
      <c r="H11" s="75">
        <f>LOOKUP(2, 1/('BA History S2'!$B:$B=A11), 'BA History S2'!$AJ:$AJ)</f>
        <v>0.4</v>
      </c>
      <c r="I11" s="34">
        <f>SUMIFS('BA History S2'!F:F,'BA History S2'!B:B,A11)</f>
        <v>9</v>
      </c>
      <c r="J11" s="2">
        <f>SUMIFS('BA History S2'!E:E,'BA History S2'!B:B,A11)-I11</f>
        <v>10</v>
      </c>
      <c r="K11" s="75">
        <f>LOOKUP(2, 1/('BA History S2'!$B:$B=A11), 'BA History S2'!$AH:$AH)</f>
        <v>0.48</v>
      </c>
      <c r="L11" s="34">
        <f>SUMIFS('BA History S2'!H:H,'BA History S2'!B:B,A11)</f>
        <v>39</v>
      </c>
      <c r="M11" s="2">
        <f>SUMIFS('BA History S2'!G:G,'BA History S2'!B:B,A11)-L11</f>
        <v>41</v>
      </c>
      <c r="N11" s="89">
        <f>LOOKUP(2, 1/('BA History S2'!$B:$B=A11), 'BA History S2'!$AI:$AI)</f>
        <v>0.50600000000000001</v>
      </c>
      <c r="O11" s="2">
        <f>COUNTIFS('BA History S2'!$B:$B,$A$11,'BA History S2'!K:K, 1)</f>
        <v>2</v>
      </c>
      <c r="P11" s="2">
        <f>COUNTIFS('BA History S2'!$B:$B,$A$11,'BA History S2'!L:L, 1)</f>
        <v>1</v>
      </c>
      <c r="Q11" s="2">
        <f>COUNTIFS('BA History S2'!$B:$B,$A$11,'BA History S2'!M:M, 1)</f>
        <v>0</v>
      </c>
      <c r="R11" s="2">
        <f>COUNTIFS('BA History S2'!$B:$B,$A$11,'BA History S2'!N:N, 1)</f>
        <v>1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1</v>
      </c>
      <c r="AD11" s="2">
        <f>COUNTIFS('BA History S2'!$B:$B,$A$11,'BA History S2'!Z:Z, 1)</f>
        <v>1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1</v>
      </c>
      <c r="AH11" s="2">
        <f>COUNTIFS('BA History S2'!$B:$B,$A$11,'BA History S2'!AD:AD, 1)</f>
        <v>1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ht="15.75" x14ac:dyDescent="0.25">
      <c r="A12" s="2" t="s">
        <v>151</v>
      </c>
      <c r="B12" s="95" t="s">
        <v>79</v>
      </c>
      <c r="C12" s="34">
        <f>SUMIFS('BA History S2'!C:C,'BA History S2'!B:B,A12)</f>
        <v>61</v>
      </c>
      <c r="D12" s="66">
        <f>AVERAGEIFS('BA History S2'!C:C,'BA History S2'!B:B,A12)</f>
        <v>15.25</v>
      </c>
      <c r="E12" s="35">
        <f t="array" ref="E12">MAX(IF('BA History S2'!B:B=A12, 'BA History S2'!C:C))</f>
        <v>21</v>
      </c>
      <c r="F12" s="34">
        <f>COUNTIFS('BA History S2'!B:B,A12,'BA History S2'!D:D, 1)</f>
        <v>3</v>
      </c>
      <c r="G12" s="2">
        <f>COUNTIFS('BA History S2'!B:B,A12,'BA History S2'!D:D, 0)</f>
        <v>1</v>
      </c>
      <c r="H12" s="75">
        <f>LOOKUP(2, 1/('BA History S2'!$B:$B=A12), 'BA History S2'!$AJ:$AJ)</f>
        <v>0.75</v>
      </c>
      <c r="I12" s="34">
        <f>SUMIFS('BA History S2'!F:F,'BA History S2'!B:B,A12)</f>
        <v>11</v>
      </c>
      <c r="J12" s="2">
        <f>SUMIFS('BA History S2'!E:E,'BA History S2'!B:B,A12)-I12</f>
        <v>4</v>
      </c>
      <c r="K12" s="75">
        <f>LOOKUP(2, 1/('BA History S2'!$B:$B=A12), 'BA History S2'!$AH:$AH)</f>
        <v>0.78749999999999998</v>
      </c>
      <c r="L12" s="34">
        <f>SUMIFS('BA History S2'!H:H,'BA History S2'!B:B,A12)</f>
        <v>38</v>
      </c>
      <c r="M12" s="2">
        <f>SUMIFS('BA History S2'!G:G,'BA History S2'!B:B,A12)-L12</f>
        <v>20</v>
      </c>
      <c r="N12" s="89">
        <f>LOOKUP(2, 1/('BA History S2'!$B:$B=A12), 'BA History S2'!$AI:$AI)</f>
        <v>0.7</v>
      </c>
      <c r="O12" s="2">
        <f>COUNTIFS('BA History S2'!$B:$B,$A$12,'BA History S2'!K:K, 1)</f>
        <v>0</v>
      </c>
      <c r="P12" s="2">
        <f>COUNTIFS('BA History S2'!$B:$B,$A$12,'BA History S2'!L:L, 1)</f>
        <v>1</v>
      </c>
      <c r="Q12" s="2">
        <f>COUNTIFS('BA History S2'!$B:$B,$A$12,'BA History S2'!M:M, 1)</f>
        <v>1</v>
      </c>
      <c r="R12" s="2">
        <f>COUNTIFS('BA History S2'!$B:$B,$A$12,'BA History S2'!N:N, 1)</f>
        <v>2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1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0</v>
      </c>
      <c r="AD12" s="2">
        <f>COUNTIFS('BA History S2'!$B:$B,$A$12,'BA History S2'!Z:Z, 1)</f>
        <v>3</v>
      </c>
      <c r="AE12" s="2">
        <f>COUNTIFS('BA History S2'!$B:$B,$A$12,'BA History S2'!AA:AA, 1)</f>
        <v>0</v>
      </c>
      <c r="AF12" s="2">
        <f>COUNTIFS('BA History S2'!$B:$B,$A$12,'BA History S2'!AB:AB, 1)</f>
        <v>1</v>
      </c>
      <c r="AG12" s="2">
        <f>COUNTIFS('BA History S2'!$B:$B,$A$12,'BA History S2'!AC:AC, 1)</f>
        <v>1</v>
      </c>
      <c r="AH12" s="2">
        <f>COUNTIFS('BA History S2'!$B:$B,$A$12,'BA History S2'!AD:AD, 1)</f>
        <v>1</v>
      </c>
      <c r="AI12" s="2">
        <f>COUNTIFS('BA History S2'!$B:$B,$A$12,'BA History S2'!AE:AE, 1)</f>
        <v>0</v>
      </c>
      <c r="AJ12" s="2">
        <f>COUNTIFS('BA History S2'!$B:$B,$A$12,'BA History S2'!AF:AF, 1)</f>
        <v>0</v>
      </c>
    </row>
    <row r="13" spans="1:36" x14ac:dyDescent="0.25">
      <c r="A13" s="2" t="s">
        <v>46</v>
      </c>
      <c r="B13" s="1" t="s">
        <v>162</v>
      </c>
      <c r="C13" s="34">
        <f>SUMIFS('BA History S2'!C:C,'BA History S2'!B:B,A13)</f>
        <v>86</v>
      </c>
      <c r="D13" s="66">
        <f>AVERAGEIFS('BA History S2'!C:C,'BA History S2'!B:B,A13)</f>
        <v>17.2</v>
      </c>
      <c r="E13" s="35">
        <f t="array" ref="E13">MAX(IF('BA History S2'!B:B=A13, 'BA History S2'!C:C))</f>
        <v>34</v>
      </c>
      <c r="F13" s="34">
        <f>COUNTIFS('BA History S2'!B:B,A13,'BA History S2'!D:D, 1)</f>
        <v>1</v>
      </c>
      <c r="G13" s="2">
        <f>COUNTIFS('BA History S2'!B:B,A13,'BA History S2'!D:D, 0)</f>
        <v>4</v>
      </c>
      <c r="H13" s="75">
        <f>LOOKUP(2, 1/('BA History S2'!$B:$B=A13), 'BA History S2'!$AJ:$AJ)</f>
        <v>0.2</v>
      </c>
      <c r="I13" s="34">
        <f>SUMIFS('BA History S2'!F:F,'BA History S2'!B:B,A13)</f>
        <v>8</v>
      </c>
      <c r="J13" s="2">
        <f>SUMIFS('BA History S2'!E:E,'BA History S2'!B:B,A13)-I13</f>
        <v>14</v>
      </c>
      <c r="K13" s="75">
        <f>LOOKUP(2, 1/('BA History S2'!$B:$B=A13), 'BA History S2'!$AH:$AH)</f>
        <v>0.32999999999999996</v>
      </c>
      <c r="L13" s="34">
        <f>SUMIFS('BA History S2'!H:H,'BA History S2'!B:B,A13)</f>
        <v>41</v>
      </c>
      <c r="M13" s="2">
        <f>SUMIFS('BA History S2'!G:G,'BA History S2'!B:B,A13)-L13</f>
        <v>53</v>
      </c>
      <c r="N13" s="89">
        <f>LOOKUP(2, 1/('BA History S2'!$B:$B=A13), 'BA History S2'!$AI:$AI)</f>
        <v>0.42599999999999999</v>
      </c>
      <c r="O13" s="2">
        <f>COUNTIFS('BA History S2'!$B:$B,$A$13,'BA History S2'!K:K, 1)</f>
        <v>1</v>
      </c>
      <c r="P13" s="2">
        <f>COUNTIFS('BA History S2'!$B:$B,$A$13,'BA History S2'!L:L, 1)</f>
        <v>2</v>
      </c>
      <c r="Q13" s="2">
        <f>COUNTIFS('BA History S2'!$B:$B,$A$13,'BA History S2'!M:M, 1)</f>
        <v>0</v>
      </c>
      <c r="R13" s="2">
        <f>COUNTIFS('BA History S2'!$B:$B,$A$13,'BA History S2'!N:N, 1)</f>
        <v>1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1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1</v>
      </c>
      <c r="AG13" s="2">
        <f>COUNTIFS('BA History S2'!$B:$B,$A$13,'BA History S2'!AC:AC, 1)</f>
        <v>0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x14ac:dyDescent="0.25">
      <c r="A14" s="2" t="s">
        <v>28</v>
      </c>
      <c r="B14" s="1" t="s">
        <v>79</v>
      </c>
      <c r="C14" s="34">
        <f>SUMIFS('BA History S2'!C:C,'BA History S2'!B:B,A14)</f>
        <v>9</v>
      </c>
      <c r="D14" s="66">
        <f>AVERAGEIFS('BA History S2'!C:C,'BA History S2'!B:B,A14)</f>
        <v>9</v>
      </c>
      <c r="E14" s="35">
        <f t="array" ref="E14">MAX(IF('BA History S2'!B:B=A14, 'BA History S2'!C:C))</f>
        <v>9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0</v>
      </c>
      <c r="J14" s="2">
        <f>SUMIFS('BA History S2'!E:E,'BA History S2'!B:B,A14)-I14</f>
        <v>3</v>
      </c>
      <c r="K14" s="75">
        <f>LOOKUP(2, 1/('BA History S2'!$B:$B=A14), 'BA History S2'!$AH:$AH)</f>
        <v>0</v>
      </c>
      <c r="L14" s="34">
        <f>SUMIFS('BA History S2'!H:H,'BA History S2'!B:B,A14)</f>
        <v>1</v>
      </c>
      <c r="M14" s="2">
        <f>SUMIFS('BA History S2'!G:G,'BA History S2'!B:B,A14)-L14</f>
        <v>9</v>
      </c>
      <c r="N14" s="89">
        <f>LOOKUP(2, 1/('BA History S2'!$B:$B=A14), 'BA History S2'!$AI:$AI)</f>
        <v>0.1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0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53</v>
      </c>
      <c r="B15" s="2" t="s">
        <v>79</v>
      </c>
      <c r="C15" s="34">
        <f>SUMIFS('BA History S2'!C:C,'BA History S2'!B:B,A15)</f>
        <v>82</v>
      </c>
      <c r="D15" s="66">
        <f>AVERAGEIFS('BA History S2'!C:C,'BA History S2'!B:B,A15)</f>
        <v>13.666666666666666</v>
      </c>
      <c r="E15" s="35">
        <f t="array" ref="E15">MAX(IF('BA History S2'!B:B=A15, 'BA History S2'!C:C))</f>
        <v>27</v>
      </c>
      <c r="F15" s="34">
        <f>COUNTIFS('BA History S2'!B:B,A15,'BA History S2'!D:D, 1)</f>
        <v>2</v>
      </c>
      <c r="G15" s="2">
        <f>COUNTIFS('BA History S2'!B:B,A15,'BA History S2'!D:D, 0)</f>
        <v>4</v>
      </c>
      <c r="H15" s="75">
        <f>LOOKUP(2, 1/('BA History S2'!$B:$B=A15), 'BA History S2'!$AJ:$AJ)</f>
        <v>0.33333333333333331</v>
      </c>
      <c r="I15" s="34">
        <f>SUMIFS('BA History S2'!F:F,'BA History S2'!B:B,A15)</f>
        <v>13</v>
      </c>
      <c r="J15" s="2">
        <f>SUMIFS('BA History S2'!E:E,'BA History S2'!B:B,A15)-I15</f>
        <v>12</v>
      </c>
      <c r="K15" s="75">
        <f>LOOKUP(2, 1/('BA History S2'!$B:$B=A15), 'BA History S2'!$AH:$AH)</f>
        <v>0.57499999999999996</v>
      </c>
      <c r="L15" s="34">
        <f>SUMIFS('BA History S2'!H:H,'BA History S2'!B:B,A15)</f>
        <v>54</v>
      </c>
      <c r="M15" s="2">
        <f>SUMIFS('BA History S2'!G:G,'BA History S2'!B:B,A15)-L15</f>
        <v>51</v>
      </c>
      <c r="N15" s="89">
        <f>LOOKUP(2, 1/('BA History S2'!$B:$B=A15), 'BA History S2'!$AI:$AI)</f>
        <v>0.54499999999999993</v>
      </c>
      <c r="O15" s="2">
        <f>COUNTIFS('BA History S2'!$B:$B,$A$15,'BA History S2'!K:K, 1)</f>
        <v>1</v>
      </c>
      <c r="P15" s="2">
        <f>COUNTIFS('BA History S2'!$B:$B,$A$15,'BA History S2'!L:L, 1)</f>
        <v>3</v>
      </c>
      <c r="Q15" s="2">
        <f>COUNTIFS('BA History S2'!$B:$B,$A$15,'BA History S2'!M:M, 1)</f>
        <v>0</v>
      </c>
      <c r="R15" s="2">
        <f>COUNTIFS('BA History S2'!$B:$B,$A$15,'BA History S2'!N:N, 1)</f>
        <v>1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1</v>
      </c>
      <c r="AD15" s="2">
        <f>COUNTIFS('BA History S2'!$B:$B,$A$15,'BA History S2'!Z:Z, 1)</f>
        <v>2</v>
      </c>
      <c r="AE15" s="2">
        <f>COUNTIFS('BA History S2'!$B:$B,$A$15,'BA History S2'!AA:AA, 1)</f>
        <v>0</v>
      </c>
      <c r="AF15" s="2">
        <f>COUNTIFS('BA History S2'!$B:$B,$A$15,'BA History S2'!AB:AB, 1)</f>
        <v>1</v>
      </c>
      <c r="AG15" s="2">
        <f>COUNTIFS('BA History S2'!$B:$B,$A$15,'BA History S2'!AC:AC, 1)</f>
        <v>2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2</v>
      </c>
    </row>
    <row r="16" spans="1:36" x14ac:dyDescent="0.25">
      <c r="A16" s="2" t="s">
        <v>149</v>
      </c>
      <c r="B16" s="2" t="s">
        <v>79</v>
      </c>
      <c r="C16" s="34">
        <f>SUMIFS('BA History S2'!C:C,'BA History S2'!B:B,A16)</f>
        <v>2</v>
      </c>
      <c r="D16" s="66">
        <f>AVERAGEIFS('BA History S2'!C:C,'BA History S2'!B:B,A16)</f>
        <v>2</v>
      </c>
      <c r="E16" s="35">
        <f t="array" ref="E16">MAX(IF('BA History S2'!B:B=A16, 'BA History S2'!C:C))</f>
        <v>2</v>
      </c>
      <c r="F16" s="34">
        <f>COUNTIFS('BA History S2'!B:B,A16,'BA History S2'!D:D, 1)</f>
        <v>1</v>
      </c>
      <c r="G16" s="2">
        <f>COUNTIFS('BA History S2'!B:B,A16,'BA History S2'!D:D, 0)</f>
        <v>0</v>
      </c>
      <c r="H16" s="75">
        <f>LOOKUP(2, 1/('BA History S2'!$B:$B=A16), 'BA History S2'!$AJ:$AJ)</f>
        <v>1</v>
      </c>
      <c r="I16" s="34">
        <f>SUMIFS('BA History S2'!F:F,'BA History S2'!B:B,A16)</f>
        <v>3</v>
      </c>
      <c r="J16" s="2">
        <f>SUMIFS('BA History S2'!E:E,'BA History S2'!B:B,A16)-I16</f>
        <v>2</v>
      </c>
      <c r="K16" s="75">
        <f>LOOKUP(2, 1/('BA History S2'!$B:$B=A16), 'BA History S2'!$AH:$AH)</f>
        <v>0.6</v>
      </c>
      <c r="L16" s="34">
        <f>SUMIFS('BA History S2'!H:H,'BA History S2'!B:B,A16)</f>
        <v>10</v>
      </c>
      <c r="M16" s="2">
        <f>SUMIFS('BA History S2'!G:G,'BA History S2'!B:B,A16)-L16</f>
        <v>9</v>
      </c>
      <c r="N16" s="89">
        <f>LOOKUP(2, 1/('BA History S2'!$B:$B=A16), 'BA History S2'!$AI:$AI)</f>
        <v>0.53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1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165</v>
      </c>
      <c r="B17" s="2" t="s">
        <v>79</v>
      </c>
      <c r="C17" s="34">
        <f>SUMIFS('BA History S2'!C:C,'BA History S2'!B:B,A17)</f>
        <v>4</v>
      </c>
      <c r="D17" s="66">
        <f>AVERAGEIFS('BA History S2'!C:C,'BA History S2'!B:B,A17)</f>
        <v>4</v>
      </c>
      <c r="E17" s="35">
        <f t="array" ref="E17">MAX(IF('BA History S2'!B:B=A17, 'BA History S2'!C:C))</f>
        <v>4</v>
      </c>
      <c r="F17" s="34">
        <f>COUNTIFS('BA History S2'!B:B,A17,'BA History S2'!D:D, 1)</f>
        <v>1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3</v>
      </c>
      <c r="J17" s="2">
        <f>SUMIFS('BA History S2'!E:E,'BA History S2'!B:B,A17)-I17</f>
        <v>1</v>
      </c>
      <c r="K17" s="75">
        <f>LOOKUP(2, 1/('BA History S2'!$B:$B=A17), 'BA History S2'!$AH:$AH)</f>
        <v>0.75</v>
      </c>
      <c r="L17" s="34">
        <f>SUMIFS('BA History S2'!H:H,'BA History S2'!B:B,A17)</f>
        <v>11</v>
      </c>
      <c r="M17" s="2">
        <f>SUMIFS('BA History S2'!G:G,'BA History S2'!B:B,A17)-L17</f>
        <v>7</v>
      </c>
      <c r="N17" s="89">
        <f>LOOKUP(2, 1/('BA History S2'!$B:$B=A17), 'BA History S2'!$AI:$AI)</f>
        <v>0.61</v>
      </c>
      <c r="O17" s="2">
        <f>COUNTIFS('BA History S2'!$B:$B,$A$17,'BA History S2'!K:K, 1)</f>
        <v>1</v>
      </c>
      <c r="P17" s="2">
        <f>COUNTIFS('BA History S2'!$B:$B,$A$17,'BA History S2'!L:L, 1)</f>
        <v>0</v>
      </c>
      <c r="Q17" s="2">
        <f>COUNTIFS('BA History S2'!$B:$B,$A$17,'BA History S2'!M:M, 1)</f>
        <v>0</v>
      </c>
      <c r="R17" s="2">
        <f>COUNTIFS('BA History S2'!$B:$B,$A$17,'BA History S2'!N:N, 1)</f>
        <v>0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0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0</v>
      </c>
      <c r="AE17" s="2">
        <f>COUNTIFS('BA History S2'!$B:$B,$A$17,'BA History S2'!AA:AA, 1)</f>
        <v>0</v>
      </c>
      <c r="AF17" s="2">
        <f>COUNTIFS('BA History S2'!$B:$B,$A$17,'BA History S2'!AB:AB, 1)</f>
        <v>0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13</v>
      </c>
      <c r="B18" s="2" t="s">
        <v>79</v>
      </c>
      <c r="C18" s="34">
        <f>SUMIFS('BA History S2'!C:C,'BA History S2'!B:B,A18)</f>
        <v>56</v>
      </c>
      <c r="D18" s="66">
        <f>AVERAGEIFS('BA History S2'!C:C,'BA History S2'!B:B,A18)</f>
        <v>14</v>
      </c>
      <c r="E18" s="35">
        <f t="array" ref="E18">MAX(IF('BA History S2'!B:B=A18, 'BA History S2'!C:C))</f>
        <v>20</v>
      </c>
      <c r="F18" s="34">
        <f>COUNTIFS('BA History S2'!B:B,A18,'BA History S2'!D:D, 1)</f>
        <v>2</v>
      </c>
      <c r="G18" s="2">
        <f>COUNTIFS('BA History S2'!B:B,A18,'BA History S2'!D:D, 0)</f>
        <v>2</v>
      </c>
      <c r="H18" s="75">
        <f>LOOKUP(2, 1/('BA History S2'!$B:$B=A18), 'BA History S2'!$AJ:$AJ)</f>
        <v>0.5</v>
      </c>
      <c r="I18" s="34">
        <f>SUMIFS('BA History S2'!F:F,'BA History S2'!B:B,A18)</f>
        <v>7</v>
      </c>
      <c r="J18" s="2">
        <f>SUMIFS('BA History S2'!E:E,'BA History S2'!B:B,A18)-I18</f>
        <v>7</v>
      </c>
      <c r="K18" s="75">
        <f>LOOKUP(2, 1/('BA History S2'!$B:$B=A18), 'BA History S2'!$AH:$AH)</f>
        <v>0.5</v>
      </c>
      <c r="L18" s="34">
        <f>SUMIFS('BA History S2'!H:H,'BA History S2'!B:B,A18)</f>
        <v>29</v>
      </c>
      <c r="M18" s="2">
        <f>SUMIFS('BA History S2'!G:G,'BA History S2'!B:B,A18)-L18</f>
        <v>31</v>
      </c>
      <c r="N18" s="89">
        <f>LOOKUP(2, 1/('BA History S2'!$B:$B=A18), 'BA History S2'!$AI:$AI)</f>
        <v>0.46749999999999997</v>
      </c>
      <c r="O18" s="2">
        <f>COUNTIFS('BA History S2'!$B:$B,$A$18,'BA History S2'!K:K, 1)</f>
        <v>1</v>
      </c>
      <c r="P18" s="2">
        <f>COUNTIFS('BA History S2'!$B:$B,$A$18,'BA History S2'!L:L, 1)</f>
        <v>1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1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0</v>
      </c>
      <c r="AG18" s="2">
        <f>COUNTIFS('BA History S2'!$B:$B,$A$18,'BA History S2'!AC:AC, 1)</f>
        <v>2</v>
      </c>
      <c r="AH18" s="2">
        <f>COUNTIFS('BA History S2'!$B:$B,$A$18,'BA History S2'!AD:AD, 1)</f>
        <v>1</v>
      </c>
      <c r="AI18" s="2">
        <f>COUNTIFS('BA History S2'!$B:$B,$A$18,'BA History S2'!AE:AE, 1)</f>
        <v>0</v>
      </c>
      <c r="AJ18" s="2">
        <f>COUNTIFS('BA History S2'!$B:$B,$A$18,'BA History S2'!AF:AF, 1)</f>
        <v>1</v>
      </c>
    </row>
    <row r="19" spans="1:36" x14ac:dyDescent="0.25">
      <c r="A19" s="2" t="s">
        <v>2</v>
      </c>
      <c r="B19" s="1" t="s">
        <v>162</v>
      </c>
      <c r="C19" s="34">
        <f>SUMIFS('BA History S2'!C:C,'BA History S2'!B:B,A19)</f>
        <v>82</v>
      </c>
      <c r="D19" s="66">
        <f>AVERAGEIFS('BA History S2'!C:C,'BA History S2'!B:B,A19)</f>
        <v>20.5</v>
      </c>
      <c r="E19" s="35">
        <f t="array" ref="E19">MAX(IF('BA History S2'!B:B=A19, 'BA History S2'!C:C))</f>
        <v>33</v>
      </c>
      <c r="F19" s="34">
        <f>COUNTIFS('BA History S2'!B:B,A19,'BA History S2'!D:D, 1)</f>
        <v>2</v>
      </c>
      <c r="G19" s="2">
        <f>COUNTIFS('BA History S2'!B:B,A19,'BA History S2'!D:D, 0)</f>
        <v>2</v>
      </c>
      <c r="H19" s="75">
        <f>LOOKUP(2, 1/('BA History S2'!$B:$B=A19), 'BA History S2'!$AJ:$AJ)</f>
        <v>0.5</v>
      </c>
      <c r="I19" s="34">
        <f>SUMIFS('BA History S2'!F:F,'BA History S2'!B:B,A19)</f>
        <v>9</v>
      </c>
      <c r="J19" s="2">
        <f>SUMIFS('BA History S2'!E:E,'BA History S2'!B:B,A19)-I19</f>
        <v>7</v>
      </c>
      <c r="K19" s="75">
        <f>LOOKUP(2, 1/('BA History S2'!$B:$B=A19), 'BA History S2'!$AH:$AH)</f>
        <v>0.6</v>
      </c>
      <c r="L19" s="34">
        <f>SUMIFS('BA History S2'!H:H,'BA History S2'!B:B,A19)</f>
        <v>40</v>
      </c>
      <c r="M19" s="2">
        <f>SUMIFS('BA History S2'!G:G,'BA History S2'!B:B,A19)-L19</f>
        <v>30</v>
      </c>
      <c r="N19" s="89">
        <f>LOOKUP(2, 1/('BA History S2'!$B:$B=A19), 'BA History S2'!$AI:$AI)</f>
        <v>0.61250000000000004</v>
      </c>
      <c r="O19" s="2">
        <f>COUNTIFS('BA History S2'!$B:$B,$A$19,'BA History S2'!K:K, 1)</f>
        <v>1</v>
      </c>
      <c r="P19" s="2">
        <f>COUNTIFS('BA History S2'!$B:$B,$A$19,'BA History S2'!L:L, 1)</f>
        <v>1</v>
      </c>
      <c r="Q19" s="2">
        <f>COUNTIFS('BA History S2'!$B:$B,$A$19,'BA History S2'!M:M, 1)</f>
        <v>0</v>
      </c>
      <c r="R19" s="2">
        <f>COUNTIFS('BA History S2'!$B:$B,$A$19,'BA History S2'!N:N, 1)</f>
        <v>1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1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1</v>
      </c>
    </row>
    <row r="20" spans="1:36" x14ac:dyDescent="0.25">
      <c r="A20" s="2" t="s">
        <v>54</v>
      </c>
      <c r="B20" s="2" t="s">
        <v>79</v>
      </c>
      <c r="C20" s="34">
        <f>SUMIFS('BA History S2'!C:C,'BA History S2'!B:B,A20)</f>
        <v>32</v>
      </c>
      <c r="D20" s="66">
        <f>AVERAGEIFS('BA History S2'!C:C,'BA History S2'!B:B,A20)</f>
        <v>16</v>
      </c>
      <c r="E20" s="35">
        <f t="array" ref="E20">MAX(IF('BA History S2'!B:B=A20, 'BA History S2'!C:C))</f>
        <v>16</v>
      </c>
      <c r="F20" s="34">
        <f>COUNTIFS('BA History S2'!B:B,A20,'BA History S2'!D:D, 1)</f>
        <v>2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6</v>
      </c>
      <c r="J20" s="2">
        <f>SUMIFS('BA History S2'!E:E,'BA History S2'!B:B,A20)-I20</f>
        <v>0</v>
      </c>
      <c r="K20" s="75">
        <f>LOOKUP(2, 1/('BA History S2'!$B:$B=A20), 'BA History S2'!$AH:$AH)</f>
        <v>1</v>
      </c>
      <c r="L20" s="34">
        <f>SUMIFS('BA History S2'!H:H,'BA History S2'!B:B,A20)</f>
        <v>18</v>
      </c>
      <c r="M20" s="2">
        <f>SUMIFS('BA History S2'!G:G,'BA History S2'!B:B,A20)-L20</f>
        <v>5</v>
      </c>
      <c r="N20" s="89">
        <f>LOOKUP(2, 1/('BA History S2'!$B:$B=A20), 'BA History S2'!$AI:$AI)</f>
        <v>0.79499999999999993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0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0</v>
      </c>
      <c r="AG20" s="2">
        <f>COUNTIFS('BA History S2'!$B:$B,$A$20,'BA History S2'!AC:AC, 1)</f>
        <v>1</v>
      </c>
      <c r="AH20" s="2">
        <f>COUNTIFS('BA History S2'!$B:$B,$A$20,'BA History S2'!AD:AD, 1)</f>
        <v>0</v>
      </c>
      <c r="AI20" s="2">
        <f>COUNTIFS('BA History S2'!$B:$B,$A$20,'BA History S2'!AE:AE, 1)</f>
        <v>0</v>
      </c>
      <c r="AJ20" s="2">
        <f>COUNTIFS('BA History S2'!$B:$B,$A$20,'BA History S2'!AF:AF, 1)</f>
        <v>1</v>
      </c>
    </row>
    <row r="21" spans="1:36" x14ac:dyDescent="0.25">
      <c r="A21" s="2" t="s">
        <v>5</v>
      </c>
      <c r="B21" s="1" t="s">
        <v>162</v>
      </c>
      <c r="C21" s="34">
        <f>SUMIFS('BA History S2'!C:C,'BA History S2'!B:B,A21)</f>
        <v>67</v>
      </c>
      <c r="D21" s="66">
        <f>AVERAGEIFS('BA History S2'!C:C,'BA History S2'!B:B,A21)</f>
        <v>16.75</v>
      </c>
      <c r="E21" s="35">
        <f t="array" ref="E21">MAX(IF('BA History S2'!B:B=A21, 'BA History S2'!C:C))</f>
        <v>19</v>
      </c>
      <c r="F21" s="34">
        <f>COUNTIFS('BA History S2'!B:B,A21,'BA History S2'!D:D, 1)</f>
        <v>3</v>
      </c>
      <c r="G21" s="2">
        <f>COUNTIFS('BA History S2'!B:B,A21,'BA History S2'!D:D, 0)</f>
        <v>1</v>
      </c>
      <c r="H21" s="75">
        <f>LOOKUP(2, 1/('BA History S2'!$B:$B=A21), 'BA History S2'!$AJ:$AJ)</f>
        <v>0.75</v>
      </c>
      <c r="I21" s="34">
        <f>SUMIFS('BA History S2'!F:F,'BA History S2'!B:B,A21)</f>
        <v>10</v>
      </c>
      <c r="J21" s="2">
        <f>SUMIFS('BA History S2'!E:E,'BA History S2'!B:B,A21)-I21</f>
        <v>7</v>
      </c>
      <c r="K21" s="75">
        <f>LOOKUP(2, 1/('BA History S2'!$B:$B=A21), 'BA History S2'!$AH:$AH)</f>
        <v>0.61250000000000004</v>
      </c>
      <c r="L21" s="34">
        <f>SUMIFS('BA History S2'!H:H,'BA History S2'!B:B,A21)</f>
        <v>38</v>
      </c>
      <c r="M21" s="2">
        <f>SUMIFS('BA History S2'!G:G,'BA History S2'!B:B,A21)-L21</f>
        <v>34</v>
      </c>
      <c r="N21" s="89">
        <f>LOOKUP(2, 1/('BA History S2'!$B:$B=A21), 'BA History S2'!$AI:$AI)</f>
        <v>0.56000000000000005</v>
      </c>
      <c r="O21" s="2">
        <f>COUNTIFS('BA History S2'!$B:$B,$A$21,'BA History S2'!K:K, 1)</f>
        <v>0</v>
      </c>
      <c r="P21" s="2">
        <f>COUNTIFS('BA History S2'!$B:$B,$A$21,'BA History S2'!L:L, 1)</f>
        <v>2</v>
      </c>
      <c r="Q21" s="2">
        <f>COUNTIFS('BA History S2'!$B:$B,$A$21,'BA History S2'!M:M, 1)</f>
        <v>1</v>
      </c>
      <c r="R21" s="2">
        <f>COUNTIFS('BA History S2'!$B:$B,$A$21,'BA History S2'!N:N, 1)</f>
        <v>3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1</v>
      </c>
      <c r="AE21" s="2">
        <f>COUNTIFS('BA History S2'!$B:$B,$A$21,'BA History S2'!AA:AA, 1)</f>
        <v>0</v>
      </c>
      <c r="AF21" s="2">
        <f>COUNTIFS('BA History S2'!$B:$B,$A$21,'BA History S2'!AB:AB, 1)</f>
        <v>3</v>
      </c>
      <c r="AG21" s="2">
        <f>COUNTIFS('BA History S2'!$B:$B,$A$21,'BA History S2'!AC:AC, 1)</f>
        <v>0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0</v>
      </c>
    </row>
    <row r="22" spans="1:36" x14ac:dyDescent="0.25">
      <c r="A22" s="2" t="s">
        <v>142</v>
      </c>
      <c r="B22" s="2" t="s">
        <v>79</v>
      </c>
      <c r="C22" s="34">
        <f>SUMIFS('BA History S2'!C:C,'BA History S2'!B:B,A22)</f>
        <v>15</v>
      </c>
      <c r="D22" s="66">
        <f>AVERAGEIFS('BA History S2'!C:C,'BA History S2'!B:B,A22)</f>
        <v>7.5</v>
      </c>
      <c r="E22" s="35">
        <f t="array" ref="E22">MAX(IF('BA History S2'!B:B=A22, 'BA History S2'!C:C))</f>
        <v>14</v>
      </c>
      <c r="F22" s="34">
        <f>COUNTIFS('BA History S2'!B:B,A22,'BA History S2'!D:D, 1)</f>
        <v>1</v>
      </c>
      <c r="G22" s="2">
        <f>COUNTIFS('BA History S2'!B:B,A22,'BA History S2'!D:D, 0)</f>
        <v>1</v>
      </c>
      <c r="H22" s="75">
        <f>LOOKUP(2, 1/('BA History S2'!$B:$B=A22), 'BA History S2'!$AJ:$AJ)</f>
        <v>0.5</v>
      </c>
      <c r="I22" s="34">
        <f>SUMIFS('BA History S2'!F:F,'BA History S2'!B:B,A22)</f>
        <v>3</v>
      </c>
      <c r="J22" s="2">
        <f>SUMIFS('BA History S2'!E:E,'BA History S2'!B:B,A22)-I22</f>
        <v>5</v>
      </c>
      <c r="K22" s="75">
        <f>LOOKUP(2, 1/('BA History S2'!$B:$B=A22), 'BA History S2'!$AH:$AH)</f>
        <v>0.3</v>
      </c>
      <c r="L22" s="34">
        <f>SUMIFS('BA History S2'!H:H,'BA History S2'!B:B,A22)</f>
        <v>16</v>
      </c>
      <c r="M22" s="2">
        <f>SUMIFS('BA History S2'!G:G,'BA History S2'!B:B,A22)-L22</f>
        <v>17</v>
      </c>
      <c r="N22" s="89">
        <f>LOOKUP(2, 1/('BA History S2'!$B:$B=A22), 'BA History S2'!$AI:$AI)</f>
        <v>0.45499999999999996</v>
      </c>
      <c r="O22" s="2">
        <f>COUNTIFS('BA History S2'!$B:$B,$A$22,'BA History S2'!K:K, 1)</f>
        <v>0</v>
      </c>
      <c r="P22" s="2">
        <f>COUNTIFS('BA History S2'!$B:$B,$A$22,'BA History S2'!L:L, 1)</f>
        <v>1</v>
      </c>
      <c r="Q22" s="2">
        <f>COUNTIFS('BA History S2'!$B:$B,$A$22,'BA History S2'!M:M, 1)</f>
        <v>0</v>
      </c>
      <c r="R22" s="2">
        <f>COUNTIFS('BA History S2'!$B:$B,$A$22,'BA History S2'!N:N, 1)</f>
        <v>1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0</v>
      </c>
      <c r="AG22" s="2">
        <f>COUNTIFS('BA History S2'!$B:$B,$A$22,'BA History S2'!AC:AC, 1)</f>
        <v>1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x14ac:dyDescent="0.25">
      <c r="A23" s="2" t="s">
        <v>40</v>
      </c>
      <c r="B23" s="2" t="s">
        <v>79</v>
      </c>
      <c r="C23" s="34">
        <f>SUMIFS('BA History S2'!C:C,'BA History S2'!B:B,A23)</f>
        <v>150</v>
      </c>
      <c r="D23" s="66">
        <f>AVERAGEIFS('BA History S2'!C:C,'BA History S2'!B:B,A23)</f>
        <v>18.75</v>
      </c>
      <c r="E23" s="35">
        <f t="array" ref="E23">MAX(IF('BA History S2'!B:B=A23, 'BA History S2'!C:C))</f>
        <v>37</v>
      </c>
      <c r="F23" s="34">
        <f>COUNTIFS('BA History S2'!B:B,A23,'BA History S2'!D:D, 1)</f>
        <v>4</v>
      </c>
      <c r="G23" s="2">
        <f>COUNTIFS('BA History S2'!B:B,A23,'BA History S2'!D:D, 0)</f>
        <v>4</v>
      </c>
      <c r="H23" s="75">
        <f>LOOKUP(2, 1/('BA History S2'!$B:$B=A23), 'BA History S2'!$AJ:$AJ)</f>
        <v>0.5</v>
      </c>
      <c r="I23" s="34">
        <f>SUMIFS('BA History S2'!F:F,'BA History S2'!B:B,A23)</f>
        <v>17</v>
      </c>
      <c r="J23" s="2">
        <f>SUMIFS('BA History S2'!E:E,'BA History S2'!B:B,A23)-I23</f>
        <v>16</v>
      </c>
      <c r="K23" s="75">
        <f>LOOKUP(2, 1/('BA History S2'!$B:$B=A23), 'BA History S2'!$AH:$AH)</f>
        <v>0.51875000000000004</v>
      </c>
      <c r="L23" s="34">
        <f>SUMIFS('BA History S2'!H:H,'BA History S2'!B:B,A23)</f>
        <v>71</v>
      </c>
      <c r="M23" s="2">
        <f>SUMIFS('BA History S2'!G:G,'BA History S2'!B:B,A23)-L23</f>
        <v>67</v>
      </c>
      <c r="N23" s="89">
        <f>LOOKUP(2, 1/('BA History S2'!$B:$B=A23), 'BA History S2'!$AI:$AI)</f>
        <v>0.50624999999999998</v>
      </c>
      <c r="O23" s="2">
        <f>COUNTIFS('BA History S2'!$B:$B,$A$23,'BA History S2'!K:K, 1)</f>
        <v>0</v>
      </c>
      <c r="P23" s="2">
        <f>COUNTIFS('BA History S2'!$B:$B,$A$23,'BA History S2'!L:L, 1)</f>
        <v>3</v>
      </c>
      <c r="Q23" s="2">
        <f>COUNTIFS('BA History S2'!$B:$B,$A$23,'BA History S2'!M:M, 1)</f>
        <v>2</v>
      </c>
      <c r="R23" s="2">
        <f>COUNTIFS('BA History S2'!$B:$B,$A$23,'BA History S2'!N:N, 1)</f>
        <v>2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1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3</v>
      </c>
      <c r="AE23" s="2">
        <f>COUNTIFS('BA History S2'!$B:$B,$A$23,'BA History S2'!AA:AA, 1)</f>
        <v>0</v>
      </c>
      <c r="AF23" s="2">
        <f>COUNTIFS('BA History S2'!$B:$B,$A$23,'BA History S2'!AB:AB, 1)</f>
        <v>2</v>
      </c>
      <c r="AG23" s="2">
        <f>COUNTIFS('BA History S2'!$B:$B,$A$23,'BA History S2'!AC:AC, 1)</f>
        <v>2</v>
      </c>
      <c r="AH23" s="2">
        <f>COUNTIFS('BA History S2'!$B:$B,$A$23,'BA History S2'!AD:AD, 1)</f>
        <v>1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2" t="s">
        <v>148</v>
      </c>
      <c r="B24" s="2" t="s">
        <v>79</v>
      </c>
      <c r="C24" s="34">
        <f>SUMIFS('BA History S2'!C:C,'BA History S2'!B:B,A24)</f>
        <v>40</v>
      </c>
      <c r="D24" s="66">
        <f>AVERAGEIFS('BA History S2'!C:C,'BA History S2'!B:B,A24)</f>
        <v>13.333333333333334</v>
      </c>
      <c r="E24" s="35">
        <f t="array" ref="E24">MAX(IF('BA History S2'!B:B=A24, 'BA History S2'!C:C))</f>
        <v>15</v>
      </c>
      <c r="F24" s="34">
        <f>COUNTIFS('BA History S2'!B:B,A24,'BA History S2'!D:D, 1)</f>
        <v>1</v>
      </c>
      <c r="G24" s="2">
        <f>COUNTIFS('BA History S2'!B:B,A24,'BA History S2'!D:D, 0)</f>
        <v>2</v>
      </c>
      <c r="H24" s="75">
        <f>LOOKUP(2, 1/('BA History S2'!$B:$B=A24), 'BA History S2'!$AJ:$AJ)</f>
        <v>0.33333333333333331</v>
      </c>
      <c r="I24" s="34">
        <f>SUMIFS('BA History S2'!F:F,'BA History S2'!B:B,A24)</f>
        <v>6</v>
      </c>
      <c r="J24" s="2">
        <f>SUMIFS('BA History S2'!E:E,'BA History S2'!B:B,A24)-I24</f>
        <v>6</v>
      </c>
      <c r="K24" s="75">
        <f>LOOKUP(2, 1/('BA History S2'!$B:$B=A24), 'BA History S2'!$AH:$AH)</f>
        <v>0.54999999999999993</v>
      </c>
      <c r="L24" s="34">
        <f>SUMIFS('BA History S2'!H:H,'BA History S2'!B:B,A24)</f>
        <v>29</v>
      </c>
      <c r="M24" s="2">
        <f>SUMIFS('BA History S2'!G:G,'BA History S2'!B:B,A24)-L24</f>
        <v>23</v>
      </c>
      <c r="N24" s="89">
        <f>LOOKUP(2, 1/('BA History S2'!$B:$B=A24), 'BA History S2'!$AI:$AI)</f>
        <v>0.6133333333333334</v>
      </c>
      <c r="O24" s="2">
        <f>COUNTIFS('BA History S2'!$B:$B,$A$24,'BA History S2'!K:K, 1)</f>
        <v>0</v>
      </c>
      <c r="P24" s="2">
        <f>COUNTIFS('BA History S2'!$B:$B,$A$24,'BA History S2'!L:L, 1)</f>
        <v>1</v>
      </c>
      <c r="Q24" s="2">
        <f>COUNTIFS('BA History S2'!$B:$B,$A$24,'BA History S2'!M:M, 1)</f>
        <v>0</v>
      </c>
      <c r="R24" s="2">
        <f>COUNTIFS('BA History S2'!$B:$B,$A$24,'BA History S2'!N:N, 1)</f>
        <v>1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1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1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0</v>
      </c>
      <c r="AI24" s="2">
        <f>COUNTIFS('BA History S2'!$B:$B,$A$24,'BA History S2'!AE:AE, 1)</f>
        <v>0</v>
      </c>
      <c r="AJ24" s="2">
        <f>COUNTIFS('BA History S2'!$B:$B,$A$24,'BA History S2'!AF:AF, 1)</f>
        <v>1</v>
      </c>
    </row>
    <row r="25" spans="1:36" x14ac:dyDescent="0.25">
      <c r="A25" s="2" t="s">
        <v>17</v>
      </c>
      <c r="B25" s="2" t="s">
        <v>79</v>
      </c>
      <c r="C25" s="34">
        <f>SUMIFS('BA History S2'!C:C,'BA History S2'!B:B,A25)</f>
        <v>91</v>
      </c>
      <c r="D25" s="66">
        <f>AVERAGEIFS('BA History S2'!C:C,'BA History S2'!B:B,A25)</f>
        <v>18.2</v>
      </c>
      <c r="E25" s="35">
        <f t="array" ref="E25">MAX(IF('BA History S2'!B:B=A25, 'BA History S2'!C:C))</f>
        <v>26</v>
      </c>
      <c r="F25" s="34">
        <f>COUNTIFS('BA History S2'!B:B,A25,'BA History S2'!D:D, 1)</f>
        <v>5</v>
      </c>
      <c r="G25" s="2">
        <f>COUNTIFS('BA History S2'!B:B,A25,'BA History S2'!D:D, 0)</f>
        <v>0</v>
      </c>
      <c r="H25" s="75">
        <f>LOOKUP(2, 1/('BA History S2'!$B:$B=A25), 'BA History S2'!$AJ:$AJ)</f>
        <v>1</v>
      </c>
      <c r="I25" s="34">
        <f>SUMIFS('BA History S2'!F:F,'BA History S2'!B:B,A25)</f>
        <v>15</v>
      </c>
      <c r="J25" s="2">
        <f>SUMIFS('BA History S2'!E:E,'BA History S2'!B:B,A25)-I25</f>
        <v>5</v>
      </c>
      <c r="K25" s="75">
        <f>LOOKUP(2, 1/('BA History S2'!$B:$B=A25), 'BA History S2'!$AH:$AH)</f>
        <v>0.77</v>
      </c>
      <c r="L25" s="34">
        <f>SUMIFS('BA History S2'!H:H,'BA History S2'!B:B,A25)</f>
        <v>51</v>
      </c>
      <c r="M25" s="2">
        <f>SUMIFS('BA History S2'!G:G,'BA History S2'!B:B,A25)-L25</f>
        <v>32</v>
      </c>
      <c r="N25" s="89">
        <f>LOOKUP(2, 1/('BA History S2'!$B:$B=A25), 'BA History S2'!$AI:$AI)</f>
        <v>0.64200000000000002</v>
      </c>
      <c r="O25" s="2">
        <f>COUNTIFS('BA History S2'!$B:$B,$A$25,'BA History S2'!K:K, 1)</f>
        <v>1</v>
      </c>
      <c r="P25" s="2">
        <f>COUNTIFS('BA History S2'!$B:$B,$A$25,'BA History S2'!L:L, 1)</f>
        <v>1</v>
      </c>
      <c r="Q25" s="2">
        <f>COUNTIFS('BA History S2'!$B:$B,$A$25,'BA History S2'!M:M, 1)</f>
        <v>2</v>
      </c>
      <c r="R25" s="2">
        <f>COUNTIFS('BA History S2'!$B:$B,$A$25,'BA History S2'!N:N, 1)</f>
        <v>2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2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2</v>
      </c>
      <c r="AE25" s="2">
        <f>COUNTIFS('BA History S2'!$B:$B,$A$25,'BA History S2'!AA:AA, 1)</f>
        <v>0</v>
      </c>
      <c r="AF25" s="2">
        <f>COUNTIFS('BA History S2'!$B:$B,$A$25,'BA History S2'!AB:AB, 1)</f>
        <v>2</v>
      </c>
      <c r="AG25" s="2">
        <f>COUNTIFS('BA History S2'!$B:$B,$A$25,'BA History S2'!AC:AC, 1)</f>
        <v>1</v>
      </c>
      <c r="AH25" s="2">
        <f>COUNTIFS('BA History S2'!$B:$B,$A$25,'BA History S2'!AD:AD, 1)</f>
        <v>2</v>
      </c>
      <c r="AI25" s="2">
        <f>COUNTIFS('BA History S2'!$B:$B,$A$25,'BA History S2'!AE:AE, 1)</f>
        <v>0</v>
      </c>
      <c r="AJ25" s="2">
        <f>COUNTIFS('BA History S2'!$B:$B,$A$25,'BA History S2'!AF:AF, 1)</f>
        <v>0</v>
      </c>
    </row>
    <row r="26" spans="1:36" x14ac:dyDescent="0.25">
      <c r="A26" s="2" t="s">
        <v>6</v>
      </c>
      <c r="B26" s="1" t="s">
        <v>162</v>
      </c>
      <c r="C26" s="34">
        <f>SUMIFS('BA History S2'!C:C,'BA History S2'!B:B,A26)</f>
        <v>174</v>
      </c>
      <c r="D26" s="66">
        <f>AVERAGEIFS('BA History S2'!C:C,'BA History S2'!B:B,A26)</f>
        <v>21.75</v>
      </c>
      <c r="E26" s="35">
        <f t="array" ref="E26">MAX(IF('BA History S2'!B:B=A26, 'BA History S2'!C:C))</f>
        <v>31</v>
      </c>
      <c r="F26" s="34">
        <f>COUNTIFS('BA History S2'!B:B,A26,'BA History S2'!D:D, 1)</f>
        <v>3</v>
      </c>
      <c r="G26" s="2">
        <f>COUNTIFS('BA History S2'!B:B,A26,'BA History S2'!D:D, 0)</f>
        <v>5</v>
      </c>
      <c r="H26" s="75">
        <f>LOOKUP(2, 1/('BA History S2'!$B:$B=A26), 'BA History S2'!$AJ:$AJ)</f>
        <v>0.375</v>
      </c>
      <c r="I26" s="34">
        <f>SUMIFS('BA History S2'!F:F,'BA History S2'!B:B,A26)</f>
        <v>14</v>
      </c>
      <c r="J26" s="2">
        <f>SUMIFS('BA History S2'!E:E,'BA History S2'!B:B,A26)-I26</f>
        <v>19</v>
      </c>
      <c r="K26" s="75">
        <f>LOOKUP(2, 1/('BA History S2'!$B:$B=A26), 'BA History S2'!$AH:$AH)</f>
        <v>0.39374999999999999</v>
      </c>
      <c r="L26" s="34">
        <f>SUMIFS('BA History S2'!H:H,'BA History S2'!B:B,A26)</f>
        <v>64</v>
      </c>
      <c r="M26" s="2">
        <f>SUMIFS('BA History S2'!G:G,'BA History S2'!B:B,A26)-L26</f>
        <v>74</v>
      </c>
      <c r="N26" s="89">
        <f>LOOKUP(2, 1/('BA History S2'!$B:$B=A26), 'BA History S2'!$AI:$AI)</f>
        <v>0.42625000000000002</v>
      </c>
      <c r="O26" s="2">
        <f>COUNTIFS('BA History S2'!$B:$B,$A$26,'BA History S2'!K:K, 1)</f>
        <v>0</v>
      </c>
      <c r="P26" s="2">
        <f>COUNTIFS('BA History S2'!$B:$B,$A$26,'BA History S2'!L:L, 1)</f>
        <v>2</v>
      </c>
      <c r="Q26" s="2">
        <f>COUNTIFS('BA History S2'!$B:$B,$A$26,'BA History S2'!M:M, 1)</f>
        <v>2</v>
      </c>
      <c r="R26" s="2">
        <f>COUNTIFS('BA History S2'!$B:$B,$A$26,'BA History S2'!N:N, 1)</f>
        <v>1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1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2</v>
      </c>
      <c r="AE26" s="2">
        <f>COUNTIFS('BA History S2'!$B:$B,$A$26,'BA History S2'!AA:AA, 1)</f>
        <v>0</v>
      </c>
      <c r="AF26" s="2">
        <f>COUNTIFS('BA History S2'!$B:$B,$A$26,'BA History S2'!AB:AB, 1)</f>
        <v>2</v>
      </c>
      <c r="AG26" s="2">
        <f>COUNTIFS('BA History S2'!$B:$B,$A$26,'BA History S2'!AC:AC, 1)</f>
        <v>2</v>
      </c>
      <c r="AH26" s="2">
        <f>COUNTIFS('BA History S2'!$B:$B,$A$26,'BA History S2'!AD:AD, 1)</f>
        <v>1</v>
      </c>
      <c r="AI26" s="2">
        <f>COUNTIFS('BA History S2'!$B:$B,$A$26,'BA History S2'!AE:AE, 1)</f>
        <v>0</v>
      </c>
      <c r="AJ26" s="2">
        <f>COUNTIFS('BA History S2'!$B:$B,$A$26,'BA History S2'!AF:AF, 1)</f>
        <v>1</v>
      </c>
    </row>
    <row r="27" spans="1:36" x14ac:dyDescent="0.25">
      <c r="A27" s="2" t="s">
        <v>113</v>
      </c>
      <c r="B27" s="2" t="s">
        <v>79</v>
      </c>
      <c r="C27" s="34">
        <f>SUMIFS('BA History S2'!C:C,'BA History S2'!B:B,A27)</f>
        <v>113</v>
      </c>
      <c r="D27" s="66">
        <f>AVERAGEIFS('BA History S2'!C:C,'BA History S2'!B:B,A27)</f>
        <v>18.833333333333332</v>
      </c>
      <c r="E27" s="35">
        <f t="array" ref="E27">MAX(IF('BA History S2'!B:B=A27, 'BA History S2'!C:C))</f>
        <v>23</v>
      </c>
      <c r="F27" s="34">
        <f>COUNTIFS('BA History S2'!B:B,A27,'BA History S2'!D:D, 1)</f>
        <v>4</v>
      </c>
      <c r="G27" s="2">
        <f>COUNTIFS('BA History S2'!B:B,A27,'BA History S2'!D:D, 0)</f>
        <v>2</v>
      </c>
      <c r="H27" s="75">
        <f>LOOKUP(2, 1/('BA History S2'!$B:$B=A27), 'BA History S2'!$AJ:$AJ)</f>
        <v>0.66666666666666663</v>
      </c>
      <c r="I27" s="34">
        <f>SUMIFS('BA History S2'!F:F,'BA History S2'!B:B,A27)</f>
        <v>15</v>
      </c>
      <c r="J27" s="2">
        <f>SUMIFS('BA History S2'!E:E,'BA History S2'!B:B,A27)-I27</f>
        <v>10</v>
      </c>
      <c r="K27" s="75">
        <f>LOOKUP(2, 1/('BA History S2'!$B:$B=A27), 'BA History S2'!$AH:$AH)</f>
        <v>0.64166666666666672</v>
      </c>
      <c r="L27" s="34">
        <f>SUMIFS('BA History S2'!H:H,'BA History S2'!B:B,A27)</f>
        <v>58</v>
      </c>
      <c r="M27" s="2">
        <f>SUMIFS('BA History S2'!G:G,'BA History S2'!B:B,A27)-L27</f>
        <v>46</v>
      </c>
      <c r="N27" s="89">
        <f>LOOKUP(2, 1/('BA History S2'!$B:$B=A27), 'BA History S2'!$AI:$AI)</f>
        <v>0.59166666666666667</v>
      </c>
      <c r="O27" s="2">
        <f>COUNTIFS('BA History S2'!$B:$B,$A$27,'BA History S2'!K:K, 1)</f>
        <v>0</v>
      </c>
      <c r="P27" s="2">
        <f>COUNTIFS('BA History S2'!$B:$B,$A$27,'BA History S2'!L:L, 1)</f>
        <v>2</v>
      </c>
      <c r="Q27" s="2">
        <f>COUNTIFS('BA History S2'!$B:$B,$A$27,'BA History S2'!M:M, 1)</f>
        <v>1</v>
      </c>
      <c r="R27" s="2">
        <f>COUNTIFS('BA History S2'!$B:$B,$A$27,'BA History S2'!N:N, 1)</f>
        <v>3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1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0</v>
      </c>
      <c r="AD27" s="2">
        <f>COUNTIFS('BA History S2'!$B:$B,$A$27,'BA History S2'!Z:Z, 1)</f>
        <v>2</v>
      </c>
      <c r="AE27" s="2">
        <f>COUNTIFS('BA History S2'!$B:$B,$A$27,'BA History S2'!AA:AA, 1)</f>
        <v>0</v>
      </c>
      <c r="AF27" s="2">
        <f>COUNTIFS('BA History S2'!$B:$B,$A$27,'BA History S2'!AB:AB, 1)</f>
        <v>2</v>
      </c>
      <c r="AG27" s="2">
        <f>COUNTIFS('BA History S2'!$B:$B,$A$27,'BA History S2'!AC:AC, 1)</f>
        <v>3</v>
      </c>
      <c r="AH27" s="2">
        <f>COUNTIFS('BA History S2'!$B:$B,$A$27,'BA History S2'!AD:AD, 1)</f>
        <v>0</v>
      </c>
      <c r="AI27" s="2">
        <f>COUNTIFS('BA History S2'!$B:$B,$A$27,'BA History S2'!AE:AE, 1)</f>
        <v>0</v>
      </c>
      <c r="AJ27" s="2">
        <f>COUNTIFS('BA History S2'!$B:$B,$A$27,'BA History S2'!AF:AF, 1)</f>
        <v>1</v>
      </c>
    </row>
    <row r="28" spans="1:36" x14ac:dyDescent="0.25">
      <c r="A28" s="2" t="s">
        <v>14</v>
      </c>
      <c r="B28" s="2" t="s">
        <v>79</v>
      </c>
      <c r="C28" s="34">
        <f>SUMIFS('BA History S2'!C:C,'BA History S2'!B:B,A28)</f>
        <v>42</v>
      </c>
      <c r="D28" s="66">
        <f>AVERAGEIFS('BA History S2'!C:C,'BA History S2'!B:B,A28)</f>
        <v>14</v>
      </c>
      <c r="E28" s="35">
        <f t="array" ref="E28">MAX(IF('BA History S2'!B:B=A28, 'BA History S2'!C:C))</f>
        <v>21</v>
      </c>
      <c r="F28" s="34">
        <f>COUNTIFS('BA History S2'!B:B,A28,'BA History S2'!D:D, 1)</f>
        <v>1</v>
      </c>
      <c r="G28" s="2">
        <f>COUNTIFS('BA History S2'!B:B,A28,'BA History S2'!D:D, 0)</f>
        <v>2</v>
      </c>
      <c r="H28" s="75">
        <f>LOOKUP(2, 1/('BA History S2'!$B:$B=A28), 'BA History S2'!$AJ:$AJ)</f>
        <v>0.33333333333333331</v>
      </c>
      <c r="I28" s="34">
        <f>SUMIFS('BA History S2'!F:F,'BA History S2'!B:B,A28)</f>
        <v>5</v>
      </c>
      <c r="J28" s="2">
        <f>SUMIFS('BA History S2'!E:E,'BA History S2'!B:B,A28)-I28</f>
        <v>8</v>
      </c>
      <c r="K28" s="75">
        <f>LOOKUP(2, 1/('BA History S2'!$B:$B=A28), 'BA History S2'!$AH:$AH)</f>
        <v>0.3666666666666667</v>
      </c>
      <c r="L28" s="34">
        <f>SUMIFS('BA History S2'!H:H,'BA History S2'!B:B,A28)</f>
        <v>25</v>
      </c>
      <c r="M28" s="2">
        <f>SUMIFS('BA History S2'!G:G,'BA History S2'!B:B,A28)-L28</f>
        <v>30</v>
      </c>
      <c r="N28" s="89">
        <f>LOOKUP(2, 1/('BA History S2'!$B:$B=A28), 'BA History S2'!$AI:$AI)</f>
        <v>0.45333333333333337</v>
      </c>
      <c r="O28" s="2">
        <f>COUNTIFS('BA History S2'!$B:$B,$A$28,'BA History S2'!K:K, 1)</f>
        <v>0</v>
      </c>
      <c r="P28" s="2">
        <f>COUNTIFS('BA History S2'!$B:$B,$A$28,'BA History S2'!L:L, 1)</f>
        <v>1</v>
      </c>
      <c r="Q28" s="2">
        <f>COUNTIFS('BA History S2'!$B:$B,$A$28,'BA History S2'!M:M, 1)</f>
        <v>0</v>
      </c>
      <c r="R28" s="2">
        <f>COUNTIFS('BA History S2'!$B:$B,$A$28,'BA History S2'!N:N, 1)</f>
        <v>1</v>
      </c>
      <c r="S28" s="2">
        <f>COUNTIFS('BA History S2'!$B:$B,$A$28,'BA History S2'!O:O, 1)</f>
        <v>0</v>
      </c>
      <c r="T28" s="2">
        <f>COUNTIFS('BA History S2'!$B:$B,$A$28,'BA History S2'!P:P, 1)</f>
        <v>0</v>
      </c>
      <c r="U28" s="2">
        <f>COUNTIFS('BA History S2'!$B:$B,$A$28,'BA History S2'!Q:Q, 1)</f>
        <v>0</v>
      </c>
      <c r="V28" s="2">
        <f>COUNTIFS('BA History S2'!$B:$B,$A$28,'BA History S2'!R:R, 1)</f>
        <v>0</v>
      </c>
      <c r="W28" s="2">
        <f>COUNTIFS('BA History S2'!$B:$B,$A$28,'BA History S2'!S:S, 1)</f>
        <v>0</v>
      </c>
      <c r="X28" s="2">
        <f>COUNTIFS('BA History S2'!$B:$B,$A$28,'BA History S2'!T:T, 1)</f>
        <v>0</v>
      </c>
      <c r="Y28" s="2">
        <f>COUNTIFS('BA History S2'!$B:$B,$A$28,'BA History S2'!U:U, 1)</f>
        <v>0</v>
      </c>
      <c r="Z28" s="2">
        <f>COUNTIFS('BA History S2'!$B:$B,$A$28,'BA History S2'!V:V, 1)</f>
        <v>0</v>
      </c>
      <c r="AA28" s="2">
        <f>COUNTIFS('BA History S2'!$B:$B,$A$28,'BA History S2'!W:W, 1)</f>
        <v>0</v>
      </c>
      <c r="AB28" s="2">
        <f>COUNTIFS('BA History S2'!$B:$B,$A$28,'BA History S2'!X:X, 1)</f>
        <v>0</v>
      </c>
      <c r="AC28" s="2">
        <f>COUNTIFS('BA History S2'!$B:$B,$A$28,'BA History S2'!Y:Y, 1)</f>
        <v>0</v>
      </c>
      <c r="AD28" s="2">
        <f>COUNTIFS('BA History S2'!$B:$B,$A$28,'BA History S2'!Z:Z, 1)</f>
        <v>0</v>
      </c>
      <c r="AE28" s="2">
        <f>COUNTIFS('BA History S2'!$B:$B,$A$28,'BA History S2'!AA:AA, 1)</f>
        <v>0</v>
      </c>
      <c r="AF28" s="2">
        <f>COUNTIFS('BA History S2'!$B:$B,$A$28,'BA History S2'!AB:AB, 1)</f>
        <v>3</v>
      </c>
      <c r="AG28" s="2">
        <f>COUNTIFS('BA History S2'!$B:$B,$A$28,'BA History S2'!AC:AC, 1)</f>
        <v>0</v>
      </c>
      <c r="AH28" s="2">
        <f>COUNTIFS('BA History S2'!$B:$B,$A$28,'BA History S2'!AD:AD, 1)</f>
        <v>0</v>
      </c>
      <c r="AI28" s="2">
        <f>COUNTIFS('BA History S2'!$B:$B,$A$28,'BA History S2'!AE:AE, 1)</f>
        <v>0</v>
      </c>
      <c r="AJ28" s="2">
        <f>COUNTIFS('BA History S2'!$B:$B,$A$28,'BA History S2'!AF:AF, 1)</f>
        <v>0</v>
      </c>
    </row>
    <row r="29" spans="1:36" x14ac:dyDescent="0.25">
      <c r="A29" s="2" t="s">
        <v>4</v>
      </c>
      <c r="B29" s="1" t="s">
        <v>162</v>
      </c>
      <c r="C29" s="34">
        <f>SUMIFS('BA History S2'!C:C,'BA History S2'!B:B,A29)</f>
        <v>105</v>
      </c>
      <c r="D29" s="66">
        <f>AVERAGEIFS('BA History S2'!C:C,'BA History S2'!B:B,A29)</f>
        <v>26.25</v>
      </c>
      <c r="E29" s="35">
        <f t="array" ref="E29">MAX(IF('BA History S2'!B:B=A29, 'BA History S2'!C:C))</f>
        <v>38</v>
      </c>
      <c r="F29" s="34">
        <f>COUNTIFS('BA History S2'!B:B,A29,'BA History S2'!D:D, 1)</f>
        <v>4</v>
      </c>
      <c r="G29" s="2">
        <f>COUNTIFS('BA History S2'!B:B,A29,'BA History S2'!D:D, 0)</f>
        <v>0</v>
      </c>
      <c r="H29" s="75">
        <f>LOOKUP(2, 1/('BA History S2'!$B:$B=A29), 'BA History S2'!$AJ:$AJ)</f>
        <v>1</v>
      </c>
      <c r="I29" s="34">
        <f>SUMIFS('BA History S2'!F:F,'BA History S2'!B:B,A29)</f>
        <v>12</v>
      </c>
      <c r="J29" s="2">
        <f>SUMIFS('BA History S2'!E:E,'BA History S2'!B:B,A29)-I29</f>
        <v>5</v>
      </c>
      <c r="K29" s="75">
        <f>LOOKUP(2, 1/('BA History S2'!$B:$B=A29), 'BA History S2'!$AH:$AH)</f>
        <v>0.73750000000000004</v>
      </c>
      <c r="L29" s="34">
        <f>SUMIFS('BA History S2'!H:H,'BA History S2'!B:B,A29)</f>
        <v>44</v>
      </c>
      <c r="M29" s="2">
        <f>SUMIFS('BA History S2'!G:G,'BA History S2'!B:B,A29)-L29</f>
        <v>31</v>
      </c>
      <c r="N29" s="89">
        <f>LOOKUP(2, 1/('BA History S2'!$B:$B=A29), 'BA History S2'!$AI:$AI)</f>
        <v>0.6</v>
      </c>
      <c r="O29" s="2">
        <f>COUNTIFS('BA History S2'!$B:$B,$A$29,'BA History S2'!K:K, 1)</f>
        <v>1</v>
      </c>
      <c r="P29" s="2">
        <f>COUNTIFS('BA History S2'!$B:$B,$A$29,'BA History S2'!L:L, 1)</f>
        <v>2</v>
      </c>
      <c r="Q29" s="2">
        <f>COUNTIFS('BA History S2'!$B:$B,$A$29,'BA History S2'!M:M, 1)</f>
        <v>1</v>
      </c>
      <c r="R29" s="2">
        <f>COUNTIFS('BA History S2'!$B:$B,$A$29,'BA History S2'!N:N, 1)</f>
        <v>2</v>
      </c>
      <c r="S29" s="2">
        <f>COUNTIFS('BA History S2'!$B:$B,$A$29,'BA History S2'!O:O, 1)</f>
        <v>0</v>
      </c>
      <c r="T29" s="2">
        <f>COUNTIFS('BA History S2'!$B:$B,$A$29,'BA History S2'!P:P, 1)</f>
        <v>0</v>
      </c>
      <c r="U29" s="2">
        <f>COUNTIFS('BA History S2'!$B:$B,$A$29,'BA History S2'!Q:Q, 1)</f>
        <v>0</v>
      </c>
      <c r="V29" s="2">
        <f>COUNTIFS('BA History S2'!$B:$B,$A$29,'BA History S2'!R:R, 1)</f>
        <v>0</v>
      </c>
      <c r="W29" s="2">
        <f>COUNTIFS('BA History S2'!$B:$B,$A$29,'BA History S2'!S:S, 1)</f>
        <v>0</v>
      </c>
      <c r="X29" s="2">
        <f>COUNTIFS('BA History S2'!$B:$B,$A$29,'BA History S2'!T:T, 1)</f>
        <v>0</v>
      </c>
      <c r="Y29" s="2">
        <f>COUNTIFS('BA History S2'!$B:$B,$A$29,'BA History S2'!U:U, 1)</f>
        <v>0</v>
      </c>
      <c r="Z29" s="2">
        <f>COUNTIFS('BA History S2'!$B:$B,$A$29,'BA History S2'!V:V, 1)</f>
        <v>0</v>
      </c>
      <c r="AA29" s="2">
        <f>COUNTIFS('BA History S2'!$B:$B,$A$29,'BA History S2'!W:W, 1)</f>
        <v>0</v>
      </c>
      <c r="AB29" s="2">
        <f>COUNTIFS('BA History S2'!$B:$B,$A$29,'BA History S2'!X:X, 1)</f>
        <v>0</v>
      </c>
      <c r="AC29" s="2">
        <f>COUNTIFS('BA History S2'!$B:$B,$A$29,'BA History S2'!Y:Y, 1)</f>
        <v>0</v>
      </c>
      <c r="AD29" s="2">
        <f>COUNTIFS('BA History S2'!$B:$B,$A$29,'BA History S2'!Z:Z, 1)</f>
        <v>0</v>
      </c>
      <c r="AE29" s="2">
        <f>COUNTIFS('BA History S2'!$B:$B,$A$29,'BA History S2'!AA:AA, 1)</f>
        <v>0</v>
      </c>
      <c r="AF29" s="2">
        <f>COUNTIFS('BA History S2'!$B:$B,$A$29,'BA History S2'!AB:AB, 1)</f>
        <v>1</v>
      </c>
      <c r="AG29" s="2">
        <f>COUNTIFS('BA History S2'!$B:$B,$A$29,'BA History S2'!AC:AC, 1)</f>
        <v>3</v>
      </c>
      <c r="AH29" s="2">
        <f>COUNTIFS('BA History S2'!$B:$B,$A$29,'BA History S2'!AD:AD, 1)</f>
        <v>1</v>
      </c>
      <c r="AI29" s="2">
        <f>COUNTIFS('BA History S2'!$B:$B,$A$29,'BA History S2'!AE:AE, 1)</f>
        <v>0</v>
      </c>
      <c r="AJ29" s="2">
        <f>COUNTIFS('BA History S2'!$B:$B,$A$29,'BA History S2'!AF:AF, 1)</f>
        <v>1</v>
      </c>
    </row>
    <row r="30" spans="1:36" x14ac:dyDescent="0.25">
      <c r="A30" s="1" t="s">
        <v>107</v>
      </c>
      <c r="B30" s="2" t="s">
        <v>79</v>
      </c>
      <c r="C30" s="34">
        <f>SUMIFS('BA History S2'!C:C,'BA History S2'!B:B,A30)</f>
        <v>78</v>
      </c>
      <c r="D30" s="66">
        <f>AVERAGEIFS('BA History S2'!C:C,'BA History S2'!B:B,A30)</f>
        <v>13</v>
      </c>
      <c r="E30" s="35">
        <f t="array" ref="E30">MAX(IF('BA History S2'!B:B=A30, 'BA History S2'!C:C))</f>
        <v>22</v>
      </c>
      <c r="F30" s="34">
        <f>COUNTIFS('BA History S2'!B:B,A30,'BA History S2'!D:D, 1)</f>
        <v>2</v>
      </c>
      <c r="G30" s="2">
        <f>COUNTIFS('BA History S2'!B:B,A30,'BA History S2'!D:D, 0)</f>
        <v>4</v>
      </c>
      <c r="H30" s="75">
        <f>LOOKUP(2, 1/('BA History S2'!$B:$B=A30), 'BA History S2'!$AJ:$AJ)</f>
        <v>0.33333333333333331</v>
      </c>
      <c r="I30" s="34">
        <f>SUMIFS('BA History S2'!F:F,'BA History S2'!B:B,A30)</f>
        <v>8</v>
      </c>
      <c r="J30" s="2">
        <f>SUMIFS('BA History S2'!E:E,'BA History S2'!B:B,A30)-I30</f>
        <v>14</v>
      </c>
      <c r="K30" s="75">
        <f>LOOKUP(2, 1/('BA History S2'!$B:$B=A30), 'BA History S2'!$AH:$AH)</f>
        <v>0.31666666666666665</v>
      </c>
      <c r="L30" s="34">
        <f>SUMIFS('BA History S2'!H:H,'BA History S2'!B:B,A30)</f>
        <v>37</v>
      </c>
      <c r="M30" s="2">
        <f>SUMIFS('BA History S2'!G:G,'BA History S2'!B:B,A30)-L30</f>
        <v>53</v>
      </c>
      <c r="N30" s="89">
        <f>LOOKUP(2, 1/('BA History S2'!$B:$B=A30), 'BA History S2'!$AI:$AI)</f>
        <v>0.36833333333333335</v>
      </c>
      <c r="O30" s="2">
        <f>COUNTIFS('BA History S2'!$B:$B,$A$30,'BA History S2'!K:K, 1)</f>
        <v>2</v>
      </c>
      <c r="P30" s="2">
        <f>COUNTIFS('BA History S2'!$B:$B,$A$30,'BA History S2'!L:L, 1)</f>
        <v>0</v>
      </c>
      <c r="Q30" s="2">
        <f>COUNTIFS('BA History S2'!$B:$B,$A$30,'BA History S2'!M:M, 1)</f>
        <v>1</v>
      </c>
      <c r="R30" s="2">
        <f>COUNTIFS('BA History S2'!$B:$B,$A$30,'BA History S2'!N:N, 1)</f>
        <v>0</v>
      </c>
      <c r="S30" s="2">
        <f>COUNTIFS('BA History S2'!$B:$B,$A$30,'BA History S2'!O:O, 1)</f>
        <v>0</v>
      </c>
      <c r="T30" s="2">
        <f>COUNTIFS('BA History S2'!$B:$B,$A$30,'BA History S2'!P:P, 1)</f>
        <v>0</v>
      </c>
      <c r="U30" s="2">
        <f>COUNTIFS('BA History S2'!$B:$B,$A$30,'BA History S2'!Q:Q, 1)</f>
        <v>0</v>
      </c>
      <c r="V30" s="2">
        <f>COUNTIFS('BA History S2'!$B:$B,$A$30,'BA History S2'!R:R, 1)</f>
        <v>0</v>
      </c>
      <c r="W30" s="2">
        <f>COUNTIFS('BA History S2'!$B:$B,$A$30,'BA History S2'!S:S, 1)</f>
        <v>0</v>
      </c>
      <c r="X30" s="2">
        <f>COUNTIFS('BA History S2'!$B:$B,$A$30,'BA History S2'!T:T, 1)</f>
        <v>0</v>
      </c>
      <c r="Y30" s="2">
        <f>COUNTIFS('BA History S2'!$B:$B,$A$30,'BA History S2'!U:U, 1)</f>
        <v>0</v>
      </c>
      <c r="Z30" s="2">
        <f>COUNTIFS('BA History S2'!$B:$B,$A$30,'BA History S2'!V:V, 1)</f>
        <v>0</v>
      </c>
      <c r="AA30" s="2">
        <f>COUNTIFS('BA History S2'!$B:$B,$A$30,'BA History S2'!W:W, 1)</f>
        <v>0</v>
      </c>
      <c r="AB30" s="2">
        <f>COUNTIFS('BA History S2'!$B:$B,$A$30,'BA History S2'!X:X, 1)</f>
        <v>0</v>
      </c>
      <c r="AC30" s="2">
        <f>COUNTIFS('BA History S2'!$B:$B,$A$30,'BA History S2'!Y:Y, 1)</f>
        <v>1</v>
      </c>
      <c r="AD30" s="2">
        <f>COUNTIFS('BA History S2'!$B:$B,$A$30,'BA History S2'!Z:Z, 1)</f>
        <v>0</v>
      </c>
      <c r="AE30" s="2">
        <f>COUNTIFS('BA History S2'!$B:$B,$A$30,'BA History S2'!AA:AA, 1)</f>
        <v>0</v>
      </c>
      <c r="AF30" s="2">
        <f>COUNTIFS('BA History S2'!$B:$B,$A$30,'BA History S2'!AB:AB, 1)</f>
        <v>1</v>
      </c>
      <c r="AG30" s="2">
        <f>COUNTIFS('BA History S2'!$B:$B,$A$30,'BA History S2'!AC:AC, 1)</f>
        <v>1</v>
      </c>
      <c r="AH30" s="2">
        <f>COUNTIFS('BA History S2'!$B:$B,$A$30,'BA History S2'!AD:AD, 1)</f>
        <v>2</v>
      </c>
      <c r="AI30" s="2">
        <f>COUNTIFS('BA History S2'!$B:$B,$A$30,'BA History S2'!AE:AE, 1)</f>
        <v>0</v>
      </c>
      <c r="AJ30" s="2">
        <f>COUNTIFS('BA History S2'!$B:$B,$A$30,'BA History S2'!AF:AF, 1)</f>
        <v>0</v>
      </c>
    </row>
  </sheetData>
  <autoFilter ref="A1:AJ30" xr:uid="{DA548192-1F03-46EA-8AB8-115EB9A7CE5D}">
    <sortState xmlns:xlrd2="http://schemas.microsoft.com/office/spreadsheetml/2017/richdata2" ref="A2:AJ30">
      <sortCondition ref="A1:A30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Q105" sqref="Q10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165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</sheetData>
  <autoFilter ref="A1:AJ11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160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162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161</v>
      </c>
      <c r="C21" s="2" t="s">
        <v>163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163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161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161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162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2026-04-12T00:25:46Z</dcterms:modified>
</cp:coreProperties>
</file>